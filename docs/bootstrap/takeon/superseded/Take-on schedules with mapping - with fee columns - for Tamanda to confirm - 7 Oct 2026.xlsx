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980" firstSheet="0" activeTab="0" autoFilterDateGrouping="1"/>
  </bookViews>
  <sheets>
    <sheet xmlns:r="http://schemas.openxmlformats.org/officeDocument/2006/relationships" name="TOC" sheetId="1" state="visible" r:id="rId1"/>
    <sheet xmlns:r="http://schemas.openxmlformats.org/officeDocument/2006/relationships" name="Instructions" sheetId="2" state="visible" r:id="rId2"/>
    <sheet xmlns:r="http://schemas.openxmlformats.org/officeDocument/2006/relationships" name="Mapping" sheetId="3" state="visible" r:id="rId3"/>
    <sheet xmlns:r="http://schemas.openxmlformats.org/officeDocument/2006/relationships" name="Not matched" sheetId="4" state="visible" r:id="rId4"/>
    <sheet xmlns:r="http://schemas.openxmlformats.org/officeDocument/2006/relationships" name="Accounts without a block" sheetId="5" state="visible" r:id="rId5"/>
    <sheet xmlns:r="http://schemas.openxmlformats.org/officeDocument/2006/relationships" name="Upload summary" sheetId="6" state="visible" r:id="rId6"/>
    <sheet xmlns:r="http://schemas.openxmlformats.org/officeDocument/2006/relationships" name="Blocks" sheetId="7" state="visible" r:id="rId7"/>
    <sheet xmlns:r="http://schemas.openxmlformats.org/officeDocument/2006/relationships" name="E-Banker master" sheetId="8" state="visible" r:id="rId8"/>
    <sheet xmlns:r="http://schemas.openxmlformats.org/officeDocument/2006/relationships" name="Loan Book" sheetId="9" state="visible" r:id="rId9"/>
    <sheet xmlns:r="http://schemas.openxmlformats.org/officeDocument/2006/relationships" name="Amortisation and Repayments" sheetId="10" state="visible" r:id="rId10"/>
    <sheet xmlns:r="http://schemas.openxmlformats.org/officeDocument/2006/relationships" name="Sheet2" sheetId="11" state="hidden" r:id="rId11"/>
    <sheet xmlns:r="http://schemas.openxmlformats.org/officeDocument/2006/relationships" name="Sheet1" sheetId="12" state="hidden"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s>
  <definedNames>
    <definedName name="_xlchart.v1.0" hidden="1">Sheet2!$F$15:$F$17</definedName>
    <definedName name="_xlchart.v1.1" hidden="1">Sheet2!$H$15:$H$17</definedName>
    <definedName name="_xlnm._FilterDatabase" localSheetId="8" hidden="1">'Loan Book'!$A$1:$AP$137</definedName>
    <definedName name="_xlnm.Print_Area" localSheetId="8">'Loan Book'!$E$5:$R$109</definedName>
    <definedName name="_xlnm.Print_Area" localSheetId="9">'Amortisation and Repayments'!$C$5553:$J$5564</definedName>
  </definedNames>
  <calcPr calcId="191029" fullCalcOnLoad="1" calcCompleted="0"/>
</workbook>
</file>

<file path=xl/styles.xml><?xml version="1.0" encoding="utf-8"?>
<styleSheet xmlns="http://schemas.openxmlformats.org/spreadsheetml/2006/main">
  <numFmts count="13">
    <numFmt numFmtId="164" formatCode="_(* #,##0_);_(* \(#,##0\);_(* &quot;-&quot;??_);_(@_)"/>
    <numFmt numFmtId="165" formatCode="_-* #,##0.00_-;\-* #,##0.00_-;_-* &quot;-&quot;??_-;_-@_-"/>
    <numFmt numFmtId="166" formatCode="_-* #,##0.0_-;\-* #,##0.0_-;_-* &quot;-&quot;??_-;_-@_-"/>
    <numFmt numFmtId="167" formatCode="&quot;MK&quot;#,##0.00_);[Red]\(&quot;MK&quot;#,##0.00\)"/>
    <numFmt numFmtId="168" formatCode="0.0%"/>
    <numFmt numFmtId="169" formatCode="_(* #,##0.0000_);_(* \(#,##0.0000\);_(* &quot;-&quot;??_);_(@_)"/>
    <numFmt numFmtId="170" formatCode="_ * #,##0.00_ ;_ * \-#,##0.00_ ;_ * &quot;-&quot;??_ ;_ @_ "/>
    <numFmt numFmtId="171" formatCode="[$-409]d\-mmm\-yy;@"/>
    <numFmt numFmtId="172" formatCode="[$-409]dd\-mmm\-yy;@"/>
    <numFmt numFmtId="173" formatCode="#,##0.00;\-#,##0.00"/>
    <numFmt numFmtId="174" formatCode="yyyy-mm-dd"/>
    <numFmt numFmtId="175" formatCode="yyyy-mm-dd h:mm:ss"/>
    <numFmt numFmtId="176" formatCode="dd/mm/yyyy"/>
  </numFmts>
  <fonts count="40">
    <font>
      <name val="Calibri"/>
      <family val="2"/>
      <color theme="1"/>
      <sz val="11"/>
      <scheme val="minor"/>
    </font>
    <font>
      <name val="Calibri"/>
      <family val="2"/>
      <color theme="1"/>
      <sz val="11"/>
      <scheme val="minor"/>
    </font>
    <font>
      <name val="Tahoma"/>
      <family val="2"/>
      <color theme="1"/>
      <sz val="10"/>
    </font>
    <font>
      <name val="Times New Roman"/>
      <family val="1"/>
      <color theme="1"/>
      <sz val="9"/>
    </font>
    <font>
      <name val="Times New Roman"/>
      <family val="1"/>
      <b val="1"/>
      <color theme="1"/>
      <sz val="9"/>
    </font>
    <font>
      <name val="Times New Roman"/>
      <family val="1"/>
      <color theme="1"/>
      <sz val="11"/>
    </font>
    <font>
      <name val="Times New Roman"/>
      <family val="1"/>
      <b val="1"/>
      <color theme="1"/>
      <sz val="9"/>
      <u val="single"/>
    </font>
    <font>
      <name val="Times New Roman"/>
      <family val="1"/>
      <sz val="9"/>
    </font>
    <font>
      <name val="Century Gothic"/>
      <family val="2"/>
      <color theme="1"/>
      <sz val="11"/>
    </font>
    <font>
      <name val="Century Gothic"/>
      <family val="2"/>
      <b val="1"/>
      <color theme="1"/>
      <sz val="9"/>
    </font>
    <font>
      <name val="Century Gothic"/>
      <family val="2"/>
      <color theme="1"/>
      <sz val="9"/>
    </font>
    <font>
      <name val="Century Gothic"/>
      <family val="2"/>
      <sz val="9"/>
    </font>
    <font>
      <name val="Century Gothic"/>
      <family val="2"/>
      <color theme="1"/>
      <sz val="10"/>
    </font>
    <font>
      <name val="Century Gothic"/>
      <family val="2"/>
      <b val="1"/>
      <color theme="1"/>
      <sz val="10"/>
    </font>
    <font>
      <name val="Times New Roman"/>
      <family val="1"/>
      <b val="1"/>
      <color theme="1"/>
      <sz val="11"/>
    </font>
    <font>
      <name val="Times New Roman"/>
      <family val="1"/>
      <color theme="1"/>
      <sz val="8"/>
    </font>
    <font>
      <name val="Times New Roman"/>
      <family val="1"/>
      <b val="1"/>
      <color theme="1"/>
      <sz val="8"/>
    </font>
    <font>
      <name val="Times New Roman"/>
      <family val="1"/>
      <sz val="8"/>
    </font>
    <font>
      <name val="Calibri"/>
      <family val="2"/>
      <sz val="8"/>
      <scheme val="minor"/>
    </font>
    <font>
      <name val="Times New Roman"/>
      <family val="1"/>
      <b val="1"/>
      <sz val="8"/>
    </font>
    <font>
      <name val="Tahoma"/>
      <family val="2"/>
      <b val="1"/>
      <color indexed="81"/>
      <sz val="9"/>
    </font>
    <font>
      <name val="Times New Roman"/>
      <family val="1"/>
      <color rgb="FFFF0000"/>
      <sz val="9"/>
    </font>
    <font>
      <name val="Tahoma"/>
      <family val="2"/>
      <color indexed="81"/>
      <sz val="9"/>
    </font>
    <font>
      <name val="Times New Roman"/>
      <family val="1"/>
      <b val="1"/>
      <sz val="9"/>
    </font>
    <font>
      <name val="Century Gothic"/>
      <family val="2"/>
      <b val="1"/>
      <sz val="10"/>
    </font>
    <font>
      <name val="Century Gothic"/>
      <family val="2"/>
      <sz val="10"/>
    </font>
    <font>
      <name val="Times New Roman"/>
      <family val="1"/>
      <b val="1"/>
      <color rgb="FFFF0000"/>
      <sz val="8"/>
    </font>
    <font>
      <name val="Calibri"/>
      <family val="2"/>
      <color theme="1"/>
      <sz val="9"/>
      <scheme val="minor"/>
    </font>
    <font>
      <name val="Times New Roman"/>
      <family val="1"/>
      <color rgb="FF323232"/>
      <sz val="8"/>
    </font>
    <font>
      <name val="Calibri"/>
      <family val="2"/>
      <b val="1"/>
      <color theme="1"/>
      <sz val="11"/>
      <scheme val="minor"/>
    </font>
    <font>
      <name val="Arial"/>
      <family val="2"/>
      <b val="1"/>
      <color rgb="FF323232"/>
      <sz val="8"/>
    </font>
    <font>
      <name val="Arial"/>
      <family val="2"/>
      <sz val="10"/>
    </font>
    <font>
      <b val="1"/>
      <color rgb="007030A0"/>
    </font>
    <font>
      <b val="1"/>
      <color rgb="00FFFFFF"/>
    </font>
    <font>
      <color rgb="00FFFFFF"/>
    </font>
    <font>
      <b val="1"/>
      <color rgb="001B2A41"/>
      <sz val="12"/>
    </font>
    <font>
      <b val="1"/>
      <color rgb="001B2A41"/>
      <sz val="14"/>
    </font>
    <font>
      <color rgb="005B6470"/>
    </font>
    <font>
      <color rgb="000563C1"/>
      <u val="single"/>
    </font>
    <font>
      <name val="Calibri"/>
      <b val="1"/>
      <color rgb="00FFFFFF"/>
      <sz val="11"/>
    </font>
  </fonts>
  <fills count="27">
    <fill>
      <patternFill/>
    </fill>
    <fill>
      <patternFill patternType="gray125"/>
    </fill>
    <fill>
      <patternFill patternType="solid">
        <fgColor theme="0" tint="-0.1499984740745262"/>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9" tint="0.7999816888943144"/>
        <bgColor indexed="64"/>
      </patternFill>
    </fill>
    <fill>
      <patternFill patternType="solid">
        <fgColor theme="9" tint="-0.249977111117893"/>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rgb="FF00B050"/>
        <bgColor indexed="64"/>
      </patternFill>
    </fill>
    <fill>
      <patternFill patternType="solid">
        <fgColor rgb="FFFFCC99"/>
        <bgColor indexed="64"/>
      </patternFill>
    </fill>
    <fill>
      <patternFill patternType="solid">
        <fgColor theme="5" tint="0.399975585192419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FFC000"/>
        <bgColor indexed="64"/>
      </patternFill>
    </fill>
    <fill>
      <patternFill patternType="solid">
        <fgColor theme="4" tint="0.3999755851924192"/>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rgb="00FFF4E0"/>
      </patternFill>
    </fill>
    <fill>
      <patternFill patternType="solid">
        <fgColor rgb="007030A0"/>
      </patternFill>
    </fill>
    <fill>
      <patternFill patternType="solid">
        <fgColor rgb="001B2A41"/>
      </patternFill>
    </fill>
    <fill>
      <patternFill patternType="solid">
        <fgColor rgb="00BF8F00"/>
      </patternFill>
    </fill>
    <fill>
      <patternFill patternType="solid">
        <fgColor rgb="00FFF2CC"/>
      </patternFill>
    </fill>
  </fills>
  <borders count="67">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rgb="FFC5E0B3"/>
      </left>
      <right style="medium">
        <color rgb="FFC5E0B3"/>
      </right>
      <top/>
      <bottom style="medium">
        <color rgb="FFC5E0B3"/>
      </bottom>
      <diagonal/>
    </border>
    <border>
      <left/>
      <right style="medium">
        <color rgb="FFC5E0B3"/>
      </right>
      <top/>
      <bottom style="medium">
        <color rgb="FFC5E0B3"/>
      </bottom>
      <diagonal/>
    </border>
    <border>
      <left style="medium">
        <color indexed="64"/>
      </left>
      <right style="medium">
        <color rgb="FFC5E0B3"/>
      </right>
      <top style="medium">
        <color indexed="64"/>
      </top>
      <bottom style="medium">
        <color indexed="64"/>
      </bottom>
      <diagonal/>
    </border>
    <border>
      <left/>
      <right style="medium">
        <color rgb="FFC5E0B3"/>
      </right>
      <top style="medium">
        <color indexed="64"/>
      </top>
      <bottom style="medium">
        <color indexed="64"/>
      </bottom>
      <diagonal/>
    </border>
    <border>
      <left style="medium">
        <color rgb="FFC5E0B3"/>
      </left>
      <right style="medium">
        <color rgb="FFC5E0B3"/>
      </right>
      <top style="medium">
        <color indexed="64"/>
      </top>
      <bottom style="medium">
        <color indexed="64"/>
      </bottom>
      <diagonal/>
    </border>
    <border>
      <left style="medium">
        <color rgb="FFC5E0B3"/>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thin">
        <color rgb="00BFBFBF"/>
      </left>
      <right style="thin">
        <color rgb="00BFBFBF"/>
      </right>
      <top style="thin">
        <color rgb="00BFBFBF"/>
      </top>
      <bottom style="thin">
        <color rgb="00BFBFBF"/>
      </bottom>
    </border>
  </borders>
  <cellStyleXfs count="7">
    <xf numFmtId="0" fontId="1" fillId="0" borderId="0"/>
    <xf numFmtId="43" fontId="1" fillId="0" borderId="0"/>
    <xf numFmtId="0" fontId="2" fillId="0" borderId="0"/>
    <xf numFmtId="9" fontId="1" fillId="0" borderId="0"/>
    <xf numFmtId="43" fontId="1" fillId="0" borderId="0"/>
    <xf numFmtId="165" fontId="1" fillId="0" borderId="0"/>
    <xf numFmtId="0" fontId="31" fillId="0" borderId="0"/>
  </cellStyleXfs>
  <cellXfs count="562">
    <xf numFmtId="0" fontId="0" fillId="0" borderId="0" pivotButton="0" quotePrefix="0" xfId="0"/>
    <xf numFmtId="0" fontId="3" fillId="0" borderId="0" pivotButton="0" quotePrefix="0" xfId="0"/>
    <xf numFmtId="0" fontId="4" fillId="0" borderId="0" pivotButton="0" quotePrefix="0" xfId="0"/>
    <xf numFmtId="43" fontId="3" fillId="0" borderId="0" pivotButton="0" quotePrefix="0" xfId="1"/>
    <xf numFmtId="0" fontId="3" fillId="0" borderId="1" pivotButton="0" quotePrefix="0" xfId="0"/>
    <xf numFmtId="43" fontId="3" fillId="0" borderId="1" pivotButton="0" quotePrefix="0" xfId="1"/>
    <xf numFmtId="43" fontId="3" fillId="0" borderId="0" pivotButton="0" quotePrefix="0" xfId="1"/>
    <xf numFmtId="0" fontId="5" fillId="0" borderId="0" pivotButton="0" quotePrefix="0" xfId="0"/>
    <xf numFmtId="43" fontId="5" fillId="0" borderId="0" pivotButton="0" quotePrefix="0" xfId="1"/>
    <xf numFmtId="0" fontId="6" fillId="0" borderId="0" pivotButton="0" quotePrefix="0" xfId="0"/>
    <xf numFmtId="0" fontId="3" fillId="0" borderId="2" pivotButton="0" quotePrefix="0" xfId="0"/>
    <xf numFmtId="43" fontId="3" fillId="0" borderId="3" pivotButton="0" quotePrefix="0" xfId="1"/>
    <xf numFmtId="43" fontId="3" fillId="0" borderId="0" pivotButton="0" quotePrefix="0" xfId="1"/>
    <xf numFmtId="0" fontId="3" fillId="0" borderId="4" pivotButton="0" quotePrefix="0" xfId="0"/>
    <xf numFmtId="10" fontId="3" fillId="0" borderId="5" pivotButton="0" quotePrefix="0" xfId="3"/>
    <xf numFmtId="10" fontId="3" fillId="0" borderId="0" pivotButton="0" quotePrefix="0" xfId="3"/>
    <xf numFmtId="0" fontId="3" fillId="0" borderId="5" pivotButton="0" quotePrefix="0" xfId="0"/>
    <xf numFmtId="164" fontId="3" fillId="0" borderId="5" pivotButton="0" quotePrefix="0" xfId="1"/>
    <xf numFmtId="1" fontId="3" fillId="0" borderId="5" pivotButton="0" quotePrefix="0" xfId="0"/>
    <xf numFmtId="0" fontId="3" fillId="0" borderId="6" pivotButton="0" quotePrefix="0" xfId="0"/>
    <xf numFmtId="43" fontId="3" fillId="0" borderId="7" pivotButton="0" quotePrefix="0" xfId="1"/>
    <xf numFmtId="0" fontId="4" fillId="2" borderId="0" applyAlignment="1" pivotButton="0" quotePrefix="0" xfId="0">
      <alignment horizontal="left"/>
    </xf>
    <xf numFmtId="0" fontId="4" fillId="2" borderId="0" pivotButton="0" quotePrefix="0" xfId="0"/>
    <xf numFmtId="0" fontId="4" fillId="2" borderId="0" applyAlignment="1" pivotButton="0" quotePrefix="0" xfId="0">
      <alignment horizontal="center"/>
    </xf>
    <xf numFmtId="15" fontId="3" fillId="0" borderId="0" applyAlignment="1" pivotButton="0" quotePrefix="0" xfId="0">
      <alignment horizontal="left"/>
    </xf>
    <xf numFmtId="0" fontId="3" fillId="0" borderId="0" applyAlignment="1" pivotButton="0" quotePrefix="0" xfId="0">
      <alignment horizontal="center"/>
    </xf>
    <xf numFmtId="165" fontId="3" fillId="0" borderId="0" pivotButton="0" quotePrefix="0" xfId="0"/>
    <xf numFmtId="43" fontId="3" fillId="0" borderId="0" pivotButton="0" quotePrefix="0" xfId="0"/>
    <xf numFmtId="165" fontId="3" fillId="3" borderId="0" pivotButton="0" quotePrefix="0" xfId="0"/>
    <xf numFmtId="165" fontId="3" fillId="4" borderId="0" pivotButton="0" quotePrefix="0" xfId="0"/>
    <xf numFmtId="0" fontId="4" fillId="0" borderId="8" pivotButton="0" quotePrefix="0" xfId="0"/>
    <xf numFmtId="43" fontId="4" fillId="0" borderId="0" applyAlignment="1" pivotButton="0" quotePrefix="0" xfId="1">
      <alignment horizontal="center"/>
    </xf>
    <xf numFmtId="43" fontId="4" fillId="0" borderId="0" pivotButton="0" quotePrefix="0" xfId="1"/>
    <xf numFmtId="165" fontId="7" fillId="0" borderId="0" pivotButton="0" quotePrefix="0" xfId="0"/>
    <xf numFmtId="165" fontId="5" fillId="0" borderId="0" pivotButton="0" quotePrefix="0" xfId="0"/>
    <xf numFmtId="0" fontId="3" fillId="0" borderId="0" applyAlignment="1" pivotButton="0" quotePrefix="0" xfId="0">
      <alignment horizontal="left"/>
    </xf>
    <xf numFmtId="1" fontId="3" fillId="0" borderId="0" applyAlignment="1" pivotButton="0" quotePrefix="0" xfId="0">
      <alignment horizontal="left"/>
    </xf>
    <xf numFmtId="43" fontId="3" fillId="0" borderId="0" applyAlignment="1" pivotButton="0" quotePrefix="0" xfId="1">
      <alignment horizontal="left"/>
    </xf>
    <xf numFmtId="43" fontId="4" fillId="3" borderId="0" applyAlignment="1" pivotButton="0" quotePrefix="0" xfId="1">
      <alignment horizontal="left"/>
    </xf>
    <xf numFmtId="43" fontId="4" fillId="6" borderId="8" applyAlignment="1" pivotButton="0" quotePrefix="0" xfId="1">
      <alignment horizontal="left"/>
    </xf>
    <xf numFmtId="43" fontId="3" fillId="3" borderId="0" applyAlignment="1" pivotButton="0" quotePrefix="0" xfId="1">
      <alignment horizontal="left"/>
    </xf>
    <xf numFmtId="0" fontId="3" fillId="0" borderId="8" applyAlignment="1" pivotButton="0" quotePrefix="0" xfId="0">
      <alignment horizontal="left"/>
    </xf>
    <xf numFmtId="165" fontId="3" fillId="0" borderId="0" applyAlignment="1" pivotButton="0" quotePrefix="0" xfId="0">
      <alignment horizontal="left"/>
    </xf>
    <xf numFmtId="0" fontId="4" fillId="6" borderId="8" pivotButton="0" quotePrefix="0" xfId="0"/>
    <xf numFmtId="0" fontId="8" fillId="0" borderId="0" pivotButton="0" quotePrefix="0" xfId="0"/>
    <xf numFmtId="43" fontId="9" fillId="6" borderId="21" applyAlignment="1" pivotButton="0" quotePrefix="0" xfId="1">
      <alignment horizontal="center"/>
    </xf>
    <xf numFmtId="43" fontId="10" fillId="0" borderId="10" applyAlignment="1" pivotButton="0" quotePrefix="0" xfId="1">
      <alignment horizontal="left"/>
    </xf>
    <xf numFmtId="43" fontId="10" fillId="8" borderId="8" applyAlignment="1" pivotButton="0" quotePrefix="0" xfId="1">
      <alignment horizontal="left"/>
    </xf>
    <xf numFmtId="43" fontId="10" fillId="0" borderId="8" applyAlignment="1" pivotButton="0" quotePrefix="0" xfId="1">
      <alignment horizontal="left"/>
    </xf>
    <xf numFmtId="0" fontId="10" fillId="0" borderId="18" applyAlignment="1" pivotButton="0" quotePrefix="0" xfId="1">
      <alignment horizontal="center"/>
    </xf>
    <xf numFmtId="0" fontId="11" fillId="0" borderId="8" applyAlignment="1" pivotButton="0" quotePrefix="0" xfId="0">
      <alignment horizontal="left"/>
    </xf>
    <xf numFmtId="43" fontId="10" fillId="0" borderId="8" applyAlignment="1" pivotButton="0" quotePrefix="0" xfId="1">
      <alignment horizontal="left"/>
    </xf>
    <xf numFmtId="43" fontId="10" fillId="0" borderId="9" applyAlignment="1" pivotButton="0" quotePrefix="0" xfId="1">
      <alignment horizontal="left"/>
    </xf>
    <xf numFmtId="1" fontId="10" fillId="0" borderId="24" applyAlignment="1" pivotButton="0" quotePrefix="0" xfId="0">
      <alignment horizontal="left"/>
    </xf>
    <xf numFmtId="0" fontId="10" fillId="0" borderId="25" applyAlignment="1" pivotButton="0" quotePrefix="0" xfId="0">
      <alignment horizontal="left"/>
    </xf>
    <xf numFmtId="43" fontId="9" fillId="7" borderId="15" applyAlignment="1" pivotButton="0" quotePrefix="0" xfId="1">
      <alignment horizontal="center"/>
    </xf>
    <xf numFmtId="43" fontId="9" fillId="5" borderId="16" applyAlignment="1" pivotButton="0" quotePrefix="0" xfId="1">
      <alignment horizontal="center"/>
    </xf>
    <xf numFmtId="43" fontId="9" fillId="4" borderId="17" applyAlignment="1" pivotButton="0" quotePrefix="0" xfId="1">
      <alignment horizontal="center"/>
    </xf>
    <xf numFmtId="43" fontId="9" fillId="7" borderId="20" applyAlignment="1" pivotButton="0" quotePrefix="0" xfId="1">
      <alignment horizontal="center"/>
    </xf>
    <xf numFmtId="43" fontId="9" fillId="5" borderId="21" applyAlignment="1" pivotButton="0" quotePrefix="0" xfId="1">
      <alignment horizontal="center"/>
    </xf>
    <xf numFmtId="43" fontId="9" fillId="4" borderId="22" applyAlignment="1" pivotButton="0" quotePrefix="0" xfId="1">
      <alignment horizontal="center"/>
    </xf>
    <xf numFmtId="0" fontId="10" fillId="0" borderId="38" applyAlignment="1" pivotButton="0" quotePrefix="0" xfId="1">
      <alignment horizontal="center"/>
    </xf>
    <xf numFmtId="0" fontId="11" fillId="0" borderId="29" applyAlignment="1" pivotButton="0" quotePrefix="0" xfId="1">
      <alignment horizontal="left"/>
    </xf>
    <xf numFmtId="43" fontId="10" fillId="0" borderId="29" applyAlignment="1" pivotButton="0" quotePrefix="0" xfId="1">
      <alignment horizontal="left"/>
    </xf>
    <xf numFmtId="43" fontId="10" fillId="0" borderId="10" applyAlignment="1" pivotButton="0" quotePrefix="0" xfId="1">
      <alignment horizontal="left"/>
    </xf>
    <xf numFmtId="43" fontId="10" fillId="0" borderId="30" applyAlignment="1" pivotButton="0" quotePrefix="0" xfId="1">
      <alignment horizontal="left"/>
    </xf>
    <xf numFmtId="0" fontId="10" fillId="8" borderId="39" applyAlignment="1" pivotButton="0" quotePrefix="0" xfId="1">
      <alignment horizontal="center"/>
    </xf>
    <xf numFmtId="0" fontId="11" fillId="8" borderId="18" applyAlignment="1" pivotButton="0" quotePrefix="0" xfId="0">
      <alignment horizontal="left"/>
    </xf>
    <xf numFmtId="43" fontId="10" fillId="8" borderId="18" applyAlignment="1" pivotButton="0" quotePrefix="0" xfId="1">
      <alignment horizontal="left"/>
    </xf>
    <xf numFmtId="0" fontId="10" fillId="0" borderId="39" applyAlignment="1" pivotButton="0" quotePrefix="0" xfId="1">
      <alignment horizontal="center"/>
    </xf>
    <xf numFmtId="0" fontId="11" fillId="0" borderId="18" applyAlignment="1" pivotButton="0" quotePrefix="0" xfId="0">
      <alignment horizontal="left"/>
    </xf>
    <xf numFmtId="43" fontId="10" fillId="0" borderId="18" applyAlignment="1" pivotButton="0" quotePrefix="0" xfId="1">
      <alignment horizontal="left"/>
    </xf>
    <xf numFmtId="43" fontId="10" fillId="0" borderId="19" applyAlignment="1" pivotButton="0" quotePrefix="0" xfId="1">
      <alignment horizontal="left"/>
    </xf>
    <xf numFmtId="0" fontId="10" fillId="0" borderId="39" applyAlignment="1" pivotButton="0" quotePrefix="0" xfId="1">
      <alignment horizontal="center"/>
    </xf>
    <xf numFmtId="0" fontId="10" fillId="0" borderId="40" applyAlignment="1" pivotButton="0" quotePrefix="0" xfId="1">
      <alignment horizontal="center"/>
    </xf>
    <xf numFmtId="0" fontId="11" fillId="0" borderId="23" applyAlignment="1" pivotButton="0" quotePrefix="0" xfId="0">
      <alignment horizontal="left"/>
    </xf>
    <xf numFmtId="43" fontId="10" fillId="0" borderId="23" applyAlignment="1" pivotButton="0" quotePrefix="0" xfId="1">
      <alignment horizontal="left"/>
    </xf>
    <xf numFmtId="43" fontId="10" fillId="0" borderId="9" applyAlignment="1" pivotButton="0" quotePrefix="0" xfId="1">
      <alignment horizontal="left"/>
    </xf>
    <xf numFmtId="0" fontId="10" fillId="0" borderId="24" applyAlignment="1" pivotButton="0" quotePrefix="0" xfId="0">
      <alignment horizontal="left"/>
    </xf>
    <xf numFmtId="43" fontId="9" fillId="0" borderId="26" applyAlignment="1" pivotButton="0" quotePrefix="0" xfId="0">
      <alignment horizontal="left"/>
    </xf>
    <xf numFmtId="0" fontId="10" fillId="0" borderId="0" pivotButton="0" quotePrefix="0" xfId="0"/>
    <xf numFmtId="43" fontId="10" fillId="8" borderId="11" applyAlignment="1" pivotButton="0" quotePrefix="0" xfId="1">
      <alignment horizontal="left"/>
    </xf>
    <xf numFmtId="43" fontId="10" fillId="0" borderId="11" applyAlignment="1" pivotButton="0" quotePrefix="0" xfId="1">
      <alignment horizontal="left"/>
    </xf>
    <xf numFmtId="43" fontId="9" fillId="6" borderId="31" applyAlignment="1" pivotButton="0" quotePrefix="0" xfId="1">
      <alignment horizontal="left"/>
    </xf>
    <xf numFmtId="43" fontId="9" fillId="7" borderId="42" applyAlignment="1" pivotButton="0" quotePrefix="0" xfId="1">
      <alignment horizontal="center"/>
    </xf>
    <xf numFmtId="43" fontId="9" fillId="5" borderId="31" applyAlignment="1" pivotButton="0" quotePrefix="0" xfId="1">
      <alignment horizontal="center"/>
    </xf>
    <xf numFmtId="43" fontId="10" fillId="0" borderId="6" applyAlignment="1" pivotButton="0" quotePrefix="0" xfId="1">
      <alignment horizontal="left"/>
    </xf>
    <xf numFmtId="43" fontId="10" fillId="0" borderId="2" applyAlignment="1" pivotButton="0" quotePrefix="0" xfId="1">
      <alignment horizontal="left"/>
    </xf>
    <xf numFmtId="43" fontId="9" fillId="0" borderId="24" applyAlignment="1" pivotButton="0" quotePrefix="0" xfId="0">
      <alignment horizontal="left"/>
    </xf>
    <xf numFmtId="43" fontId="9" fillId="4" borderId="28" applyAlignment="1" pivotButton="0" quotePrefix="0" xfId="1">
      <alignment horizontal="center"/>
    </xf>
    <xf numFmtId="43" fontId="9" fillId="4" borderId="32" applyAlignment="1" pivotButton="0" quotePrefix="0" xfId="1">
      <alignment horizontal="center"/>
    </xf>
    <xf numFmtId="43" fontId="9" fillId="4" borderId="48" applyAlignment="1" pivotButton="0" quotePrefix="0" xfId="1">
      <alignment horizontal="center"/>
    </xf>
    <xf numFmtId="0" fontId="9" fillId="9" borderId="43" applyAlignment="1" pivotButton="0" quotePrefix="0" xfId="0">
      <alignment horizontal="center"/>
    </xf>
    <xf numFmtId="0" fontId="9" fillId="9" borderId="44" applyAlignment="1" pivotButton="0" quotePrefix="0" xfId="0">
      <alignment horizontal="center"/>
    </xf>
    <xf numFmtId="0" fontId="9" fillId="9" borderId="46" applyAlignment="1" pivotButton="0" quotePrefix="0" xfId="0">
      <alignment horizontal="center"/>
    </xf>
    <xf numFmtId="43" fontId="9" fillId="9" borderId="43" pivotButton="0" quotePrefix="0" xfId="0"/>
    <xf numFmtId="43" fontId="9" fillId="9" borderId="49" pivotButton="0" quotePrefix="0" xfId="0"/>
    <xf numFmtId="43" fontId="9" fillId="9" borderId="44" pivotButton="0" quotePrefix="0" xfId="0"/>
    <xf numFmtId="43" fontId="9" fillId="9" borderId="14" applyAlignment="1" pivotButton="0" quotePrefix="0" xfId="0">
      <alignment horizontal="left"/>
    </xf>
    <xf numFmtId="0" fontId="12" fillId="0" borderId="50" applyAlignment="1" pivotButton="0" quotePrefix="0" xfId="0">
      <alignment vertical="center" wrapText="1"/>
    </xf>
    <xf numFmtId="3" fontId="12" fillId="0" borderId="51" applyAlignment="1" pivotButton="0" quotePrefix="0" xfId="0">
      <alignment horizontal="right" vertical="center" wrapText="1"/>
    </xf>
    <xf numFmtId="0" fontId="12" fillId="0" borderId="51" applyAlignment="1" pivotButton="0" quotePrefix="0" xfId="0">
      <alignment horizontal="right" vertical="center" wrapText="1"/>
    </xf>
    <xf numFmtId="0" fontId="13" fillId="0" borderId="50" applyAlignment="1" pivotButton="0" quotePrefix="0" xfId="0">
      <alignment vertical="center" wrapText="1"/>
    </xf>
    <xf numFmtId="3" fontId="13" fillId="0" borderId="51" applyAlignment="1" pivotButton="0" quotePrefix="0" xfId="0">
      <alignment horizontal="right" vertical="center" wrapText="1"/>
    </xf>
    <xf numFmtId="0" fontId="12" fillId="0" borderId="52" applyAlignment="1" pivotButton="0" quotePrefix="0" xfId="0">
      <alignment vertical="center" wrapText="1"/>
    </xf>
    <xf numFmtId="0" fontId="13" fillId="0" borderId="53" applyAlignment="1" pivotButton="0" quotePrefix="0" xfId="0">
      <alignment horizontal="right" vertical="center" wrapText="1"/>
    </xf>
    <xf numFmtId="0" fontId="13" fillId="0" borderId="54" applyAlignment="1" pivotButton="0" quotePrefix="0" xfId="0">
      <alignment vertical="center" wrapText="1"/>
    </xf>
    <xf numFmtId="43" fontId="9" fillId="9" borderId="46" applyAlignment="1" pivotButton="0" quotePrefix="0" xfId="0">
      <alignment horizontal="left"/>
    </xf>
    <xf numFmtId="43" fontId="9" fillId="0" borderId="42" applyAlignment="1" pivotButton="0" quotePrefix="0" xfId="0">
      <alignment horizontal="left"/>
    </xf>
    <xf numFmtId="43" fontId="10" fillId="0" borderId="21" applyAlignment="1" pivotButton="0" quotePrefix="0" xfId="1">
      <alignment horizontal="left"/>
    </xf>
    <xf numFmtId="43" fontId="10" fillId="0" borderId="22" applyAlignment="1" pivotButton="0" quotePrefix="0" xfId="1">
      <alignment horizontal="left"/>
    </xf>
    <xf numFmtId="43" fontId="9" fillId="0" borderId="46" applyAlignment="1" pivotButton="0" quotePrefix="0" xfId="0">
      <alignment horizontal="left"/>
    </xf>
    <xf numFmtId="1" fontId="10" fillId="0" borderId="56" applyAlignment="1" pivotButton="0" quotePrefix="0" xfId="0">
      <alignment horizontal="left"/>
    </xf>
    <xf numFmtId="0" fontId="10" fillId="0" borderId="56" applyAlignment="1" pivotButton="0" quotePrefix="0" xfId="0">
      <alignment horizontal="left"/>
    </xf>
    <xf numFmtId="0" fontId="10" fillId="0" borderId="57" applyAlignment="1" pivotButton="0" quotePrefix="0" xfId="0">
      <alignment horizontal="left"/>
    </xf>
    <xf numFmtId="43" fontId="9" fillId="0" borderId="31" applyAlignment="1" pivotButton="0" quotePrefix="0" xfId="0">
      <alignment horizontal="left"/>
    </xf>
    <xf numFmtId="0" fontId="10" fillId="0" borderId="8" applyAlignment="1" pivotButton="0" quotePrefix="0" xfId="1">
      <alignment horizontal="center"/>
    </xf>
    <xf numFmtId="43" fontId="9" fillId="7" borderId="16" applyAlignment="1" pivotButton="0" quotePrefix="0" xfId="1">
      <alignment horizontal="center"/>
    </xf>
    <xf numFmtId="43" fontId="9" fillId="7" borderId="21" applyAlignment="1" pivotButton="0" quotePrefix="0" xfId="1">
      <alignment horizontal="center"/>
    </xf>
    <xf numFmtId="43" fontId="9" fillId="6" borderId="28" applyAlignment="1" pivotButton="0" quotePrefix="0" xfId="1">
      <alignment horizontal="center" wrapText="1"/>
    </xf>
    <xf numFmtId="43" fontId="9" fillId="6" borderId="32" applyAlignment="1" pivotButton="0" quotePrefix="0" xfId="1">
      <alignment horizontal="center"/>
    </xf>
    <xf numFmtId="43" fontId="9" fillId="0" borderId="48" applyAlignment="1" pivotButton="0" quotePrefix="0" xfId="0">
      <alignment horizontal="left"/>
    </xf>
    <xf numFmtId="0" fontId="9" fillId="9" borderId="15" applyAlignment="1" pivotButton="0" quotePrefix="0" xfId="0">
      <alignment horizontal="center"/>
    </xf>
    <xf numFmtId="0" fontId="9" fillId="9" borderId="20" applyAlignment="1" pivotButton="0" quotePrefix="0" xfId="0">
      <alignment horizontal="center"/>
    </xf>
    <xf numFmtId="43" fontId="9" fillId="6" borderId="34" applyAlignment="1" pivotButton="0" quotePrefix="0" xfId="1">
      <alignment horizontal="left"/>
    </xf>
    <xf numFmtId="43" fontId="9" fillId="6" borderId="0" applyAlignment="1" pivotButton="0" quotePrefix="0" xfId="1">
      <alignment horizontal="left"/>
    </xf>
    <xf numFmtId="43" fontId="9" fillId="6" borderId="57" applyAlignment="1" pivotButton="0" quotePrefix="0" xfId="1">
      <alignment horizontal="left"/>
    </xf>
    <xf numFmtId="43" fontId="10" fillId="0" borderId="7" applyAlignment="1" pivotButton="0" quotePrefix="0" xfId="1">
      <alignment horizontal="left"/>
    </xf>
    <xf numFmtId="43" fontId="10" fillId="8" borderId="13" applyAlignment="1" pivotButton="0" quotePrefix="0" xfId="1">
      <alignment horizontal="left"/>
    </xf>
    <xf numFmtId="43" fontId="10" fillId="0" borderId="13" applyAlignment="1" pivotButton="0" quotePrefix="0" xfId="1">
      <alignment horizontal="left"/>
    </xf>
    <xf numFmtId="43" fontId="10" fillId="0" borderId="13" applyAlignment="1" pivotButton="0" quotePrefix="0" xfId="1">
      <alignment horizontal="left"/>
    </xf>
    <xf numFmtId="43" fontId="10" fillId="0" borderId="3" applyAlignment="1" pivotButton="0" quotePrefix="0" xfId="1">
      <alignment horizontal="left"/>
    </xf>
    <xf numFmtId="0" fontId="10" fillId="0" borderId="29" applyAlignment="1" pivotButton="0" quotePrefix="0" xfId="1">
      <alignment horizontal="center"/>
    </xf>
    <xf numFmtId="0" fontId="11" fillId="0" borderId="10" applyAlignment="1" pivotButton="0" quotePrefix="0" xfId="1">
      <alignment horizontal="left"/>
    </xf>
    <xf numFmtId="43" fontId="9" fillId="0" borderId="29" pivotButton="0" quotePrefix="0" xfId="0"/>
    <xf numFmtId="43" fontId="9" fillId="0" borderId="18" pivotButton="0" quotePrefix="0" xfId="0"/>
    <xf numFmtId="0" fontId="10" fillId="0" borderId="20" applyAlignment="1" pivotButton="0" quotePrefix="0" xfId="1">
      <alignment horizontal="center"/>
    </xf>
    <xf numFmtId="0" fontId="11" fillId="0" borderId="21" applyAlignment="1" pivotButton="0" quotePrefix="0" xfId="0">
      <alignment horizontal="left"/>
    </xf>
    <xf numFmtId="43" fontId="10" fillId="0" borderId="32" applyAlignment="1" pivotButton="0" quotePrefix="0" xfId="1">
      <alignment horizontal="left"/>
    </xf>
    <xf numFmtId="43" fontId="9" fillId="0" borderId="20" pivotButton="0" quotePrefix="0" xfId="0"/>
    <xf numFmtId="0" fontId="10" fillId="0" borderId="10" applyAlignment="1" pivotButton="0" quotePrefix="0" xfId="1">
      <alignment horizontal="center"/>
    </xf>
    <xf numFmtId="0" fontId="10" fillId="0" borderId="21" applyAlignment="1" pivotButton="0" quotePrefix="0" xfId="1">
      <alignment horizontal="center"/>
    </xf>
    <xf numFmtId="43" fontId="9" fillId="6" borderId="58" applyAlignment="1" pivotButton="0" quotePrefix="0" xfId="1">
      <alignment horizontal="center" wrapText="1"/>
    </xf>
    <xf numFmtId="43" fontId="0" fillId="0" borderId="0" pivotButton="0" quotePrefix="0" xfId="1"/>
    <xf numFmtId="9" fontId="0" fillId="0" borderId="0" pivotButton="0" quotePrefix="0" xfId="3"/>
    <xf numFmtId="0" fontId="0" fillId="0" borderId="0" applyAlignment="1" pivotButton="0" quotePrefix="0" xfId="0">
      <alignment horizontal="center"/>
    </xf>
    <xf numFmtId="43" fontId="0" fillId="0" borderId="0" applyAlignment="1" pivotButton="0" quotePrefix="0" xfId="1">
      <alignment horizontal="center"/>
    </xf>
    <xf numFmtId="43" fontId="3" fillId="0" borderId="0" applyAlignment="1" pivotButton="0" quotePrefix="0" xfId="0">
      <alignment horizontal="left"/>
    </xf>
    <xf numFmtId="43" fontId="5" fillId="0" borderId="0" pivotButton="0" quotePrefix="0" xfId="0"/>
    <xf numFmtId="43" fontId="3" fillId="3" borderId="0" pivotButton="0" quotePrefix="0" xfId="1"/>
    <xf numFmtId="165" fontId="4" fillId="0" borderId="0" applyAlignment="1" pivotButton="0" quotePrefix="0" xfId="0">
      <alignment horizontal="right"/>
    </xf>
    <xf numFmtId="43" fontId="14" fillId="0" borderId="0" pivotButton="0" quotePrefix="0" xfId="1"/>
    <xf numFmtId="166" fontId="3" fillId="0" borderId="0" pivotButton="0" quotePrefix="0" xfId="0"/>
    <xf numFmtId="1" fontId="15" fillId="0" borderId="0" applyAlignment="1" pivotButton="0" quotePrefix="0" xfId="0">
      <alignment horizontal="left"/>
    </xf>
    <xf numFmtId="0" fontId="15" fillId="0" borderId="0" applyAlignment="1" pivotButton="0" quotePrefix="0" xfId="0">
      <alignment horizontal="left"/>
    </xf>
    <xf numFmtId="43" fontId="15" fillId="0" borderId="0" applyAlignment="1" pivotButton="0" quotePrefix="0" xfId="1">
      <alignment horizontal="left"/>
    </xf>
    <xf numFmtId="0" fontId="16" fillId="6" borderId="13" pivotButton="0" quotePrefix="0" xfId="0"/>
    <xf numFmtId="0" fontId="16" fillId="6" borderId="16" applyAlignment="1" pivotButton="0" quotePrefix="0" xfId="1">
      <alignment horizontal="center"/>
    </xf>
    <xf numFmtId="0" fontId="16" fillId="6" borderId="16" applyAlignment="1" pivotButton="0" quotePrefix="0" xfId="1">
      <alignment horizontal="center" wrapText="1"/>
    </xf>
    <xf numFmtId="43" fontId="16" fillId="6" borderId="16" applyAlignment="1" pivotButton="0" quotePrefix="0" xfId="1">
      <alignment horizontal="center"/>
    </xf>
    <xf numFmtId="43" fontId="16" fillId="6" borderId="16" applyAlignment="1" pivotButton="0" quotePrefix="0" xfId="1">
      <alignment horizontal="center" wrapText="1"/>
    </xf>
    <xf numFmtId="43" fontId="16" fillId="6" borderId="15" applyAlignment="1" pivotButton="0" quotePrefix="0" xfId="1">
      <alignment horizontal="center"/>
    </xf>
    <xf numFmtId="43" fontId="16" fillId="6" borderId="28" applyAlignment="1" pivotButton="0" quotePrefix="0" xfId="1">
      <alignment horizontal="left"/>
    </xf>
    <xf numFmtId="43" fontId="16" fillId="7" borderId="15" applyAlignment="1" pivotButton="0" quotePrefix="0" xfId="1">
      <alignment horizontal="center"/>
    </xf>
    <xf numFmtId="43" fontId="16" fillId="5" borderId="16" applyAlignment="1" pivotButton="0" quotePrefix="0" xfId="1">
      <alignment horizontal="center"/>
    </xf>
    <xf numFmtId="43" fontId="16" fillId="4" borderId="17" applyAlignment="1" pivotButton="0" quotePrefix="0" xfId="1">
      <alignment horizontal="center"/>
    </xf>
    <xf numFmtId="0" fontId="16" fillId="6" borderId="21" applyAlignment="1" pivotButton="0" quotePrefix="0" xfId="1">
      <alignment horizontal="center"/>
    </xf>
    <xf numFmtId="43" fontId="16" fillId="6" borderId="21" applyAlignment="1" pivotButton="0" quotePrefix="0" xfId="1">
      <alignment horizontal="center"/>
    </xf>
    <xf numFmtId="43" fontId="16" fillId="6" borderId="21" applyAlignment="1" pivotButton="0" quotePrefix="0" xfId="1">
      <alignment horizontal="center" wrapText="1"/>
    </xf>
    <xf numFmtId="43" fontId="16" fillId="6" borderId="20" applyAlignment="1" pivotButton="0" quotePrefix="0" xfId="1">
      <alignment horizontal="center"/>
    </xf>
    <xf numFmtId="43" fontId="16" fillId="6" borderId="32" applyAlignment="1" pivotButton="0" quotePrefix="0" xfId="1">
      <alignment horizontal="left"/>
    </xf>
    <xf numFmtId="43" fontId="16" fillId="7" borderId="20" applyAlignment="1" pivotButton="0" quotePrefix="0" xfId="1">
      <alignment horizontal="center"/>
    </xf>
    <xf numFmtId="43" fontId="16" fillId="5" borderId="21" applyAlignment="1" pivotButton="0" quotePrefix="0" xfId="1">
      <alignment horizontal="center"/>
    </xf>
    <xf numFmtId="43" fontId="16" fillId="4" borderId="22" applyAlignment="1" pivotButton="0" quotePrefix="0" xfId="1">
      <alignment horizontal="center"/>
    </xf>
    <xf numFmtId="43" fontId="16" fillId="0" borderId="10" applyAlignment="1" pivotButton="0" quotePrefix="0" xfId="1">
      <alignment horizontal="left"/>
    </xf>
    <xf numFmtId="0" fontId="17" fillId="0" borderId="8" applyAlignment="1" pivotButton="0" quotePrefix="0" xfId="0">
      <alignment horizontal="left"/>
    </xf>
    <xf numFmtId="43" fontId="15" fillId="0" borderId="8" applyAlignment="1" pivotButton="0" quotePrefix="0" xfId="1">
      <alignment horizontal="left"/>
    </xf>
    <xf numFmtId="15" fontId="15" fillId="0" borderId="8" applyAlignment="1" pivotButton="0" quotePrefix="0" xfId="1">
      <alignment horizontal="left"/>
    </xf>
    <xf numFmtId="1" fontId="15" fillId="0" borderId="8" applyAlignment="1" pivotButton="0" quotePrefix="0" xfId="1">
      <alignment horizontal="center"/>
    </xf>
    <xf numFmtId="2" fontId="15" fillId="0" borderId="8" applyAlignment="1" pivotButton="0" quotePrefix="0" xfId="0">
      <alignment horizontal="center"/>
    </xf>
    <xf numFmtId="43" fontId="17" fillId="0" borderId="8" applyAlignment="1" pivotButton="0" quotePrefix="0" xfId="1">
      <alignment horizontal="left"/>
    </xf>
    <xf numFmtId="43" fontId="16" fillId="0" borderId="8" applyAlignment="1" pivotButton="0" quotePrefix="0" xfId="1">
      <alignment horizontal="left"/>
    </xf>
    <xf numFmtId="43" fontId="15" fillId="0" borderId="18" applyAlignment="1" pivotButton="0" quotePrefix="0" xfId="1">
      <alignment horizontal="left"/>
    </xf>
    <xf numFmtId="43" fontId="15" fillId="0" borderId="8" applyAlignment="1" pivotButton="0" quotePrefix="0" xfId="1">
      <alignment horizontal="right"/>
    </xf>
    <xf numFmtId="0" fontId="15" fillId="0" borderId="11" applyAlignment="1" pivotButton="0" quotePrefix="0" xfId="0">
      <alignment horizontal="left"/>
    </xf>
    <xf numFmtId="43" fontId="15" fillId="0" borderId="18" applyAlignment="1" pivotButton="0" quotePrefix="0" xfId="1">
      <alignment horizontal="left"/>
    </xf>
    <xf numFmtId="43" fontId="15" fillId="0" borderId="8" applyAlignment="1" pivotButton="0" quotePrefix="0" xfId="1">
      <alignment horizontal="left"/>
    </xf>
    <xf numFmtId="15" fontId="15" fillId="0" borderId="8" applyAlignment="1" pivotButton="0" quotePrefix="0" xfId="1">
      <alignment horizontal="left"/>
    </xf>
    <xf numFmtId="1" fontId="15" fillId="0" borderId="8" applyAlignment="1" pivotButton="0" quotePrefix="0" xfId="1">
      <alignment horizontal="center"/>
    </xf>
    <xf numFmtId="0" fontId="15" fillId="0" borderId="8" applyAlignment="1" pivotButton="0" quotePrefix="0" xfId="1">
      <alignment horizontal="left"/>
    </xf>
    <xf numFmtId="43" fontId="17" fillId="0" borderId="8" applyAlignment="1" pivotButton="0" quotePrefix="0" xfId="1">
      <alignment horizontal="left"/>
    </xf>
    <xf numFmtId="43" fontId="16" fillId="0" borderId="8" applyAlignment="1" pivotButton="0" quotePrefix="0" xfId="1">
      <alignment horizontal="left"/>
    </xf>
    <xf numFmtId="0" fontId="15" fillId="0" borderId="8" applyAlignment="1" pivotButton="0" quotePrefix="0" xfId="1">
      <alignment horizontal="left"/>
    </xf>
    <xf numFmtId="0" fontId="15" fillId="0" borderId="8" applyAlignment="1" pivotButton="0" quotePrefix="0" xfId="1">
      <alignment horizontal="center"/>
    </xf>
    <xf numFmtId="43" fontId="15" fillId="0" borderId="8" applyAlignment="1" pivotButton="0" quotePrefix="0" xfId="1">
      <alignment horizontal="center"/>
    </xf>
    <xf numFmtId="0" fontId="15" fillId="0" borderId="8" applyAlignment="1" pivotButton="0" quotePrefix="0" xfId="0">
      <alignment horizontal="left"/>
    </xf>
    <xf numFmtId="0" fontId="16" fillId="0" borderId="11" applyAlignment="1" pivotButton="0" quotePrefix="0" xfId="0">
      <alignment horizontal="left"/>
    </xf>
    <xf numFmtId="0" fontId="16" fillId="0" borderId="12" applyAlignment="1" pivotButton="0" quotePrefix="0" xfId="0">
      <alignment horizontal="left"/>
    </xf>
    <xf numFmtId="0" fontId="16" fillId="0" borderId="13" applyAlignment="1" pivotButton="0" quotePrefix="0" xfId="0">
      <alignment horizontal="left"/>
    </xf>
    <xf numFmtId="165" fontId="16" fillId="0" borderId="8" applyAlignment="1" pivotButton="0" quotePrefix="0" xfId="0">
      <alignment horizontal="left"/>
    </xf>
    <xf numFmtId="9" fontId="16" fillId="0" borderId="8" applyAlignment="1" pivotButton="0" quotePrefix="0" xfId="3">
      <alignment horizontal="center"/>
    </xf>
    <xf numFmtId="0" fontId="16" fillId="0" borderId="0" pivotButton="0" quotePrefix="0" xfId="0"/>
    <xf numFmtId="165" fontId="15" fillId="0" borderId="0" applyAlignment="1" pivotButton="0" quotePrefix="0" xfId="0">
      <alignment horizontal="left"/>
    </xf>
    <xf numFmtId="0" fontId="16" fillId="0" borderId="0" applyAlignment="1" pivotButton="0" quotePrefix="0" xfId="0">
      <alignment horizontal="left"/>
    </xf>
    <xf numFmtId="9" fontId="16" fillId="0" borderId="0" applyAlignment="1" pivotButton="0" quotePrefix="0" xfId="3">
      <alignment horizontal="center"/>
    </xf>
    <xf numFmtId="0" fontId="16" fillId="0" borderId="0" pivotButton="0" quotePrefix="0" xfId="1"/>
    <xf numFmtId="9" fontId="15" fillId="0" borderId="0" applyAlignment="1" pivotButton="0" quotePrefix="0" xfId="3">
      <alignment horizontal="left"/>
    </xf>
    <xf numFmtId="0" fontId="16" fillId="6" borderId="24" applyAlignment="1" pivotButton="0" quotePrefix="0" xfId="0">
      <alignment horizontal="center"/>
    </xf>
    <xf numFmtId="0" fontId="16" fillId="6" borderId="25" applyAlignment="1" pivotButton="0" quotePrefix="0" xfId="0">
      <alignment horizontal="center"/>
    </xf>
    <xf numFmtId="0" fontId="16" fillId="6" borderId="59" applyAlignment="1" pivotButton="0" quotePrefix="0" xfId="0">
      <alignment horizontal="center"/>
    </xf>
    <xf numFmtId="43" fontId="16" fillId="6" borderId="41" applyAlignment="1" pivotButton="0" quotePrefix="0" xfId="1">
      <alignment horizontal="center"/>
    </xf>
    <xf numFmtId="0" fontId="16" fillId="6" borderId="27" applyAlignment="1" pivotButton="0" quotePrefix="0" xfId="1">
      <alignment horizontal="left"/>
    </xf>
    <xf numFmtId="43" fontId="16" fillId="6" borderId="27" applyAlignment="1" pivotButton="0" quotePrefix="0" xfId="1">
      <alignment horizontal="left"/>
    </xf>
    <xf numFmtId="0" fontId="16" fillId="6" borderId="27" applyAlignment="1" pivotButton="0" quotePrefix="0" xfId="1">
      <alignment horizontal="left" wrapText="1"/>
    </xf>
    <xf numFmtId="43" fontId="16" fillId="6" borderId="42" applyAlignment="1" pivotButton="0" quotePrefix="0" xfId="1">
      <alignment horizontal="center"/>
    </xf>
    <xf numFmtId="0" fontId="16" fillId="6" borderId="31" applyAlignment="1" pivotButton="0" quotePrefix="0" xfId="1">
      <alignment horizontal="left"/>
    </xf>
    <xf numFmtId="43" fontId="16" fillId="6" borderId="31" applyAlignment="1" pivotButton="0" quotePrefix="0" xfId="1">
      <alignment horizontal="left"/>
    </xf>
    <xf numFmtId="0" fontId="16" fillId="6" borderId="31" applyAlignment="1" pivotButton="0" quotePrefix="0" xfId="1">
      <alignment horizontal="left" wrapText="1"/>
    </xf>
    <xf numFmtId="165" fontId="3" fillId="5" borderId="0" pivotButton="0" quotePrefix="0" xfId="0"/>
    <xf numFmtId="43" fontId="3" fillId="0" borderId="0" applyAlignment="1" pivotButton="0" quotePrefix="0" xfId="1">
      <alignment horizontal="left"/>
    </xf>
    <xf numFmtId="165" fontId="3" fillId="10" borderId="0" pivotButton="0" quotePrefix="0" xfId="0"/>
    <xf numFmtId="0" fontId="4" fillId="0" borderId="0" applyAlignment="1" pivotButton="0" quotePrefix="0" xfId="0">
      <alignment horizontal="left" wrapText="1"/>
    </xf>
    <xf numFmtId="43" fontId="3" fillId="0" borderId="0" applyAlignment="1" pivotButton="0" quotePrefix="0" xfId="1">
      <alignment horizontal="left"/>
    </xf>
    <xf numFmtId="43" fontId="15" fillId="11" borderId="8" applyAlignment="1" pivotButton="0" quotePrefix="0" xfId="1">
      <alignment horizontal="left"/>
    </xf>
    <xf numFmtId="0" fontId="17" fillId="11" borderId="8" applyAlignment="1" pivotButton="0" quotePrefix="0" xfId="0">
      <alignment horizontal="left"/>
    </xf>
    <xf numFmtId="15" fontId="15" fillId="11" borderId="8" applyAlignment="1" pivotButton="0" quotePrefix="0" xfId="1">
      <alignment horizontal="left"/>
    </xf>
    <xf numFmtId="1" fontId="15" fillId="11" borderId="8" applyAlignment="1" pivotButton="0" quotePrefix="0" xfId="1">
      <alignment horizontal="center"/>
    </xf>
    <xf numFmtId="0" fontId="15" fillId="11" borderId="8" applyAlignment="1" pivotButton="0" quotePrefix="0" xfId="1">
      <alignment horizontal="left"/>
    </xf>
    <xf numFmtId="2" fontId="15" fillId="11" borderId="8" applyAlignment="1" pivotButton="0" quotePrefix="0" xfId="0">
      <alignment horizontal="center"/>
    </xf>
    <xf numFmtId="43" fontId="17" fillId="11" borderId="8" applyAlignment="1" pivotButton="0" quotePrefix="0" xfId="1">
      <alignment horizontal="left"/>
    </xf>
    <xf numFmtId="43" fontId="16" fillId="11" borderId="8" applyAlignment="1" pivotButton="0" quotePrefix="0" xfId="1">
      <alignment horizontal="left"/>
    </xf>
    <xf numFmtId="43" fontId="15" fillId="11" borderId="18" applyAlignment="1" pivotButton="0" quotePrefix="0" xfId="1">
      <alignment horizontal="left"/>
    </xf>
    <xf numFmtId="0" fontId="15" fillId="11" borderId="11" applyAlignment="1" pivotButton="0" quotePrefix="0" xfId="0">
      <alignment horizontal="left"/>
    </xf>
    <xf numFmtId="43" fontId="15" fillId="11" borderId="19" applyAlignment="1" pivotButton="0" quotePrefix="0" xfId="1">
      <alignment horizontal="left"/>
    </xf>
    <xf numFmtId="165" fontId="3" fillId="11" borderId="0" pivotButton="0" quotePrefix="0" xfId="0"/>
    <xf numFmtId="43" fontId="15" fillId="0" borderId="8" applyAlignment="1" pivotButton="0" quotePrefix="0" xfId="1">
      <alignment horizontal="right"/>
    </xf>
    <xf numFmtId="0" fontId="3" fillId="0" borderId="9" applyAlignment="1" pivotButton="0" quotePrefix="0" xfId="0">
      <alignment horizontal="left"/>
    </xf>
    <xf numFmtId="43" fontId="5" fillId="0" borderId="0" pivotButton="0" quotePrefix="0" xfId="1"/>
    <xf numFmtId="167" fontId="3" fillId="0" borderId="7" pivotButton="0" quotePrefix="0" xfId="1"/>
    <xf numFmtId="43" fontId="15" fillId="12" borderId="8" applyAlignment="1" pivotButton="0" quotePrefix="0" xfId="1">
      <alignment horizontal="left"/>
    </xf>
    <xf numFmtId="15" fontId="15" fillId="12" borderId="8" applyAlignment="1" pivotButton="0" quotePrefix="0" xfId="1">
      <alignment horizontal="left"/>
    </xf>
    <xf numFmtId="1" fontId="15" fillId="12" borderId="8" applyAlignment="1" pivotButton="0" quotePrefix="0" xfId="1">
      <alignment horizontal="center"/>
    </xf>
    <xf numFmtId="0" fontId="15" fillId="12" borderId="8" applyAlignment="1" pivotButton="0" quotePrefix="0" xfId="1">
      <alignment horizontal="left"/>
    </xf>
    <xf numFmtId="2" fontId="15" fillId="12" borderId="8" applyAlignment="1" pivotButton="0" quotePrefix="0" xfId="0">
      <alignment horizontal="center"/>
    </xf>
    <xf numFmtId="43" fontId="17" fillId="12" borderId="8" applyAlignment="1" pivotButton="0" quotePrefix="0" xfId="1">
      <alignment horizontal="left"/>
    </xf>
    <xf numFmtId="43" fontId="16" fillId="12" borderId="8" applyAlignment="1" pivotButton="0" quotePrefix="0" xfId="1">
      <alignment horizontal="left"/>
    </xf>
    <xf numFmtId="43" fontId="15" fillId="12" borderId="8" applyAlignment="1" pivotButton="0" quotePrefix="0" xfId="1">
      <alignment horizontal="right"/>
    </xf>
    <xf numFmtId="0" fontId="15" fillId="12" borderId="8" applyAlignment="1" pivotButton="0" quotePrefix="0" xfId="0">
      <alignment horizontal="left"/>
    </xf>
    <xf numFmtId="15" fontId="3" fillId="0" borderId="0" applyAlignment="1" pivotButton="0" quotePrefix="0" xfId="0">
      <alignment horizontal="right"/>
    </xf>
    <xf numFmtId="43" fontId="3" fillId="0" borderId="0" applyAlignment="1" pivotButton="0" quotePrefix="0" xfId="1">
      <alignment horizontal="right"/>
    </xf>
    <xf numFmtId="0" fontId="3" fillId="10" borderId="0" pivotButton="0" quotePrefix="0" xfId="0"/>
    <xf numFmtId="15" fontId="3" fillId="10" borderId="0" applyAlignment="1" pivotButton="0" quotePrefix="0" xfId="0">
      <alignment horizontal="left"/>
    </xf>
    <xf numFmtId="0" fontId="3" fillId="10" borderId="0" applyAlignment="1" pivotButton="0" quotePrefix="0" xfId="0">
      <alignment horizontal="center"/>
    </xf>
    <xf numFmtId="165" fontId="3" fillId="10" borderId="0" applyAlignment="1" pivotButton="0" quotePrefix="0" xfId="0">
      <alignment horizontal="right"/>
    </xf>
    <xf numFmtId="165" fontId="7" fillId="3" borderId="0" pivotButton="0" quotePrefix="0" xfId="0"/>
    <xf numFmtId="43" fontId="15" fillId="0" borderId="0" applyAlignment="1" pivotButton="0" quotePrefix="0" xfId="0">
      <alignment horizontal="left"/>
    </xf>
    <xf numFmtId="10" fontId="3" fillId="0" borderId="0" pivotButton="0" quotePrefix="0" xfId="3"/>
    <xf numFmtId="10" fontId="3" fillId="0" borderId="0" pivotButton="0" quotePrefix="0" xfId="3"/>
    <xf numFmtId="43" fontId="17" fillId="0" borderId="8" applyAlignment="1" pivotButton="0" quotePrefix="0" xfId="1">
      <alignment horizontal="right"/>
    </xf>
    <xf numFmtId="0" fontId="17" fillId="0" borderId="0" applyAlignment="1" pivotButton="0" quotePrefix="0" xfId="0">
      <alignment horizontal="left"/>
    </xf>
    <xf numFmtId="43" fontId="15" fillId="0" borderId="0" applyAlignment="1" pivotButton="0" quotePrefix="0" xfId="1">
      <alignment horizontal="left"/>
    </xf>
    <xf numFmtId="43" fontId="16" fillId="0" borderId="0" applyAlignment="1" pivotButton="0" quotePrefix="0" xfId="1">
      <alignment horizontal="left"/>
    </xf>
    <xf numFmtId="43" fontId="15" fillId="0" borderId="0" applyAlignment="1" pivotButton="0" quotePrefix="0" xfId="1">
      <alignment horizontal="left"/>
    </xf>
    <xf numFmtId="43" fontId="5" fillId="10" borderId="0" pivotButton="0" quotePrefix="0" xfId="1"/>
    <xf numFmtId="43" fontId="15" fillId="11" borderId="18" applyAlignment="1" pivotButton="0" quotePrefix="0" xfId="1">
      <alignment horizontal="right"/>
    </xf>
    <xf numFmtId="43" fontId="15" fillId="11" borderId="8" applyAlignment="1" pivotButton="0" quotePrefix="0" xfId="1">
      <alignment horizontal="right"/>
    </xf>
    <xf numFmtId="43" fontId="15" fillId="0" borderId="11" applyAlignment="1" pivotButton="0" quotePrefix="0" xfId="1">
      <alignment horizontal="left"/>
    </xf>
    <xf numFmtId="43" fontId="3" fillId="0" borderId="13" applyAlignment="1" pivotButton="0" quotePrefix="0" xfId="1">
      <alignment horizontal="left"/>
    </xf>
    <xf numFmtId="0" fontId="3" fillId="0" borderId="13" applyAlignment="1" pivotButton="0" quotePrefix="0" xfId="0">
      <alignment horizontal="left"/>
    </xf>
    <xf numFmtId="0" fontId="3" fillId="0" borderId="3" applyAlignment="1" pivotButton="0" quotePrefix="0" xfId="0">
      <alignment horizontal="left"/>
    </xf>
    <xf numFmtId="43" fontId="16" fillId="5" borderId="17" applyAlignment="1" pivotButton="0" quotePrefix="0" xfId="1">
      <alignment horizontal="center"/>
    </xf>
    <xf numFmtId="43" fontId="16" fillId="5" borderId="22" applyAlignment="1" pivotButton="0" quotePrefix="0" xfId="1">
      <alignment horizontal="center"/>
    </xf>
    <xf numFmtId="43" fontId="15" fillId="11" borderId="11" applyAlignment="1" pivotButton="0" quotePrefix="0" xfId="1">
      <alignment horizontal="left"/>
    </xf>
    <xf numFmtId="43" fontId="15" fillId="11" borderId="8" applyAlignment="1" pivotButton="0" quotePrefix="0" xfId="0">
      <alignment horizontal="left"/>
    </xf>
    <xf numFmtId="0" fontId="14" fillId="4" borderId="0" pivotButton="0" quotePrefix="0" xfId="0"/>
    <xf numFmtId="0" fontId="5" fillId="4" borderId="0" pivotButton="0" quotePrefix="0" xfId="0"/>
    <xf numFmtId="0" fontId="15" fillId="11" borderId="8" applyAlignment="1" pivotButton="0" quotePrefix="0" xfId="0">
      <alignment horizontal="left"/>
    </xf>
    <xf numFmtId="43" fontId="15" fillId="0" borderId="18" applyAlignment="1" pivotButton="0" quotePrefix="0" xfId="1">
      <alignment horizontal="right"/>
    </xf>
    <xf numFmtId="43" fontId="15" fillId="0" borderId="8" applyAlignment="1" pivotButton="0" quotePrefix="0" xfId="0">
      <alignment horizontal="left"/>
    </xf>
    <xf numFmtId="10" fontId="3" fillId="0" borderId="0" pivotButton="0" quotePrefix="0" xfId="0"/>
    <xf numFmtId="43" fontId="4" fillId="0" borderId="0" applyAlignment="1" pivotButton="0" quotePrefix="0" xfId="1">
      <alignment horizontal="right"/>
    </xf>
    <xf numFmtId="15" fontId="3" fillId="0" borderId="1" applyAlignment="1" pivotButton="0" quotePrefix="0" xfId="0">
      <alignment horizontal="left"/>
    </xf>
    <xf numFmtId="0" fontId="3" fillId="0" borderId="1" applyAlignment="1" pivotButton="0" quotePrefix="0" xfId="0">
      <alignment horizontal="center"/>
    </xf>
    <xf numFmtId="0" fontId="14" fillId="0" borderId="0" pivotButton="0" quotePrefix="0" xfId="0"/>
    <xf numFmtId="43" fontId="19" fillId="0" borderId="8" applyAlignment="1" pivotButton="0" quotePrefix="0" xfId="1">
      <alignment horizontal="left"/>
    </xf>
    <xf numFmtId="43" fontId="5" fillId="5" borderId="0" pivotButton="0" quotePrefix="0" xfId="1"/>
    <xf numFmtId="43" fontId="3" fillId="3" borderId="0" pivotButton="0" quotePrefix="0" xfId="0"/>
    <xf numFmtId="166" fontId="3" fillId="3" borderId="0" pivotButton="0" quotePrefix="0" xfId="0"/>
    <xf numFmtId="43" fontId="4" fillId="0" borderId="0" applyAlignment="1" pivotButton="0" quotePrefix="0" xfId="1">
      <alignment horizontal="center"/>
    </xf>
    <xf numFmtId="43" fontId="3" fillId="0" borderId="5" pivotButton="0" quotePrefix="0" xfId="1"/>
    <xf numFmtId="43" fontId="3" fillId="0" borderId="0" applyAlignment="1" pivotButton="0" quotePrefix="0" xfId="1">
      <alignment horizontal="right"/>
    </xf>
    <xf numFmtId="43" fontId="3" fillId="0" borderId="2" pivotButton="0" quotePrefix="0" xfId="1"/>
    <xf numFmtId="43" fontId="3" fillId="0" borderId="4" pivotButton="0" quotePrefix="0" xfId="1"/>
    <xf numFmtId="43" fontId="3" fillId="0" borderId="6" pivotButton="0" quotePrefix="0" xfId="1"/>
    <xf numFmtId="43" fontId="4" fillId="2" borderId="0" applyAlignment="1" pivotButton="0" quotePrefix="0" xfId="1">
      <alignment horizontal="center"/>
    </xf>
    <xf numFmtId="43" fontId="7" fillId="0" borderId="0" pivotButton="0" quotePrefix="0" xfId="1"/>
    <xf numFmtId="43" fontId="3" fillId="0" borderId="5" pivotButton="0" quotePrefix="0" xfId="1"/>
    <xf numFmtId="43" fontId="3" fillId="10" borderId="0" pivotButton="0" quotePrefix="0" xfId="1"/>
    <xf numFmtId="43" fontId="5" fillId="4" borderId="0" pivotButton="0" quotePrefix="0" xfId="1"/>
    <xf numFmtId="43" fontId="14" fillId="4" borderId="0" pivotButton="0" quotePrefix="0" xfId="1"/>
    <xf numFmtId="168" fontId="15" fillId="0" borderId="8" applyAlignment="1" pivotButton="0" quotePrefix="0" xfId="3">
      <alignment horizontal="center"/>
    </xf>
    <xf numFmtId="168" fontId="15" fillId="11" borderId="8" applyAlignment="1" pivotButton="0" quotePrefix="0" xfId="3">
      <alignment horizontal="center"/>
    </xf>
    <xf numFmtId="43" fontId="19" fillId="0" borderId="8" applyAlignment="1" pivotButton="0" quotePrefix="0" xfId="1">
      <alignment horizontal="left"/>
    </xf>
    <xf numFmtId="0" fontId="7" fillId="0" borderId="0" applyAlignment="1" pivotButton="0" quotePrefix="0" xfId="0">
      <alignment horizontal="left"/>
    </xf>
    <xf numFmtId="14" fontId="3" fillId="0" borderId="0" applyAlignment="1" pivotButton="0" quotePrefix="0" xfId="0">
      <alignment horizontal="right"/>
    </xf>
    <xf numFmtId="10" fontId="5" fillId="0" borderId="0" pivotButton="0" quotePrefix="0" xfId="3"/>
    <xf numFmtId="169" fontId="3" fillId="0" borderId="0" pivotButton="0" quotePrefix="0" xfId="1"/>
    <xf numFmtId="9" fontId="16" fillId="0" borderId="8" applyAlignment="1" pivotButton="0" quotePrefix="0" xfId="3">
      <alignment horizontal="left"/>
    </xf>
    <xf numFmtId="43" fontId="4" fillId="0" borderId="3" pivotButton="0" quotePrefix="0" xfId="1"/>
    <xf numFmtId="0" fontId="7" fillId="0" borderId="0" pivotButton="0" quotePrefix="0" xfId="0"/>
    <xf numFmtId="15" fontId="7" fillId="0" borderId="0" applyAlignment="1" pivotButton="0" quotePrefix="0" xfId="0">
      <alignment horizontal="left"/>
    </xf>
    <xf numFmtId="0" fontId="7" fillId="0" borderId="0" applyAlignment="1" pivotButton="0" quotePrefix="0" xfId="0">
      <alignment horizontal="center"/>
    </xf>
    <xf numFmtId="170" fontId="3" fillId="0" borderId="0" pivotButton="0" quotePrefix="0" xfId="1"/>
    <xf numFmtId="43" fontId="3" fillId="0" borderId="0" pivotButton="0" quotePrefix="0" xfId="1"/>
    <xf numFmtId="165" fontId="21" fillId="0" borderId="0" pivotButton="0" quotePrefix="0" xfId="0"/>
    <xf numFmtId="43" fontId="21" fillId="0" borderId="0" pivotButton="0" quotePrefix="0" xfId="1"/>
    <xf numFmtId="43" fontId="14" fillId="0" borderId="14" pivotButton="0" quotePrefix="0" xfId="1"/>
    <xf numFmtId="43" fontId="3" fillId="5" borderId="0" pivotButton="0" quotePrefix="0" xfId="1"/>
    <xf numFmtId="1" fontId="3" fillId="0" borderId="0" applyAlignment="1" pivotButton="0" quotePrefix="0" xfId="0">
      <alignment horizontal="center"/>
    </xf>
    <xf numFmtId="43" fontId="3" fillId="0" borderId="0" pivotButton="0" quotePrefix="0" xfId="1"/>
    <xf numFmtId="43" fontId="3" fillId="13" borderId="0" pivotButton="0" quotePrefix="0" xfId="1"/>
    <xf numFmtId="43" fontId="7" fillId="14" borderId="0" pivotButton="0" quotePrefix="0" xfId="1"/>
    <xf numFmtId="171" fontId="3" fillId="0" borderId="0" applyAlignment="1" pivotButton="0" quotePrefix="0" xfId="1">
      <alignment horizontal="right"/>
    </xf>
    <xf numFmtId="10" fontId="3" fillId="0" borderId="0" pivotButton="0" quotePrefix="0" xfId="1"/>
    <xf numFmtId="172" fontId="3" fillId="0" borderId="0" applyAlignment="1" pivotButton="0" quotePrefix="0" xfId="1">
      <alignment horizontal="right"/>
    </xf>
    <xf numFmtId="168" fontId="15" fillId="0" borderId="8" applyAlignment="1" pivotButton="0" quotePrefix="0" xfId="3">
      <alignment horizontal="center"/>
    </xf>
    <xf numFmtId="43" fontId="17" fillId="11" borderId="8" applyAlignment="1" pivotButton="0" quotePrefix="0" xfId="1">
      <alignment horizontal="right"/>
    </xf>
    <xf numFmtId="167" fontId="3" fillId="0" borderId="0" pivotButton="0" quotePrefix="0" xfId="1"/>
    <xf numFmtId="43" fontId="16" fillId="11" borderId="10" applyAlignment="1" pivotButton="0" quotePrefix="0" xfId="1">
      <alignment horizontal="left"/>
    </xf>
    <xf numFmtId="43" fontId="19" fillId="11" borderId="11" applyAlignment="1" pivotButton="0" quotePrefix="0" xfId="1">
      <alignment horizontal="left"/>
    </xf>
    <xf numFmtId="43" fontId="3" fillId="10" borderId="0" pivotButton="0" quotePrefix="0" xfId="0"/>
    <xf numFmtId="43" fontId="3" fillId="5" borderId="0" pivotButton="0" quotePrefix="0" xfId="0"/>
    <xf numFmtId="166" fontId="3" fillId="10" borderId="0" pivotButton="0" quotePrefix="0" xfId="0"/>
    <xf numFmtId="165" fontId="3" fillId="15" borderId="0" pivotButton="0" quotePrefix="0" xfId="0"/>
    <xf numFmtId="165" fontId="21" fillId="16" borderId="0" pivotButton="0" quotePrefix="0" xfId="0"/>
    <xf numFmtId="165" fontId="3" fillId="16" borderId="0" pivotButton="0" quotePrefix="0" xfId="0"/>
    <xf numFmtId="165" fontId="3" fillId="17" borderId="0" pivotButton="0" quotePrefix="0" xfId="0"/>
    <xf numFmtId="15" fontId="5" fillId="0" borderId="0" applyAlignment="1" pivotButton="0" quotePrefix="0" xfId="0">
      <alignment horizontal="left"/>
    </xf>
    <xf numFmtId="0" fontId="5" fillId="0" borderId="0" applyAlignment="1" pivotButton="0" quotePrefix="0" xfId="0">
      <alignment horizontal="center"/>
    </xf>
    <xf numFmtId="43" fontId="3" fillId="0" borderId="0" applyAlignment="1" pivotButton="0" quotePrefix="0" xfId="1">
      <alignment horizontal="left" vertical="center"/>
    </xf>
    <xf numFmtId="43" fontId="16" fillId="3" borderId="8" applyAlignment="1" pivotButton="0" quotePrefix="0" xfId="1">
      <alignment horizontal="left"/>
    </xf>
    <xf numFmtId="0" fontId="15" fillId="19" borderId="8" applyAlignment="1" pivotButton="0" quotePrefix="0" xfId="0">
      <alignment horizontal="left"/>
    </xf>
    <xf numFmtId="43" fontId="15" fillId="19" borderId="8" applyAlignment="1" pivotButton="0" quotePrefix="0" xfId="1">
      <alignment horizontal="left"/>
    </xf>
    <xf numFmtId="15" fontId="15" fillId="19" borderId="8" applyAlignment="1" pivotButton="0" quotePrefix="0" xfId="1">
      <alignment horizontal="left"/>
    </xf>
    <xf numFmtId="1" fontId="15" fillId="19" borderId="8" applyAlignment="1" pivotButton="0" quotePrefix="0" xfId="1">
      <alignment horizontal="center"/>
    </xf>
    <xf numFmtId="0" fontId="15" fillId="19" borderId="8" applyAlignment="1" pivotButton="0" quotePrefix="0" xfId="1">
      <alignment horizontal="left"/>
    </xf>
    <xf numFmtId="2" fontId="15" fillId="19" borderId="8" applyAlignment="1" pivotButton="0" quotePrefix="0" xfId="0">
      <alignment horizontal="center"/>
    </xf>
    <xf numFmtId="43" fontId="16" fillId="19" borderId="8" applyAlignment="1" pivotButton="0" quotePrefix="0" xfId="1">
      <alignment horizontal="left"/>
    </xf>
    <xf numFmtId="43" fontId="15" fillId="19" borderId="8" applyAlignment="1" pivotButton="0" quotePrefix="0" xfId="1">
      <alignment horizontal="right"/>
    </xf>
    <xf numFmtId="43" fontId="15" fillId="19" borderId="8" applyAlignment="1" pivotButton="0" quotePrefix="0" xfId="0">
      <alignment horizontal="left"/>
    </xf>
    <xf numFmtId="43" fontId="15" fillId="3" borderId="8" applyAlignment="1" pivotButton="0" quotePrefix="0" xfId="1">
      <alignment horizontal="left"/>
    </xf>
    <xf numFmtId="43" fontId="17" fillId="19" borderId="8" applyAlignment="1" pivotButton="0" quotePrefix="0" xfId="1">
      <alignment horizontal="left"/>
    </xf>
    <xf numFmtId="43" fontId="5" fillId="5" borderId="0" pivotButton="0" quotePrefix="0" xfId="0"/>
    <xf numFmtId="49" fontId="17" fillId="0" borderId="8" applyAlignment="1" pivotButton="0" quotePrefix="0" xfId="0">
      <alignment horizontal="left"/>
    </xf>
    <xf numFmtId="43" fontId="3" fillId="18" borderId="0" pivotButton="0" quotePrefix="0" xfId="1"/>
    <xf numFmtId="43" fontId="16" fillId="0" borderId="0" applyAlignment="1" pivotButton="0" quotePrefix="0" xfId="0">
      <alignment horizontal="left"/>
    </xf>
    <xf numFmtId="43" fontId="7" fillId="0" borderId="0" applyAlignment="1" pivotButton="0" quotePrefix="0" xfId="0">
      <alignment horizontal="left"/>
    </xf>
    <xf numFmtId="43" fontId="19" fillId="6" borderId="28" applyAlignment="1" pivotButton="0" quotePrefix="0" xfId="1">
      <alignment horizontal="center" wrapText="1"/>
    </xf>
    <xf numFmtId="43" fontId="19" fillId="6" borderId="32" applyAlignment="1" pivotButton="0" quotePrefix="0" xfId="1">
      <alignment horizontal="center"/>
    </xf>
    <xf numFmtId="43" fontId="19" fillId="0" borderId="11" applyAlignment="1" pivotButton="0" quotePrefix="0" xfId="1">
      <alignment horizontal="left"/>
    </xf>
    <xf numFmtId="43" fontId="19" fillId="11" borderId="8" applyAlignment="1" pivotButton="0" quotePrefix="0" xfId="1">
      <alignment horizontal="left"/>
    </xf>
    <xf numFmtId="43" fontId="19" fillId="19" borderId="8" applyAlignment="1" pivotButton="0" quotePrefix="0" xfId="1">
      <alignment horizontal="left"/>
    </xf>
    <xf numFmtId="43" fontId="17" fillId="0" borderId="0" applyAlignment="1" pivotButton="0" quotePrefix="0" xfId="1">
      <alignment horizontal="left"/>
    </xf>
    <xf numFmtId="165" fontId="19" fillId="0" borderId="8" applyAlignment="1" pivotButton="0" quotePrefix="0" xfId="0">
      <alignment horizontal="left"/>
    </xf>
    <xf numFmtId="165" fontId="19" fillId="0" borderId="14" applyAlignment="1" pivotButton="0" quotePrefix="0" xfId="0">
      <alignment horizontal="left"/>
    </xf>
    <xf numFmtId="10" fontId="19" fillId="0" borderId="14" applyAlignment="1" pivotButton="0" quotePrefix="0" xfId="3">
      <alignment horizontal="center"/>
    </xf>
    <xf numFmtId="9" fontId="23" fillId="0" borderId="14" applyAlignment="1" pivotButton="0" quotePrefix="0" xfId="3">
      <alignment horizontal="center"/>
    </xf>
    <xf numFmtId="0" fontId="24" fillId="0" borderId="55" applyAlignment="1" pivotButton="0" quotePrefix="0" xfId="0">
      <alignment vertical="center" wrapText="1"/>
    </xf>
    <xf numFmtId="3" fontId="25" fillId="0" borderId="51" applyAlignment="1" pivotButton="0" quotePrefix="0" xfId="0">
      <alignment horizontal="right" vertical="center" wrapText="1"/>
    </xf>
    <xf numFmtId="0" fontId="25" fillId="0" borderId="51" applyAlignment="1" pivotButton="0" quotePrefix="0" xfId="0">
      <alignment horizontal="right" vertical="center" wrapText="1"/>
    </xf>
    <xf numFmtId="3" fontId="24" fillId="0" borderId="51" applyAlignment="1" pivotButton="0" quotePrefix="0" xfId="0">
      <alignment horizontal="right" vertical="center" wrapText="1"/>
    </xf>
    <xf numFmtId="165" fontId="7" fillId="0" borderId="0" applyAlignment="1" pivotButton="0" quotePrefix="0" xfId="0">
      <alignment horizontal="left"/>
    </xf>
    <xf numFmtId="15" fontId="3" fillId="0" borderId="0" pivotButton="0" quotePrefix="0" xfId="0"/>
    <xf numFmtId="43" fontId="3" fillId="0" borderId="0" applyAlignment="1" pivotButton="0" quotePrefix="0" xfId="0">
      <alignment horizontal="right"/>
    </xf>
    <xf numFmtId="43" fontId="3" fillId="0" borderId="0" applyAlignment="1" pivotButton="0" quotePrefix="0" xfId="0">
      <alignment horizontal="right" indent="1"/>
    </xf>
    <xf numFmtId="15" fontId="3" fillId="0" borderId="0" applyAlignment="1" pivotButton="0" quotePrefix="0" xfId="0">
      <alignment horizontal="right" indent="1"/>
    </xf>
    <xf numFmtId="10" fontId="3" fillId="0" borderId="0" applyAlignment="1" pivotButton="0" quotePrefix="0" xfId="0">
      <alignment horizontal="right" indent="1"/>
    </xf>
    <xf numFmtId="10" fontId="3" fillId="0" borderId="0" applyAlignment="1" pivotButton="0" quotePrefix="0" xfId="0">
      <alignment horizontal="right"/>
    </xf>
    <xf numFmtId="0" fontId="3" fillId="0" borderId="0" applyAlignment="1" pivotButton="0" quotePrefix="0" xfId="0">
      <alignment horizontal="right"/>
    </xf>
    <xf numFmtId="9" fontId="3" fillId="0" borderId="0" applyAlignment="1" pivotButton="0" quotePrefix="0" xfId="3">
      <alignment horizontal="right"/>
    </xf>
    <xf numFmtId="0" fontId="5" fillId="0" borderId="0" applyAlignment="1" pivotButton="0" quotePrefix="0" xfId="1">
      <alignment horizontal="right"/>
    </xf>
    <xf numFmtId="14" fontId="5" fillId="0" borderId="0" applyAlignment="1" pivotButton="0" quotePrefix="0" xfId="1">
      <alignment horizontal="right"/>
    </xf>
    <xf numFmtId="168" fontId="3" fillId="0" borderId="0" pivotButton="0" quotePrefix="0" xfId="3"/>
    <xf numFmtId="0" fontId="3" fillId="0" borderId="0" applyAlignment="1" pivotButton="0" quotePrefix="0" xfId="1">
      <alignment horizontal="right"/>
    </xf>
    <xf numFmtId="14" fontId="3" fillId="0" borderId="0" applyAlignment="1" pivotButton="0" quotePrefix="0" xfId="1">
      <alignment horizontal="right"/>
    </xf>
    <xf numFmtId="43" fontId="3" fillId="20" borderId="0" pivotButton="0" quotePrefix="0" xfId="1"/>
    <xf numFmtId="165" fontId="3" fillId="20" borderId="0" pivotButton="0" quotePrefix="0" xfId="0"/>
    <xf numFmtId="15" fontId="3" fillId="9" borderId="0" applyAlignment="1" pivotButton="0" quotePrefix="0" xfId="0">
      <alignment horizontal="left"/>
    </xf>
    <xf numFmtId="0" fontId="3" fillId="9" borderId="0" applyAlignment="1" pivotButton="0" quotePrefix="0" xfId="0">
      <alignment horizontal="center"/>
    </xf>
    <xf numFmtId="43" fontId="5" fillId="10" borderId="0" pivotButton="0" quotePrefix="0" xfId="0"/>
    <xf numFmtId="43" fontId="3" fillId="21" borderId="0" pivotButton="0" quotePrefix="0" xfId="1"/>
    <xf numFmtId="4" fontId="15" fillId="0" borderId="0" applyAlignment="1" pivotButton="0" quotePrefix="0" xfId="1">
      <alignment horizontal="left"/>
    </xf>
    <xf numFmtId="0" fontId="15" fillId="3" borderId="18" applyAlignment="1" pivotButton="0" quotePrefix="0" xfId="1">
      <alignment horizontal="center"/>
    </xf>
    <xf numFmtId="0" fontId="15" fillId="0" borderId="29" applyAlignment="1" pivotButton="0" quotePrefix="0" xfId="1">
      <alignment horizontal="center"/>
    </xf>
    <xf numFmtId="0" fontId="17" fillId="0" borderId="10" applyAlignment="1" pivotButton="0" quotePrefix="0" xfId="1">
      <alignment horizontal="left"/>
    </xf>
    <xf numFmtId="43" fontId="15" fillId="0" borderId="10" applyAlignment="1" pivotButton="0" quotePrefix="0" xfId="1">
      <alignment horizontal="left"/>
    </xf>
    <xf numFmtId="15" fontId="15" fillId="0" borderId="10" applyAlignment="1" pivotButton="0" quotePrefix="0" xfId="1">
      <alignment horizontal="left"/>
    </xf>
    <xf numFmtId="1" fontId="15" fillId="0" borderId="10" applyAlignment="1" pivotButton="0" quotePrefix="0" xfId="1">
      <alignment horizontal="center"/>
    </xf>
    <xf numFmtId="0" fontId="15" fillId="0" borderId="10" applyAlignment="1" pivotButton="0" quotePrefix="0" xfId="1">
      <alignment horizontal="left"/>
    </xf>
    <xf numFmtId="168" fontId="15" fillId="0" borderId="10" applyAlignment="1" pivotButton="0" quotePrefix="0" xfId="3">
      <alignment horizontal="center"/>
    </xf>
    <xf numFmtId="43" fontId="17" fillId="0" borderId="10" applyAlignment="1" pivotButton="0" quotePrefix="0" xfId="1">
      <alignment horizontal="left"/>
    </xf>
    <xf numFmtId="43" fontId="15" fillId="0" borderId="29" applyAlignment="1" pivotButton="0" quotePrefix="0" xfId="1">
      <alignment horizontal="left"/>
    </xf>
    <xf numFmtId="43" fontId="15" fillId="0" borderId="6" applyAlignment="1" pivotButton="0" quotePrefix="0" xfId="1">
      <alignment horizontal="left"/>
    </xf>
    <xf numFmtId="43" fontId="15" fillId="0" borderId="29" applyAlignment="1" pivotButton="0" quotePrefix="0" xfId="1">
      <alignment horizontal="left"/>
    </xf>
    <xf numFmtId="43" fontId="15" fillId="0" borderId="10" applyAlignment="1" pivotButton="0" quotePrefix="0" xfId="1">
      <alignment horizontal="left"/>
    </xf>
    <xf numFmtId="43" fontId="15" fillId="0" borderId="6" applyAlignment="1" pivotButton="0" quotePrefix="0" xfId="1">
      <alignment horizontal="left"/>
    </xf>
    <xf numFmtId="43" fontId="3" fillId="0" borderId="8" applyAlignment="1" pivotButton="0" quotePrefix="0" xfId="1">
      <alignment horizontal="left"/>
    </xf>
    <xf numFmtId="0" fontId="3" fillId="0" borderId="8" applyAlignment="1" pivotButton="0" quotePrefix="0" xfId="1">
      <alignment horizontal="left"/>
    </xf>
    <xf numFmtId="43" fontId="3" fillId="0" borderId="0" applyAlignment="1" pivotButton="0" quotePrefix="0" xfId="1">
      <alignment horizontal="left"/>
    </xf>
    <xf numFmtId="43" fontId="16" fillId="0" borderId="10" applyAlignment="1" pivotButton="0" quotePrefix="0" xfId="1">
      <alignment horizontal="left"/>
    </xf>
    <xf numFmtId="43" fontId="17" fillId="0" borderId="8" applyAlignment="1" pivotButton="0" quotePrefix="0" xfId="1">
      <alignment horizontal="right"/>
    </xf>
    <xf numFmtId="43" fontId="7" fillId="0" borderId="0" applyAlignment="1" pivotButton="0" quotePrefix="0" xfId="1">
      <alignment horizontal="left"/>
    </xf>
    <xf numFmtId="15" fontId="17" fillId="0" borderId="8" applyAlignment="1" pivotButton="0" quotePrefix="0" xfId="1">
      <alignment horizontal="left"/>
    </xf>
    <xf numFmtId="1" fontId="17" fillId="0" borderId="8" applyAlignment="1" pivotButton="0" quotePrefix="0" xfId="1">
      <alignment horizontal="center"/>
    </xf>
    <xf numFmtId="0" fontId="17" fillId="0" borderId="8" applyAlignment="1" pivotButton="0" quotePrefix="0" xfId="1">
      <alignment horizontal="left"/>
    </xf>
    <xf numFmtId="2" fontId="17" fillId="0" borderId="8" applyAlignment="1" pivotButton="0" quotePrefix="0" xfId="0">
      <alignment horizontal="center"/>
    </xf>
    <xf numFmtId="43" fontId="17" fillId="0" borderId="11" applyAlignment="1" pivotButton="0" quotePrefix="0" xfId="1">
      <alignment horizontal="left"/>
    </xf>
    <xf numFmtId="43" fontId="26" fillId="0" borderId="8" applyAlignment="1" pivotButton="0" quotePrefix="0" xfId="1">
      <alignment horizontal="left"/>
    </xf>
    <xf numFmtId="43" fontId="7" fillId="0" borderId="0" applyAlignment="1" pivotButton="0" quotePrefix="0" xfId="1">
      <alignment horizontal="left"/>
    </xf>
    <xf numFmtId="15" fontId="17" fillId="0" borderId="8" applyAlignment="1" pivotButton="0" quotePrefix="0" xfId="1">
      <alignment horizontal="left"/>
    </xf>
    <xf numFmtId="1" fontId="17" fillId="0" borderId="8" applyAlignment="1" pivotButton="0" quotePrefix="0" xfId="1">
      <alignment horizontal="center"/>
    </xf>
    <xf numFmtId="168" fontId="17" fillId="0" borderId="8" applyAlignment="1" pivotButton="0" quotePrefix="0" xfId="3">
      <alignment horizontal="center"/>
    </xf>
    <xf numFmtId="0" fontId="17" fillId="0" borderId="8" applyAlignment="1" pivotButton="0" quotePrefix="0" xfId="1">
      <alignment horizontal="left"/>
    </xf>
    <xf numFmtId="167" fontId="3" fillId="0" borderId="0" pivotButton="0" quotePrefix="0" xfId="1"/>
    <xf numFmtId="43" fontId="27" fillId="0" borderId="0" pivotButton="0" quotePrefix="0" xfId="1"/>
    <xf numFmtId="0" fontId="15" fillId="0" borderId="18" applyAlignment="1" pivotButton="0" quotePrefix="0" xfId="1">
      <alignment horizontal="center"/>
    </xf>
    <xf numFmtId="0" fontId="15" fillId="0" borderId="29" applyAlignment="1" pivotButton="0" quotePrefix="0" xfId="1">
      <alignment horizontal="center"/>
    </xf>
    <xf numFmtId="43" fontId="19" fillId="14" borderId="8" applyAlignment="1" pivotButton="0" quotePrefix="0" xfId="1">
      <alignment horizontal="left"/>
    </xf>
    <xf numFmtId="43" fontId="16" fillId="19" borderId="10" applyAlignment="1" pivotButton="0" quotePrefix="0" xfId="1">
      <alignment horizontal="left"/>
    </xf>
    <xf numFmtId="43" fontId="19" fillId="20" borderId="8" applyAlignment="1" pivotButton="0" quotePrefix="0" xfId="1">
      <alignment horizontal="left"/>
    </xf>
    <xf numFmtId="43" fontId="19" fillId="20" borderId="6" applyAlignment="1" pivotButton="0" quotePrefix="0" xfId="1">
      <alignment horizontal="left"/>
    </xf>
    <xf numFmtId="43" fontId="17" fillId="0" borderId="0" applyAlignment="1" pivotButton="0" quotePrefix="0" xfId="0">
      <alignment horizontal="left"/>
    </xf>
    <xf numFmtId="9" fontId="15" fillId="0" borderId="8" applyAlignment="1" pivotButton="0" quotePrefix="0" xfId="3">
      <alignment horizontal="center"/>
    </xf>
    <xf numFmtId="4" fontId="5" fillId="0" borderId="0" pivotButton="0" quotePrefix="0" xfId="0"/>
    <xf numFmtId="49" fontId="17" fillId="11" borderId="8" applyAlignment="1" pivotButton="0" quotePrefix="0" xfId="0">
      <alignment horizontal="left"/>
    </xf>
    <xf numFmtId="49" fontId="17" fillId="19" borderId="8" applyAlignment="1" pivotButton="0" quotePrefix="0" xfId="0">
      <alignment horizontal="left"/>
    </xf>
    <xf numFmtId="49" fontId="28" fillId="0" borderId="8" pivotButton="0" quotePrefix="0" xfId="0"/>
    <xf numFmtId="49" fontId="15" fillId="0" borderId="0" pivotButton="0" quotePrefix="0" xfId="0"/>
    <xf numFmtId="0" fontId="15" fillId="0" borderId="0" pivotButton="0" quotePrefix="0" xfId="0"/>
    <xf numFmtId="43" fontId="14" fillId="0" borderId="60" pivotButton="0" quotePrefix="0" xfId="1"/>
    <xf numFmtId="49" fontId="15" fillId="0" borderId="8" pivotButton="0" quotePrefix="0" xfId="0"/>
    <xf numFmtId="43" fontId="19" fillId="0" borderId="11" applyAlignment="1" pivotButton="0" quotePrefix="0" xfId="1">
      <alignment horizontal="left"/>
    </xf>
    <xf numFmtId="43" fontId="16" fillId="0" borderId="13" applyAlignment="1" pivotButton="0" quotePrefix="0" xfId="1">
      <alignment horizontal="left"/>
    </xf>
    <xf numFmtId="173" fontId="30" fillId="0" borderId="8" pivotButton="0" quotePrefix="0" xfId="0"/>
    <xf numFmtId="173" fontId="29" fillId="0" borderId="8" pivotButton="0" quotePrefix="0" xfId="0"/>
    <xf numFmtId="0" fontId="4" fillId="0" borderId="0" applyAlignment="1" pivotButton="0" quotePrefix="0" xfId="0">
      <alignment horizontal="left"/>
    </xf>
    <xf numFmtId="0" fontId="5" fillId="17" borderId="0" pivotButton="0" quotePrefix="0" xfId="0"/>
    <xf numFmtId="43" fontId="3" fillId="17" borderId="0" pivotButton="0" quotePrefix="0" xfId="1"/>
    <xf numFmtId="43" fontId="14" fillId="0" borderId="61" pivotButton="0" quotePrefix="0" xfId="1"/>
    <xf numFmtId="43" fontId="5" fillId="0" borderId="0" applyAlignment="1" pivotButton="0" quotePrefix="0" xfId="1">
      <alignment horizontal="right"/>
    </xf>
    <xf numFmtId="165" fontId="15" fillId="0" borderId="8" applyAlignment="1" pivotButton="0" quotePrefix="0" xfId="1">
      <alignment horizontal="right"/>
    </xf>
    <xf numFmtId="43" fontId="15" fillId="0" borderId="10" applyAlignment="1" pivotButton="0" quotePrefix="0" xfId="0">
      <alignment horizontal="left"/>
    </xf>
    <xf numFmtId="1" fontId="15" fillId="0" borderId="62" applyAlignment="1" pivotButton="0" quotePrefix="0" xfId="0">
      <alignment horizontal="left"/>
    </xf>
    <xf numFmtId="0" fontId="15" fillId="0" borderId="61" applyAlignment="1" pivotButton="0" quotePrefix="0" xfId="0">
      <alignment horizontal="left"/>
    </xf>
    <xf numFmtId="43" fontId="16" fillId="0" borderId="61" applyAlignment="1" pivotButton="0" quotePrefix="0" xfId="0">
      <alignment horizontal="left"/>
    </xf>
    <xf numFmtId="43" fontId="16" fillId="0" borderId="21" applyAlignment="1" pivotButton="0" quotePrefix="0" xfId="0">
      <alignment horizontal="left"/>
    </xf>
    <xf numFmtId="165" fontId="16" fillId="0" borderId="0" applyAlignment="1" pivotButton="0" quotePrefix="0" xfId="0">
      <alignment horizontal="left"/>
    </xf>
    <xf numFmtId="165" fontId="4" fillId="0" borderId="0" applyAlignment="1" pivotButton="0" quotePrefix="0" xfId="0">
      <alignment horizontal="left"/>
    </xf>
    <xf numFmtId="43" fontId="17" fillId="11" borderId="11" applyAlignment="1" pivotButton="0" quotePrefix="0" xfId="1">
      <alignment horizontal="left"/>
    </xf>
    <xf numFmtId="15" fontId="3" fillId="0" borderId="0" applyAlignment="1" pivotButton="0" quotePrefix="0" xfId="0">
      <alignment horizontal="center"/>
    </xf>
    <xf numFmtId="43" fontId="3" fillId="0" borderId="0" applyAlignment="1" pivotButton="0" quotePrefix="0" xfId="1">
      <alignment horizontal="center"/>
    </xf>
    <xf numFmtId="4" fontId="3" fillId="0" borderId="0" applyAlignment="1" pivotButton="0" quotePrefix="0" xfId="0">
      <alignment horizontal="left"/>
    </xf>
    <xf numFmtId="0" fontId="9" fillId="6" borderId="33" applyAlignment="1" pivotButton="0" quotePrefix="0" xfId="0">
      <alignment horizontal="center"/>
    </xf>
    <xf numFmtId="0" fontId="9" fillId="6" borderId="34" applyAlignment="1" pivotButton="0" quotePrefix="0" xfId="0">
      <alignment horizontal="center"/>
    </xf>
    <xf numFmtId="0" fontId="9" fillId="6" borderId="35" applyAlignment="1" pivotButton="0" quotePrefix="0" xfId="0">
      <alignment horizontal="center"/>
    </xf>
    <xf numFmtId="43" fontId="9" fillId="6" borderId="15" applyAlignment="1" pivotButton="0" quotePrefix="0" xfId="1">
      <alignment horizontal="center"/>
    </xf>
    <xf numFmtId="43" fontId="9" fillId="6" borderId="20" applyAlignment="1" pivotButton="0" quotePrefix="0" xfId="1">
      <alignment horizontal="center"/>
    </xf>
    <xf numFmtId="0" fontId="9" fillId="6" borderId="16" applyAlignment="1" pivotButton="0" quotePrefix="0" xfId="1">
      <alignment horizontal="left"/>
    </xf>
    <xf numFmtId="0" fontId="9" fillId="6" borderId="21" applyAlignment="1" pivotButton="0" quotePrefix="0" xfId="1">
      <alignment horizontal="left"/>
    </xf>
    <xf numFmtId="43" fontId="9" fillId="6" borderId="28" applyAlignment="1" pivotButton="0" quotePrefix="0" xfId="1">
      <alignment horizontal="left"/>
    </xf>
    <xf numFmtId="43" fontId="9" fillId="6" borderId="21" applyAlignment="1" pivotButton="0" quotePrefix="0" xfId="1">
      <alignment horizontal="left"/>
    </xf>
    <xf numFmtId="43" fontId="9" fillId="6" borderId="43" applyAlignment="1" pivotButton="0" quotePrefix="0" xfId="1">
      <alignment horizontal="left"/>
    </xf>
    <xf numFmtId="43" fontId="9" fillId="6" borderId="44" applyAlignment="1" pivotButton="0" quotePrefix="0" xfId="1">
      <alignment horizontal="left"/>
    </xf>
    <xf numFmtId="43" fontId="9" fillId="6" borderId="46" applyAlignment="1" pivotButton="0" quotePrefix="0" xfId="1">
      <alignment horizontal="left"/>
    </xf>
    <xf numFmtId="0" fontId="9" fillId="6" borderId="41" applyAlignment="1" pivotButton="0" quotePrefix="0" xfId="1">
      <alignment horizontal="left"/>
    </xf>
    <xf numFmtId="0" fontId="9" fillId="6" borderId="36" applyAlignment="1" pivotButton="0" quotePrefix="0" xfId="1">
      <alignment horizontal="left"/>
    </xf>
    <xf numFmtId="0" fontId="9" fillId="6" borderId="42" applyAlignment="1" pivotButton="0" quotePrefix="0" xfId="1">
      <alignment horizontal="left"/>
    </xf>
    <xf numFmtId="43" fontId="9" fillId="6" borderId="45" applyAlignment="1" pivotButton="0" quotePrefix="0" xfId="1">
      <alignment horizontal="left"/>
    </xf>
    <xf numFmtId="43" fontId="9" fillId="6" borderId="37" applyAlignment="1" pivotButton="0" quotePrefix="0" xfId="1">
      <alignment horizontal="left"/>
    </xf>
    <xf numFmtId="43" fontId="9" fillId="6" borderId="47" applyAlignment="1" pivotButton="0" quotePrefix="0" xfId="1">
      <alignment horizontal="left"/>
    </xf>
    <xf numFmtId="0" fontId="36" fillId="0" borderId="0" pivotButton="0" quotePrefix="0" xfId="0"/>
    <xf numFmtId="0" fontId="37" fillId="0" borderId="0" pivotButton="0" quotePrefix="0" xfId="0"/>
    <xf numFmtId="0" fontId="33" fillId="24" borderId="0" pivotButton="0" quotePrefix="0" xfId="0"/>
    <xf numFmtId="0" fontId="38" fillId="0" borderId="0" pivotButton="0" quotePrefix="0" xfId="0"/>
    <xf numFmtId="0" fontId="35" fillId="0" borderId="0" applyAlignment="1" pivotButton="0" quotePrefix="0" xfId="0">
      <alignment vertical="top" wrapText="1"/>
    </xf>
    <xf numFmtId="0" fontId="0" fillId="0" borderId="0" applyAlignment="1" pivotButton="0" quotePrefix="0" xfId="0">
      <alignment vertical="top" wrapText="1"/>
    </xf>
    <xf numFmtId="0" fontId="33" fillId="24" borderId="0" applyAlignment="1" pivotButton="0" quotePrefix="0" xfId="0">
      <alignment vertical="top" wrapText="1"/>
    </xf>
    <xf numFmtId="174" fontId="0" fillId="0" borderId="0" pivotButton="0" quotePrefix="0" xfId="0"/>
    <xf numFmtId="4" fontId="0" fillId="0" borderId="0" pivotButton="0" quotePrefix="0" xfId="0"/>
    <xf numFmtId="0" fontId="0" fillId="22" borderId="0" pivotButton="0" quotePrefix="0" xfId="0"/>
    <xf numFmtId="175" fontId="0" fillId="0" borderId="0" pivotButton="0" quotePrefix="0" xfId="0"/>
    <xf numFmtId="165" fontId="3" fillId="0" borderId="0" applyAlignment="1" pivotButton="0" quotePrefix="0" xfId="0">
      <alignment horizontal="left"/>
    </xf>
    <xf numFmtId="0" fontId="32" fillId="0" borderId="0" pivotButton="0" quotePrefix="0" xfId="0"/>
    <xf numFmtId="0" fontId="33" fillId="23" borderId="0" applyAlignment="1" pivotButton="0" quotePrefix="0" xfId="0">
      <alignment vertical="top" wrapText="1"/>
    </xf>
    <xf numFmtId="168" fontId="15" fillId="0" borderId="10" applyAlignment="1" pivotButton="0" quotePrefix="0" xfId="3">
      <alignment horizontal="center"/>
    </xf>
    <xf numFmtId="0" fontId="34" fillId="23" borderId="0" pivotButton="0" quotePrefix="0" xfId="0"/>
    <xf numFmtId="4" fontId="34" fillId="23" borderId="0" pivotButton="0" quotePrefix="0" xfId="0"/>
    <xf numFmtId="168" fontId="15" fillId="0" borderId="8" applyAlignment="1" pivotButton="0" quotePrefix="0" xfId="3">
      <alignment horizontal="center"/>
    </xf>
    <xf numFmtId="43" fontId="34" fillId="23" borderId="0" applyAlignment="1" pivotButton="0" quotePrefix="0" xfId="1">
      <alignment horizontal="left"/>
    </xf>
    <xf numFmtId="43" fontId="34" fillId="23" borderId="0" applyAlignment="1" pivotButton="0" quotePrefix="0" xfId="0">
      <alignment horizontal="left"/>
    </xf>
    <xf numFmtId="4" fontId="34" fillId="23" borderId="0" applyAlignment="1" pivotButton="0" quotePrefix="0" xfId="0">
      <alignment horizontal="left"/>
    </xf>
    <xf numFmtId="168" fontId="15" fillId="11" borderId="8" applyAlignment="1" pivotButton="0" quotePrefix="0" xfId="3">
      <alignment horizontal="center"/>
    </xf>
    <xf numFmtId="4" fontId="34" fillId="23" borderId="0" applyAlignment="1" pivotButton="0" quotePrefix="0" xfId="1">
      <alignment horizontal="left"/>
    </xf>
    <xf numFmtId="168" fontId="17" fillId="0" borderId="8" applyAlignment="1" pivotButton="0" quotePrefix="0" xfId="3">
      <alignment horizontal="center"/>
    </xf>
    <xf numFmtId="165" fontId="15" fillId="0" borderId="8" applyAlignment="1" pivotButton="0" quotePrefix="0" xfId="1">
      <alignment horizontal="right"/>
    </xf>
    <xf numFmtId="173" fontId="30" fillId="0" borderId="8" pivotButton="0" quotePrefix="0" xfId="0"/>
    <xf numFmtId="173" fontId="29" fillId="0" borderId="8" pivotButton="0" quotePrefix="0" xfId="0"/>
    <xf numFmtId="165" fontId="16" fillId="0" borderId="8" applyAlignment="1" pivotButton="0" quotePrefix="0" xfId="0">
      <alignment horizontal="left"/>
    </xf>
    <xf numFmtId="165" fontId="19" fillId="0" borderId="8" applyAlignment="1" pivotButton="0" quotePrefix="0" xfId="0">
      <alignment horizontal="left"/>
    </xf>
    <xf numFmtId="165" fontId="19" fillId="0" borderId="14" applyAlignment="1" pivotButton="0" quotePrefix="0" xfId="0">
      <alignment horizontal="left"/>
    </xf>
    <xf numFmtId="165" fontId="16" fillId="0" borderId="0" applyAlignment="1" pivotButton="0" quotePrefix="0" xfId="0">
      <alignment horizontal="left"/>
    </xf>
    <xf numFmtId="165" fontId="15" fillId="0" borderId="0" applyAlignment="1" pivotButton="0" quotePrefix="0" xfId="0">
      <alignment horizontal="left"/>
    </xf>
    <xf numFmtId="165" fontId="4" fillId="0" borderId="0" applyAlignment="1" pivotButton="0" quotePrefix="0" xfId="0">
      <alignment horizontal="left"/>
    </xf>
    <xf numFmtId="165" fontId="7" fillId="0" borderId="0" applyAlignment="1" pivotButton="0" quotePrefix="0" xfId="0">
      <alignment horizontal="left"/>
    </xf>
    <xf numFmtId="0" fontId="33" fillId="23" borderId="0" pivotButton="0" quotePrefix="0" xfId="0"/>
    <xf numFmtId="164" fontId="3" fillId="0" borderId="5" pivotButton="0" quotePrefix="0" xfId="1"/>
    <xf numFmtId="165" fontId="3" fillId="0" borderId="0" pivotButton="0" quotePrefix="0" xfId="0"/>
    <xf numFmtId="165" fontId="7" fillId="0" borderId="0" pivotButton="0" quotePrefix="0" xfId="0"/>
    <xf numFmtId="170" fontId="3" fillId="0" borderId="0" pivotButton="0" quotePrefix="0" xfId="1"/>
    <xf numFmtId="165" fontId="3" fillId="3" borderId="0" pivotButton="0" quotePrefix="0" xfId="0"/>
    <xf numFmtId="165" fontId="3" fillId="10" borderId="0" pivotButton="0" quotePrefix="0" xfId="0"/>
    <xf numFmtId="165" fontId="5" fillId="0" borderId="0" pivotButton="0" quotePrefix="0" xfId="0"/>
    <xf numFmtId="167" fontId="3" fillId="0" borderId="0" pivotButton="0" quotePrefix="0" xfId="1"/>
    <xf numFmtId="165" fontId="3" fillId="5" borderId="0" pivotButton="0" quotePrefix="0" xfId="0"/>
    <xf numFmtId="165" fontId="3" fillId="4" borderId="0" pivotButton="0" quotePrefix="0" xfId="0"/>
    <xf numFmtId="165" fontId="4" fillId="0" borderId="0" applyAlignment="1" pivotButton="0" quotePrefix="0" xfId="0">
      <alignment horizontal="right"/>
    </xf>
    <xf numFmtId="165" fontId="7" fillId="3" borderId="0" pivotButton="0" quotePrefix="0" xfId="0"/>
    <xf numFmtId="165" fontId="3" fillId="10" borderId="0" applyAlignment="1" pivotButton="0" quotePrefix="0" xfId="0">
      <alignment horizontal="right"/>
    </xf>
    <xf numFmtId="165" fontId="21" fillId="0" borderId="0" pivotButton="0" quotePrefix="0" xfId="0"/>
    <xf numFmtId="169" fontId="3" fillId="0" borderId="0" pivotButton="0" quotePrefix="0" xfId="1"/>
    <xf numFmtId="165" fontId="3" fillId="11" borderId="0" pivotButton="0" quotePrefix="0" xfId="0"/>
    <xf numFmtId="165" fontId="3" fillId="20" borderId="0" pivotButton="0" quotePrefix="0" xfId="0"/>
    <xf numFmtId="168" fontId="3" fillId="0" borderId="0" pivotButton="0" quotePrefix="0" xfId="3"/>
    <xf numFmtId="165" fontId="21" fillId="16" borderId="0" pivotButton="0" quotePrefix="0" xfId="0"/>
    <xf numFmtId="167" fontId="3" fillId="0" borderId="7" pivotButton="0" quotePrefix="0" xfId="1"/>
    <xf numFmtId="171" fontId="3" fillId="0" borderId="0" applyAlignment="1" pivotButton="0" quotePrefix="0" xfId="1">
      <alignment horizontal="right"/>
    </xf>
    <xf numFmtId="172" fontId="3" fillId="0" borderId="0" applyAlignment="1" pivotButton="0" quotePrefix="0" xfId="1">
      <alignment horizontal="right"/>
    </xf>
    <xf numFmtId="165" fontId="3" fillId="16" borderId="0" pivotButton="0" quotePrefix="0" xfId="0"/>
    <xf numFmtId="165" fontId="3" fillId="17" borderId="0" pivotButton="0" quotePrefix="0" xfId="0"/>
    <xf numFmtId="165" fontId="3" fillId="15" borderId="0" pivotButton="0" quotePrefix="0" xfId="0"/>
    <xf numFmtId="0" fontId="9" fillId="6" borderId="43" applyAlignment="1" pivotButton="0" quotePrefix="0" xfId="0">
      <alignment horizontal="center"/>
    </xf>
    <xf numFmtId="0" fontId="0" fillId="0" borderId="34" pivotButton="0" quotePrefix="0" xfId="0"/>
    <xf numFmtId="0" fontId="0" fillId="0" borderId="35" pivotButton="0" quotePrefix="0" xfId="0"/>
    <xf numFmtId="43" fontId="9" fillId="6" borderId="16" applyAlignment="1" pivotButton="0" quotePrefix="0" xfId="1">
      <alignment horizontal="left"/>
    </xf>
    <xf numFmtId="0" fontId="0" fillId="0" borderId="29" pivotButton="0" quotePrefix="0" xfId="0"/>
    <xf numFmtId="0" fontId="0" fillId="0" borderId="10" pivotButton="0" quotePrefix="0" xfId="0"/>
    <xf numFmtId="43" fontId="9" fillId="6" borderId="14" applyAlignment="1" pivotButton="0" quotePrefix="0" xfId="1">
      <alignment horizontal="left"/>
    </xf>
    <xf numFmtId="0" fontId="9" fillId="6" borderId="26" applyAlignment="1" pivotButton="0" quotePrefix="0" xfId="1">
      <alignment horizontal="left"/>
    </xf>
    <xf numFmtId="43" fontId="9" fillId="6" borderId="65" applyAlignment="1" pivotButton="0" quotePrefix="0" xfId="1">
      <alignment horizontal="left"/>
    </xf>
    <xf numFmtId="0" fontId="0" fillId="0" borderId="44" pivotButton="0" quotePrefix="0" xfId="0"/>
    <xf numFmtId="0" fontId="0" fillId="0" borderId="36" pivotButton="0" quotePrefix="0" xfId="0"/>
    <xf numFmtId="0" fontId="0" fillId="0" borderId="37" pivotButton="0" quotePrefix="0" xfId="0"/>
    <xf numFmtId="0" fontId="0" fillId="0" borderId="46" pivotButton="0" quotePrefix="0" xfId="0"/>
    <xf numFmtId="0" fontId="0" fillId="0" borderId="42" pivotButton="0" quotePrefix="0" xfId="0"/>
    <xf numFmtId="0" fontId="0" fillId="0" borderId="47" pivotButton="0" quotePrefix="0" xfId="0"/>
    <xf numFmtId="0" fontId="1" fillId="0" borderId="0" applyAlignment="1" pivotButton="0" quotePrefix="0" xfId="0">
      <alignment vertical="top" wrapText="1"/>
    </xf>
    <xf numFmtId="0" fontId="39" fillId="25" borderId="66" applyAlignment="1" pivotButton="0" quotePrefix="0" xfId="0">
      <alignment vertical="center" wrapText="1"/>
    </xf>
    <xf numFmtId="0" fontId="39" fillId="24" borderId="66" applyAlignment="1" pivotButton="0" quotePrefix="0" xfId="0">
      <alignment vertical="center" wrapText="1"/>
    </xf>
    <xf numFmtId="4" fontId="0" fillId="26" borderId="66" pivotButton="0" quotePrefix="0" xfId="0"/>
    <xf numFmtId="176" fontId="0" fillId="26" borderId="66" pivotButton="0" quotePrefix="0" xfId="0"/>
    <xf numFmtId="49" fontId="0" fillId="26" borderId="66" pivotButton="0" quotePrefix="0" xfId="0"/>
    <xf numFmtId="4" fontId="0" fillId="0" borderId="66" pivotButton="0" quotePrefix="0" xfId="0"/>
  </cellXfs>
  <cellStyles count="7">
    <cellStyle name="Normal" xfId="0" builtinId="0"/>
    <cellStyle name="Comma" xfId="1" builtinId="3"/>
    <cellStyle name="Normal 2 2" xfId="2"/>
    <cellStyle name="Percent" xfId="3" builtinId="5"/>
    <cellStyle name="Comma 2" xfId="4"/>
    <cellStyle name="Comma 3" xfId="5"/>
    <cellStyle name="Normal 2" xf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externalLink" Target="/xl/externalLinks/externalLink4.xml" Id="rId16"/><Relationship Type="http://schemas.openxmlformats.org/officeDocument/2006/relationships/externalLink" Target="/xl/externalLinks/externalLink5.xml" Id="rId17"/><Relationship Type="http://schemas.openxmlformats.org/officeDocument/2006/relationships/externalLink" Target="/xl/externalLinks/externalLink6.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Stanley Ching'amba</author>
  </authors>
  <commentList>
    <comment ref="Q5" authorId="0" shapeId="0">
      <text>
        <t>Clossed</t>
      </text>
    </comment>
    <comment ref="R8" authorId="0" shapeId="0">
      <text>
        <t>Reported</t>
      </text>
    </comment>
    <comment ref="Q21" authorId="0" shapeId="0">
      <text>
        <t>Clossed</t>
      </text>
    </comment>
    <comment ref="Q23" authorId="0" shapeId="0">
      <text>
        <t>Clossed</t>
      </text>
    </comment>
    <comment ref="Q24" authorId="0" shapeId="0">
      <text>
        <t>Clossed</t>
      </text>
    </comment>
    <comment ref="Q26" authorId="0" shapeId="0">
      <text>
        <t>Clossed</t>
      </text>
    </comment>
    <comment ref="Q36" authorId="0" shapeId="0">
      <text>
        <t>Clossed</t>
      </text>
    </comment>
    <comment ref="Q45" authorId="0" shapeId="0">
      <text>
        <t>Clossed</t>
      </text>
    </comment>
    <comment ref="Q65" authorId="0" shapeId="0">
      <text>
        <t>Clossed</t>
      </text>
    </comment>
  </commentList>
</comments>
</file>

<file path=xl/comments/comment2.xml><?xml version="1.0" encoding="utf-8"?>
<comments xmlns="http://schemas.openxmlformats.org/spreadsheetml/2006/main">
  <authors>
    <author>Tamanda Sitimawina</author>
    <author>tc={2CC6048C-8398-4311-A176-CAA1359B4B30}</author>
    <author>Stanley Ching'amba</author>
  </authors>
  <commentList>
    <comment ref="K1570" authorId="0" shapeId="0">
      <text>
        <t>Tamanda Sitimawina:
Reconcilng amount to agree with GL balance</t>
      </text>
    </comment>
    <comment ref="K2305" authorId="1" shapeId="0">
      <text>
        <t>[Threaded comment]
Your version of Excel allows you to read this threaded comment; however, any edits to it will get removed if the file is opened in a newer version of Excel. Learn more: https://go.microsoft.com/fwlink/?linkid=870924
Comment:
    Returned Cheque</t>
      </text>
    </comment>
    <comment ref="K4446" authorId="2" shapeId="0">
      <text>
        <t>Returned Cheque No.000246 GY IMPORT</t>
      </text>
    </comment>
  </commentList>
</comments>
</file>

<file path=xl/externalLinks/_rels/externalLink1.xml.rels><Relationships xmlns="http://schemas.openxmlformats.org/package/2006/relationships"><Relationship Type="http://schemas.openxmlformats.org/officeDocument/2006/relationships/externalLinkPath" Target="../../../../../../schingamba_maiic_mw/Documents/Desktop/Finance%20Cash%20%20Investments%20Management%20Dashboard%20as%20at%2031%20MAY%202024.xlsx" TargetMode="External" Id="rId3"/></Relationships>
</file>

<file path=xl/externalLinks/_rels/externalLink2.xml.rels><Relationships xmlns="http://schemas.openxmlformats.org/package/2006/relationships"><Relationship Type="http://schemas.openxmlformats.org/officeDocument/2006/relationships/externalLinkPath" Target="file:///C:\Users\schingamba\AppData\Roaming\Microsoft\Windows\Network%20Shortcuts\REcon%20Term%20loans%20detailed.xlsx" TargetMode="External" Id="rId2"/></Relationships>
</file>

<file path=xl/externalLinks/_rels/externalLink3.xml.rels><Relationships xmlns="http://schemas.openxmlformats.org/package/2006/relationships"><Relationship Type="http://schemas.openxmlformats.org/officeDocument/2006/relationships/externalLinkPath" Target="file:///C:\Users\tsitimawina\Desktop\Old_Files\Documents\Management%20Accounts%20-%20October%202020_Revised%20.xlsx" TargetMode="External" Id="rId1"/></Relationships>
</file>

<file path=xl/externalLinks/_rels/externalLink4.xml.rels><Relationships xmlns="http://schemas.openxmlformats.org/package/2006/relationships"><Relationship Type="http://schemas.openxmlformats.org/officeDocument/2006/relationships/externalLinkPath" Target="file:///C:\Users\tsitimawina\Desktop\Old_Files\Documents\Management%20accounts\Management%20Accounts%20-%20October%202020_Revised.xlsx" TargetMode="External" Id="rId1"/></Relationships>
</file>

<file path=xl/externalLinks/_rels/externalLink5.xml.rels><Relationships xmlns="http://schemas.openxmlformats.org/package/2006/relationships"><Relationship Type="http://schemas.openxmlformats.org/officeDocument/2006/relationships/externalLinkPath" Target="file:///C:\Users\schingamba\AppData\Local\Microsoft\Windows\INetCache\Content.Outlook\DOXNG15H\Ammortization%20schedule-%20HoM.xlsx" TargetMode="External" Id="rId2"/></Relationships>
</file>

<file path=xl/externalLinks/_rels/externalLink6.xml.rels><Relationships xmlns="http://schemas.openxmlformats.org/package/2006/relationships"><Relationship Type="http://schemas.openxmlformats.org/officeDocument/2006/relationships/externalLinkPath" Target="file:///C:\Users\schingamba\AppData\Local\Microsoft\Windows\INetCache\Content.Outlook\DOXNG15H\AMMORTIZATION%20SCHEDULE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Cash position"/>
      <sheetName val="Loan Book"/>
      <sheetName val="Amortisation and Repayments"/>
      <sheetName val="Sheet2"/>
      <sheetName val="Sheet1"/>
    </sheetNames>
    <sheetDataSet>
      <sheetData sheetId="0" refreshError="1"/>
      <sheetData sheetId="1" refreshError="1"/>
      <sheetData sheetId="2" refreshError="1">
        <row r="6">
          <cell r="D6">
            <v>607931248.68072712</v>
          </cell>
        </row>
        <row r="12">
          <cell r="K12">
            <v>0.30670000000000008</v>
          </cell>
        </row>
        <row r="15">
          <cell r="H15">
            <v>9762362.6350646764</v>
          </cell>
          <cell r="K15">
            <v>10857434.869999999</v>
          </cell>
        </row>
        <row r="16">
          <cell r="H16">
            <v>10402183.457907986</v>
          </cell>
          <cell r="K16">
            <v>10857434.869999999</v>
          </cell>
        </row>
        <row r="17">
          <cell r="H17">
            <v>10384979.308579693</v>
          </cell>
          <cell r="K17">
            <v>11954222.199999999</v>
          </cell>
        </row>
        <row r="18">
          <cell r="H18">
            <v>10367480.251458334</v>
          </cell>
          <cell r="K18">
            <v>11405828.529999999</v>
          </cell>
        </row>
        <row r="19">
          <cell r="H19">
            <v>10349681.231332818</v>
          </cell>
          <cell r="K19">
            <v>11405828.529999999</v>
          </cell>
        </row>
        <row r="20">
          <cell r="H20">
            <v>10532482.835191714</v>
          </cell>
          <cell r="K20">
            <v>11405828.529999999</v>
          </cell>
        </row>
        <row r="21">
          <cell r="H21">
            <v>10514281.576957621</v>
          </cell>
          <cell r="K21">
            <v>11405828.529999999</v>
          </cell>
        </row>
        <row r="22">
          <cell r="H22">
            <v>11847147.94938428</v>
          </cell>
          <cell r="K22">
            <v>11405828.529999999</v>
          </cell>
        </row>
        <row r="23">
          <cell r="H23">
            <v>12179721.048952293</v>
          </cell>
          <cell r="K23"/>
        </row>
        <row r="24">
          <cell r="H24">
            <v>12162542.042638632</v>
          </cell>
          <cell r="K24">
            <v>27704813.990000002</v>
          </cell>
        </row>
        <row r="25">
          <cell r="H25">
            <v>12145014.159338418</v>
          </cell>
          <cell r="K25">
            <v>13025630.26</v>
          </cell>
        </row>
        <row r="26">
          <cell r="H26">
            <v>12127130.313941516</v>
          </cell>
          <cell r="K26">
            <v>13025630.26</v>
          </cell>
        </row>
        <row r="27">
          <cell r="H27">
            <v>12108883.27745101</v>
          </cell>
          <cell r="K27">
            <v>13025630.26</v>
          </cell>
        </row>
        <row r="28">
          <cell r="H28">
            <v>13429769.872664517</v>
          </cell>
          <cell r="K28">
            <v>13025630.26</v>
          </cell>
        </row>
        <row r="29">
          <cell r="H29">
            <v>13412540.99634653</v>
          </cell>
          <cell r="K29">
            <v>13025630.26</v>
          </cell>
        </row>
        <row r="30">
          <cell r="H30">
            <v>14087679.019464679</v>
          </cell>
          <cell r="K30">
            <v>13025630.26</v>
          </cell>
        </row>
        <row r="31">
          <cell r="H31">
            <v>14713111.306996249</v>
          </cell>
          <cell r="K31">
            <v>13025630.26</v>
          </cell>
        </row>
        <row r="32">
          <cell r="H32">
            <v>15042109.899384143</v>
          </cell>
          <cell r="K32">
            <v>19498000.59</v>
          </cell>
        </row>
        <row r="33">
          <cell r="H33">
            <v>15074927.426171172</v>
          </cell>
          <cell r="K33">
            <v>209494816.30000001</v>
          </cell>
        </row>
        <row r="34">
          <cell r="H34">
            <v>4355178.0821910882</v>
          </cell>
          <cell r="K34">
            <v>209679601.60000002</v>
          </cell>
        </row>
        <row r="35">
          <cell r="H35">
            <v>2680109.5890696035</v>
          </cell>
          <cell r="K35">
            <v>100000000</v>
          </cell>
        </row>
        <row r="36">
          <cell r="H36">
            <v>1444789.7863565853</v>
          </cell>
          <cell r="K36">
            <v>98800475.857553482</v>
          </cell>
        </row>
        <row r="492">
          <cell r="M492">
            <v>0.29300000000000004</v>
          </cell>
        </row>
        <row r="502">
          <cell r="K502">
            <v>0</v>
          </cell>
        </row>
        <row r="503">
          <cell r="K503">
            <v>0</v>
          </cell>
        </row>
        <row r="504">
          <cell r="K504">
            <v>0</v>
          </cell>
        </row>
        <row r="505">
          <cell r="K505">
            <v>0</v>
          </cell>
        </row>
        <row r="506">
          <cell r="K506"/>
        </row>
        <row r="507">
          <cell r="K507"/>
        </row>
        <row r="508">
          <cell r="K508"/>
        </row>
        <row r="509">
          <cell r="K509"/>
        </row>
        <row r="510">
          <cell r="F510">
            <v>395623962</v>
          </cell>
          <cell r="H510">
            <v>6758576.017500001</v>
          </cell>
          <cell r="K510"/>
        </row>
        <row r="511">
          <cell r="H511">
            <v>6639432.0790655492</v>
          </cell>
          <cell r="K511"/>
        </row>
        <row r="512">
          <cell r="H512">
            <v>7376754.3487012303</v>
          </cell>
          <cell r="K512"/>
        </row>
        <row r="513">
          <cell r="H513">
            <v>7462048.3761385828</v>
          </cell>
          <cell r="K513"/>
        </row>
        <row r="514">
          <cell r="H514">
            <v>7323721.4187875027</v>
          </cell>
          <cell r="K514"/>
        </row>
        <row r="515">
          <cell r="H515">
            <v>7182639.4495358495</v>
          </cell>
          <cell r="K515"/>
        </row>
        <row r="516">
          <cell r="H516">
            <v>7038747.5977299325</v>
          </cell>
          <cell r="K516">
            <v>56142542.590000004</v>
          </cell>
        </row>
        <row r="517">
          <cell r="H517">
            <v>6891989.8998755477</v>
          </cell>
          <cell r="K517">
            <v>28814669.879999999</v>
          </cell>
        </row>
        <row r="518">
          <cell r="H518">
            <v>7503992.7527782964</v>
          </cell>
          <cell r="K518">
            <v>14407334.93</v>
          </cell>
        </row>
        <row r="519">
          <cell r="H519">
            <v>7340426.4864501739</v>
          </cell>
          <cell r="K519">
            <v>22017653.699999999</v>
          </cell>
        </row>
        <row r="520">
          <cell r="H520">
            <v>7550773.1591773098</v>
          </cell>
          <cell r="K520"/>
        </row>
        <row r="521">
          <cell r="H521">
            <v>7722318.1344574867</v>
          </cell>
          <cell r="K521"/>
        </row>
        <row r="522">
          <cell r="H522">
            <v>7716211.3553454829</v>
          </cell>
          <cell r="K522">
            <v>23677014.800000001</v>
          </cell>
        </row>
        <row r="523">
          <cell r="H523">
            <v>7547702.9891169481</v>
          </cell>
          <cell r="K523"/>
        </row>
        <row r="524">
          <cell r="H524">
            <v>7348852.5664423518</v>
          </cell>
          <cell r="K524"/>
        </row>
        <row r="525">
          <cell r="H525">
            <v>7168751.9014098495</v>
          </cell>
          <cell r="K525">
            <v>23677014.800000001</v>
          </cell>
        </row>
        <row r="526">
          <cell r="H526">
            <v>6959332.7499951608</v>
          </cell>
          <cell r="K526"/>
        </row>
        <row r="527">
          <cell r="H527">
            <v>7034975.5404967181</v>
          </cell>
          <cell r="K527"/>
        </row>
        <row r="528">
          <cell r="H528">
            <v>6808326.4784883335</v>
          </cell>
          <cell r="K528"/>
        </row>
        <row r="529">
          <cell r="H529">
            <v>6575727.8786022291</v>
          </cell>
          <cell r="K529">
            <v>26075465.780000001</v>
          </cell>
        </row>
        <row r="530">
          <cell r="H530">
            <v>6357141.1005975874</v>
          </cell>
          <cell r="K530">
            <v>351120707.80000001</v>
          </cell>
        </row>
        <row r="962">
          <cell r="H962">
            <v>126967.74193548386</v>
          </cell>
          <cell r="K962"/>
        </row>
        <row r="963">
          <cell r="H963">
            <v>197858.06451612903</v>
          </cell>
          <cell r="K963"/>
        </row>
        <row r="964">
          <cell r="H964">
            <v>199506.88172043013</v>
          </cell>
          <cell r="K964"/>
        </row>
        <row r="965">
          <cell r="H965">
            <v>201169.43906810039</v>
          </cell>
          <cell r="K965">
            <v>0</v>
          </cell>
        </row>
        <row r="966">
          <cell r="H966">
            <v>202845.85106033456</v>
          </cell>
          <cell r="K966">
            <v>900000</v>
          </cell>
        </row>
        <row r="967">
          <cell r="H967">
            <v>197480.09243904287</v>
          </cell>
          <cell r="K967">
            <v>900000</v>
          </cell>
        </row>
        <row r="968">
          <cell r="H968">
            <v>192069.61916257377</v>
          </cell>
          <cell r="K968">
            <v>900000</v>
          </cell>
        </row>
        <row r="969">
          <cell r="H969">
            <v>186614.05860880073</v>
          </cell>
          <cell r="K969">
            <v>900000</v>
          </cell>
        </row>
        <row r="970">
          <cell r="H970">
            <v>181113.03505041293</v>
          </cell>
          <cell r="K970">
            <v>900000</v>
          </cell>
        </row>
        <row r="971">
          <cell r="H971">
            <v>175566.16962903854</v>
          </cell>
          <cell r="K971">
            <v>700000</v>
          </cell>
        </row>
        <row r="972">
          <cell r="H972">
            <v>169973.08032915276</v>
          </cell>
          <cell r="K972">
            <v>850000</v>
          </cell>
        </row>
        <row r="973">
          <cell r="H973">
            <v>164333.38195176789</v>
          </cell>
          <cell r="K973">
            <v>0</v>
          </cell>
        </row>
        <row r="974">
          <cell r="H974">
            <v>158646.68608790482</v>
          </cell>
          <cell r="K974">
            <v>1000000</v>
          </cell>
        </row>
        <row r="975">
          <cell r="H975">
            <v>152912.60109184287</v>
          </cell>
          <cell r="K975">
            <v>2000000</v>
          </cell>
        </row>
        <row r="976">
          <cell r="H976">
            <v>147130.73205414708</v>
          </cell>
          <cell r="K976">
            <v>650000</v>
          </cell>
        </row>
        <row r="977">
          <cell r="H977">
            <v>141300.6807744705</v>
          </cell>
          <cell r="K977">
            <v>600000</v>
          </cell>
        </row>
        <row r="978">
          <cell r="H978">
            <v>135422.04573412996</v>
          </cell>
          <cell r="K978">
            <v>800000</v>
          </cell>
        </row>
        <row r="979">
          <cell r="H979">
            <v>129494.42206845325</v>
          </cell>
          <cell r="K979">
            <v>300000</v>
          </cell>
        </row>
        <row r="980">
          <cell r="H980">
            <v>123517.40153889589</v>
          </cell>
          <cell r="K980">
            <v>1000000</v>
          </cell>
        </row>
        <row r="981">
          <cell r="K981">
            <v>14200000</v>
          </cell>
        </row>
        <row r="982">
          <cell r="K982"/>
        </row>
        <row r="983">
          <cell r="K983"/>
        </row>
        <row r="984">
          <cell r="K984">
            <v>350000</v>
          </cell>
        </row>
        <row r="985">
          <cell r="K985"/>
        </row>
        <row r="986">
          <cell r="K986"/>
        </row>
        <row r="1094">
          <cell r="H1094">
            <v>108333.33333333333</v>
          </cell>
          <cell r="K1094"/>
        </row>
        <row r="1095">
          <cell r="H1095">
            <v>104237.07742454682</v>
          </cell>
          <cell r="K1095"/>
        </row>
        <row r="1096">
          <cell r="H1096">
            <v>100106.68604985376</v>
          </cell>
          <cell r="K1096"/>
        </row>
        <row r="1097">
          <cell r="H1097">
            <v>95941.874747038266</v>
          </cell>
          <cell r="K1097"/>
        </row>
        <row r="1098">
          <cell r="H1098">
            <v>91742.356683365957</v>
          </cell>
          <cell r="K1098"/>
        </row>
        <row r="1099">
          <cell r="H1099">
            <v>87507.842635829715</v>
          </cell>
          <cell r="K1099"/>
        </row>
        <row r="1100">
          <cell r="H1100">
            <v>83238.040971230672</v>
          </cell>
          <cell r="K1100"/>
        </row>
        <row r="1101">
          <cell r="H1101">
            <v>78932.657626093307</v>
          </cell>
          <cell r="K1101"/>
        </row>
        <row r="1102">
          <cell r="H1102">
            <v>74591.396086413122</v>
          </cell>
          <cell r="K1102"/>
        </row>
        <row r="1103">
          <cell r="H1103">
            <v>70213.957367235605</v>
          </cell>
          <cell r="K1103"/>
        </row>
        <row r="1104">
          <cell r="H1104">
            <v>65800.039992064951</v>
          </cell>
          <cell r="K1104"/>
        </row>
        <row r="1105">
          <cell r="H1105">
            <v>61349.339972101203</v>
          </cell>
          <cell r="K1105">
            <v>7200000</v>
          </cell>
        </row>
        <row r="1106">
          <cell r="H1106">
            <v>56861.550785304426</v>
          </cell>
          <cell r="K1106"/>
        </row>
        <row r="1107">
          <cell r="H1107">
            <v>52336.363355284338</v>
          </cell>
          <cell r="K1107"/>
        </row>
        <row r="1108">
          <cell r="H1108">
            <v>47773.466030014089</v>
          </cell>
          <cell r="K1108"/>
        </row>
        <row r="1109">
          <cell r="H1109">
            <v>43172.544560366579</v>
          </cell>
          <cell r="K1109"/>
        </row>
        <row r="1110">
          <cell r="H1110">
            <v>38533.28207847201</v>
          </cell>
          <cell r="K1110"/>
        </row>
        <row r="1111">
          <cell r="H1111">
            <v>33855.359075894987</v>
          </cell>
          <cell r="K1111"/>
        </row>
        <row r="1112">
          <cell r="K1112">
            <v>7094527.1699999999</v>
          </cell>
        </row>
        <row r="1135">
          <cell r="H1135">
            <v>118356.16438356164</v>
          </cell>
        </row>
        <row r="1136">
          <cell r="H1136">
            <v>200986.30136986301</v>
          </cell>
        </row>
        <row r="1137">
          <cell r="H1137">
            <v>202661.18721461188</v>
          </cell>
        </row>
        <row r="1138">
          <cell r="H1138">
            <v>204350.0304414003</v>
          </cell>
        </row>
        <row r="1139">
          <cell r="H1139">
            <v>206052.94736174532</v>
          </cell>
        </row>
        <row r="1140">
          <cell r="H1140">
            <v>197033.70444200782</v>
          </cell>
        </row>
        <row r="1141">
          <cell r="H1141">
            <v>187939.3011646058</v>
          </cell>
        </row>
        <row r="1142">
          <cell r="H1142">
            <v>178769.11119322546</v>
          </cell>
        </row>
        <row r="1143">
          <cell r="H1143">
            <v>169522.50297208363</v>
          </cell>
        </row>
        <row r="1144">
          <cell r="H1144">
            <v>160198.83968243227</v>
          </cell>
        </row>
        <row r="1145">
          <cell r="H1145">
            <v>150797.47919870046</v>
          </cell>
        </row>
        <row r="1146">
          <cell r="H1146">
            <v>141317.77404427092</v>
          </cell>
        </row>
        <row r="1147">
          <cell r="H1147">
            <v>131759.07134688777</v>
          </cell>
        </row>
        <row r="1302">
          <cell r="H1302">
            <v>2259.3258009863011</v>
          </cell>
        </row>
        <row r="1303">
          <cell r="H1303">
            <v>3290.0589212476934</v>
          </cell>
        </row>
        <row r="1304">
          <cell r="H1304">
            <v>3315.7213808334254</v>
          </cell>
        </row>
        <row r="1305">
          <cell r="H1305">
            <v>3341.5840076039262</v>
          </cell>
        </row>
        <row r="1306">
          <cell r="H1306">
            <v>4334.6851088632366</v>
          </cell>
        </row>
        <row r="1307">
          <cell r="H1307">
            <v>4368.4956527123704</v>
          </cell>
        </row>
        <row r="1308">
          <cell r="H1308">
            <v>4402.5699188035278</v>
          </cell>
        </row>
        <row r="1309">
          <cell r="H1309">
            <v>4436.9099641701951</v>
          </cell>
        </row>
        <row r="1310">
          <cell r="H1310">
            <v>5637.169954093004</v>
          </cell>
        </row>
        <row r="1311">
          <cell r="H1311">
            <v>5692.6021253082527</v>
          </cell>
        </row>
        <row r="1312">
          <cell r="H1312">
            <v>5748.5793795404506</v>
          </cell>
        </row>
        <row r="1313">
          <cell r="H1313">
            <v>5805.1070767725978</v>
          </cell>
        </row>
        <row r="1314">
          <cell r="H1314">
            <v>5862.1906296941952</v>
          </cell>
        </row>
        <row r="1315">
          <cell r="H1315">
            <v>6722.5250641136936</v>
          </cell>
        </row>
        <row r="1316">
          <cell r="H1316">
            <v>6797.5932606629622</v>
          </cell>
        </row>
        <row r="1317">
          <cell r="H1317">
            <v>6873.499718740366</v>
          </cell>
        </row>
        <row r="1318">
          <cell r="H1318">
            <v>6120.3727483141047</v>
          </cell>
        </row>
        <row r="1760">
          <cell r="H1760">
            <v>41666.666666666664</v>
          </cell>
        </row>
        <row r="1761">
          <cell r="H1761">
            <v>83680.555555555547</v>
          </cell>
        </row>
        <row r="1762">
          <cell r="H1762">
            <v>84377.893518518511</v>
          </cell>
        </row>
        <row r="1763">
          <cell r="H1763">
            <v>85081.042631172837</v>
          </cell>
        </row>
        <row r="1764">
          <cell r="H1764">
            <v>85790.051319765946</v>
          </cell>
        </row>
        <row r="1765">
          <cell r="H1765">
            <v>82034.89361463832</v>
          </cell>
        </row>
        <row r="1766">
          <cell r="H1766">
            <v>78248.442928634613</v>
          </cell>
        </row>
        <row r="1767">
          <cell r="H1767">
            <v>74430.438486914209</v>
          </cell>
        </row>
        <row r="1768">
          <cell r="H1768">
            <v>70580.617341512814</v>
          </cell>
        </row>
        <row r="1769">
          <cell r="H1769">
            <v>66698.714353233067</v>
          </cell>
        </row>
        <row r="1770">
          <cell r="H1770">
            <v>62784.462173384323</v>
          </cell>
        </row>
        <row r="1771">
          <cell r="H1771">
            <v>58837.591225370183</v>
          </cell>
        </row>
        <row r="2013">
          <cell r="H2013">
            <v>52777.777777777774</v>
          </cell>
        </row>
        <row r="2014">
          <cell r="H2014">
            <v>83773.148148148146</v>
          </cell>
        </row>
        <row r="2015">
          <cell r="H2015">
            <v>84471.257716049382</v>
          </cell>
        </row>
        <row r="2016">
          <cell r="H2016">
            <v>85175.184863683113</v>
          </cell>
        </row>
        <row r="2017">
          <cell r="H2017">
            <v>85884.978070880476</v>
          </cell>
        </row>
        <row r="2018">
          <cell r="H2018">
            <v>82125.66528115519</v>
          </cell>
        </row>
        <row r="2019">
          <cell r="H2019">
            <v>78335.02488484887</v>
          </cell>
        </row>
        <row r="2020">
          <cell r="H2020">
            <v>74512.79581857333</v>
          </cell>
        </row>
        <row r="2021">
          <cell r="H2021">
            <v>70658.714843412148</v>
          </cell>
        </row>
        <row r="2022">
          <cell r="H2022">
            <v>66772.516526791296</v>
          </cell>
        </row>
        <row r="2023">
          <cell r="H2023">
            <v>62853.933224198605</v>
          </cell>
        </row>
        <row r="2024">
          <cell r="H2024">
            <v>58902.695060750964</v>
          </cell>
        </row>
        <row r="2025">
          <cell r="H2025">
            <v>54918.529912607941</v>
          </cell>
        </row>
        <row r="2026">
          <cell r="H2026">
            <v>50901.163388230379</v>
          </cell>
        </row>
        <row r="2027">
          <cell r="H2027">
            <v>46850.318809483011</v>
          </cell>
        </row>
        <row r="2028">
          <cell r="H2028">
            <v>42765.717192579417</v>
          </cell>
        </row>
        <row r="2029">
          <cell r="H2029">
            <v>38647.077228868293</v>
          </cell>
        </row>
        <row r="2030">
          <cell r="H2030">
            <v>34494.115265459572</v>
          </cell>
        </row>
        <row r="2031">
          <cell r="H2031">
            <v>30306.545285689117</v>
          </cell>
        </row>
        <row r="2032">
          <cell r="H2032">
            <v>26084.078889420569</v>
          </cell>
        </row>
        <row r="2033">
          <cell r="H2033">
            <v>5632.6258769504821</v>
          </cell>
        </row>
        <row r="2136">
          <cell r="K2136">
            <v>0.29950000000000004</v>
          </cell>
        </row>
        <row r="2144">
          <cell r="H2144">
            <v>1108803.0241935484</v>
          </cell>
          <cell r="K2144"/>
        </row>
        <row r="2145">
          <cell r="H2145">
            <v>2644068.75</v>
          </cell>
          <cell r="K2145"/>
        </row>
        <row r="2146">
          <cell r="H2146">
            <v>2695038.7499999995</v>
          </cell>
          <cell r="K2146">
            <v>3752871.77</v>
          </cell>
        </row>
        <row r="2147">
          <cell r="H2147">
            <v>2695038.7499999995</v>
          </cell>
          <cell r="K2147">
            <v>2695038</v>
          </cell>
        </row>
        <row r="2148">
          <cell r="H2148">
            <v>3039086.25</v>
          </cell>
          <cell r="K2148">
            <v>2695039.5</v>
          </cell>
        </row>
        <row r="2149">
          <cell r="H2149">
            <v>3128283.75</v>
          </cell>
          <cell r="K2149">
            <v>3039086.25</v>
          </cell>
        </row>
        <row r="2150">
          <cell r="H2150">
            <v>3128283.75</v>
          </cell>
          <cell r="K2150">
            <v>2695038.75</v>
          </cell>
        </row>
        <row r="2151">
          <cell r="H2151">
            <v>3128283.75</v>
          </cell>
          <cell r="K2151">
            <v>3561528.75</v>
          </cell>
        </row>
        <row r="2152">
          <cell r="H2152">
            <v>3128283.75</v>
          </cell>
          <cell r="K2152">
            <v>3128283.75</v>
          </cell>
        </row>
        <row r="2153">
          <cell r="H2153">
            <v>3128283.75</v>
          </cell>
          <cell r="K2153"/>
        </row>
        <row r="2154">
          <cell r="H2154">
            <v>3472331.25</v>
          </cell>
          <cell r="K2154">
            <v>3128283.75</v>
          </cell>
        </row>
        <row r="2155">
          <cell r="H2155">
            <v>3472331.25</v>
          </cell>
          <cell r="K2155">
            <v>6965691.6600000001</v>
          </cell>
        </row>
        <row r="2156">
          <cell r="H2156">
            <v>3650726.2500000005</v>
          </cell>
          <cell r="K2156">
            <v>3128283.75</v>
          </cell>
        </row>
        <row r="2157">
          <cell r="H2157">
            <v>3816378.7500000005</v>
          </cell>
          <cell r="K2157">
            <v>6269481.2199999997</v>
          </cell>
        </row>
        <row r="2158">
          <cell r="H2158">
            <v>2492564.6772055319</v>
          </cell>
          <cell r="K2158">
            <v>156579159.30000001</v>
          </cell>
        </row>
        <row r="2387">
          <cell r="J2387">
            <v>0.29800000000000004</v>
          </cell>
        </row>
        <row r="2395">
          <cell r="H2395">
            <v>121539.75577419353</v>
          </cell>
        </row>
        <row r="2396">
          <cell r="H2396">
            <v>1918274.7298333333</v>
          </cell>
        </row>
        <row r="2397">
          <cell r="H2397">
            <v>1880364.8377894668</v>
          </cell>
        </row>
        <row r="2398">
          <cell r="H2398">
            <v>2064742.6609698636</v>
          </cell>
        </row>
        <row r="2399">
          <cell r="H2399">
            <v>2079026.7802751288</v>
          </cell>
        </row>
        <row r="2400">
          <cell r="H2400">
            <v>2035042.8344758155</v>
          </cell>
        </row>
        <row r="2401">
          <cell r="H2401">
            <v>1990116.8991706336</v>
          </cell>
        </row>
        <row r="2402">
          <cell r="H2402">
            <v>1944228.8000843322</v>
          </cell>
        </row>
        <row r="2403">
          <cell r="H2403">
            <v>1897357.9308759328</v>
          </cell>
        </row>
        <row r="2404">
          <cell r="H2404">
            <v>2043786.9309861124</v>
          </cell>
        </row>
        <row r="2405">
          <cell r="H2405">
            <v>1991497.6992346272</v>
          </cell>
        </row>
        <row r="2406">
          <cell r="H2406">
            <v>2033504.7351696375</v>
          </cell>
        </row>
        <row r="2407">
          <cell r="H2407">
            <v>2063150.3157832364</v>
          </cell>
        </row>
        <row r="2408">
          <cell r="H2408">
            <v>2048557.5053803634</v>
          </cell>
        </row>
        <row r="2409">
          <cell r="H2409">
            <v>1992643.5560089354</v>
          </cell>
        </row>
        <row r="2410">
          <cell r="H2410">
            <v>1928698.248397673</v>
          </cell>
        </row>
        <row r="2411">
          <cell r="H2411">
            <v>1868893.3530874765</v>
          </cell>
        </row>
        <row r="2412">
          <cell r="H2412">
            <v>1801351.950547674</v>
          </cell>
        </row>
        <row r="2413">
          <cell r="H2413">
            <v>1802372.3276002121</v>
          </cell>
        </row>
        <row r="2414">
          <cell r="H2414">
            <v>1729050.4174067504</v>
          </cell>
        </row>
        <row r="2415">
          <cell r="H2415">
            <v>1653693.8242054204</v>
          </cell>
        </row>
        <row r="2530">
          <cell r="H2530">
            <v>90322.580645161288</v>
          </cell>
        </row>
        <row r="2531">
          <cell r="H2531">
            <v>200752.68817204301</v>
          </cell>
        </row>
        <row r="2532">
          <cell r="H2532">
            <v>202425.62724014337</v>
          </cell>
        </row>
        <row r="2533">
          <cell r="H2533">
            <v>204112.50746714458</v>
          </cell>
        </row>
        <row r="2534">
          <cell r="H2534">
            <v>205813.44502937078</v>
          </cell>
        </row>
        <row r="2535">
          <cell r="H2535">
            <v>196804.68548171403</v>
          </cell>
        </row>
        <row r="2536">
          <cell r="H2536">
            <v>187720.8529378268</v>
          </cell>
        </row>
        <row r="2537">
          <cell r="H2537">
            <v>178561.32178940717</v>
          </cell>
        </row>
        <row r="2538">
          <cell r="H2538">
            <v>169325.46121475071</v>
          </cell>
        </row>
        <row r="2539">
          <cell r="H2539">
            <v>160012.63513530549</v>
          </cell>
        </row>
        <row r="2540">
          <cell r="H2540">
            <v>150622.20217186486</v>
          </cell>
        </row>
        <row r="2541">
          <cell r="H2541">
            <v>141153.51560039553</v>
          </cell>
        </row>
        <row r="2542">
          <cell r="H2542">
            <v>131605.92330749735</v>
          </cell>
        </row>
        <row r="2543">
          <cell r="H2543">
            <v>121978.76774549164</v>
          </cell>
        </row>
        <row r="2544">
          <cell r="H2544">
            <v>112271.38588713591</v>
          </cell>
        </row>
        <row r="2703">
          <cell r="H2703">
            <v>140000</v>
          </cell>
        </row>
        <row r="2704">
          <cell r="H2704">
            <v>201166.66666666666</v>
          </cell>
        </row>
        <row r="2705">
          <cell r="H2705">
            <v>202843.05555555556</v>
          </cell>
        </row>
        <row r="2706">
          <cell r="H2706">
            <v>204533.41435185185</v>
          </cell>
        </row>
        <row r="2707">
          <cell r="H2707">
            <v>206237.85947145062</v>
          </cell>
        </row>
        <row r="2708">
          <cell r="H2708">
            <v>197210.52267459276</v>
          </cell>
        </row>
        <row r="2709">
          <cell r="H2709">
            <v>188107.95807109441</v>
          </cell>
        </row>
        <row r="2710">
          <cell r="H2710">
            <v>178929.53876256692</v>
          </cell>
        </row>
        <row r="2711">
          <cell r="H2711">
            <v>169674.63262646834</v>
          </cell>
        </row>
        <row r="2712">
          <cell r="H2712">
            <v>160342.60227256894</v>
          </cell>
        </row>
        <row r="2713">
          <cell r="H2713">
            <v>150932.80499905371</v>
          </cell>
        </row>
        <row r="2714">
          <cell r="H2714">
            <v>141444.59274825922</v>
          </cell>
        </row>
        <row r="2715">
          <cell r="H2715">
            <v>131877.31206204143</v>
          </cell>
        </row>
        <row r="3246">
          <cell r="H3246">
            <v>5952.3809523809523</v>
          </cell>
        </row>
        <row r="3247">
          <cell r="H3247">
            <v>166716.26984126982</v>
          </cell>
        </row>
        <row r="3248">
          <cell r="H3248">
            <v>168105.57208994706</v>
          </cell>
        </row>
        <row r="3249">
          <cell r="H3249">
            <v>169506.45185736331</v>
          </cell>
        </row>
        <row r="3250">
          <cell r="H3250">
            <v>170919.00562284133</v>
          </cell>
        </row>
        <row r="3251">
          <cell r="H3251">
            <v>172343.33066969833</v>
          </cell>
        </row>
        <row r="3252">
          <cell r="H3252">
            <v>173779.5250919458</v>
          </cell>
        </row>
      </sheetData>
      <sheetData sheetId="3" refreshError="1"/>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erm Loans- MWK"/>
      <sheetName val="Sheet2"/>
    </sheetNames>
    <sheetDataSet>
      <sheetData sheetId="0" refreshError="1"/>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Contents"/>
      <sheetName val="Company information"/>
      <sheetName val="Directors report (3)"/>
      <sheetName val="Mngnt responsiblities"/>
      <sheetName val="Audit rpt"/>
      <sheetName val="aud report 2"/>
      <sheetName val="Audit rpt 3"/>
      <sheetName val="Income Statement"/>
      <sheetName val="Financial Position"/>
      <sheetName val="Equity"/>
      <sheetName val="Cashflow"/>
      <sheetName val="policies"/>
      <sheetName val="AP1"/>
      <sheetName val="Notes"/>
      <sheetName val="Adjustments"/>
      <sheetName val="Statement of Financial Position"/>
      <sheetName val="Profit or Loss"/>
      <sheetName val="Changes in Equity"/>
      <sheetName val="Cashflows"/>
      <sheetName val="Note 1 to 5"/>
      <sheetName val="Note 6 - PPE"/>
      <sheetName val="Note 7 to 9"/>
      <sheetName val="Note 10 to 13"/>
      <sheetName val="Note 14 ECL"/>
      <sheetName val="CAR"/>
      <sheetName val="ETB"/>
      <sheetName val="BIZ REVIEW"/>
      <sheetName val="J1- CDHIB"/>
      <sheetName val="Sheet1"/>
      <sheetName val="Sheet3"/>
      <sheetName val="J2-Payroll"/>
      <sheetName val="J3-Pettycash"/>
      <sheetName val="J4-FAR"/>
      <sheetName val="J5-Issued shares"/>
      <sheetName val="J6-Provisions &amp; other accruals"/>
      <sheetName val="J7-Taxes"/>
      <sheetName val="J8-Prepayments"/>
      <sheetName val="J9-PYA"/>
      <sheetName val="J10-Treasury"/>
      <sheetName val="J11A-Term Loans-Armotisation"/>
      <sheetName val="J11B-Term Loans - Pmts Summ"/>
      <sheetName val="N2"/>
      <sheetName val="N3"/>
      <sheetName val="PPE"/>
      <sheetName val="N4"/>
      <sheetName val="N5"/>
      <sheetName val="N6"/>
      <sheetName val="exp"/>
      <sheetName val="p&amp;l breakdown"/>
      <sheetName val="App 9"/>
      <sheetName val="Reconciliation"/>
      <sheetName val="App1"/>
      <sheetName val="App 2"/>
      <sheetName val="JES"/>
      <sheetName val="2017 TB"/>
      <sheetName val="JEs 2017"/>
      <sheetName val="Exchange difference"/>
      <sheetName val="Exchange rates 2016"/>
      <sheetName val="Cover (2)"/>
      <sheetName val="Contents (2)"/>
      <sheetName val="Company information (2)"/>
      <sheetName val="Directors report (2)"/>
      <sheetName val="Mngnt responsiblities (2)"/>
      <sheetName val="Audit rpt (2)"/>
      <sheetName val="Audit rpt 2 (2)"/>
      <sheetName val="P&amp;L  (2)"/>
      <sheetName val="Bs (2)"/>
      <sheetName val="PPE 2014"/>
      <sheetName val="App4"/>
      <sheetName val="App5"/>
      <sheetName val="App6"/>
      <sheetName val="App7"/>
      <sheetName val="op"/>
      <sheetName val="tax comp"/>
      <sheetName val="opTB"/>
      <sheetName val="opening diff"/>
      <sheetName val="TB NEW"/>
      <sheetName val="Sheet2"/>
      <sheetName val="Mean rates"/>
      <sheetName val="Deffered Income"/>
      <sheetName val="TB 20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10">
          <cell r="H10">
            <v>12055000</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sheetName val="Contents"/>
      <sheetName val="Company information"/>
      <sheetName val="Directors report (3)"/>
      <sheetName val="Mngnt responsiblities"/>
      <sheetName val="Audit rpt"/>
      <sheetName val="aud report 2"/>
      <sheetName val="Audit rpt 3"/>
      <sheetName val="Income Statement"/>
      <sheetName val="Financial Position"/>
      <sheetName val="Equity"/>
      <sheetName val="Cashflow"/>
      <sheetName val="policies"/>
      <sheetName val="AP1"/>
      <sheetName val="Notes"/>
      <sheetName val="Adjustments"/>
      <sheetName val="Statement of Financial Position"/>
      <sheetName val="Profit or Loss"/>
      <sheetName val="Changes in Equity"/>
      <sheetName val="Cashflows"/>
      <sheetName val="Note 1 to 5"/>
      <sheetName val="Note 6 - PPE"/>
      <sheetName val="Note 7 to 9"/>
      <sheetName val="Note 10 to 13"/>
      <sheetName val="Note 14 ECL"/>
      <sheetName val="CAR"/>
      <sheetName val="ETB"/>
      <sheetName val="BIZ REVIEW"/>
      <sheetName val="J1- CDHIB"/>
      <sheetName val="Sheet1"/>
      <sheetName val="Sheet3"/>
      <sheetName val="J2-Payroll"/>
      <sheetName val="J3-Pettycash"/>
      <sheetName val="J4-FAR"/>
      <sheetName val="J5-Issued shares"/>
      <sheetName val="J6-Provisions &amp; other accruals"/>
      <sheetName val="J7-Taxes"/>
      <sheetName val="J8-Prepayments"/>
      <sheetName val="J9-PYA"/>
      <sheetName val="J10-Treasury"/>
      <sheetName val="J11A-Term Loans-Armotisation"/>
      <sheetName val="J11B-Term Loans - Pmts Summ"/>
      <sheetName val="N2"/>
      <sheetName val="N3"/>
      <sheetName val="PPE"/>
      <sheetName val="N4"/>
      <sheetName val="N5"/>
      <sheetName val="N6"/>
      <sheetName val="exp"/>
      <sheetName val="p&amp;l breakdown"/>
      <sheetName val="App 9"/>
      <sheetName val="Reconciliation"/>
      <sheetName val="App1"/>
      <sheetName val="App 2"/>
      <sheetName val="JES"/>
      <sheetName val="2017 TB"/>
      <sheetName val="JEs 2017"/>
      <sheetName val="Exchange difference"/>
      <sheetName val="Exchange rates 2016"/>
      <sheetName val="Cover (2)"/>
      <sheetName val="Contents (2)"/>
      <sheetName val="Company information (2)"/>
      <sheetName val="Directors report (2)"/>
      <sheetName val="Mngnt responsiblities (2)"/>
      <sheetName val="Audit rpt (2)"/>
      <sheetName val="Audit rpt 2 (2)"/>
      <sheetName val="P&amp;L  (2)"/>
      <sheetName val="Bs (2)"/>
      <sheetName val="PPE 2014"/>
      <sheetName val="App4"/>
      <sheetName val="App5"/>
      <sheetName val="App6"/>
      <sheetName val="App7"/>
      <sheetName val="op"/>
      <sheetName val="tax comp"/>
      <sheetName val="opTB"/>
      <sheetName val="opening diff"/>
      <sheetName val="TB NEW"/>
      <sheetName val="Sheet2"/>
      <sheetName val="Mean rates"/>
      <sheetName val="Deffered Income"/>
      <sheetName val="TB 20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11">
          <cell r="H11">
            <v>290500000</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Loan amortisation"/>
      <sheetName val="Sheet1"/>
    </sheetNames>
    <sheetDataSet>
      <sheetData sheetId="0" refreshError="1">
        <row r="4">
          <cell r="D4">
            <v>236401400</v>
          </cell>
        </row>
      </sheetData>
      <sheetData sheetId="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oan amortisation- F&amp;K"/>
      <sheetName val="Loan amortisation- LLWPC"/>
      <sheetName val="Amortization- GREEN P."/>
      <sheetName val="Sheet1"/>
    </sheetNames>
    <sheetDataSet>
      <sheetData sheetId="0" refreshError="1">
        <row r="4">
          <cell r="D4">
            <v>120000000</v>
          </cell>
        </row>
      </sheetData>
      <sheetData sheetId="1" refreshError="1">
        <row r="4">
          <cell r="D4">
            <v>150000000</v>
          </cell>
        </row>
      </sheetData>
      <sheetData sheetId="2" refreshError="1">
        <row r="4">
          <cell r="D4">
            <v>22000000</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2" customWidth="1" min="1" max="1"/>
    <col width="90" customWidth="1" min="2" max="2"/>
    <col width="22" customWidth="1" min="3" max="3"/>
  </cols>
  <sheetData>
    <row r="1">
      <c r="A1" s="480" t="inlineStr">
        <is>
          <t>Take-on schedules as at 31 October 2024, with the E-Banker account mapping to confirm</t>
        </is>
      </c>
    </row>
    <row r="2">
      <c r="A2" s="481" t="inlineStr">
        <is>
          <t>Dupleix Institute for Tamanda Sitimawina, MAIIC  ·  7 October 2026  ·  start with 'Instructions'</t>
        </is>
      </c>
    </row>
    <row r="4">
      <c r="A4" s="482" t="inlineStr">
        <is>
          <t>Sheet</t>
        </is>
      </c>
      <c r="B4" s="482" t="inlineStr">
        <is>
          <t>What it is</t>
        </is>
      </c>
      <c r="C4" s="482" t="inlineStr">
        <is>
          <t>Who it is for</t>
        </is>
      </c>
    </row>
    <row r="5">
      <c r="A5" s="483">
        <f>HYPERLINK("#'Instructions'!A1","Instructions")</f>
        <v/>
      </c>
      <c r="B5" t="inlineStr">
        <is>
          <t>Read first: what to do and how the sheets are linked</t>
        </is>
      </c>
      <c r="C5" t="inlineStr">
        <is>
          <t>Tamanda</t>
        </is>
      </c>
    </row>
    <row r="6">
      <c r="A6" s="483">
        <f>HYPERLINK("#'Mapping'!A1","Mapping")</f>
        <v/>
      </c>
      <c r="B6" t="inlineStr">
        <is>
          <t>One row per facility: the proposed account, five tests, your Y/N</t>
        </is>
      </c>
      <c r="C6" t="inlineStr">
        <is>
          <t>Tamanda, to fill in</t>
        </is>
      </c>
    </row>
    <row r="7">
      <c r="A7" s="483">
        <f>HYPERLINK("#'Not matched'!A1","Not matched")</f>
        <v/>
      </c>
      <c r="B7" t="inlineStr">
        <is>
          <t>The four facilities with no proposed account</t>
        </is>
      </c>
      <c r="C7" t="inlineStr">
        <is>
          <t>Tamanda, to fill in</t>
        </is>
      </c>
    </row>
    <row r="8">
      <c r="A8" s="483">
        <f>HYPERLINK("#'Accounts without a block'!A1","Accounts without a block")</f>
        <v/>
      </c>
      <c r="B8" t="inlineStr">
        <is>
          <t>E-Banker accounts opened before July 2024 with no facility in the workbook</t>
        </is>
      </c>
      <c r="C8" t="inlineStr">
        <is>
          <t>Tamanda, to fill in</t>
        </is>
      </c>
    </row>
    <row r="9">
      <c r="A9" s="483">
        <f>HYPERLINK("#'Upload summary'!A1","Upload summary")</f>
        <v/>
      </c>
      <c r="B9" t="inlineStr">
        <is>
          <t>The facilities laid out for loading, your terms beside the E-Banker terms</t>
        </is>
      </c>
      <c r="C9" t="inlineStr">
        <is>
          <t>Dupleix</t>
        </is>
      </c>
    </row>
    <row r="10">
      <c r="A10" s="483">
        <f>HYPERLINK("#'Blocks'!A1","Blocks")</f>
        <v/>
      </c>
      <c r="B10" t="inlineStr">
        <is>
          <t>One row per amortisation block, linked to its facility and account, with a link into the block</t>
        </is>
      </c>
      <c r="C10" t="inlineStr">
        <is>
          <t>Dupleix</t>
        </is>
      </c>
    </row>
    <row r="11">
      <c r="A11" s="483">
        <f>HYPERLINK("#'E-Banker master'!A1","E-Banker master")</f>
        <v/>
      </c>
      <c r="B11" t="inlineStr">
        <is>
          <t>The E-Banker values the lookups read (extracted 7 October 2026)</t>
        </is>
      </c>
      <c r="C11" t="inlineStr">
        <is>
          <t>Reference</t>
        </is>
      </c>
    </row>
    <row r="12">
      <c r="A12" s="483">
        <f>HYPERLINK("#'Loan Book'!A1","Loan Book")</f>
        <v/>
      </c>
      <c r="B12" t="inlineStr">
        <is>
          <t>Your sheet, unchanged</t>
        </is>
      </c>
      <c r="C12" t="inlineStr">
        <is>
          <t>Reference</t>
        </is>
      </c>
    </row>
    <row r="13">
      <c r="A13" s="483">
        <f>HYPERLINK("#'Amortisation and Repayments'!A1","Amortisation and Repayments")</f>
        <v/>
      </c>
      <c r="B13" t="inlineStr">
        <is>
          <t>Your sheet, unchanged</t>
        </is>
      </c>
      <c r="C13" t="inlineStr">
        <is>
          <t>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484" t="inlineStr">
        <is>
          <t>What this workbook is</t>
        </is>
      </c>
    </row>
    <row r="2">
      <c r="A2" s="485" t="inlineStr">
        <is>
          <t>Your take-on workbook of 11 September 2026, exactly as you sent it (the sheets 'Loan Book' and 'Amortisation and Repayments' are untouched), with six sheets added by Dupleix that link each facility and each amortisation block to its E-Banker account number.</t>
        </is>
      </c>
    </row>
    <row r="3">
      <c r="A3" s="485" t="inlineStr"/>
    </row>
    <row r="4">
      <c r="A4" s="484" t="inlineStr">
        <is>
          <t>Why</t>
        </is>
      </c>
    </row>
    <row r="5">
      <c r="A5" s="485" t="inlineStr">
        <is>
          <t>The pre-July-2024 history of each loan lives in your workbook; the history from July 2024 lives in E-Banker. To join the two for the effective interest rate, each facility in the workbook needs its E-Banker account number. We have proposed the number for 105 of the 109 facilities. We need you to confirm or correct each one. The fees charged at the start of each loan are the one thing neither your workbook nor E-Banker records against the loan, and the effective interest rate cannot be worked out without them: under IFRS 9 the fee is spread over the life of the loan as part of its yield. That is why the yellow fee columns are asked for.</t>
        </is>
      </c>
    </row>
    <row r="6">
      <c r="A6" s="485" t="inlineStr"/>
    </row>
    <row r="7">
      <c r="A7" s="484" t="inlineStr">
        <is>
          <t>What to do, in order</t>
        </is>
      </c>
    </row>
    <row r="8">
      <c r="A8" s="485" t="inlineStr">
        <is>
          <t>1. Open the sheet 'Mapping'. For each row, look at the proposed account (column J), the E-Banker name beside it (column L) and the five tests (columns S to W). Put Y in column X if the account is right, or N and the correct account number in column Y. Column Z is for any comment.</t>
        </is>
      </c>
    </row>
    <row r="9">
      <c r="A9" s="485" t="inlineStr">
        <is>
          <t>2. Open the sheet 'Not matched'. Four facilities have no proposed account: give the account number, or write 'no account' if the facility was never set up in E-Banker (for example an equity holding, or a loan closed before the migration).</t>
        </is>
      </c>
    </row>
    <row r="10">
      <c r="A10" s="485" t="inlineStr">
        <is>
          <t>3. Open the sheet 'Accounts without a block'. These E-Banker accounts were opened before July 2024 but match no facility in your workbook. Say which facility each is, or 'none'.</t>
        </is>
      </c>
    </row>
    <row r="11">
      <c r="A11" s="485" t="inlineStr">
        <is>
          <t>4. Open the sheet 'Upload summary' and go to the yellow columns at the far right (AO to AT). For every facility, type the arrangement fee and the legal fees charged when the loan was first granted (in kwacha), any other fee that was a condition of the loan (for example a commitment or valuation fee), the date the fees were charged, whether they were deducted from the amount paid out (Y) or paid separately (N), and the reference of the offer letter or receipt you took the figures from. Leave a cell blank if there was no such fee; write 0 only if you know it was nil. Column AU adds them up for you.</t>
        </is>
      </c>
    </row>
    <row r="12">
      <c r="A12" s="555" t="inlineStr">
        <is>
          <t>5. Save the file and send it back. Nothing else needs to change.</t>
        </is>
      </c>
    </row>
    <row r="13">
      <c r="A13" s="484" t="inlineStr">
        <is>
          <t>How the sheets are linked, so that everything can be audited</t>
        </is>
      </c>
    </row>
    <row r="14">
      <c r="A14" s="485" t="inlineStr">
        <is>
          <t>Every workbook figure shown on the new sheets is a formula pointing at the cell in 'Loan Book' or 'Amortisation and Repayments' it comes from. Click any such cell and the formula bar shows the source. If you correct a figure in your sheets, the new sheets follow.</t>
        </is>
      </c>
    </row>
    <row r="15">
      <c r="A15" s="485" t="inlineStr">
        <is>
          <t>Every E-Banker figure is a lookup, by account number, into the sheet 'E-Banker master', which holds the system values as extracted on 7 October 2026 (the source files are named at the foot of that sheet). Those are values, because they come from the system, not from this workbook.</t>
        </is>
      </c>
    </row>
    <row r="16">
      <c r="A16" s="485" t="inlineStr">
        <is>
          <t>The five tests on 'Mapping' are formulas: they recompute from the linked figures. Test 1 compares your Principal at 31 October 2024 with the opening balance E-Banker loaded on 31 July 2024: it matches to the cent on every migrated loan. Test 2 compares your carrying amount with E-Banker's balance at 31 October 2024. Test 3 compares approved with sanction. Test 4 gives the days between your value date and E-Banker's first disbursement-schedule date. Test 5 is the name similarity we scored.</t>
        </is>
      </c>
    </row>
    <row r="17">
      <c r="A17" s="485" t="inlineStr">
        <is>
          <t>Three things are typed in rather than computed, and are labelled: the proposed account number and confidence on 'Mapping' (our matching), the name-similarity flag, and the statistics parsed from each block on 'Blocks' (restructured, rate steps, periods, dates, closing balance).</t>
        </is>
      </c>
    </row>
    <row r="18">
      <c r="A18" s="485" t="inlineStr"/>
    </row>
    <row r="19">
      <c r="A19" s="484" t="inlineStr">
        <is>
          <t>The purple cells on your two sheets</t>
        </is>
      </c>
    </row>
    <row r="20">
      <c r="A20" s="485" t="inlineStr">
        <is>
          <t>On 'Loan Book', eight columns have been added to the right of your last column, in white on purple: the proposed E-Banker account, the confidence, the E-Banker name and status, the take-on posting and opening interest of 31 July 2024, E-Banker's balance at 31 October 2024, and the difference between your carrying amount and that balance. On 'Amortisation and Repayments', four purple cells sit beside each block title: the account, the facility, the take-on posting and the balance. All of them are formulas into the new sheets. Purple means 'added by Dupleix'; none of your own cells has been edited.</t>
        </is>
      </c>
    </row>
    <row r="21">
      <c r="A21" s="485" t="inlineStr"/>
    </row>
    <row r="22">
      <c r="A22" s="484" t="inlineStr">
        <is>
          <t>The sheets</t>
        </is>
      </c>
    </row>
    <row r="23">
      <c r="A23" s="485" t="inlineStr">
        <is>
          <t>TOC: links to every sheet.  Instructions: this page.  Mapping: one row per facility, the proposed account, the tests, and your Y/N.  Upload summary: the same facilities laid out as the engine will load them, one row each, with your terms beside the E-Banker terms.  Blocks: one row per amortisation block with a link that opens it.  Not matched and Accounts without a block: the leftovers for you to place.  E-Banker master: the system values the lookups read.  Loan Book and Amortisation and Repayments: your sheets, unchanged.</t>
        </is>
      </c>
    </row>
    <row r="24">
      <c r="A24" s="485" t="inlineStr"/>
    </row>
    <row r="25">
      <c r="A25" s="485" t="inlineStr">
        <is>
          <t>Prepared by Dupleix Institute, 7 October 2026. The scripts that built the new sheets are kept in our project folder (Build files) so the work can be re-run.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6"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6"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42" customHeight="1">
      <c r="A1" s="486" t="inlineStr">
        <is>
          <t>Loan Book row</t>
        </is>
      </c>
      <c r="B1" s="486" t="inlineStr">
        <is>
          <t>Loan Book #</t>
        </is>
      </c>
      <c r="C1" s="486" t="inlineStr">
        <is>
          <t>Facility name</t>
        </is>
      </c>
      <c r="D1" s="486" t="inlineStr">
        <is>
          <t>Type</t>
        </is>
      </c>
      <c r="E1" s="486" t="inlineStr">
        <is>
          <t>Value date</t>
        </is>
      </c>
      <c r="F1" s="486" t="inlineStr">
        <is>
          <t>Approved</t>
        </is>
      </c>
      <c r="G1" s="486" t="inlineStr">
        <is>
          <t>Disbursed</t>
        </is>
      </c>
      <c r="H1" s="486" t="inlineStr">
        <is>
          <t>Principal 31 Oct 2024</t>
        </is>
      </c>
      <c r="I1" s="486" t="inlineStr">
        <is>
          <t>Carrying amount 31 Oct 2024</t>
        </is>
      </c>
      <c r="J1" s="486" t="inlineStr">
        <is>
          <t>Proposed E-Banker account</t>
        </is>
      </c>
      <c r="K1" s="486" t="inlineStr">
        <is>
          <t>Confidence</t>
        </is>
      </c>
      <c r="L1" s="486" t="inlineStr">
        <is>
          <t>E-Banker name</t>
        </is>
      </c>
      <c r="M1" s="486" t="inlineStr">
        <is>
          <t>E-Banker opening date</t>
        </is>
      </c>
      <c r="N1" s="486" t="inlineStr">
        <is>
          <t>E-Banker sanction</t>
        </is>
      </c>
      <c r="O1" s="486" t="inlineStr">
        <is>
          <t>E-Banker take-on posting 31 Jul 2024</t>
        </is>
      </c>
      <c r="P1" s="486" t="inlineStr">
        <is>
          <t>E-Banker balance 31 Oct 2024</t>
        </is>
      </c>
      <c r="Q1" s="486" t="inlineStr">
        <is>
          <t>E-Banker first disbursement date</t>
        </is>
      </c>
      <c r="R1" s="486" t="inlineStr">
        <is>
          <t>E-Banker status</t>
        </is>
      </c>
      <c r="S1" s="486" t="inlineStr">
        <is>
          <t>Test 1: principal = take-on posting</t>
        </is>
      </c>
      <c r="T1" s="486" t="inlineStr">
        <is>
          <t>Test 2: carrying amount vs balance</t>
        </is>
      </c>
      <c r="U1" s="486" t="inlineStr">
        <is>
          <t>Test 3: approved = sanction</t>
        </is>
      </c>
      <c r="V1" s="486" t="inlineStr">
        <is>
          <t>Test 4: days, value date to first disbursement</t>
        </is>
      </c>
      <c r="W1" s="486" t="inlineStr">
        <is>
          <t>Test 5: name agrees (as scored)</t>
        </is>
      </c>
      <c r="X1" s="486" t="inlineStr">
        <is>
          <t>Tamanda: correct? (Y/N)</t>
        </is>
      </c>
      <c r="Y1" s="486" t="inlineStr">
        <is>
          <t>If N, correct account number</t>
        </is>
      </c>
      <c r="Z1" s="486" t="inlineStr">
        <is>
          <t>Comment</t>
        </is>
      </c>
    </row>
    <row r="2">
      <c r="A2" t="n">
        <v>5</v>
      </c>
      <c r="B2">
        <f>'Loan Book'!D5</f>
        <v/>
      </c>
      <c r="C2">
        <f>'Loan Book'!E5</f>
        <v/>
      </c>
      <c r="D2">
        <f>'Loan Book'!F5</f>
        <v/>
      </c>
      <c r="E2" s="487">
        <f>'Loan Book'!G5</f>
        <v/>
      </c>
      <c r="F2" s="488">
        <f>'Loan Book'!L5</f>
        <v/>
      </c>
      <c r="G2" s="488">
        <f>'Loan Book'!M5</f>
        <v/>
      </c>
      <c r="H2" s="488">
        <f>'Loan Book'!O5</f>
        <v/>
      </c>
      <c r="I2" s="488">
        <f>'Loan Book'!R5</f>
        <v/>
      </c>
      <c r="J2" t="inlineStr">
        <is>
          <t>000104430000001</t>
        </is>
      </c>
      <c r="K2" t="inlineStr">
        <is>
          <t>High</t>
        </is>
      </c>
      <c r="L2">
        <f>IFERROR(INDEX('E-Banker master'!$B$2:$B$186,MATCH($J2,'E-Banker master'!$A$2:$A$186,0)),"")</f>
        <v/>
      </c>
      <c r="M2" s="487">
        <f>IFERROR(INDEX('E-Banker master'!$H$2:$H$186,MATCH($J2,'E-Banker master'!$A$2:$A$186,0)),"")</f>
        <v/>
      </c>
      <c r="N2" s="488">
        <f>IFERROR(INDEX('E-Banker master'!$I$2:$I$186,MATCH($J2,'E-Banker master'!$A$2:$A$186,0)),"")</f>
        <v/>
      </c>
      <c r="O2" s="488">
        <f>IFERROR(INDEX('E-Banker master'!$N$2:$N$186,MATCH($J2,'E-Banker master'!$A$2:$A$186,0)),"")</f>
        <v/>
      </c>
      <c r="P2" s="488">
        <f>IFERROR(INDEX('E-Banker master'!$P$2:$P$186,MATCH($J2,'E-Banker master'!$A$2:$A$186,0)),"")</f>
        <v/>
      </c>
      <c r="Q2" s="487">
        <f>IFERROR(INDEX('E-Banker master'!$Q$2:$Q$186,MATCH($J2,'E-Banker master'!$A$2:$A$186,0)),"")</f>
        <v/>
      </c>
      <c r="R2">
        <f>IFERROR(INDEX('E-Banker master'!$E$2:$E$186,MATCH($J2,'E-Banker master'!$A$2:$A$186,0)),"")</f>
        <v/>
      </c>
      <c r="S2">
        <f>IF($J2="","",IF(O2="","No take-on posting",IF(ABS(H2-O2)&lt;1,"Yes",IF(ABS(H2/O2-1)&lt;0.01,"Within 1%","No"))))</f>
        <v/>
      </c>
      <c r="T2">
        <f>IF($J2="","",IF(OR(P2="",P2=0),"No balance",IF(ABS(I2-P2)&lt;1,"Yes",IF(ABS(I2/P2-1)&lt;0.02,"Within 2%",IF(ABS(I2/P2-1)&lt;0.05,"Within 5%","No")))))</f>
        <v/>
      </c>
      <c r="U2">
        <f>IF($J2="","",IF(N2="","",IF(ABS(F2-N2)&lt;1,"Yes",IF(ABS(G2-N2)&lt;1,"Disbursed = sanction","No"))))</f>
        <v/>
      </c>
      <c r="V2">
        <f>IF(OR($J2="",Q2="",E2=""),"",ABS(E2-Q2))</f>
        <v/>
      </c>
      <c r="W2" t="inlineStr">
        <is>
          <t>Yes</t>
        </is>
      </c>
      <c r="X2" s="489" t="inlineStr"/>
      <c r="Y2" s="489" t="inlineStr"/>
      <c r="Z2" s="489" t="inlineStr"/>
    </row>
    <row r="3">
      <c r="A3" t="n">
        <v>6</v>
      </c>
      <c r="B3">
        <f>'Loan Book'!D6</f>
        <v/>
      </c>
      <c r="C3">
        <f>'Loan Book'!E6</f>
        <v/>
      </c>
      <c r="D3">
        <f>'Loan Book'!F6</f>
        <v/>
      </c>
      <c r="E3" s="487">
        <f>'Loan Book'!G6</f>
        <v/>
      </c>
      <c r="F3" s="488">
        <f>'Loan Book'!L6</f>
        <v/>
      </c>
      <c r="G3" s="488">
        <f>'Loan Book'!M6</f>
        <v/>
      </c>
      <c r="H3" s="488">
        <f>'Loan Book'!O6</f>
        <v/>
      </c>
      <c r="I3" s="488">
        <f>'Loan Book'!R6</f>
        <v/>
      </c>
      <c r="J3" t="inlineStr">
        <is>
          <t>000104430000002</t>
        </is>
      </c>
      <c r="K3" t="inlineStr">
        <is>
          <t>High</t>
        </is>
      </c>
      <c r="L3">
        <f>IFERROR(INDEX('E-Banker master'!$B$2:$B$186,MATCH($J3,'E-Banker master'!$A$2:$A$186,0)),"")</f>
        <v/>
      </c>
      <c r="M3" s="487">
        <f>IFERROR(INDEX('E-Banker master'!$H$2:$H$186,MATCH($J3,'E-Banker master'!$A$2:$A$186,0)),"")</f>
        <v/>
      </c>
      <c r="N3" s="488">
        <f>IFERROR(INDEX('E-Banker master'!$I$2:$I$186,MATCH($J3,'E-Banker master'!$A$2:$A$186,0)),"")</f>
        <v/>
      </c>
      <c r="O3" s="488">
        <f>IFERROR(INDEX('E-Banker master'!$N$2:$N$186,MATCH($J3,'E-Banker master'!$A$2:$A$186,0)),"")</f>
        <v/>
      </c>
      <c r="P3" s="488">
        <f>IFERROR(INDEX('E-Banker master'!$P$2:$P$186,MATCH($J3,'E-Banker master'!$A$2:$A$186,0)),"")</f>
        <v/>
      </c>
      <c r="Q3" s="487">
        <f>IFERROR(INDEX('E-Banker master'!$Q$2:$Q$186,MATCH($J3,'E-Banker master'!$A$2:$A$186,0)),"")</f>
        <v/>
      </c>
      <c r="R3">
        <f>IFERROR(INDEX('E-Banker master'!$E$2:$E$186,MATCH($J3,'E-Banker master'!$A$2:$A$186,0)),"")</f>
        <v/>
      </c>
      <c r="S3">
        <f>IF($J3="","",IF(O3="","No take-on posting",IF(ABS(H3-O3)&lt;1,"Yes",IF(ABS(H3/O3-1)&lt;0.01,"Within 1%","No"))))</f>
        <v/>
      </c>
      <c r="T3">
        <f>IF($J3="","",IF(OR(P3="",P3=0),"No balance",IF(ABS(I3-P3)&lt;1,"Yes",IF(ABS(I3/P3-1)&lt;0.02,"Within 2%",IF(ABS(I3/P3-1)&lt;0.05,"Within 5%","No")))))</f>
        <v/>
      </c>
      <c r="U3">
        <f>IF($J3="","",IF(N3="","",IF(ABS(F3-N3)&lt;1,"Yes",IF(ABS(G3-N3)&lt;1,"Disbursed = sanction","No"))))</f>
        <v/>
      </c>
      <c r="V3">
        <f>IF(OR($J3="",Q3="",E3=""),"",ABS(E3-Q3))</f>
        <v/>
      </c>
      <c r="W3" t="inlineStr">
        <is>
          <t>Yes</t>
        </is>
      </c>
      <c r="X3" s="489" t="inlineStr"/>
      <c r="Y3" s="489" t="inlineStr"/>
      <c r="Z3" s="489" t="inlineStr"/>
    </row>
    <row r="4">
      <c r="A4" t="n">
        <v>7</v>
      </c>
      <c r="B4">
        <f>'Loan Book'!D7</f>
        <v/>
      </c>
      <c r="C4">
        <f>'Loan Book'!E7</f>
        <v/>
      </c>
      <c r="D4">
        <f>'Loan Book'!F7</f>
        <v/>
      </c>
      <c r="E4" s="487">
        <f>'Loan Book'!G7</f>
        <v/>
      </c>
      <c r="F4" s="488">
        <f>'Loan Book'!L7</f>
        <v/>
      </c>
      <c r="G4" s="488">
        <f>'Loan Book'!M7</f>
        <v/>
      </c>
      <c r="H4" s="488">
        <f>'Loan Book'!O7</f>
        <v/>
      </c>
      <c r="I4" s="488">
        <f>'Loan Book'!R7</f>
        <v/>
      </c>
      <c r="J4" t="inlineStr">
        <is>
          <t>000104420000003</t>
        </is>
      </c>
      <c r="K4" t="inlineStr">
        <is>
          <t>High</t>
        </is>
      </c>
      <c r="L4">
        <f>IFERROR(INDEX('E-Banker master'!$B$2:$B$186,MATCH($J4,'E-Banker master'!$A$2:$A$186,0)),"")</f>
        <v/>
      </c>
      <c r="M4" s="487">
        <f>IFERROR(INDEX('E-Banker master'!$H$2:$H$186,MATCH($J4,'E-Banker master'!$A$2:$A$186,0)),"")</f>
        <v/>
      </c>
      <c r="N4" s="488">
        <f>IFERROR(INDEX('E-Banker master'!$I$2:$I$186,MATCH($J4,'E-Banker master'!$A$2:$A$186,0)),"")</f>
        <v/>
      </c>
      <c r="O4" s="488">
        <f>IFERROR(INDEX('E-Banker master'!$N$2:$N$186,MATCH($J4,'E-Banker master'!$A$2:$A$186,0)),"")</f>
        <v/>
      </c>
      <c r="P4" s="488">
        <f>IFERROR(INDEX('E-Banker master'!$P$2:$P$186,MATCH($J4,'E-Banker master'!$A$2:$A$186,0)),"")</f>
        <v/>
      </c>
      <c r="Q4" s="487">
        <f>IFERROR(INDEX('E-Banker master'!$Q$2:$Q$186,MATCH($J4,'E-Banker master'!$A$2:$A$186,0)),"")</f>
        <v/>
      </c>
      <c r="R4">
        <f>IFERROR(INDEX('E-Banker master'!$E$2:$E$186,MATCH($J4,'E-Banker master'!$A$2:$A$186,0)),"")</f>
        <v/>
      </c>
      <c r="S4">
        <f>IF($J4="","",IF(O4="","No take-on posting",IF(ABS(H4-O4)&lt;1,"Yes",IF(ABS(H4/O4-1)&lt;0.01,"Within 1%","No"))))</f>
        <v/>
      </c>
      <c r="T4">
        <f>IF($J4="","",IF(OR(P4="",P4=0),"No balance",IF(ABS(I4-P4)&lt;1,"Yes",IF(ABS(I4/P4-1)&lt;0.02,"Within 2%",IF(ABS(I4/P4-1)&lt;0.05,"Within 5%","No")))))</f>
        <v/>
      </c>
      <c r="U4">
        <f>IF($J4="","",IF(N4="","",IF(ABS(F4-N4)&lt;1,"Yes",IF(ABS(G4-N4)&lt;1,"Disbursed = sanction","No"))))</f>
        <v/>
      </c>
      <c r="V4">
        <f>IF(OR($J4="",Q4="",E4=""),"",ABS(E4-Q4))</f>
        <v/>
      </c>
      <c r="W4" t="inlineStr">
        <is>
          <t>Yes</t>
        </is>
      </c>
      <c r="X4" s="489" t="inlineStr"/>
      <c r="Y4" s="489" t="inlineStr"/>
      <c r="Z4" s="489" t="inlineStr"/>
    </row>
    <row r="5">
      <c r="A5" t="n">
        <v>8</v>
      </c>
      <c r="B5">
        <f>'Loan Book'!D8</f>
        <v/>
      </c>
      <c r="C5">
        <f>'Loan Book'!E8</f>
        <v/>
      </c>
      <c r="D5">
        <f>'Loan Book'!F8</f>
        <v/>
      </c>
      <c r="E5" s="487">
        <f>'Loan Book'!G8</f>
        <v/>
      </c>
      <c r="F5" s="488">
        <f>'Loan Book'!L8</f>
        <v/>
      </c>
      <c r="G5" s="488">
        <f>'Loan Book'!M8</f>
        <v/>
      </c>
      <c r="H5" s="488">
        <f>'Loan Book'!O8</f>
        <v/>
      </c>
      <c r="I5" s="488">
        <f>'Loan Book'!R8</f>
        <v/>
      </c>
      <c r="J5" t="inlineStr">
        <is>
          <t>000104430000004</t>
        </is>
      </c>
      <c r="K5" t="inlineStr">
        <is>
          <t>High</t>
        </is>
      </c>
      <c r="L5">
        <f>IFERROR(INDEX('E-Banker master'!$B$2:$B$186,MATCH($J5,'E-Banker master'!$A$2:$A$186,0)),"")</f>
        <v/>
      </c>
      <c r="M5" s="487">
        <f>IFERROR(INDEX('E-Banker master'!$H$2:$H$186,MATCH($J5,'E-Banker master'!$A$2:$A$186,0)),"")</f>
        <v/>
      </c>
      <c r="N5" s="488">
        <f>IFERROR(INDEX('E-Banker master'!$I$2:$I$186,MATCH($J5,'E-Banker master'!$A$2:$A$186,0)),"")</f>
        <v/>
      </c>
      <c r="O5" s="488">
        <f>IFERROR(INDEX('E-Banker master'!$N$2:$N$186,MATCH($J5,'E-Banker master'!$A$2:$A$186,0)),"")</f>
        <v/>
      </c>
      <c r="P5" s="488">
        <f>IFERROR(INDEX('E-Banker master'!$P$2:$P$186,MATCH($J5,'E-Banker master'!$A$2:$A$186,0)),"")</f>
        <v/>
      </c>
      <c r="Q5" s="487">
        <f>IFERROR(INDEX('E-Banker master'!$Q$2:$Q$186,MATCH($J5,'E-Banker master'!$A$2:$A$186,0)),"")</f>
        <v/>
      </c>
      <c r="R5">
        <f>IFERROR(INDEX('E-Banker master'!$E$2:$E$186,MATCH($J5,'E-Banker master'!$A$2:$A$186,0)),"")</f>
        <v/>
      </c>
      <c r="S5">
        <f>IF($J5="","",IF(O5="","No take-on posting",IF(ABS(H5-O5)&lt;1,"Yes",IF(ABS(H5/O5-1)&lt;0.01,"Within 1%","No"))))</f>
        <v/>
      </c>
      <c r="T5">
        <f>IF($J5="","",IF(OR(P5="",P5=0),"No balance",IF(ABS(I5-P5)&lt;1,"Yes",IF(ABS(I5/P5-1)&lt;0.02,"Within 2%",IF(ABS(I5/P5-1)&lt;0.05,"Within 5%","No")))))</f>
        <v/>
      </c>
      <c r="U5">
        <f>IF($J5="","",IF(N5="","",IF(ABS(F5-N5)&lt;1,"Yes",IF(ABS(G5-N5)&lt;1,"Disbursed = sanction","No"))))</f>
        <v/>
      </c>
      <c r="V5">
        <f>IF(OR($J5="",Q5="",E5=""),"",ABS(E5-Q5))</f>
        <v/>
      </c>
      <c r="W5" t="inlineStr">
        <is>
          <t>Yes</t>
        </is>
      </c>
      <c r="X5" s="489" t="inlineStr"/>
      <c r="Y5" s="489" t="inlineStr"/>
      <c r="Z5" s="489" t="inlineStr"/>
    </row>
    <row r="6">
      <c r="A6" t="n">
        <v>9</v>
      </c>
      <c r="B6">
        <f>'Loan Book'!D9</f>
        <v/>
      </c>
      <c r="C6">
        <f>'Loan Book'!E9</f>
        <v/>
      </c>
      <c r="D6">
        <f>'Loan Book'!F9</f>
        <v/>
      </c>
      <c r="E6" s="487">
        <f>'Loan Book'!G9</f>
        <v/>
      </c>
      <c r="F6" s="488">
        <f>'Loan Book'!L9</f>
        <v/>
      </c>
      <c r="G6" s="488">
        <f>'Loan Book'!M9</f>
        <v/>
      </c>
      <c r="H6" s="488">
        <f>'Loan Book'!O9</f>
        <v/>
      </c>
      <c r="I6" s="488">
        <f>'Loan Book'!R9</f>
        <v/>
      </c>
      <c r="J6" t="inlineStr">
        <is>
          <t>000104420000005</t>
        </is>
      </c>
      <c r="K6" t="inlineStr">
        <is>
          <t>High</t>
        </is>
      </c>
      <c r="L6">
        <f>IFERROR(INDEX('E-Banker master'!$B$2:$B$186,MATCH($J6,'E-Banker master'!$A$2:$A$186,0)),"")</f>
        <v/>
      </c>
      <c r="M6" s="487">
        <f>IFERROR(INDEX('E-Banker master'!$H$2:$H$186,MATCH($J6,'E-Banker master'!$A$2:$A$186,0)),"")</f>
        <v/>
      </c>
      <c r="N6" s="488">
        <f>IFERROR(INDEX('E-Banker master'!$I$2:$I$186,MATCH($J6,'E-Banker master'!$A$2:$A$186,0)),"")</f>
        <v/>
      </c>
      <c r="O6" s="488">
        <f>IFERROR(INDEX('E-Banker master'!$N$2:$N$186,MATCH($J6,'E-Banker master'!$A$2:$A$186,0)),"")</f>
        <v/>
      </c>
      <c r="P6" s="488">
        <f>IFERROR(INDEX('E-Banker master'!$P$2:$P$186,MATCH($J6,'E-Banker master'!$A$2:$A$186,0)),"")</f>
        <v/>
      </c>
      <c r="Q6" s="487">
        <f>IFERROR(INDEX('E-Banker master'!$Q$2:$Q$186,MATCH($J6,'E-Banker master'!$A$2:$A$186,0)),"")</f>
        <v/>
      </c>
      <c r="R6">
        <f>IFERROR(INDEX('E-Banker master'!$E$2:$E$186,MATCH($J6,'E-Banker master'!$A$2:$A$186,0)),"")</f>
        <v/>
      </c>
      <c r="S6">
        <f>IF($J6="","",IF(O6="","No take-on posting",IF(ABS(H6-O6)&lt;1,"Yes",IF(ABS(H6/O6-1)&lt;0.01,"Within 1%","No"))))</f>
        <v/>
      </c>
      <c r="T6">
        <f>IF($J6="","",IF(OR(P6="",P6=0),"No balance",IF(ABS(I6-P6)&lt;1,"Yes",IF(ABS(I6/P6-1)&lt;0.02,"Within 2%",IF(ABS(I6/P6-1)&lt;0.05,"Within 5%","No")))))</f>
        <v/>
      </c>
      <c r="U6">
        <f>IF($J6="","",IF(N6="","",IF(ABS(F6-N6)&lt;1,"Yes",IF(ABS(G6-N6)&lt;1,"Disbursed = sanction","No"))))</f>
        <v/>
      </c>
      <c r="V6">
        <f>IF(OR($J6="",Q6="",E6=""),"",ABS(E6-Q6))</f>
        <v/>
      </c>
      <c r="W6" t="inlineStr">
        <is>
          <t>Yes</t>
        </is>
      </c>
      <c r="X6" s="489" t="inlineStr"/>
      <c r="Y6" s="489" t="inlineStr"/>
      <c r="Z6" s="489" t="inlineStr"/>
    </row>
    <row r="7">
      <c r="A7" t="n">
        <v>10</v>
      </c>
      <c r="B7">
        <f>'Loan Book'!D10</f>
        <v/>
      </c>
      <c r="C7">
        <f>'Loan Book'!E10</f>
        <v/>
      </c>
      <c r="D7">
        <f>'Loan Book'!F10</f>
        <v/>
      </c>
      <c r="E7" s="487">
        <f>'Loan Book'!G10</f>
        <v/>
      </c>
      <c r="F7" s="488">
        <f>'Loan Book'!L10</f>
        <v/>
      </c>
      <c r="G7" s="488">
        <f>'Loan Book'!M10</f>
        <v/>
      </c>
      <c r="H7" s="488">
        <f>'Loan Book'!O10</f>
        <v/>
      </c>
      <c r="I7" s="488">
        <f>'Loan Book'!R10</f>
        <v/>
      </c>
      <c r="J7" t="inlineStr">
        <is>
          <t>000104420000006</t>
        </is>
      </c>
      <c r="K7" t="inlineStr">
        <is>
          <t>High</t>
        </is>
      </c>
      <c r="L7">
        <f>IFERROR(INDEX('E-Banker master'!$B$2:$B$186,MATCH($J7,'E-Banker master'!$A$2:$A$186,0)),"")</f>
        <v/>
      </c>
      <c r="M7" s="487">
        <f>IFERROR(INDEX('E-Banker master'!$H$2:$H$186,MATCH($J7,'E-Banker master'!$A$2:$A$186,0)),"")</f>
        <v/>
      </c>
      <c r="N7" s="488">
        <f>IFERROR(INDEX('E-Banker master'!$I$2:$I$186,MATCH($J7,'E-Banker master'!$A$2:$A$186,0)),"")</f>
        <v/>
      </c>
      <c r="O7" s="488">
        <f>IFERROR(INDEX('E-Banker master'!$N$2:$N$186,MATCH($J7,'E-Banker master'!$A$2:$A$186,0)),"")</f>
        <v/>
      </c>
      <c r="P7" s="488">
        <f>IFERROR(INDEX('E-Banker master'!$P$2:$P$186,MATCH($J7,'E-Banker master'!$A$2:$A$186,0)),"")</f>
        <v/>
      </c>
      <c r="Q7" s="487">
        <f>IFERROR(INDEX('E-Banker master'!$Q$2:$Q$186,MATCH($J7,'E-Banker master'!$A$2:$A$186,0)),"")</f>
        <v/>
      </c>
      <c r="R7">
        <f>IFERROR(INDEX('E-Banker master'!$E$2:$E$186,MATCH($J7,'E-Banker master'!$A$2:$A$186,0)),"")</f>
        <v/>
      </c>
      <c r="S7">
        <f>IF($J7="","",IF(O7="","No take-on posting",IF(ABS(H7-O7)&lt;1,"Yes",IF(ABS(H7/O7-1)&lt;0.01,"Within 1%","No"))))</f>
        <v/>
      </c>
      <c r="T7">
        <f>IF($J7="","",IF(OR(P7="",P7=0),"No balance",IF(ABS(I7-P7)&lt;1,"Yes",IF(ABS(I7/P7-1)&lt;0.02,"Within 2%",IF(ABS(I7/P7-1)&lt;0.05,"Within 5%","No")))))</f>
        <v/>
      </c>
      <c r="U7">
        <f>IF($J7="","",IF(N7="","",IF(ABS(F7-N7)&lt;1,"Yes",IF(ABS(G7-N7)&lt;1,"Disbursed = sanction","No"))))</f>
        <v/>
      </c>
      <c r="V7">
        <f>IF(OR($J7="",Q7="",E7=""),"",ABS(E7-Q7))</f>
        <v/>
      </c>
      <c r="W7" t="inlineStr">
        <is>
          <t>Yes</t>
        </is>
      </c>
      <c r="X7" s="489" t="inlineStr"/>
      <c r="Y7" s="489" t="inlineStr"/>
      <c r="Z7" s="489" t="inlineStr"/>
    </row>
    <row r="8">
      <c r="A8" t="n">
        <v>11</v>
      </c>
      <c r="B8">
        <f>'Loan Book'!D11</f>
        <v/>
      </c>
      <c r="C8">
        <f>'Loan Book'!E11</f>
        <v/>
      </c>
      <c r="D8">
        <f>'Loan Book'!F11</f>
        <v/>
      </c>
      <c r="E8" s="487">
        <f>'Loan Book'!G11</f>
        <v/>
      </c>
      <c r="F8" s="488">
        <f>'Loan Book'!L11</f>
        <v/>
      </c>
      <c r="G8" s="488">
        <f>'Loan Book'!M11</f>
        <v/>
      </c>
      <c r="H8" s="488">
        <f>'Loan Book'!O11</f>
        <v/>
      </c>
      <c r="I8" s="488">
        <f>'Loan Book'!R11</f>
        <v/>
      </c>
      <c r="J8" t="inlineStr">
        <is>
          <t>000104420000007</t>
        </is>
      </c>
      <c r="K8" t="inlineStr">
        <is>
          <t>High</t>
        </is>
      </c>
      <c r="L8">
        <f>IFERROR(INDEX('E-Banker master'!$B$2:$B$186,MATCH($J8,'E-Banker master'!$A$2:$A$186,0)),"")</f>
        <v/>
      </c>
      <c r="M8" s="487">
        <f>IFERROR(INDEX('E-Banker master'!$H$2:$H$186,MATCH($J8,'E-Banker master'!$A$2:$A$186,0)),"")</f>
        <v/>
      </c>
      <c r="N8" s="488">
        <f>IFERROR(INDEX('E-Banker master'!$I$2:$I$186,MATCH($J8,'E-Banker master'!$A$2:$A$186,0)),"")</f>
        <v/>
      </c>
      <c r="O8" s="488">
        <f>IFERROR(INDEX('E-Banker master'!$N$2:$N$186,MATCH($J8,'E-Banker master'!$A$2:$A$186,0)),"")</f>
        <v/>
      </c>
      <c r="P8" s="488">
        <f>IFERROR(INDEX('E-Banker master'!$P$2:$P$186,MATCH($J8,'E-Banker master'!$A$2:$A$186,0)),"")</f>
        <v/>
      </c>
      <c r="Q8" s="487">
        <f>IFERROR(INDEX('E-Banker master'!$Q$2:$Q$186,MATCH($J8,'E-Banker master'!$A$2:$A$186,0)),"")</f>
        <v/>
      </c>
      <c r="R8">
        <f>IFERROR(INDEX('E-Banker master'!$E$2:$E$186,MATCH($J8,'E-Banker master'!$A$2:$A$186,0)),"")</f>
        <v/>
      </c>
      <c r="S8">
        <f>IF($J8="","",IF(O8="","No take-on posting",IF(ABS(H8-O8)&lt;1,"Yes",IF(ABS(H8/O8-1)&lt;0.01,"Within 1%","No"))))</f>
        <v/>
      </c>
      <c r="T8">
        <f>IF($J8="","",IF(OR(P8="",P8=0),"No balance",IF(ABS(I8-P8)&lt;1,"Yes",IF(ABS(I8/P8-1)&lt;0.02,"Within 2%",IF(ABS(I8/P8-1)&lt;0.05,"Within 5%","No")))))</f>
        <v/>
      </c>
      <c r="U8">
        <f>IF($J8="","",IF(N8="","",IF(ABS(F8-N8)&lt;1,"Yes",IF(ABS(G8-N8)&lt;1,"Disbursed = sanction","No"))))</f>
        <v/>
      </c>
      <c r="V8">
        <f>IF(OR($J8="",Q8="",E8=""),"",ABS(E8-Q8))</f>
        <v/>
      </c>
      <c r="W8" t="inlineStr">
        <is>
          <t>Yes</t>
        </is>
      </c>
      <c r="X8" s="489" t="inlineStr"/>
      <c r="Y8" s="489" t="inlineStr"/>
      <c r="Z8" s="489" t="inlineStr"/>
    </row>
    <row r="9">
      <c r="A9" t="n">
        <v>12</v>
      </c>
      <c r="B9">
        <f>'Loan Book'!D12</f>
        <v/>
      </c>
      <c r="C9">
        <f>'Loan Book'!E12</f>
        <v/>
      </c>
      <c r="D9">
        <f>'Loan Book'!F12</f>
        <v/>
      </c>
      <c r="E9" s="487">
        <f>'Loan Book'!G12</f>
        <v/>
      </c>
      <c r="F9" s="488">
        <f>'Loan Book'!L12</f>
        <v/>
      </c>
      <c r="G9" s="488">
        <f>'Loan Book'!M12</f>
        <v/>
      </c>
      <c r="H9" s="488">
        <f>'Loan Book'!O12</f>
        <v/>
      </c>
      <c r="I9" s="488">
        <f>'Loan Book'!R12</f>
        <v/>
      </c>
      <c r="J9" t="inlineStr">
        <is>
          <t>000104430000008</t>
        </is>
      </c>
      <c r="K9" t="inlineStr">
        <is>
          <t>High</t>
        </is>
      </c>
      <c r="L9">
        <f>IFERROR(INDEX('E-Banker master'!$B$2:$B$186,MATCH($J9,'E-Banker master'!$A$2:$A$186,0)),"")</f>
        <v/>
      </c>
      <c r="M9" s="487">
        <f>IFERROR(INDEX('E-Banker master'!$H$2:$H$186,MATCH($J9,'E-Banker master'!$A$2:$A$186,0)),"")</f>
        <v/>
      </c>
      <c r="N9" s="488">
        <f>IFERROR(INDEX('E-Banker master'!$I$2:$I$186,MATCH($J9,'E-Banker master'!$A$2:$A$186,0)),"")</f>
        <v/>
      </c>
      <c r="O9" s="488">
        <f>IFERROR(INDEX('E-Banker master'!$N$2:$N$186,MATCH($J9,'E-Banker master'!$A$2:$A$186,0)),"")</f>
        <v/>
      </c>
      <c r="P9" s="488">
        <f>IFERROR(INDEX('E-Banker master'!$P$2:$P$186,MATCH($J9,'E-Banker master'!$A$2:$A$186,0)),"")</f>
        <v/>
      </c>
      <c r="Q9" s="487">
        <f>IFERROR(INDEX('E-Banker master'!$Q$2:$Q$186,MATCH($J9,'E-Banker master'!$A$2:$A$186,0)),"")</f>
        <v/>
      </c>
      <c r="R9">
        <f>IFERROR(INDEX('E-Banker master'!$E$2:$E$186,MATCH($J9,'E-Banker master'!$A$2:$A$186,0)),"")</f>
        <v/>
      </c>
      <c r="S9">
        <f>IF($J9="","",IF(O9="","No take-on posting",IF(ABS(H9-O9)&lt;1,"Yes",IF(ABS(H9/O9-1)&lt;0.01,"Within 1%","No"))))</f>
        <v/>
      </c>
      <c r="T9">
        <f>IF($J9="","",IF(OR(P9="",P9=0),"No balance",IF(ABS(I9-P9)&lt;1,"Yes",IF(ABS(I9/P9-1)&lt;0.02,"Within 2%",IF(ABS(I9/P9-1)&lt;0.05,"Within 5%","No")))))</f>
        <v/>
      </c>
      <c r="U9">
        <f>IF($J9="","",IF(N9="","",IF(ABS(F9-N9)&lt;1,"Yes",IF(ABS(G9-N9)&lt;1,"Disbursed = sanction","No"))))</f>
        <v/>
      </c>
      <c r="V9">
        <f>IF(OR($J9="",Q9="",E9=""),"",ABS(E9-Q9))</f>
        <v/>
      </c>
      <c r="W9" t="inlineStr">
        <is>
          <t>Yes</t>
        </is>
      </c>
      <c r="X9" s="489" t="inlineStr"/>
      <c r="Y9" s="489" t="inlineStr"/>
      <c r="Z9" s="489" t="inlineStr"/>
    </row>
    <row r="10">
      <c r="A10" t="n">
        <v>13</v>
      </c>
      <c r="B10">
        <f>'Loan Book'!D13</f>
        <v/>
      </c>
      <c r="C10">
        <f>'Loan Book'!E13</f>
        <v/>
      </c>
      <c r="D10">
        <f>'Loan Book'!F13</f>
        <v/>
      </c>
      <c r="E10" s="487">
        <f>'Loan Book'!G13</f>
        <v/>
      </c>
      <c r="F10" s="488">
        <f>'Loan Book'!L13</f>
        <v/>
      </c>
      <c r="G10" s="488">
        <f>'Loan Book'!M13</f>
        <v/>
      </c>
      <c r="H10" s="488">
        <f>'Loan Book'!O13</f>
        <v/>
      </c>
      <c r="I10" s="488">
        <f>'Loan Book'!R13</f>
        <v/>
      </c>
      <c r="J10" t="inlineStr">
        <is>
          <t>000104420000009</t>
        </is>
      </c>
      <c r="K10" t="inlineStr">
        <is>
          <t>High</t>
        </is>
      </c>
      <c r="L10">
        <f>IFERROR(INDEX('E-Banker master'!$B$2:$B$186,MATCH($J10,'E-Banker master'!$A$2:$A$186,0)),"")</f>
        <v/>
      </c>
      <c r="M10" s="487">
        <f>IFERROR(INDEX('E-Banker master'!$H$2:$H$186,MATCH($J10,'E-Banker master'!$A$2:$A$186,0)),"")</f>
        <v/>
      </c>
      <c r="N10" s="488">
        <f>IFERROR(INDEX('E-Banker master'!$I$2:$I$186,MATCH($J10,'E-Banker master'!$A$2:$A$186,0)),"")</f>
        <v/>
      </c>
      <c r="O10" s="488">
        <f>IFERROR(INDEX('E-Banker master'!$N$2:$N$186,MATCH($J10,'E-Banker master'!$A$2:$A$186,0)),"")</f>
        <v/>
      </c>
      <c r="P10" s="488">
        <f>IFERROR(INDEX('E-Banker master'!$P$2:$P$186,MATCH($J10,'E-Banker master'!$A$2:$A$186,0)),"")</f>
        <v/>
      </c>
      <c r="Q10" s="487">
        <f>IFERROR(INDEX('E-Banker master'!$Q$2:$Q$186,MATCH($J10,'E-Banker master'!$A$2:$A$186,0)),"")</f>
        <v/>
      </c>
      <c r="R10">
        <f>IFERROR(INDEX('E-Banker master'!$E$2:$E$186,MATCH($J10,'E-Banker master'!$A$2:$A$186,0)),"")</f>
        <v/>
      </c>
      <c r="S10">
        <f>IF($J10="","",IF(O10="","No take-on posting",IF(ABS(H10-O10)&lt;1,"Yes",IF(ABS(H10/O10-1)&lt;0.01,"Within 1%","No"))))</f>
        <v/>
      </c>
      <c r="T10">
        <f>IF($J10="","",IF(OR(P10="",P10=0),"No balance",IF(ABS(I10-P10)&lt;1,"Yes",IF(ABS(I10/P10-1)&lt;0.02,"Within 2%",IF(ABS(I10/P10-1)&lt;0.05,"Within 5%","No")))))</f>
        <v/>
      </c>
      <c r="U10">
        <f>IF($J10="","",IF(N10="","",IF(ABS(F10-N10)&lt;1,"Yes",IF(ABS(G10-N10)&lt;1,"Disbursed = sanction","No"))))</f>
        <v/>
      </c>
      <c r="V10">
        <f>IF(OR($J10="",Q10="",E10=""),"",ABS(E10-Q10))</f>
        <v/>
      </c>
      <c r="W10" t="inlineStr">
        <is>
          <t>Yes</t>
        </is>
      </c>
      <c r="X10" s="489" t="inlineStr"/>
      <c r="Y10" s="489" t="inlineStr"/>
      <c r="Z10" s="489" t="inlineStr"/>
    </row>
    <row r="11">
      <c r="A11" t="n">
        <v>14</v>
      </c>
      <c r="B11">
        <f>'Loan Book'!D14</f>
        <v/>
      </c>
      <c r="C11">
        <f>'Loan Book'!E14</f>
        <v/>
      </c>
      <c r="D11">
        <f>'Loan Book'!F14</f>
        <v/>
      </c>
      <c r="E11" s="487">
        <f>'Loan Book'!G14</f>
        <v/>
      </c>
      <c r="F11" s="488">
        <f>'Loan Book'!L14</f>
        <v/>
      </c>
      <c r="G11" s="488">
        <f>'Loan Book'!M14</f>
        <v/>
      </c>
      <c r="H11" s="488">
        <f>'Loan Book'!O14</f>
        <v/>
      </c>
      <c r="I11" s="488">
        <f>'Loan Book'!R14</f>
        <v/>
      </c>
      <c r="J11" t="inlineStr">
        <is>
          <t>000104420000010</t>
        </is>
      </c>
      <c r="K11" t="inlineStr">
        <is>
          <t>High</t>
        </is>
      </c>
      <c r="L11">
        <f>IFERROR(INDEX('E-Banker master'!$B$2:$B$186,MATCH($J11,'E-Banker master'!$A$2:$A$186,0)),"")</f>
        <v/>
      </c>
      <c r="M11" s="487">
        <f>IFERROR(INDEX('E-Banker master'!$H$2:$H$186,MATCH($J11,'E-Banker master'!$A$2:$A$186,0)),"")</f>
        <v/>
      </c>
      <c r="N11" s="488">
        <f>IFERROR(INDEX('E-Banker master'!$I$2:$I$186,MATCH($J11,'E-Banker master'!$A$2:$A$186,0)),"")</f>
        <v/>
      </c>
      <c r="O11" s="488">
        <f>IFERROR(INDEX('E-Banker master'!$N$2:$N$186,MATCH($J11,'E-Banker master'!$A$2:$A$186,0)),"")</f>
        <v/>
      </c>
      <c r="P11" s="488">
        <f>IFERROR(INDEX('E-Banker master'!$P$2:$P$186,MATCH($J11,'E-Banker master'!$A$2:$A$186,0)),"")</f>
        <v/>
      </c>
      <c r="Q11" s="487">
        <f>IFERROR(INDEX('E-Banker master'!$Q$2:$Q$186,MATCH($J11,'E-Banker master'!$A$2:$A$186,0)),"")</f>
        <v/>
      </c>
      <c r="R11">
        <f>IFERROR(INDEX('E-Banker master'!$E$2:$E$186,MATCH($J11,'E-Banker master'!$A$2:$A$186,0)),"")</f>
        <v/>
      </c>
      <c r="S11">
        <f>IF($J11="","",IF(O11="","No take-on posting",IF(ABS(H11-O11)&lt;1,"Yes",IF(ABS(H11/O11-1)&lt;0.01,"Within 1%","No"))))</f>
        <v/>
      </c>
      <c r="T11">
        <f>IF($J11="","",IF(OR(P11="",P11=0),"No balance",IF(ABS(I11-P11)&lt;1,"Yes",IF(ABS(I11/P11-1)&lt;0.02,"Within 2%",IF(ABS(I11/P11-1)&lt;0.05,"Within 5%","No")))))</f>
        <v/>
      </c>
      <c r="U11">
        <f>IF($J11="","",IF(N11="","",IF(ABS(F11-N11)&lt;1,"Yes",IF(ABS(G11-N11)&lt;1,"Disbursed = sanction","No"))))</f>
        <v/>
      </c>
      <c r="V11">
        <f>IF(OR($J11="",Q11="",E11=""),"",ABS(E11-Q11))</f>
        <v/>
      </c>
      <c r="W11" t="inlineStr">
        <is>
          <t>Yes</t>
        </is>
      </c>
      <c r="X11" s="489" t="inlineStr"/>
      <c r="Y11" s="489" t="inlineStr"/>
      <c r="Z11" s="489" t="inlineStr"/>
    </row>
    <row r="12">
      <c r="A12" t="n">
        <v>15</v>
      </c>
      <c r="B12">
        <f>'Loan Book'!D15</f>
        <v/>
      </c>
      <c r="C12">
        <f>'Loan Book'!E15</f>
        <v/>
      </c>
      <c r="D12">
        <f>'Loan Book'!F15</f>
        <v/>
      </c>
      <c r="E12" s="487">
        <f>'Loan Book'!G15</f>
        <v/>
      </c>
      <c r="F12" s="488">
        <f>'Loan Book'!L15</f>
        <v/>
      </c>
      <c r="G12" s="488">
        <f>'Loan Book'!M15</f>
        <v/>
      </c>
      <c r="H12" s="488">
        <f>'Loan Book'!O15</f>
        <v/>
      </c>
      <c r="I12" s="488">
        <f>'Loan Book'!R15</f>
        <v/>
      </c>
      <c r="J12" t="inlineStr">
        <is>
          <t>000104420000012</t>
        </is>
      </c>
      <c r="K12" t="inlineStr">
        <is>
          <t>High</t>
        </is>
      </c>
      <c r="L12">
        <f>IFERROR(INDEX('E-Banker master'!$B$2:$B$186,MATCH($J12,'E-Banker master'!$A$2:$A$186,0)),"")</f>
        <v/>
      </c>
      <c r="M12" s="487">
        <f>IFERROR(INDEX('E-Banker master'!$H$2:$H$186,MATCH($J12,'E-Banker master'!$A$2:$A$186,0)),"")</f>
        <v/>
      </c>
      <c r="N12" s="488">
        <f>IFERROR(INDEX('E-Banker master'!$I$2:$I$186,MATCH($J12,'E-Banker master'!$A$2:$A$186,0)),"")</f>
        <v/>
      </c>
      <c r="O12" s="488">
        <f>IFERROR(INDEX('E-Banker master'!$N$2:$N$186,MATCH($J12,'E-Banker master'!$A$2:$A$186,0)),"")</f>
        <v/>
      </c>
      <c r="P12" s="488">
        <f>IFERROR(INDEX('E-Banker master'!$P$2:$P$186,MATCH($J12,'E-Banker master'!$A$2:$A$186,0)),"")</f>
        <v/>
      </c>
      <c r="Q12" s="487">
        <f>IFERROR(INDEX('E-Banker master'!$Q$2:$Q$186,MATCH($J12,'E-Banker master'!$A$2:$A$186,0)),"")</f>
        <v/>
      </c>
      <c r="R12">
        <f>IFERROR(INDEX('E-Banker master'!$E$2:$E$186,MATCH($J12,'E-Banker master'!$A$2:$A$186,0)),"")</f>
        <v/>
      </c>
      <c r="S12">
        <f>IF($J12="","",IF(O12="","No take-on posting",IF(ABS(H12-O12)&lt;1,"Yes",IF(ABS(H12/O12-1)&lt;0.01,"Within 1%","No"))))</f>
        <v/>
      </c>
      <c r="T12">
        <f>IF($J12="","",IF(OR(P12="",P12=0),"No balance",IF(ABS(I12-P12)&lt;1,"Yes",IF(ABS(I12/P12-1)&lt;0.02,"Within 2%",IF(ABS(I12/P12-1)&lt;0.05,"Within 5%","No")))))</f>
        <v/>
      </c>
      <c r="U12">
        <f>IF($J12="","",IF(N12="","",IF(ABS(F12-N12)&lt;1,"Yes",IF(ABS(G12-N12)&lt;1,"Disbursed = sanction","No"))))</f>
        <v/>
      </c>
      <c r="V12">
        <f>IF(OR($J12="",Q12="",E12=""),"",ABS(E12-Q12))</f>
        <v/>
      </c>
      <c r="W12" t="inlineStr">
        <is>
          <t>Yes</t>
        </is>
      </c>
      <c r="X12" s="489" t="inlineStr"/>
      <c r="Y12" s="489" t="inlineStr"/>
      <c r="Z12" s="489" t="inlineStr"/>
    </row>
    <row r="13">
      <c r="A13" t="n">
        <v>16</v>
      </c>
      <c r="B13">
        <f>'Loan Book'!D16</f>
        <v/>
      </c>
      <c r="C13">
        <f>'Loan Book'!E16</f>
        <v/>
      </c>
      <c r="D13">
        <f>'Loan Book'!F16</f>
        <v/>
      </c>
      <c r="E13" s="487">
        <f>'Loan Book'!G16</f>
        <v/>
      </c>
      <c r="F13" s="488">
        <f>'Loan Book'!L16</f>
        <v/>
      </c>
      <c r="G13" s="488">
        <f>'Loan Book'!M16</f>
        <v/>
      </c>
      <c r="H13" s="488">
        <f>'Loan Book'!O16</f>
        <v/>
      </c>
      <c r="I13" s="488">
        <f>'Loan Book'!R16</f>
        <v/>
      </c>
      <c r="J13" t="inlineStr">
        <is>
          <t>000104420000011</t>
        </is>
      </c>
      <c r="K13" t="inlineStr">
        <is>
          <t>High</t>
        </is>
      </c>
      <c r="L13">
        <f>IFERROR(INDEX('E-Banker master'!$B$2:$B$186,MATCH($J13,'E-Banker master'!$A$2:$A$186,0)),"")</f>
        <v/>
      </c>
      <c r="M13" s="487">
        <f>IFERROR(INDEX('E-Banker master'!$H$2:$H$186,MATCH($J13,'E-Banker master'!$A$2:$A$186,0)),"")</f>
        <v/>
      </c>
      <c r="N13" s="488">
        <f>IFERROR(INDEX('E-Banker master'!$I$2:$I$186,MATCH($J13,'E-Banker master'!$A$2:$A$186,0)),"")</f>
        <v/>
      </c>
      <c r="O13" s="488">
        <f>IFERROR(INDEX('E-Banker master'!$N$2:$N$186,MATCH($J13,'E-Banker master'!$A$2:$A$186,0)),"")</f>
        <v/>
      </c>
      <c r="P13" s="488">
        <f>IFERROR(INDEX('E-Banker master'!$P$2:$P$186,MATCH($J13,'E-Banker master'!$A$2:$A$186,0)),"")</f>
        <v/>
      </c>
      <c r="Q13" s="487">
        <f>IFERROR(INDEX('E-Banker master'!$Q$2:$Q$186,MATCH($J13,'E-Banker master'!$A$2:$A$186,0)),"")</f>
        <v/>
      </c>
      <c r="R13">
        <f>IFERROR(INDEX('E-Banker master'!$E$2:$E$186,MATCH($J13,'E-Banker master'!$A$2:$A$186,0)),"")</f>
        <v/>
      </c>
      <c r="S13">
        <f>IF($J13="","",IF(O13="","No take-on posting",IF(ABS(H13-O13)&lt;1,"Yes",IF(ABS(H13/O13-1)&lt;0.01,"Within 1%","No"))))</f>
        <v/>
      </c>
      <c r="T13">
        <f>IF($J13="","",IF(OR(P13="",P13=0),"No balance",IF(ABS(I13-P13)&lt;1,"Yes",IF(ABS(I13/P13-1)&lt;0.02,"Within 2%",IF(ABS(I13/P13-1)&lt;0.05,"Within 5%","No")))))</f>
        <v/>
      </c>
      <c r="U13">
        <f>IF($J13="","",IF(N13="","",IF(ABS(F13-N13)&lt;1,"Yes",IF(ABS(G13-N13)&lt;1,"Disbursed = sanction","No"))))</f>
        <v/>
      </c>
      <c r="V13">
        <f>IF(OR($J13="",Q13="",E13=""),"",ABS(E13-Q13))</f>
        <v/>
      </c>
      <c r="W13" t="inlineStr">
        <is>
          <t>Yes</t>
        </is>
      </c>
      <c r="X13" s="489" t="inlineStr"/>
      <c r="Y13" s="489" t="inlineStr"/>
      <c r="Z13" s="489" t="inlineStr"/>
    </row>
    <row r="14">
      <c r="A14" t="n">
        <v>17</v>
      </c>
      <c r="B14">
        <f>'Loan Book'!D17</f>
        <v/>
      </c>
      <c r="C14">
        <f>'Loan Book'!E17</f>
        <v/>
      </c>
      <c r="D14">
        <f>'Loan Book'!F17</f>
        <v/>
      </c>
      <c r="E14" s="487">
        <f>'Loan Book'!G17</f>
        <v/>
      </c>
      <c r="F14" s="488">
        <f>'Loan Book'!L17</f>
        <v/>
      </c>
      <c r="G14" s="488">
        <f>'Loan Book'!M17</f>
        <v/>
      </c>
      <c r="H14" s="488">
        <f>'Loan Book'!O17</f>
        <v/>
      </c>
      <c r="I14" s="488">
        <f>'Loan Book'!R17</f>
        <v/>
      </c>
      <c r="J14" t="inlineStr">
        <is>
          <t>000104450000012</t>
        </is>
      </c>
      <c r="K14" t="inlineStr">
        <is>
          <t>High</t>
        </is>
      </c>
      <c r="L14">
        <f>IFERROR(INDEX('E-Banker master'!$B$2:$B$186,MATCH($J14,'E-Banker master'!$A$2:$A$186,0)),"")</f>
        <v/>
      </c>
      <c r="M14" s="487">
        <f>IFERROR(INDEX('E-Banker master'!$H$2:$H$186,MATCH($J14,'E-Banker master'!$A$2:$A$186,0)),"")</f>
        <v/>
      </c>
      <c r="N14" s="488">
        <f>IFERROR(INDEX('E-Banker master'!$I$2:$I$186,MATCH($J14,'E-Banker master'!$A$2:$A$186,0)),"")</f>
        <v/>
      </c>
      <c r="O14" s="488">
        <f>IFERROR(INDEX('E-Banker master'!$N$2:$N$186,MATCH($J14,'E-Banker master'!$A$2:$A$186,0)),"")</f>
        <v/>
      </c>
      <c r="P14" s="488">
        <f>IFERROR(INDEX('E-Banker master'!$P$2:$P$186,MATCH($J14,'E-Banker master'!$A$2:$A$186,0)),"")</f>
        <v/>
      </c>
      <c r="Q14" s="487">
        <f>IFERROR(INDEX('E-Banker master'!$Q$2:$Q$186,MATCH($J14,'E-Banker master'!$A$2:$A$186,0)),"")</f>
        <v/>
      </c>
      <c r="R14">
        <f>IFERROR(INDEX('E-Banker master'!$E$2:$E$186,MATCH($J14,'E-Banker master'!$A$2:$A$186,0)),"")</f>
        <v/>
      </c>
      <c r="S14">
        <f>IF($J14="","",IF(O14="","No take-on posting",IF(ABS(H14-O14)&lt;1,"Yes",IF(ABS(H14/O14-1)&lt;0.01,"Within 1%","No"))))</f>
        <v/>
      </c>
      <c r="T14">
        <f>IF($J14="","",IF(OR(P14="",P14=0),"No balance",IF(ABS(I14-P14)&lt;1,"Yes",IF(ABS(I14/P14-1)&lt;0.02,"Within 2%",IF(ABS(I14/P14-1)&lt;0.05,"Within 5%","No")))))</f>
        <v/>
      </c>
      <c r="U14">
        <f>IF($J14="","",IF(N14="","",IF(ABS(F14-N14)&lt;1,"Yes",IF(ABS(G14-N14)&lt;1,"Disbursed = sanction","No"))))</f>
        <v/>
      </c>
      <c r="V14">
        <f>IF(OR($J14="",Q14="",E14=""),"",ABS(E14-Q14))</f>
        <v/>
      </c>
      <c r="W14" t="inlineStr">
        <is>
          <t>Yes</t>
        </is>
      </c>
      <c r="X14" s="489" t="inlineStr"/>
      <c r="Y14" s="489" t="inlineStr"/>
      <c r="Z14" s="489" t="inlineStr"/>
    </row>
    <row r="15">
      <c r="A15" t="n">
        <v>18</v>
      </c>
      <c r="B15">
        <f>'Loan Book'!D18</f>
        <v/>
      </c>
      <c r="C15">
        <f>'Loan Book'!E18</f>
        <v/>
      </c>
      <c r="D15">
        <f>'Loan Book'!F18</f>
        <v/>
      </c>
      <c r="E15" s="487">
        <f>'Loan Book'!G18</f>
        <v/>
      </c>
      <c r="F15" s="488">
        <f>'Loan Book'!L18</f>
        <v/>
      </c>
      <c r="G15" s="488">
        <f>'Loan Book'!M18</f>
        <v/>
      </c>
      <c r="H15" s="488">
        <f>'Loan Book'!O18</f>
        <v/>
      </c>
      <c r="I15" s="488">
        <f>'Loan Book'!R18</f>
        <v/>
      </c>
      <c r="J15" t="inlineStr">
        <is>
          <t>000104450000013</t>
        </is>
      </c>
      <c r="K15" t="inlineStr">
        <is>
          <t>High</t>
        </is>
      </c>
      <c r="L15">
        <f>IFERROR(INDEX('E-Banker master'!$B$2:$B$186,MATCH($J15,'E-Banker master'!$A$2:$A$186,0)),"")</f>
        <v/>
      </c>
      <c r="M15" s="487">
        <f>IFERROR(INDEX('E-Banker master'!$H$2:$H$186,MATCH($J15,'E-Banker master'!$A$2:$A$186,0)),"")</f>
        <v/>
      </c>
      <c r="N15" s="488">
        <f>IFERROR(INDEX('E-Banker master'!$I$2:$I$186,MATCH($J15,'E-Banker master'!$A$2:$A$186,0)),"")</f>
        <v/>
      </c>
      <c r="O15" s="488">
        <f>IFERROR(INDEX('E-Banker master'!$N$2:$N$186,MATCH($J15,'E-Banker master'!$A$2:$A$186,0)),"")</f>
        <v/>
      </c>
      <c r="P15" s="488">
        <f>IFERROR(INDEX('E-Banker master'!$P$2:$P$186,MATCH($J15,'E-Banker master'!$A$2:$A$186,0)),"")</f>
        <v/>
      </c>
      <c r="Q15" s="487">
        <f>IFERROR(INDEX('E-Banker master'!$Q$2:$Q$186,MATCH($J15,'E-Banker master'!$A$2:$A$186,0)),"")</f>
        <v/>
      </c>
      <c r="R15">
        <f>IFERROR(INDEX('E-Banker master'!$E$2:$E$186,MATCH($J15,'E-Banker master'!$A$2:$A$186,0)),"")</f>
        <v/>
      </c>
      <c r="S15">
        <f>IF($J15="","",IF(O15="","No take-on posting",IF(ABS(H15-O15)&lt;1,"Yes",IF(ABS(H15/O15-1)&lt;0.01,"Within 1%","No"))))</f>
        <v/>
      </c>
      <c r="T15">
        <f>IF($J15="","",IF(OR(P15="",P15=0),"No balance",IF(ABS(I15-P15)&lt;1,"Yes",IF(ABS(I15/P15-1)&lt;0.02,"Within 2%",IF(ABS(I15/P15-1)&lt;0.05,"Within 5%","No")))))</f>
        <v/>
      </c>
      <c r="U15">
        <f>IF($J15="","",IF(N15="","",IF(ABS(F15-N15)&lt;1,"Yes",IF(ABS(G15-N15)&lt;1,"Disbursed = sanction","No"))))</f>
        <v/>
      </c>
      <c r="V15">
        <f>IF(OR($J15="",Q15="",E15=""),"",ABS(E15-Q15))</f>
        <v/>
      </c>
      <c r="W15" t="inlineStr">
        <is>
          <t>Yes</t>
        </is>
      </c>
      <c r="X15" s="489" t="inlineStr"/>
      <c r="Y15" s="489" t="inlineStr"/>
      <c r="Z15" s="489" t="inlineStr"/>
    </row>
    <row r="16">
      <c r="A16" t="n">
        <v>19</v>
      </c>
      <c r="B16">
        <f>'Loan Book'!D19</f>
        <v/>
      </c>
      <c r="C16">
        <f>'Loan Book'!E19</f>
        <v/>
      </c>
      <c r="D16">
        <f>'Loan Book'!F19</f>
        <v/>
      </c>
      <c r="E16" s="487">
        <f>'Loan Book'!G19</f>
        <v/>
      </c>
      <c r="F16" s="488">
        <f>'Loan Book'!L19</f>
        <v/>
      </c>
      <c r="G16" s="488">
        <f>'Loan Book'!M19</f>
        <v/>
      </c>
      <c r="H16" s="488">
        <f>'Loan Book'!O19</f>
        <v/>
      </c>
      <c r="I16" s="488">
        <f>'Loan Book'!R19</f>
        <v/>
      </c>
      <c r="J16" t="inlineStr">
        <is>
          <t>000104460000014</t>
        </is>
      </c>
      <c r="K16" t="inlineStr">
        <is>
          <t>High</t>
        </is>
      </c>
      <c r="L16">
        <f>IFERROR(INDEX('E-Banker master'!$B$2:$B$186,MATCH($J16,'E-Banker master'!$A$2:$A$186,0)),"")</f>
        <v/>
      </c>
      <c r="M16" s="487">
        <f>IFERROR(INDEX('E-Banker master'!$H$2:$H$186,MATCH($J16,'E-Banker master'!$A$2:$A$186,0)),"")</f>
        <v/>
      </c>
      <c r="N16" s="488">
        <f>IFERROR(INDEX('E-Banker master'!$I$2:$I$186,MATCH($J16,'E-Banker master'!$A$2:$A$186,0)),"")</f>
        <v/>
      </c>
      <c r="O16" s="488">
        <f>IFERROR(INDEX('E-Banker master'!$N$2:$N$186,MATCH($J16,'E-Banker master'!$A$2:$A$186,0)),"")</f>
        <v/>
      </c>
      <c r="P16" s="488">
        <f>IFERROR(INDEX('E-Banker master'!$P$2:$P$186,MATCH($J16,'E-Banker master'!$A$2:$A$186,0)),"")</f>
        <v/>
      </c>
      <c r="Q16" s="487">
        <f>IFERROR(INDEX('E-Banker master'!$Q$2:$Q$186,MATCH($J16,'E-Banker master'!$A$2:$A$186,0)),"")</f>
        <v/>
      </c>
      <c r="R16">
        <f>IFERROR(INDEX('E-Banker master'!$E$2:$E$186,MATCH($J16,'E-Banker master'!$A$2:$A$186,0)),"")</f>
        <v/>
      </c>
      <c r="S16">
        <f>IF($J16="","",IF(O16="","No take-on posting",IF(ABS(H16-O16)&lt;1,"Yes",IF(ABS(H16/O16-1)&lt;0.01,"Within 1%","No"))))</f>
        <v/>
      </c>
      <c r="T16">
        <f>IF($J16="","",IF(OR(P16="",P16=0),"No balance",IF(ABS(I16-P16)&lt;1,"Yes",IF(ABS(I16/P16-1)&lt;0.02,"Within 2%",IF(ABS(I16/P16-1)&lt;0.05,"Within 5%","No")))))</f>
        <v/>
      </c>
      <c r="U16">
        <f>IF($J16="","",IF(N16="","",IF(ABS(F16-N16)&lt;1,"Yes",IF(ABS(G16-N16)&lt;1,"Disbursed = sanction","No"))))</f>
        <v/>
      </c>
      <c r="V16">
        <f>IF(OR($J16="",Q16="",E16=""),"",ABS(E16-Q16))</f>
        <v/>
      </c>
      <c r="W16" t="inlineStr">
        <is>
          <t>Yes</t>
        </is>
      </c>
      <c r="X16" s="489" t="inlineStr"/>
      <c r="Y16" s="489" t="inlineStr"/>
      <c r="Z16" s="489" t="inlineStr"/>
    </row>
    <row r="17">
      <c r="A17" t="n">
        <v>20</v>
      </c>
      <c r="B17">
        <f>'Loan Book'!D20</f>
        <v/>
      </c>
      <c r="C17">
        <f>'Loan Book'!E20</f>
        <v/>
      </c>
      <c r="D17">
        <f>'Loan Book'!F20</f>
        <v/>
      </c>
      <c r="E17" s="487">
        <f>'Loan Book'!G20</f>
        <v/>
      </c>
      <c r="F17" s="488">
        <f>'Loan Book'!L20</f>
        <v/>
      </c>
      <c r="G17" s="488">
        <f>'Loan Book'!M20</f>
        <v/>
      </c>
      <c r="H17" s="488">
        <f>'Loan Book'!O20</f>
        <v/>
      </c>
      <c r="I17" s="488">
        <f>'Loan Book'!R20</f>
        <v/>
      </c>
      <c r="J17" t="inlineStr">
        <is>
          <t>000104450000015</t>
        </is>
      </c>
      <c r="K17" t="inlineStr">
        <is>
          <t>High</t>
        </is>
      </c>
      <c r="L17">
        <f>IFERROR(INDEX('E-Banker master'!$B$2:$B$186,MATCH($J17,'E-Banker master'!$A$2:$A$186,0)),"")</f>
        <v/>
      </c>
      <c r="M17" s="487">
        <f>IFERROR(INDEX('E-Banker master'!$H$2:$H$186,MATCH($J17,'E-Banker master'!$A$2:$A$186,0)),"")</f>
        <v/>
      </c>
      <c r="N17" s="488">
        <f>IFERROR(INDEX('E-Banker master'!$I$2:$I$186,MATCH($J17,'E-Banker master'!$A$2:$A$186,0)),"")</f>
        <v/>
      </c>
      <c r="O17" s="488">
        <f>IFERROR(INDEX('E-Banker master'!$N$2:$N$186,MATCH($J17,'E-Banker master'!$A$2:$A$186,0)),"")</f>
        <v/>
      </c>
      <c r="P17" s="488">
        <f>IFERROR(INDEX('E-Banker master'!$P$2:$P$186,MATCH($J17,'E-Banker master'!$A$2:$A$186,0)),"")</f>
        <v/>
      </c>
      <c r="Q17" s="487">
        <f>IFERROR(INDEX('E-Banker master'!$Q$2:$Q$186,MATCH($J17,'E-Banker master'!$A$2:$A$186,0)),"")</f>
        <v/>
      </c>
      <c r="R17">
        <f>IFERROR(INDEX('E-Banker master'!$E$2:$E$186,MATCH($J17,'E-Banker master'!$A$2:$A$186,0)),"")</f>
        <v/>
      </c>
      <c r="S17">
        <f>IF($J17="","",IF(O17="","No take-on posting",IF(ABS(H17-O17)&lt;1,"Yes",IF(ABS(H17/O17-1)&lt;0.01,"Within 1%","No"))))</f>
        <v/>
      </c>
      <c r="T17">
        <f>IF($J17="","",IF(OR(P17="",P17=0),"No balance",IF(ABS(I17-P17)&lt;1,"Yes",IF(ABS(I17/P17-1)&lt;0.02,"Within 2%",IF(ABS(I17/P17-1)&lt;0.05,"Within 5%","No")))))</f>
        <v/>
      </c>
      <c r="U17">
        <f>IF($J17="","",IF(N17="","",IF(ABS(F17-N17)&lt;1,"Yes",IF(ABS(G17-N17)&lt;1,"Disbursed = sanction","No"))))</f>
        <v/>
      </c>
      <c r="V17">
        <f>IF(OR($J17="",Q17="",E17=""),"",ABS(E17-Q17))</f>
        <v/>
      </c>
      <c r="W17" t="inlineStr">
        <is>
          <t>Yes</t>
        </is>
      </c>
      <c r="X17" s="489" t="inlineStr"/>
      <c r="Y17" s="489" t="inlineStr"/>
      <c r="Z17" s="489" t="inlineStr"/>
    </row>
    <row r="18">
      <c r="A18" t="n">
        <v>21</v>
      </c>
      <c r="B18">
        <f>'Loan Book'!D21</f>
        <v/>
      </c>
      <c r="C18">
        <f>'Loan Book'!E21</f>
        <v/>
      </c>
      <c r="D18">
        <f>'Loan Book'!F21</f>
        <v/>
      </c>
      <c r="E18" s="487">
        <f>'Loan Book'!G21</f>
        <v/>
      </c>
      <c r="F18" s="488">
        <f>'Loan Book'!L21</f>
        <v/>
      </c>
      <c r="G18" s="488">
        <f>'Loan Book'!M21</f>
        <v/>
      </c>
      <c r="H18" s="488">
        <f>'Loan Book'!O21</f>
        <v/>
      </c>
      <c r="I18" s="488">
        <f>'Loan Book'!R21</f>
        <v/>
      </c>
      <c r="J18" t="inlineStr">
        <is>
          <t>000104450000016</t>
        </is>
      </c>
      <c r="K18" t="inlineStr">
        <is>
          <t>High</t>
        </is>
      </c>
      <c r="L18">
        <f>IFERROR(INDEX('E-Banker master'!$B$2:$B$186,MATCH($J18,'E-Banker master'!$A$2:$A$186,0)),"")</f>
        <v/>
      </c>
      <c r="M18" s="487">
        <f>IFERROR(INDEX('E-Banker master'!$H$2:$H$186,MATCH($J18,'E-Banker master'!$A$2:$A$186,0)),"")</f>
        <v/>
      </c>
      <c r="N18" s="488">
        <f>IFERROR(INDEX('E-Banker master'!$I$2:$I$186,MATCH($J18,'E-Banker master'!$A$2:$A$186,0)),"")</f>
        <v/>
      </c>
      <c r="O18" s="488">
        <f>IFERROR(INDEX('E-Banker master'!$N$2:$N$186,MATCH($J18,'E-Banker master'!$A$2:$A$186,0)),"")</f>
        <v/>
      </c>
      <c r="P18" s="488">
        <f>IFERROR(INDEX('E-Banker master'!$P$2:$P$186,MATCH($J18,'E-Banker master'!$A$2:$A$186,0)),"")</f>
        <v/>
      </c>
      <c r="Q18" s="487">
        <f>IFERROR(INDEX('E-Banker master'!$Q$2:$Q$186,MATCH($J18,'E-Banker master'!$A$2:$A$186,0)),"")</f>
        <v/>
      </c>
      <c r="R18">
        <f>IFERROR(INDEX('E-Banker master'!$E$2:$E$186,MATCH($J18,'E-Banker master'!$A$2:$A$186,0)),"")</f>
        <v/>
      </c>
      <c r="S18">
        <f>IF($J18="","",IF(O18="","No take-on posting",IF(ABS(H18-O18)&lt;1,"Yes",IF(ABS(H18/O18-1)&lt;0.01,"Within 1%","No"))))</f>
        <v/>
      </c>
      <c r="T18">
        <f>IF($J18="","",IF(OR(P18="",P18=0),"No balance",IF(ABS(I18-P18)&lt;1,"Yes",IF(ABS(I18/P18-1)&lt;0.02,"Within 2%",IF(ABS(I18/P18-1)&lt;0.05,"Within 5%","No")))))</f>
        <v/>
      </c>
      <c r="U18">
        <f>IF($J18="","",IF(N18="","",IF(ABS(F18-N18)&lt;1,"Yes",IF(ABS(G18-N18)&lt;1,"Disbursed = sanction","No"))))</f>
        <v/>
      </c>
      <c r="V18">
        <f>IF(OR($J18="",Q18="",E18=""),"",ABS(E18-Q18))</f>
        <v/>
      </c>
      <c r="W18" t="inlineStr">
        <is>
          <t>Yes</t>
        </is>
      </c>
      <c r="X18" s="489" t="inlineStr"/>
      <c r="Y18" s="489" t="inlineStr"/>
      <c r="Z18" s="489" t="inlineStr"/>
    </row>
    <row r="19">
      <c r="A19" t="n">
        <v>22</v>
      </c>
      <c r="B19">
        <f>'Loan Book'!D22</f>
        <v/>
      </c>
      <c r="C19">
        <f>'Loan Book'!E22</f>
        <v/>
      </c>
      <c r="D19">
        <f>'Loan Book'!F22</f>
        <v/>
      </c>
      <c r="E19" s="487">
        <f>'Loan Book'!G22</f>
        <v/>
      </c>
      <c r="F19" s="488">
        <f>'Loan Book'!L22</f>
        <v/>
      </c>
      <c r="G19" s="488">
        <f>'Loan Book'!M22</f>
        <v/>
      </c>
      <c r="H19" s="488">
        <f>'Loan Book'!O22</f>
        <v/>
      </c>
      <c r="I19" s="488">
        <f>'Loan Book'!R22</f>
        <v/>
      </c>
      <c r="J19" t="inlineStr">
        <is>
          <t>000104460000017</t>
        </is>
      </c>
      <c r="K19" t="inlineStr">
        <is>
          <t>High</t>
        </is>
      </c>
      <c r="L19">
        <f>IFERROR(INDEX('E-Banker master'!$B$2:$B$186,MATCH($J19,'E-Banker master'!$A$2:$A$186,0)),"")</f>
        <v/>
      </c>
      <c r="M19" s="487">
        <f>IFERROR(INDEX('E-Banker master'!$H$2:$H$186,MATCH($J19,'E-Banker master'!$A$2:$A$186,0)),"")</f>
        <v/>
      </c>
      <c r="N19" s="488">
        <f>IFERROR(INDEX('E-Banker master'!$I$2:$I$186,MATCH($J19,'E-Banker master'!$A$2:$A$186,0)),"")</f>
        <v/>
      </c>
      <c r="O19" s="488">
        <f>IFERROR(INDEX('E-Banker master'!$N$2:$N$186,MATCH($J19,'E-Banker master'!$A$2:$A$186,0)),"")</f>
        <v/>
      </c>
      <c r="P19" s="488">
        <f>IFERROR(INDEX('E-Banker master'!$P$2:$P$186,MATCH($J19,'E-Banker master'!$A$2:$A$186,0)),"")</f>
        <v/>
      </c>
      <c r="Q19" s="487">
        <f>IFERROR(INDEX('E-Banker master'!$Q$2:$Q$186,MATCH($J19,'E-Banker master'!$A$2:$A$186,0)),"")</f>
        <v/>
      </c>
      <c r="R19">
        <f>IFERROR(INDEX('E-Banker master'!$E$2:$E$186,MATCH($J19,'E-Banker master'!$A$2:$A$186,0)),"")</f>
        <v/>
      </c>
      <c r="S19">
        <f>IF($J19="","",IF(O19="","No take-on posting",IF(ABS(H19-O19)&lt;1,"Yes",IF(ABS(H19/O19-1)&lt;0.01,"Within 1%","No"))))</f>
        <v/>
      </c>
      <c r="T19">
        <f>IF($J19="","",IF(OR(P19="",P19=0),"No balance",IF(ABS(I19-P19)&lt;1,"Yes",IF(ABS(I19/P19-1)&lt;0.02,"Within 2%",IF(ABS(I19/P19-1)&lt;0.05,"Within 5%","No")))))</f>
        <v/>
      </c>
      <c r="U19">
        <f>IF($J19="","",IF(N19="","",IF(ABS(F19-N19)&lt;1,"Yes",IF(ABS(G19-N19)&lt;1,"Disbursed = sanction","No"))))</f>
        <v/>
      </c>
      <c r="V19">
        <f>IF(OR($J19="",Q19="",E19=""),"",ABS(E19-Q19))</f>
        <v/>
      </c>
      <c r="W19" t="inlineStr">
        <is>
          <t>Yes</t>
        </is>
      </c>
      <c r="X19" s="489" t="inlineStr"/>
      <c r="Y19" s="489" t="inlineStr"/>
      <c r="Z19" s="489" t="inlineStr"/>
    </row>
    <row r="20">
      <c r="A20" t="n">
        <v>23</v>
      </c>
      <c r="B20">
        <f>'Loan Book'!D23</f>
        <v/>
      </c>
      <c r="C20">
        <f>'Loan Book'!E23</f>
        <v/>
      </c>
      <c r="D20">
        <f>'Loan Book'!F23</f>
        <v/>
      </c>
      <c r="E20" s="487">
        <f>'Loan Book'!G23</f>
        <v/>
      </c>
      <c r="F20" s="488">
        <f>'Loan Book'!L23</f>
        <v/>
      </c>
      <c r="G20" s="488">
        <f>'Loan Book'!M23</f>
        <v/>
      </c>
      <c r="H20" s="488">
        <f>'Loan Book'!O23</f>
        <v/>
      </c>
      <c r="I20" s="488">
        <f>'Loan Book'!R23</f>
        <v/>
      </c>
      <c r="J20" t="inlineStr">
        <is>
          <t>000104450000018</t>
        </is>
      </c>
      <c r="K20" t="inlineStr">
        <is>
          <t>High</t>
        </is>
      </c>
      <c r="L20">
        <f>IFERROR(INDEX('E-Banker master'!$B$2:$B$186,MATCH($J20,'E-Banker master'!$A$2:$A$186,0)),"")</f>
        <v/>
      </c>
      <c r="M20" s="487">
        <f>IFERROR(INDEX('E-Banker master'!$H$2:$H$186,MATCH($J20,'E-Banker master'!$A$2:$A$186,0)),"")</f>
        <v/>
      </c>
      <c r="N20" s="488">
        <f>IFERROR(INDEX('E-Banker master'!$I$2:$I$186,MATCH($J20,'E-Banker master'!$A$2:$A$186,0)),"")</f>
        <v/>
      </c>
      <c r="O20" s="488">
        <f>IFERROR(INDEX('E-Banker master'!$N$2:$N$186,MATCH($J20,'E-Banker master'!$A$2:$A$186,0)),"")</f>
        <v/>
      </c>
      <c r="P20" s="488">
        <f>IFERROR(INDEX('E-Banker master'!$P$2:$P$186,MATCH($J20,'E-Banker master'!$A$2:$A$186,0)),"")</f>
        <v/>
      </c>
      <c r="Q20" s="487">
        <f>IFERROR(INDEX('E-Banker master'!$Q$2:$Q$186,MATCH($J20,'E-Banker master'!$A$2:$A$186,0)),"")</f>
        <v/>
      </c>
      <c r="R20">
        <f>IFERROR(INDEX('E-Banker master'!$E$2:$E$186,MATCH($J20,'E-Banker master'!$A$2:$A$186,0)),"")</f>
        <v/>
      </c>
      <c r="S20">
        <f>IF($J20="","",IF(O20="","No take-on posting",IF(ABS(H20-O20)&lt;1,"Yes",IF(ABS(H20/O20-1)&lt;0.01,"Within 1%","No"))))</f>
        <v/>
      </c>
      <c r="T20">
        <f>IF($J20="","",IF(OR(P20="",P20=0),"No balance",IF(ABS(I20-P20)&lt;1,"Yes",IF(ABS(I20/P20-1)&lt;0.02,"Within 2%",IF(ABS(I20/P20-1)&lt;0.05,"Within 5%","No")))))</f>
        <v/>
      </c>
      <c r="U20">
        <f>IF($J20="","",IF(N20="","",IF(ABS(F20-N20)&lt;1,"Yes",IF(ABS(G20-N20)&lt;1,"Disbursed = sanction","No"))))</f>
        <v/>
      </c>
      <c r="V20">
        <f>IF(OR($J20="",Q20="",E20=""),"",ABS(E20-Q20))</f>
        <v/>
      </c>
      <c r="W20" t="inlineStr">
        <is>
          <t>Yes</t>
        </is>
      </c>
      <c r="X20" s="489" t="inlineStr"/>
      <c r="Y20" s="489" t="inlineStr"/>
      <c r="Z20" s="489" t="inlineStr"/>
    </row>
    <row r="21">
      <c r="A21" t="n">
        <v>24</v>
      </c>
      <c r="B21">
        <f>'Loan Book'!D24</f>
        <v/>
      </c>
      <c r="C21">
        <f>'Loan Book'!E24</f>
        <v/>
      </c>
      <c r="D21">
        <f>'Loan Book'!F24</f>
        <v/>
      </c>
      <c r="E21" s="487">
        <f>'Loan Book'!G24</f>
        <v/>
      </c>
      <c r="F21" s="488">
        <f>'Loan Book'!L24</f>
        <v/>
      </c>
      <c r="G21" s="488">
        <f>'Loan Book'!M24</f>
        <v/>
      </c>
      <c r="H21" s="488">
        <f>'Loan Book'!O24</f>
        <v/>
      </c>
      <c r="I21" s="488">
        <f>'Loan Book'!R24</f>
        <v/>
      </c>
      <c r="J21" t="inlineStr">
        <is>
          <t>000104460000019</t>
        </is>
      </c>
      <c r="K21" t="inlineStr">
        <is>
          <t>High</t>
        </is>
      </c>
      <c r="L21">
        <f>IFERROR(INDEX('E-Banker master'!$B$2:$B$186,MATCH($J21,'E-Banker master'!$A$2:$A$186,0)),"")</f>
        <v/>
      </c>
      <c r="M21" s="487">
        <f>IFERROR(INDEX('E-Banker master'!$H$2:$H$186,MATCH($J21,'E-Banker master'!$A$2:$A$186,0)),"")</f>
        <v/>
      </c>
      <c r="N21" s="488">
        <f>IFERROR(INDEX('E-Banker master'!$I$2:$I$186,MATCH($J21,'E-Banker master'!$A$2:$A$186,0)),"")</f>
        <v/>
      </c>
      <c r="O21" s="488">
        <f>IFERROR(INDEX('E-Banker master'!$N$2:$N$186,MATCH($J21,'E-Banker master'!$A$2:$A$186,0)),"")</f>
        <v/>
      </c>
      <c r="P21" s="488">
        <f>IFERROR(INDEX('E-Banker master'!$P$2:$P$186,MATCH($J21,'E-Banker master'!$A$2:$A$186,0)),"")</f>
        <v/>
      </c>
      <c r="Q21" s="487">
        <f>IFERROR(INDEX('E-Banker master'!$Q$2:$Q$186,MATCH($J21,'E-Banker master'!$A$2:$A$186,0)),"")</f>
        <v/>
      </c>
      <c r="R21">
        <f>IFERROR(INDEX('E-Banker master'!$E$2:$E$186,MATCH($J21,'E-Banker master'!$A$2:$A$186,0)),"")</f>
        <v/>
      </c>
      <c r="S21">
        <f>IF($J21="","",IF(O21="","No take-on posting",IF(ABS(H21-O21)&lt;1,"Yes",IF(ABS(H21/O21-1)&lt;0.01,"Within 1%","No"))))</f>
        <v/>
      </c>
      <c r="T21">
        <f>IF($J21="","",IF(OR(P21="",P21=0),"No balance",IF(ABS(I21-P21)&lt;1,"Yes",IF(ABS(I21/P21-1)&lt;0.02,"Within 2%",IF(ABS(I21/P21-1)&lt;0.05,"Within 5%","No")))))</f>
        <v/>
      </c>
      <c r="U21">
        <f>IF($J21="","",IF(N21="","",IF(ABS(F21-N21)&lt;1,"Yes",IF(ABS(G21-N21)&lt;1,"Disbursed = sanction","No"))))</f>
        <v/>
      </c>
      <c r="V21">
        <f>IF(OR($J21="",Q21="",E21=""),"",ABS(E21-Q21))</f>
        <v/>
      </c>
      <c r="W21" t="inlineStr">
        <is>
          <t>Yes</t>
        </is>
      </c>
      <c r="X21" s="489" t="inlineStr"/>
      <c r="Y21" s="489" t="inlineStr"/>
      <c r="Z21" s="489" t="inlineStr"/>
    </row>
    <row r="22">
      <c r="A22" t="n">
        <v>25</v>
      </c>
      <c r="B22">
        <f>'Loan Book'!D25</f>
        <v/>
      </c>
      <c r="C22">
        <f>'Loan Book'!E25</f>
        <v/>
      </c>
      <c r="D22">
        <f>'Loan Book'!F25</f>
        <v/>
      </c>
      <c r="E22" s="487">
        <f>'Loan Book'!G25</f>
        <v/>
      </c>
      <c r="F22" s="488">
        <f>'Loan Book'!L25</f>
        <v/>
      </c>
      <c r="G22" s="488">
        <f>'Loan Book'!M25</f>
        <v/>
      </c>
      <c r="H22" s="488">
        <f>'Loan Book'!O25</f>
        <v/>
      </c>
      <c r="I22" s="488">
        <f>'Loan Book'!R25</f>
        <v/>
      </c>
      <c r="J22" t="inlineStr">
        <is>
          <t>000104450000020</t>
        </is>
      </c>
      <c r="K22" t="inlineStr">
        <is>
          <t>High</t>
        </is>
      </c>
      <c r="L22">
        <f>IFERROR(INDEX('E-Banker master'!$B$2:$B$186,MATCH($J22,'E-Banker master'!$A$2:$A$186,0)),"")</f>
        <v/>
      </c>
      <c r="M22" s="487">
        <f>IFERROR(INDEX('E-Banker master'!$H$2:$H$186,MATCH($J22,'E-Banker master'!$A$2:$A$186,0)),"")</f>
        <v/>
      </c>
      <c r="N22" s="488">
        <f>IFERROR(INDEX('E-Banker master'!$I$2:$I$186,MATCH($J22,'E-Banker master'!$A$2:$A$186,0)),"")</f>
        <v/>
      </c>
      <c r="O22" s="488">
        <f>IFERROR(INDEX('E-Banker master'!$N$2:$N$186,MATCH($J22,'E-Banker master'!$A$2:$A$186,0)),"")</f>
        <v/>
      </c>
      <c r="P22" s="488">
        <f>IFERROR(INDEX('E-Banker master'!$P$2:$P$186,MATCH($J22,'E-Banker master'!$A$2:$A$186,0)),"")</f>
        <v/>
      </c>
      <c r="Q22" s="487">
        <f>IFERROR(INDEX('E-Banker master'!$Q$2:$Q$186,MATCH($J22,'E-Banker master'!$A$2:$A$186,0)),"")</f>
        <v/>
      </c>
      <c r="R22">
        <f>IFERROR(INDEX('E-Banker master'!$E$2:$E$186,MATCH($J22,'E-Banker master'!$A$2:$A$186,0)),"")</f>
        <v/>
      </c>
      <c r="S22">
        <f>IF($J22="","",IF(O22="","No take-on posting",IF(ABS(H22-O22)&lt;1,"Yes",IF(ABS(H22/O22-1)&lt;0.01,"Within 1%","No"))))</f>
        <v/>
      </c>
      <c r="T22">
        <f>IF($J22="","",IF(OR(P22="",P22=0),"No balance",IF(ABS(I22-P22)&lt;1,"Yes",IF(ABS(I22/P22-1)&lt;0.02,"Within 2%",IF(ABS(I22/P22-1)&lt;0.05,"Within 5%","No")))))</f>
        <v/>
      </c>
      <c r="U22">
        <f>IF($J22="","",IF(N22="","",IF(ABS(F22-N22)&lt;1,"Yes",IF(ABS(G22-N22)&lt;1,"Disbursed = sanction","No"))))</f>
        <v/>
      </c>
      <c r="V22">
        <f>IF(OR($J22="",Q22="",E22=""),"",ABS(E22-Q22))</f>
        <v/>
      </c>
      <c r="W22" t="inlineStr">
        <is>
          <t>Yes</t>
        </is>
      </c>
      <c r="X22" s="489" t="inlineStr"/>
      <c r="Y22" s="489" t="inlineStr"/>
      <c r="Z22" s="489" t="inlineStr"/>
    </row>
    <row r="23">
      <c r="A23" t="n">
        <v>26</v>
      </c>
      <c r="B23">
        <f>'Loan Book'!D26</f>
        <v/>
      </c>
      <c r="C23">
        <f>'Loan Book'!E26</f>
        <v/>
      </c>
      <c r="D23">
        <f>'Loan Book'!F26</f>
        <v/>
      </c>
      <c r="E23" s="487">
        <f>'Loan Book'!G26</f>
        <v/>
      </c>
      <c r="F23" s="488">
        <f>'Loan Book'!L26</f>
        <v/>
      </c>
      <c r="G23" s="488">
        <f>'Loan Book'!M26</f>
        <v/>
      </c>
      <c r="H23" s="488">
        <f>'Loan Book'!O26</f>
        <v/>
      </c>
      <c r="I23" s="488">
        <f>'Loan Book'!R26</f>
        <v/>
      </c>
      <c r="J23" t="inlineStr">
        <is>
          <t>000104430000021</t>
        </is>
      </c>
      <c r="K23" t="inlineStr">
        <is>
          <t>High</t>
        </is>
      </c>
      <c r="L23">
        <f>IFERROR(INDEX('E-Banker master'!$B$2:$B$186,MATCH($J23,'E-Banker master'!$A$2:$A$186,0)),"")</f>
        <v/>
      </c>
      <c r="M23" s="487">
        <f>IFERROR(INDEX('E-Banker master'!$H$2:$H$186,MATCH($J23,'E-Banker master'!$A$2:$A$186,0)),"")</f>
        <v/>
      </c>
      <c r="N23" s="488">
        <f>IFERROR(INDEX('E-Banker master'!$I$2:$I$186,MATCH($J23,'E-Banker master'!$A$2:$A$186,0)),"")</f>
        <v/>
      </c>
      <c r="O23" s="488">
        <f>IFERROR(INDEX('E-Banker master'!$N$2:$N$186,MATCH($J23,'E-Banker master'!$A$2:$A$186,0)),"")</f>
        <v/>
      </c>
      <c r="P23" s="488">
        <f>IFERROR(INDEX('E-Banker master'!$P$2:$P$186,MATCH($J23,'E-Banker master'!$A$2:$A$186,0)),"")</f>
        <v/>
      </c>
      <c r="Q23" s="487">
        <f>IFERROR(INDEX('E-Banker master'!$Q$2:$Q$186,MATCH($J23,'E-Banker master'!$A$2:$A$186,0)),"")</f>
        <v/>
      </c>
      <c r="R23">
        <f>IFERROR(INDEX('E-Banker master'!$E$2:$E$186,MATCH($J23,'E-Banker master'!$A$2:$A$186,0)),"")</f>
        <v/>
      </c>
      <c r="S23">
        <f>IF($J23="","",IF(O23="","No take-on posting",IF(ABS(H23-O23)&lt;1,"Yes",IF(ABS(H23/O23-1)&lt;0.01,"Within 1%","No"))))</f>
        <v/>
      </c>
      <c r="T23">
        <f>IF($J23="","",IF(OR(P23="",P23=0),"No balance",IF(ABS(I23-P23)&lt;1,"Yes",IF(ABS(I23/P23-1)&lt;0.02,"Within 2%",IF(ABS(I23/P23-1)&lt;0.05,"Within 5%","No")))))</f>
        <v/>
      </c>
      <c r="U23">
        <f>IF($J23="","",IF(N23="","",IF(ABS(F23-N23)&lt;1,"Yes",IF(ABS(G23-N23)&lt;1,"Disbursed = sanction","No"))))</f>
        <v/>
      </c>
      <c r="V23">
        <f>IF(OR($J23="",Q23="",E23=""),"",ABS(E23-Q23))</f>
        <v/>
      </c>
      <c r="W23" t="inlineStr">
        <is>
          <t>Yes</t>
        </is>
      </c>
      <c r="X23" s="489" t="inlineStr"/>
      <c r="Y23" s="489" t="inlineStr"/>
      <c r="Z23" s="489" t="inlineStr"/>
    </row>
    <row r="24">
      <c r="A24" t="n">
        <v>27</v>
      </c>
      <c r="B24">
        <f>'Loan Book'!D27</f>
        <v/>
      </c>
      <c r="C24">
        <f>'Loan Book'!E27</f>
        <v/>
      </c>
      <c r="D24">
        <f>'Loan Book'!F27</f>
        <v/>
      </c>
      <c r="E24" s="487">
        <f>'Loan Book'!G27</f>
        <v/>
      </c>
      <c r="F24" s="488">
        <f>'Loan Book'!L27</f>
        <v/>
      </c>
      <c r="G24" s="488">
        <f>'Loan Book'!M27</f>
        <v/>
      </c>
      <c r="H24" s="488">
        <f>'Loan Book'!O27</f>
        <v/>
      </c>
      <c r="I24" s="488">
        <f>'Loan Book'!R27</f>
        <v/>
      </c>
      <c r="J24" t="inlineStr">
        <is>
          <t>000104450000022</t>
        </is>
      </c>
      <c r="K24" t="inlineStr">
        <is>
          <t>High</t>
        </is>
      </c>
      <c r="L24">
        <f>IFERROR(INDEX('E-Banker master'!$B$2:$B$186,MATCH($J24,'E-Banker master'!$A$2:$A$186,0)),"")</f>
        <v/>
      </c>
      <c r="M24" s="487">
        <f>IFERROR(INDEX('E-Banker master'!$H$2:$H$186,MATCH($J24,'E-Banker master'!$A$2:$A$186,0)),"")</f>
        <v/>
      </c>
      <c r="N24" s="488">
        <f>IFERROR(INDEX('E-Banker master'!$I$2:$I$186,MATCH($J24,'E-Banker master'!$A$2:$A$186,0)),"")</f>
        <v/>
      </c>
      <c r="O24" s="488">
        <f>IFERROR(INDEX('E-Banker master'!$N$2:$N$186,MATCH($J24,'E-Banker master'!$A$2:$A$186,0)),"")</f>
        <v/>
      </c>
      <c r="P24" s="488">
        <f>IFERROR(INDEX('E-Banker master'!$P$2:$P$186,MATCH($J24,'E-Banker master'!$A$2:$A$186,0)),"")</f>
        <v/>
      </c>
      <c r="Q24" s="487">
        <f>IFERROR(INDEX('E-Banker master'!$Q$2:$Q$186,MATCH($J24,'E-Banker master'!$A$2:$A$186,0)),"")</f>
        <v/>
      </c>
      <c r="R24">
        <f>IFERROR(INDEX('E-Banker master'!$E$2:$E$186,MATCH($J24,'E-Banker master'!$A$2:$A$186,0)),"")</f>
        <v/>
      </c>
      <c r="S24">
        <f>IF($J24="","",IF(O24="","No take-on posting",IF(ABS(H24-O24)&lt;1,"Yes",IF(ABS(H24/O24-1)&lt;0.01,"Within 1%","No"))))</f>
        <v/>
      </c>
      <c r="T24">
        <f>IF($J24="","",IF(OR(P24="",P24=0),"No balance",IF(ABS(I24-P24)&lt;1,"Yes",IF(ABS(I24/P24-1)&lt;0.02,"Within 2%",IF(ABS(I24/P24-1)&lt;0.05,"Within 5%","No")))))</f>
        <v/>
      </c>
      <c r="U24">
        <f>IF($J24="","",IF(N24="","",IF(ABS(F24-N24)&lt;1,"Yes",IF(ABS(G24-N24)&lt;1,"Disbursed = sanction","No"))))</f>
        <v/>
      </c>
      <c r="V24">
        <f>IF(OR($J24="",Q24="",E24=""),"",ABS(E24-Q24))</f>
        <v/>
      </c>
      <c r="W24" t="inlineStr">
        <is>
          <t>Yes</t>
        </is>
      </c>
      <c r="X24" s="489" t="inlineStr"/>
      <c r="Y24" s="489" t="inlineStr"/>
      <c r="Z24" s="489" t="inlineStr"/>
    </row>
    <row r="25">
      <c r="A25" t="n">
        <v>28</v>
      </c>
      <c r="B25">
        <f>'Loan Book'!D28</f>
        <v/>
      </c>
      <c r="C25">
        <f>'Loan Book'!E28</f>
        <v/>
      </c>
      <c r="D25">
        <f>'Loan Book'!F28</f>
        <v/>
      </c>
      <c r="E25" s="487">
        <f>'Loan Book'!G28</f>
        <v/>
      </c>
      <c r="F25" s="488">
        <f>'Loan Book'!L28</f>
        <v/>
      </c>
      <c r="G25" s="488">
        <f>'Loan Book'!M28</f>
        <v/>
      </c>
      <c r="H25" s="488">
        <f>'Loan Book'!O28</f>
        <v/>
      </c>
      <c r="I25" s="488">
        <f>'Loan Book'!R28</f>
        <v/>
      </c>
      <c r="J25" t="inlineStr">
        <is>
          <t>000104450000023</t>
        </is>
      </c>
      <c r="K25" t="inlineStr">
        <is>
          <t>High</t>
        </is>
      </c>
      <c r="L25">
        <f>IFERROR(INDEX('E-Banker master'!$B$2:$B$186,MATCH($J25,'E-Banker master'!$A$2:$A$186,0)),"")</f>
        <v/>
      </c>
      <c r="M25" s="487">
        <f>IFERROR(INDEX('E-Banker master'!$H$2:$H$186,MATCH($J25,'E-Banker master'!$A$2:$A$186,0)),"")</f>
        <v/>
      </c>
      <c r="N25" s="488">
        <f>IFERROR(INDEX('E-Banker master'!$I$2:$I$186,MATCH($J25,'E-Banker master'!$A$2:$A$186,0)),"")</f>
        <v/>
      </c>
      <c r="O25" s="488">
        <f>IFERROR(INDEX('E-Banker master'!$N$2:$N$186,MATCH($J25,'E-Banker master'!$A$2:$A$186,0)),"")</f>
        <v/>
      </c>
      <c r="P25" s="488">
        <f>IFERROR(INDEX('E-Banker master'!$P$2:$P$186,MATCH($J25,'E-Banker master'!$A$2:$A$186,0)),"")</f>
        <v/>
      </c>
      <c r="Q25" s="487">
        <f>IFERROR(INDEX('E-Banker master'!$Q$2:$Q$186,MATCH($J25,'E-Banker master'!$A$2:$A$186,0)),"")</f>
        <v/>
      </c>
      <c r="R25">
        <f>IFERROR(INDEX('E-Banker master'!$E$2:$E$186,MATCH($J25,'E-Banker master'!$A$2:$A$186,0)),"")</f>
        <v/>
      </c>
      <c r="S25">
        <f>IF($J25="","",IF(O25="","No take-on posting",IF(ABS(H25-O25)&lt;1,"Yes",IF(ABS(H25/O25-1)&lt;0.01,"Within 1%","No"))))</f>
        <v/>
      </c>
      <c r="T25">
        <f>IF($J25="","",IF(OR(P25="",P25=0),"No balance",IF(ABS(I25-P25)&lt;1,"Yes",IF(ABS(I25/P25-1)&lt;0.02,"Within 2%",IF(ABS(I25/P25-1)&lt;0.05,"Within 5%","No")))))</f>
        <v/>
      </c>
      <c r="U25">
        <f>IF($J25="","",IF(N25="","",IF(ABS(F25-N25)&lt;1,"Yes",IF(ABS(G25-N25)&lt;1,"Disbursed = sanction","No"))))</f>
        <v/>
      </c>
      <c r="V25">
        <f>IF(OR($J25="",Q25="",E25=""),"",ABS(E25-Q25))</f>
        <v/>
      </c>
      <c r="W25" t="inlineStr">
        <is>
          <t>Yes</t>
        </is>
      </c>
      <c r="X25" s="489" t="inlineStr"/>
      <c r="Y25" s="489" t="inlineStr"/>
      <c r="Z25" s="489" t="inlineStr"/>
    </row>
    <row r="26">
      <c r="A26" t="n">
        <v>29</v>
      </c>
      <c r="B26">
        <f>'Loan Book'!D29</f>
        <v/>
      </c>
      <c r="C26">
        <f>'Loan Book'!E29</f>
        <v/>
      </c>
      <c r="D26">
        <f>'Loan Book'!F29</f>
        <v/>
      </c>
      <c r="E26" s="487">
        <f>'Loan Book'!G29</f>
        <v/>
      </c>
      <c r="F26" s="488">
        <f>'Loan Book'!L29</f>
        <v/>
      </c>
      <c r="G26" s="488">
        <f>'Loan Book'!M29</f>
        <v/>
      </c>
      <c r="H26" s="488">
        <f>'Loan Book'!O29</f>
        <v/>
      </c>
      <c r="I26" s="488">
        <f>'Loan Book'!R29</f>
        <v/>
      </c>
      <c r="J26" t="inlineStr">
        <is>
          <t>000104460000024</t>
        </is>
      </c>
      <c r="K26" t="inlineStr">
        <is>
          <t>High</t>
        </is>
      </c>
      <c r="L26">
        <f>IFERROR(INDEX('E-Banker master'!$B$2:$B$186,MATCH($J26,'E-Banker master'!$A$2:$A$186,0)),"")</f>
        <v/>
      </c>
      <c r="M26" s="487">
        <f>IFERROR(INDEX('E-Banker master'!$H$2:$H$186,MATCH($J26,'E-Banker master'!$A$2:$A$186,0)),"")</f>
        <v/>
      </c>
      <c r="N26" s="488">
        <f>IFERROR(INDEX('E-Banker master'!$I$2:$I$186,MATCH($J26,'E-Banker master'!$A$2:$A$186,0)),"")</f>
        <v/>
      </c>
      <c r="O26" s="488">
        <f>IFERROR(INDEX('E-Banker master'!$N$2:$N$186,MATCH($J26,'E-Banker master'!$A$2:$A$186,0)),"")</f>
        <v/>
      </c>
      <c r="P26" s="488">
        <f>IFERROR(INDEX('E-Banker master'!$P$2:$P$186,MATCH($J26,'E-Banker master'!$A$2:$A$186,0)),"")</f>
        <v/>
      </c>
      <c r="Q26" s="487">
        <f>IFERROR(INDEX('E-Banker master'!$Q$2:$Q$186,MATCH($J26,'E-Banker master'!$A$2:$A$186,0)),"")</f>
        <v/>
      </c>
      <c r="R26">
        <f>IFERROR(INDEX('E-Banker master'!$E$2:$E$186,MATCH($J26,'E-Banker master'!$A$2:$A$186,0)),"")</f>
        <v/>
      </c>
      <c r="S26">
        <f>IF($J26="","",IF(O26="","No take-on posting",IF(ABS(H26-O26)&lt;1,"Yes",IF(ABS(H26/O26-1)&lt;0.01,"Within 1%","No"))))</f>
        <v/>
      </c>
      <c r="T26">
        <f>IF($J26="","",IF(OR(P26="",P26=0),"No balance",IF(ABS(I26-P26)&lt;1,"Yes",IF(ABS(I26/P26-1)&lt;0.02,"Within 2%",IF(ABS(I26/P26-1)&lt;0.05,"Within 5%","No")))))</f>
        <v/>
      </c>
      <c r="U26">
        <f>IF($J26="","",IF(N26="","",IF(ABS(F26-N26)&lt;1,"Yes",IF(ABS(G26-N26)&lt;1,"Disbursed = sanction","No"))))</f>
        <v/>
      </c>
      <c r="V26">
        <f>IF(OR($J26="",Q26="",E26=""),"",ABS(E26-Q26))</f>
        <v/>
      </c>
      <c r="W26" t="inlineStr">
        <is>
          <t>Yes</t>
        </is>
      </c>
      <c r="X26" s="489" t="inlineStr"/>
      <c r="Y26" s="489" t="inlineStr"/>
      <c r="Z26" s="489" t="inlineStr"/>
    </row>
    <row r="27">
      <c r="A27" t="n">
        <v>30</v>
      </c>
      <c r="B27">
        <f>'Loan Book'!D30</f>
        <v/>
      </c>
      <c r="C27">
        <f>'Loan Book'!E30</f>
        <v/>
      </c>
      <c r="D27">
        <f>'Loan Book'!F30</f>
        <v/>
      </c>
      <c r="E27" s="487">
        <f>'Loan Book'!G30</f>
        <v/>
      </c>
      <c r="F27" s="488">
        <f>'Loan Book'!L30</f>
        <v/>
      </c>
      <c r="G27" s="488">
        <f>'Loan Book'!M30</f>
        <v/>
      </c>
      <c r="H27" s="488">
        <f>'Loan Book'!O30</f>
        <v/>
      </c>
      <c r="I27" s="488">
        <f>'Loan Book'!R30</f>
        <v/>
      </c>
      <c r="J27" t="inlineStr">
        <is>
          <t>000104450000025</t>
        </is>
      </c>
      <c r="K27" t="inlineStr">
        <is>
          <t>High</t>
        </is>
      </c>
      <c r="L27">
        <f>IFERROR(INDEX('E-Banker master'!$B$2:$B$186,MATCH($J27,'E-Banker master'!$A$2:$A$186,0)),"")</f>
        <v/>
      </c>
      <c r="M27" s="487">
        <f>IFERROR(INDEX('E-Banker master'!$H$2:$H$186,MATCH($J27,'E-Banker master'!$A$2:$A$186,0)),"")</f>
        <v/>
      </c>
      <c r="N27" s="488">
        <f>IFERROR(INDEX('E-Banker master'!$I$2:$I$186,MATCH($J27,'E-Banker master'!$A$2:$A$186,0)),"")</f>
        <v/>
      </c>
      <c r="O27" s="488">
        <f>IFERROR(INDEX('E-Banker master'!$N$2:$N$186,MATCH($J27,'E-Banker master'!$A$2:$A$186,0)),"")</f>
        <v/>
      </c>
      <c r="P27" s="488">
        <f>IFERROR(INDEX('E-Banker master'!$P$2:$P$186,MATCH($J27,'E-Banker master'!$A$2:$A$186,0)),"")</f>
        <v/>
      </c>
      <c r="Q27" s="487">
        <f>IFERROR(INDEX('E-Banker master'!$Q$2:$Q$186,MATCH($J27,'E-Banker master'!$A$2:$A$186,0)),"")</f>
        <v/>
      </c>
      <c r="R27">
        <f>IFERROR(INDEX('E-Banker master'!$E$2:$E$186,MATCH($J27,'E-Banker master'!$A$2:$A$186,0)),"")</f>
        <v/>
      </c>
      <c r="S27">
        <f>IF($J27="","",IF(O27="","No take-on posting",IF(ABS(H27-O27)&lt;1,"Yes",IF(ABS(H27/O27-1)&lt;0.01,"Within 1%","No"))))</f>
        <v/>
      </c>
      <c r="T27">
        <f>IF($J27="","",IF(OR(P27="",P27=0),"No balance",IF(ABS(I27-P27)&lt;1,"Yes",IF(ABS(I27/P27-1)&lt;0.02,"Within 2%",IF(ABS(I27/P27-1)&lt;0.05,"Within 5%","No")))))</f>
        <v/>
      </c>
      <c r="U27">
        <f>IF($J27="","",IF(N27="","",IF(ABS(F27-N27)&lt;1,"Yes",IF(ABS(G27-N27)&lt;1,"Disbursed = sanction","No"))))</f>
        <v/>
      </c>
      <c r="V27">
        <f>IF(OR($J27="",Q27="",E27=""),"",ABS(E27-Q27))</f>
        <v/>
      </c>
      <c r="W27" t="inlineStr">
        <is>
          <t>Yes</t>
        </is>
      </c>
      <c r="X27" s="489" t="inlineStr"/>
      <c r="Y27" s="489" t="inlineStr"/>
      <c r="Z27" s="489" t="inlineStr"/>
    </row>
    <row r="28">
      <c r="A28" t="n">
        <v>31</v>
      </c>
      <c r="B28">
        <f>'Loan Book'!D31</f>
        <v/>
      </c>
      <c r="C28">
        <f>'Loan Book'!E31</f>
        <v/>
      </c>
      <c r="D28">
        <f>'Loan Book'!F31</f>
        <v/>
      </c>
      <c r="E28" s="487">
        <f>'Loan Book'!G31</f>
        <v/>
      </c>
      <c r="F28" s="488">
        <f>'Loan Book'!L31</f>
        <v/>
      </c>
      <c r="G28" s="488">
        <f>'Loan Book'!M31</f>
        <v/>
      </c>
      <c r="H28" s="488">
        <f>'Loan Book'!O31</f>
        <v/>
      </c>
      <c r="I28" s="488">
        <f>'Loan Book'!R31</f>
        <v/>
      </c>
      <c r="J28" t="inlineStr">
        <is>
          <t>000104450000026</t>
        </is>
      </c>
      <c r="K28" t="inlineStr">
        <is>
          <t>High</t>
        </is>
      </c>
      <c r="L28">
        <f>IFERROR(INDEX('E-Banker master'!$B$2:$B$186,MATCH($J28,'E-Banker master'!$A$2:$A$186,0)),"")</f>
        <v/>
      </c>
      <c r="M28" s="487">
        <f>IFERROR(INDEX('E-Banker master'!$H$2:$H$186,MATCH($J28,'E-Banker master'!$A$2:$A$186,0)),"")</f>
        <v/>
      </c>
      <c r="N28" s="488">
        <f>IFERROR(INDEX('E-Banker master'!$I$2:$I$186,MATCH($J28,'E-Banker master'!$A$2:$A$186,0)),"")</f>
        <v/>
      </c>
      <c r="O28" s="488">
        <f>IFERROR(INDEX('E-Banker master'!$N$2:$N$186,MATCH($J28,'E-Banker master'!$A$2:$A$186,0)),"")</f>
        <v/>
      </c>
      <c r="P28" s="488">
        <f>IFERROR(INDEX('E-Banker master'!$P$2:$P$186,MATCH($J28,'E-Banker master'!$A$2:$A$186,0)),"")</f>
        <v/>
      </c>
      <c r="Q28" s="487">
        <f>IFERROR(INDEX('E-Banker master'!$Q$2:$Q$186,MATCH($J28,'E-Banker master'!$A$2:$A$186,0)),"")</f>
        <v/>
      </c>
      <c r="R28">
        <f>IFERROR(INDEX('E-Banker master'!$E$2:$E$186,MATCH($J28,'E-Banker master'!$A$2:$A$186,0)),"")</f>
        <v/>
      </c>
      <c r="S28">
        <f>IF($J28="","",IF(O28="","No take-on posting",IF(ABS(H28-O28)&lt;1,"Yes",IF(ABS(H28/O28-1)&lt;0.01,"Within 1%","No"))))</f>
        <v/>
      </c>
      <c r="T28">
        <f>IF($J28="","",IF(OR(P28="",P28=0),"No balance",IF(ABS(I28-P28)&lt;1,"Yes",IF(ABS(I28/P28-1)&lt;0.02,"Within 2%",IF(ABS(I28/P28-1)&lt;0.05,"Within 5%","No")))))</f>
        <v/>
      </c>
      <c r="U28">
        <f>IF($J28="","",IF(N28="","",IF(ABS(F28-N28)&lt;1,"Yes",IF(ABS(G28-N28)&lt;1,"Disbursed = sanction","No"))))</f>
        <v/>
      </c>
      <c r="V28">
        <f>IF(OR($J28="",Q28="",E28=""),"",ABS(E28-Q28))</f>
        <v/>
      </c>
      <c r="W28" t="inlineStr">
        <is>
          <t>Yes</t>
        </is>
      </c>
      <c r="X28" s="489" t="inlineStr"/>
      <c r="Y28" s="489" t="inlineStr"/>
      <c r="Z28" s="489" t="inlineStr"/>
    </row>
    <row r="29">
      <c r="A29" t="n">
        <v>32</v>
      </c>
      <c r="B29">
        <f>'Loan Book'!D32</f>
        <v/>
      </c>
      <c r="C29">
        <f>'Loan Book'!E32</f>
        <v/>
      </c>
      <c r="D29">
        <f>'Loan Book'!F32</f>
        <v/>
      </c>
      <c r="E29" s="487">
        <f>'Loan Book'!G32</f>
        <v/>
      </c>
      <c r="F29" s="488">
        <f>'Loan Book'!L32</f>
        <v/>
      </c>
      <c r="G29" s="488">
        <f>'Loan Book'!M32</f>
        <v/>
      </c>
      <c r="H29" s="488">
        <f>'Loan Book'!O32</f>
        <v/>
      </c>
      <c r="I29" s="488">
        <f>'Loan Book'!R32</f>
        <v/>
      </c>
      <c r="J29" t="inlineStr">
        <is>
          <t>000104450000027</t>
        </is>
      </c>
      <c r="K29" t="inlineStr">
        <is>
          <t>High</t>
        </is>
      </c>
      <c r="L29">
        <f>IFERROR(INDEX('E-Banker master'!$B$2:$B$186,MATCH($J29,'E-Banker master'!$A$2:$A$186,0)),"")</f>
        <v/>
      </c>
      <c r="M29" s="487">
        <f>IFERROR(INDEX('E-Banker master'!$H$2:$H$186,MATCH($J29,'E-Banker master'!$A$2:$A$186,0)),"")</f>
        <v/>
      </c>
      <c r="N29" s="488">
        <f>IFERROR(INDEX('E-Banker master'!$I$2:$I$186,MATCH($J29,'E-Banker master'!$A$2:$A$186,0)),"")</f>
        <v/>
      </c>
      <c r="O29" s="488">
        <f>IFERROR(INDEX('E-Banker master'!$N$2:$N$186,MATCH($J29,'E-Banker master'!$A$2:$A$186,0)),"")</f>
        <v/>
      </c>
      <c r="P29" s="488">
        <f>IFERROR(INDEX('E-Banker master'!$P$2:$P$186,MATCH($J29,'E-Banker master'!$A$2:$A$186,0)),"")</f>
        <v/>
      </c>
      <c r="Q29" s="487">
        <f>IFERROR(INDEX('E-Banker master'!$Q$2:$Q$186,MATCH($J29,'E-Banker master'!$A$2:$A$186,0)),"")</f>
        <v/>
      </c>
      <c r="R29">
        <f>IFERROR(INDEX('E-Banker master'!$E$2:$E$186,MATCH($J29,'E-Banker master'!$A$2:$A$186,0)),"")</f>
        <v/>
      </c>
      <c r="S29">
        <f>IF($J29="","",IF(O29="","No take-on posting",IF(ABS(H29-O29)&lt;1,"Yes",IF(ABS(H29/O29-1)&lt;0.01,"Within 1%","No"))))</f>
        <v/>
      </c>
      <c r="T29">
        <f>IF($J29="","",IF(OR(P29="",P29=0),"No balance",IF(ABS(I29-P29)&lt;1,"Yes",IF(ABS(I29/P29-1)&lt;0.02,"Within 2%",IF(ABS(I29/P29-1)&lt;0.05,"Within 5%","No")))))</f>
        <v/>
      </c>
      <c r="U29">
        <f>IF($J29="","",IF(N29="","",IF(ABS(F29-N29)&lt;1,"Yes",IF(ABS(G29-N29)&lt;1,"Disbursed = sanction","No"))))</f>
        <v/>
      </c>
      <c r="V29">
        <f>IF(OR($J29="",Q29="",E29=""),"",ABS(E29-Q29))</f>
        <v/>
      </c>
      <c r="W29" t="inlineStr">
        <is>
          <t>Yes</t>
        </is>
      </c>
      <c r="X29" s="489" t="inlineStr"/>
      <c r="Y29" s="489" t="inlineStr"/>
      <c r="Z29" s="489" t="inlineStr"/>
    </row>
    <row r="30">
      <c r="A30" t="n">
        <v>33</v>
      </c>
      <c r="B30">
        <f>'Loan Book'!D33</f>
        <v/>
      </c>
      <c r="C30">
        <f>'Loan Book'!E33</f>
        <v/>
      </c>
      <c r="D30">
        <f>'Loan Book'!F33</f>
        <v/>
      </c>
      <c r="E30" s="487">
        <f>'Loan Book'!G33</f>
        <v/>
      </c>
      <c r="F30" s="488">
        <f>'Loan Book'!L33</f>
        <v/>
      </c>
      <c r="G30" s="488">
        <f>'Loan Book'!M33</f>
        <v/>
      </c>
      <c r="H30" s="488">
        <f>'Loan Book'!O33</f>
        <v/>
      </c>
      <c r="I30" s="488">
        <f>'Loan Book'!R33</f>
        <v/>
      </c>
      <c r="J30" t="inlineStr">
        <is>
          <t>000104450000028</t>
        </is>
      </c>
      <c r="K30" t="inlineStr">
        <is>
          <t>High</t>
        </is>
      </c>
      <c r="L30">
        <f>IFERROR(INDEX('E-Banker master'!$B$2:$B$186,MATCH($J30,'E-Banker master'!$A$2:$A$186,0)),"")</f>
        <v/>
      </c>
      <c r="M30" s="487">
        <f>IFERROR(INDEX('E-Banker master'!$H$2:$H$186,MATCH($J30,'E-Banker master'!$A$2:$A$186,0)),"")</f>
        <v/>
      </c>
      <c r="N30" s="488">
        <f>IFERROR(INDEX('E-Banker master'!$I$2:$I$186,MATCH($J30,'E-Banker master'!$A$2:$A$186,0)),"")</f>
        <v/>
      </c>
      <c r="O30" s="488">
        <f>IFERROR(INDEX('E-Banker master'!$N$2:$N$186,MATCH($J30,'E-Banker master'!$A$2:$A$186,0)),"")</f>
        <v/>
      </c>
      <c r="P30" s="488">
        <f>IFERROR(INDEX('E-Banker master'!$P$2:$P$186,MATCH($J30,'E-Banker master'!$A$2:$A$186,0)),"")</f>
        <v/>
      </c>
      <c r="Q30" s="487">
        <f>IFERROR(INDEX('E-Banker master'!$Q$2:$Q$186,MATCH($J30,'E-Banker master'!$A$2:$A$186,0)),"")</f>
        <v/>
      </c>
      <c r="R30">
        <f>IFERROR(INDEX('E-Banker master'!$E$2:$E$186,MATCH($J30,'E-Banker master'!$A$2:$A$186,0)),"")</f>
        <v/>
      </c>
      <c r="S30">
        <f>IF($J30="","",IF(O30="","No take-on posting",IF(ABS(H30-O30)&lt;1,"Yes",IF(ABS(H30/O30-1)&lt;0.01,"Within 1%","No"))))</f>
        <v/>
      </c>
      <c r="T30">
        <f>IF($J30="","",IF(OR(P30="",P30=0),"No balance",IF(ABS(I30-P30)&lt;1,"Yes",IF(ABS(I30/P30-1)&lt;0.02,"Within 2%",IF(ABS(I30/P30-1)&lt;0.05,"Within 5%","No")))))</f>
        <v/>
      </c>
      <c r="U30">
        <f>IF($J30="","",IF(N30="","",IF(ABS(F30-N30)&lt;1,"Yes",IF(ABS(G30-N30)&lt;1,"Disbursed = sanction","No"))))</f>
        <v/>
      </c>
      <c r="V30">
        <f>IF(OR($J30="",Q30="",E30=""),"",ABS(E30-Q30))</f>
        <v/>
      </c>
      <c r="W30" t="inlineStr">
        <is>
          <t>Yes</t>
        </is>
      </c>
      <c r="X30" s="489" t="inlineStr"/>
      <c r="Y30" s="489" t="inlineStr"/>
      <c r="Z30" s="489" t="inlineStr"/>
    </row>
    <row r="31">
      <c r="A31" t="n">
        <v>34</v>
      </c>
      <c r="B31">
        <f>'Loan Book'!D34</f>
        <v/>
      </c>
      <c r="C31">
        <f>'Loan Book'!E34</f>
        <v/>
      </c>
      <c r="D31">
        <f>'Loan Book'!F34</f>
        <v/>
      </c>
      <c r="E31" s="487">
        <f>'Loan Book'!G34</f>
        <v/>
      </c>
      <c r="F31" s="488">
        <f>'Loan Book'!L34</f>
        <v/>
      </c>
      <c r="G31" s="488">
        <f>'Loan Book'!M34</f>
        <v/>
      </c>
      <c r="H31" s="488">
        <f>'Loan Book'!O34</f>
        <v/>
      </c>
      <c r="I31" s="488">
        <f>'Loan Book'!R34</f>
        <v/>
      </c>
      <c r="J31" t="inlineStr">
        <is>
          <t>000104460000029</t>
        </is>
      </c>
      <c r="K31" t="inlineStr">
        <is>
          <t>High</t>
        </is>
      </c>
      <c r="L31">
        <f>IFERROR(INDEX('E-Banker master'!$B$2:$B$186,MATCH($J31,'E-Banker master'!$A$2:$A$186,0)),"")</f>
        <v/>
      </c>
      <c r="M31" s="487">
        <f>IFERROR(INDEX('E-Banker master'!$H$2:$H$186,MATCH($J31,'E-Banker master'!$A$2:$A$186,0)),"")</f>
        <v/>
      </c>
      <c r="N31" s="488">
        <f>IFERROR(INDEX('E-Banker master'!$I$2:$I$186,MATCH($J31,'E-Banker master'!$A$2:$A$186,0)),"")</f>
        <v/>
      </c>
      <c r="O31" s="488">
        <f>IFERROR(INDEX('E-Banker master'!$N$2:$N$186,MATCH($J31,'E-Banker master'!$A$2:$A$186,0)),"")</f>
        <v/>
      </c>
      <c r="P31" s="488">
        <f>IFERROR(INDEX('E-Banker master'!$P$2:$P$186,MATCH($J31,'E-Banker master'!$A$2:$A$186,0)),"")</f>
        <v/>
      </c>
      <c r="Q31" s="487">
        <f>IFERROR(INDEX('E-Banker master'!$Q$2:$Q$186,MATCH($J31,'E-Banker master'!$A$2:$A$186,0)),"")</f>
        <v/>
      </c>
      <c r="R31">
        <f>IFERROR(INDEX('E-Banker master'!$E$2:$E$186,MATCH($J31,'E-Banker master'!$A$2:$A$186,0)),"")</f>
        <v/>
      </c>
      <c r="S31">
        <f>IF($J31="","",IF(O31="","No take-on posting",IF(ABS(H31-O31)&lt;1,"Yes",IF(ABS(H31/O31-1)&lt;0.01,"Within 1%","No"))))</f>
        <v/>
      </c>
      <c r="T31">
        <f>IF($J31="","",IF(OR(P31="",P31=0),"No balance",IF(ABS(I31-P31)&lt;1,"Yes",IF(ABS(I31/P31-1)&lt;0.02,"Within 2%",IF(ABS(I31/P31-1)&lt;0.05,"Within 5%","No")))))</f>
        <v/>
      </c>
      <c r="U31">
        <f>IF($J31="","",IF(N31="","",IF(ABS(F31-N31)&lt;1,"Yes",IF(ABS(G31-N31)&lt;1,"Disbursed = sanction","No"))))</f>
        <v/>
      </c>
      <c r="V31">
        <f>IF(OR($J31="",Q31="",E31=""),"",ABS(E31-Q31))</f>
        <v/>
      </c>
      <c r="W31" t="inlineStr">
        <is>
          <t>Yes</t>
        </is>
      </c>
      <c r="X31" s="489" t="inlineStr"/>
      <c r="Y31" s="489" t="inlineStr"/>
      <c r="Z31" s="489" t="inlineStr"/>
    </row>
    <row r="32">
      <c r="A32" t="n">
        <v>35</v>
      </c>
      <c r="B32">
        <f>'Loan Book'!D35</f>
        <v/>
      </c>
      <c r="C32">
        <f>'Loan Book'!E35</f>
        <v/>
      </c>
      <c r="D32">
        <f>'Loan Book'!F35</f>
        <v/>
      </c>
      <c r="E32" s="487">
        <f>'Loan Book'!G35</f>
        <v/>
      </c>
      <c r="F32" s="488">
        <f>'Loan Book'!L35</f>
        <v/>
      </c>
      <c r="G32" s="488">
        <f>'Loan Book'!M35</f>
        <v/>
      </c>
      <c r="H32" s="488">
        <f>'Loan Book'!O35</f>
        <v/>
      </c>
      <c r="I32" s="488">
        <f>'Loan Book'!R35</f>
        <v/>
      </c>
      <c r="J32" t="inlineStr">
        <is>
          <t>000104450000030</t>
        </is>
      </c>
      <c r="K32" t="inlineStr">
        <is>
          <t>High</t>
        </is>
      </c>
      <c r="L32">
        <f>IFERROR(INDEX('E-Banker master'!$B$2:$B$186,MATCH($J32,'E-Banker master'!$A$2:$A$186,0)),"")</f>
        <v/>
      </c>
      <c r="M32" s="487">
        <f>IFERROR(INDEX('E-Banker master'!$H$2:$H$186,MATCH($J32,'E-Banker master'!$A$2:$A$186,0)),"")</f>
        <v/>
      </c>
      <c r="N32" s="488">
        <f>IFERROR(INDEX('E-Banker master'!$I$2:$I$186,MATCH($J32,'E-Banker master'!$A$2:$A$186,0)),"")</f>
        <v/>
      </c>
      <c r="O32" s="488">
        <f>IFERROR(INDEX('E-Banker master'!$N$2:$N$186,MATCH($J32,'E-Banker master'!$A$2:$A$186,0)),"")</f>
        <v/>
      </c>
      <c r="P32" s="488">
        <f>IFERROR(INDEX('E-Banker master'!$P$2:$P$186,MATCH($J32,'E-Banker master'!$A$2:$A$186,0)),"")</f>
        <v/>
      </c>
      <c r="Q32" s="487">
        <f>IFERROR(INDEX('E-Banker master'!$Q$2:$Q$186,MATCH($J32,'E-Banker master'!$A$2:$A$186,0)),"")</f>
        <v/>
      </c>
      <c r="R32">
        <f>IFERROR(INDEX('E-Banker master'!$E$2:$E$186,MATCH($J32,'E-Banker master'!$A$2:$A$186,0)),"")</f>
        <v/>
      </c>
      <c r="S32">
        <f>IF($J32="","",IF(O32="","No take-on posting",IF(ABS(H32-O32)&lt;1,"Yes",IF(ABS(H32/O32-1)&lt;0.01,"Within 1%","No"))))</f>
        <v/>
      </c>
      <c r="T32">
        <f>IF($J32="","",IF(OR(P32="",P32=0),"No balance",IF(ABS(I32-P32)&lt;1,"Yes",IF(ABS(I32/P32-1)&lt;0.02,"Within 2%",IF(ABS(I32/P32-1)&lt;0.05,"Within 5%","No")))))</f>
        <v/>
      </c>
      <c r="U32">
        <f>IF($J32="","",IF(N32="","",IF(ABS(F32-N32)&lt;1,"Yes",IF(ABS(G32-N32)&lt;1,"Disbursed = sanction","No"))))</f>
        <v/>
      </c>
      <c r="V32">
        <f>IF(OR($J32="",Q32="",E32=""),"",ABS(E32-Q32))</f>
        <v/>
      </c>
      <c r="W32" t="inlineStr">
        <is>
          <t>Yes</t>
        </is>
      </c>
      <c r="X32" s="489" t="inlineStr"/>
      <c r="Y32" s="489" t="inlineStr"/>
      <c r="Z32" s="489" t="inlineStr"/>
    </row>
    <row r="33">
      <c r="A33" t="n">
        <v>36</v>
      </c>
      <c r="B33">
        <f>'Loan Book'!D36</f>
        <v/>
      </c>
      <c r="C33">
        <f>'Loan Book'!E36</f>
        <v/>
      </c>
      <c r="D33">
        <f>'Loan Book'!F36</f>
        <v/>
      </c>
      <c r="E33" s="487">
        <f>'Loan Book'!G36</f>
        <v/>
      </c>
      <c r="F33" s="488">
        <f>'Loan Book'!L36</f>
        <v/>
      </c>
      <c r="G33" s="488">
        <f>'Loan Book'!M36</f>
        <v/>
      </c>
      <c r="H33" s="488">
        <f>'Loan Book'!O36</f>
        <v/>
      </c>
      <c r="I33" s="488">
        <f>'Loan Book'!R36</f>
        <v/>
      </c>
      <c r="J33" t="inlineStr">
        <is>
          <t>000104460000031</t>
        </is>
      </c>
      <c r="K33" t="inlineStr">
        <is>
          <t>High</t>
        </is>
      </c>
      <c r="L33">
        <f>IFERROR(INDEX('E-Banker master'!$B$2:$B$186,MATCH($J33,'E-Banker master'!$A$2:$A$186,0)),"")</f>
        <v/>
      </c>
      <c r="M33" s="487">
        <f>IFERROR(INDEX('E-Banker master'!$H$2:$H$186,MATCH($J33,'E-Banker master'!$A$2:$A$186,0)),"")</f>
        <v/>
      </c>
      <c r="N33" s="488">
        <f>IFERROR(INDEX('E-Banker master'!$I$2:$I$186,MATCH($J33,'E-Banker master'!$A$2:$A$186,0)),"")</f>
        <v/>
      </c>
      <c r="O33" s="488">
        <f>IFERROR(INDEX('E-Banker master'!$N$2:$N$186,MATCH($J33,'E-Banker master'!$A$2:$A$186,0)),"")</f>
        <v/>
      </c>
      <c r="P33" s="488">
        <f>IFERROR(INDEX('E-Banker master'!$P$2:$P$186,MATCH($J33,'E-Banker master'!$A$2:$A$186,0)),"")</f>
        <v/>
      </c>
      <c r="Q33" s="487">
        <f>IFERROR(INDEX('E-Banker master'!$Q$2:$Q$186,MATCH($J33,'E-Banker master'!$A$2:$A$186,0)),"")</f>
        <v/>
      </c>
      <c r="R33">
        <f>IFERROR(INDEX('E-Banker master'!$E$2:$E$186,MATCH($J33,'E-Banker master'!$A$2:$A$186,0)),"")</f>
        <v/>
      </c>
      <c r="S33">
        <f>IF($J33="","",IF(O33="","No take-on posting",IF(ABS(H33-O33)&lt;1,"Yes",IF(ABS(H33/O33-1)&lt;0.01,"Within 1%","No"))))</f>
        <v/>
      </c>
      <c r="T33">
        <f>IF($J33="","",IF(OR(P33="",P33=0),"No balance",IF(ABS(I33-P33)&lt;1,"Yes",IF(ABS(I33/P33-1)&lt;0.02,"Within 2%",IF(ABS(I33/P33-1)&lt;0.05,"Within 5%","No")))))</f>
        <v/>
      </c>
      <c r="U33">
        <f>IF($J33="","",IF(N33="","",IF(ABS(F33-N33)&lt;1,"Yes",IF(ABS(G33-N33)&lt;1,"Disbursed = sanction","No"))))</f>
        <v/>
      </c>
      <c r="V33">
        <f>IF(OR($J33="",Q33="",E33=""),"",ABS(E33-Q33))</f>
        <v/>
      </c>
      <c r="W33" t="inlineStr">
        <is>
          <t>Yes</t>
        </is>
      </c>
      <c r="X33" s="489" t="inlineStr"/>
      <c r="Y33" s="489" t="inlineStr"/>
      <c r="Z33" s="489" t="inlineStr"/>
    </row>
    <row r="34">
      <c r="A34" t="n">
        <v>37</v>
      </c>
      <c r="B34">
        <f>'Loan Book'!D37</f>
        <v/>
      </c>
      <c r="C34">
        <f>'Loan Book'!E37</f>
        <v/>
      </c>
      <c r="D34">
        <f>'Loan Book'!F37</f>
        <v/>
      </c>
      <c r="E34" s="487">
        <f>'Loan Book'!G37</f>
        <v/>
      </c>
      <c r="F34" s="488">
        <f>'Loan Book'!L37</f>
        <v/>
      </c>
      <c r="G34" s="488">
        <f>'Loan Book'!M37</f>
        <v/>
      </c>
      <c r="H34" s="488">
        <f>'Loan Book'!O37</f>
        <v/>
      </c>
      <c r="I34" s="488">
        <f>'Loan Book'!R37</f>
        <v/>
      </c>
      <c r="J34" t="inlineStr">
        <is>
          <t>000104420000032</t>
        </is>
      </c>
      <c r="K34" t="inlineStr">
        <is>
          <t>High</t>
        </is>
      </c>
      <c r="L34">
        <f>IFERROR(INDEX('E-Banker master'!$B$2:$B$186,MATCH($J34,'E-Banker master'!$A$2:$A$186,0)),"")</f>
        <v/>
      </c>
      <c r="M34" s="487">
        <f>IFERROR(INDEX('E-Banker master'!$H$2:$H$186,MATCH($J34,'E-Banker master'!$A$2:$A$186,0)),"")</f>
        <v/>
      </c>
      <c r="N34" s="488">
        <f>IFERROR(INDEX('E-Banker master'!$I$2:$I$186,MATCH($J34,'E-Banker master'!$A$2:$A$186,0)),"")</f>
        <v/>
      </c>
      <c r="O34" s="488">
        <f>IFERROR(INDEX('E-Banker master'!$N$2:$N$186,MATCH($J34,'E-Banker master'!$A$2:$A$186,0)),"")</f>
        <v/>
      </c>
      <c r="P34" s="488">
        <f>IFERROR(INDEX('E-Banker master'!$P$2:$P$186,MATCH($J34,'E-Banker master'!$A$2:$A$186,0)),"")</f>
        <v/>
      </c>
      <c r="Q34" s="487">
        <f>IFERROR(INDEX('E-Banker master'!$Q$2:$Q$186,MATCH($J34,'E-Banker master'!$A$2:$A$186,0)),"")</f>
        <v/>
      </c>
      <c r="R34">
        <f>IFERROR(INDEX('E-Banker master'!$E$2:$E$186,MATCH($J34,'E-Banker master'!$A$2:$A$186,0)),"")</f>
        <v/>
      </c>
      <c r="S34">
        <f>IF($J34="","",IF(O34="","No take-on posting",IF(ABS(H34-O34)&lt;1,"Yes",IF(ABS(H34/O34-1)&lt;0.01,"Within 1%","No"))))</f>
        <v/>
      </c>
      <c r="T34">
        <f>IF($J34="","",IF(OR(P34="",P34=0),"No balance",IF(ABS(I34-P34)&lt;1,"Yes",IF(ABS(I34/P34-1)&lt;0.02,"Within 2%",IF(ABS(I34/P34-1)&lt;0.05,"Within 5%","No")))))</f>
        <v/>
      </c>
      <c r="U34">
        <f>IF($J34="","",IF(N34="","",IF(ABS(F34-N34)&lt;1,"Yes",IF(ABS(G34-N34)&lt;1,"Disbursed = sanction","No"))))</f>
        <v/>
      </c>
      <c r="V34">
        <f>IF(OR($J34="",Q34="",E34=""),"",ABS(E34-Q34))</f>
        <v/>
      </c>
      <c r="W34" t="inlineStr">
        <is>
          <t>Yes</t>
        </is>
      </c>
      <c r="X34" s="489" t="inlineStr"/>
      <c r="Y34" s="489" t="inlineStr"/>
      <c r="Z34" s="489" t="inlineStr"/>
    </row>
    <row r="35">
      <c r="A35" t="n">
        <v>38</v>
      </c>
      <c r="B35">
        <f>'Loan Book'!D38</f>
        <v/>
      </c>
      <c r="C35">
        <f>'Loan Book'!E38</f>
        <v/>
      </c>
      <c r="D35">
        <f>'Loan Book'!F38</f>
        <v/>
      </c>
      <c r="E35" s="487">
        <f>'Loan Book'!G38</f>
        <v/>
      </c>
      <c r="F35" s="488">
        <f>'Loan Book'!L38</f>
        <v/>
      </c>
      <c r="G35" s="488">
        <f>'Loan Book'!M38</f>
        <v/>
      </c>
      <c r="H35" s="488">
        <f>'Loan Book'!O38</f>
        <v/>
      </c>
      <c r="I35" s="488">
        <f>'Loan Book'!R38</f>
        <v/>
      </c>
      <c r="J35" t="inlineStr">
        <is>
          <t>000104450000033</t>
        </is>
      </c>
      <c r="K35" t="inlineStr">
        <is>
          <t>High</t>
        </is>
      </c>
      <c r="L35">
        <f>IFERROR(INDEX('E-Banker master'!$B$2:$B$186,MATCH($J35,'E-Banker master'!$A$2:$A$186,0)),"")</f>
        <v/>
      </c>
      <c r="M35" s="487">
        <f>IFERROR(INDEX('E-Banker master'!$H$2:$H$186,MATCH($J35,'E-Banker master'!$A$2:$A$186,0)),"")</f>
        <v/>
      </c>
      <c r="N35" s="488">
        <f>IFERROR(INDEX('E-Banker master'!$I$2:$I$186,MATCH($J35,'E-Banker master'!$A$2:$A$186,0)),"")</f>
        <v/>
      </c>
      <c r="O35" s="488">
        <f>IFERROR(INDEX('E-Banker master'!$N$2:$N$186,MATCH($J35,'E-Banker master'!$A$2:$A$186,0)),"")</f>
        <v/>
      </c>
      <c r="P35" s="488">
        <f>IFERROR(INDEX('E-Banker master'!$P$2:$P$186,MATCH($J35,'E-Banker master'!$A$2:$A$186,0)),"")</f>
        <v/>
      </c>
      <c r="Q35" s="487">
        <f>IFERROR(INDEX('E-Banker master'!$Q$2:$Q$186,MATCH($J35,'E-Banker master'!$A$2:$A$186,0)),"")</f>
        <v/>
      </c>
      <c r="R35">
        <f>IFERROR(INDEX('E-Banker master'!$E$2:$E$186,MATCH($J35,'E-Banker master'!$A$2:$A$186,0)),"")</f>
        <v/>
      </c>
      <c r="S35">
        <f>IF($J35="","",IF(O35="","No take-on posting",IF(ABS(H35-O35)&lt;1,"Yes",IF(ABS(H35/O35-1)&lt;0.01,"Within 1%","No"))))</f>
        <v/>
      </c>
      <c r="T35">
        <f>IF($J35="","",IF(OR(P35="",P35=0),"No balance",IF(ABS(I35-P35)&lt;1,"Yes",IF(ABS(I35/P35-1)&lt;0.02,"Within 2%",IF(ABS(I35/P35-1)&lt;0.05,"Within 5%","No")))))</f>
        <v/>
      </c>
      <c r="U35">
        <f>IF($J35="","",IF(N35="","",IF(ABS(F35-N35)&lt;1,"Yes",IF(ABS(G35-N35)&lt;1,"Disbursed = sanction","No"))))</f>
        <v/>
      </c>
      <c r="V35">
        <f>IF(OR($J35="",Q35="",E35=""),"",ABS(E35-Q35))</f>
        <v/>
      </c>
      <c r="W35" t="inlineStr">
        <is>
          <t>Yes</t>
        </is>
      </c>
      <c r="X35" s="489" t="inlineStr"/>
      <c r="Y35" s="489" t="inlineStr"/>
      <c r="Z35" s="489" t="inlineStr"/>
    </row>
    <row r="36">
      <c r="A36" t="n">
        <v>39</v>
      </c>
      <c r="B36">
        <f>'Loan Book'!D39</f>
        <v/>
      </c>
      <c r="C36">
        <f>'Loan Book'!E39</f>
        <v/>
      </c>
      <c r="D36">
        <f>'Loan Book'!F39</f>
        <v/>
      </c>
      <c r="E36" s="487">
        <f>'Loan Book'!G39</f>
        <v/>
      </c>
      <c r="F36" s="488">
        <f>'Loan Book'!L39</f>
        <v/>
      </c>
      <c r="G36" s="488">
        <f>'Loan Book'!M39</f>
        <v/>
      </c>
      <c r="H36" s="488">
        <f>'Loan Book'!O39</f>
        <v/>
      </c>
      <c r="I36" s="488">
        <f>'Loan Book'!R39</f>
        <v/>
      </c>
      <c r="J36" t="inlineStr">
        <is>
          <t>000104450000034</t>
        </is>
      </c>
      <c r="K36" t="inlineStr">
        <is>
          <t>High</t>
        </is>
      </c>
      <c r="L36">
        <f>IFERROR(INDEX('E-Banker master'!$B$2:$B$186,MATCH($J36,'E-Banker master'!$A$2:$A$186,0)),"")</f>
        <v/>
      </c>
      <c r="M36" s="487">
        <f>IFERROR(INDEX('E-Banker master'!$H$2:$H$186,MATCH($J36,'E-Banker master'!$A$2:$A$186,0)),"")</f>
        <v/>
      </c>
      <c r="N36" s="488">
        <f>IFERROR(INDEX('E-Banker master'!$I$2:$I$186,MATCH($J36,'E-Banker master'!$A$2:$A$186,0)),"")</f>
        <v/>
      </c>
      <c r="O36" s="488">
        <f>IFERROR(INDEX('E-Banker master'!$N$2:$N$186,MATCH($J36,'E-Banker master'!$A$2:$A$186,0)),"")</f>
        <v/>
      </c>
      <c r="P36" s="488">
        <f>IFERROR(INDEX('E-Banker master'!$P$2:$P$186,MATCH($J36,'E-Banker master'!$A$2:$A$186,0)),"")</f>
        <v/>
      </c>
      <c r="Q36" s="487">
        <f>IFERROR(INDEX('E-Banker master'!$Q$2:$Q$186,MATCH($J36,'E-Banker master'!$A$2:$A$186,0)),"")</f>
        <v/>
      </c>
      <c r="R36">
        <f>IFERROR(INDEX('E-Banker master'!$E$2:$E$186,MATCH($J36,'E-Banker master'!$A$2:$A$186,0)),"")</f>
        <v/>
      </c>
      <c r="S36">
        <f>IF($J36="","",IF(O36="","No take-on posting",IF(ABS(H36-O36)&lt;1,"Yes",IF(ABS(H36/O36-1)&lt;0.01,"Within 1%","No"))))</f>
        <v/>
      </c>
      <c r="T36">
        <f>IF($J36="","",IF(OR(P36="",P36=0),"No balance",IF(ABS(I36-P36)&lt;1,"Yes",IF(ABS(I36/P36-1)&lt;0.02,"Within 2%",IF(ABS(I36/P36-1)&lt;0.05,"Within 5%","No")))))</f>
        <v/>
      </c>
      <c r="U36">
        <f>IF($J36="","",IF(N36="","",IF(ABS(F36-N36)&lt;1,"Yes",IF(ABS(G36-N36)&lt;1,"Disbursed = sanction","No"))))</f>
        <v/>
      </c>
      <c r="V36">
        <f>IF(OR($J36="",Q36="",E36=""),"",ABS(E36-Q36))</f>
        <v/>
      </c>
      <c r="W36" t="inlineStr">
        <is>
          <t>Yes</t>
        </is>
      </c>
      <c r="X36" s="489" t="inlineStr"/>
      <c r="Y36" s="489" t="inlineStr"/>
      <c r="Z36" s="489" t="inlineStr"/>
    </row>
    <row r="37">
      <c r="A37" t="n">
        <v>40</v>
      </c>
      <c r="B37">
        <f>'Loan Book'!D40</f>
        <v/>
      </c>
      <c r="C37">
        <f>'Loan Book'!E40</f>
        <v/>
      </c>
      <c r="D37">
        <f>'Loan Book'!F40</f>
        <v/>
      </c>
      <c r="E37" s="487">
        <f>'Loan Book'!G40</f>
        <v/>
      </c>
      <c r="F37" s="488">
        <f>'Loan Book'!L40</f>
        <v/>
      </c>
      <c r="G37" s="488">
        <f>'Loan Book'!M40</f>
        <v/>
      </c>
      <c r="H37" s="488">
        <f>'Loan Book'!O40</f>
        <v/>
      </c>
      <c r="I37" s="488">
        <f>'Loan Book'!R40</f>
        <v/>
      </c>
      <c r="J37" t="inlineStr">
        <is>
          <t>000104450000035</t>
        </is>
      </c>
      <c r="K37" t="inlineStr">
        <is>
          <t>High</t>
        </is>
      </c>
      <c r="L37">
        <f>IFERROR(INDEX('E-Banker master'!$B$2:$B$186,MATCH($J37,'E-Banker master'!$A$2:$A$186,0)),"")</f>
        <v/>
      </c>
      <c r="M37" s="487">
        <f>IFERROR(INDEX('E-Banker master'!$H$2:$H$186,MATCH($J37,'E-Banker master'!$A$2:$A$186,0)),"")</f>
        <v/>
      </c>
      <c r="N37" s="488">
        <f>IFERROR(INDEX('E-Banker master'!$I$2:$I$186,MATCH($J37,'E-Banker master'!$A$2:$A$186,0)),"")</f>
        <v/>
      </c>
      <c r="O37" s="488">
        <f>IFERROR(INDEX('E-Banker master'!$N$2:$N$186,MATCH($J37,'E-Banker master'!$A$2:$A$186,0)),"")</f>
        <v/>
      </c>
      <c r="P37" s="488">
        <f>IFERROR(INDEX('E-Banker master'!$P$2:$P$186,MATCH($J37,'E-Banker master'!$A$2:$A$186,0)),"")</f>
        <v/>
      </c>
      <c r="Q37" s="487">
        <f>IFERROR(INDEX('E-Banker master'!$Q$2:$Q$186,MATCH($J37,'E-Banker master'!$A$2:$A$186,0)),"")</f>
        <v/>
      </c>
      <c r="R37">
        <f>IFERROR(INDEX('E-Banker master'!$E$2:$E$186,MATCH($J37,'E-Banker master'!$A$2:$A$186,0)),"")</f>
        <v/>
      </c>
      <c r="S37">
        <f>IF($J37="","",IF(O37="","No take-on posting",IF(ABS(H37-O37)&lt;1,"Yes",IF(ABS(H37/O37-1)&lt;0.01,"Within 1%","No"))))</f>
        <v/>
      </c>
      <c r="T37">
        <f>IF($J37="","",IF(OR(P37="",P37=0),"No balance",IF(ABS(I37-P37)&lt;1,"Yes",IF(ABS(I37/P37-1)&lt;0.02,"Within 2%",IF(ABS(I37/P37-1)&lt;0.05,"Within 5%","No")))))</f>
        <v/>
      </c>
      <c r="U37">
        <f>IF($J37="","",IF(N37="","",IF(ABS(F37-N37)&lt;1,"Yes",IF(ABS(G37-N37)&lt;1,"Disbursed = sanction","No"))))</f>
        <v/>
      </c>
      <c r="V37">
        <f>IF(OR($J37="",Q37="",E37=""),"",ABS(E37-Q37))</f>
        <v/>
      </c>
      <c r="W37" t="inlineStr">
        <is>
          <t>Yes</t>
        </is>
      </c>
      <c r="X37" s="489" t="inlineStr"/>
      <c r="Y37" s="489" t="inlineStr"/>
      <c r="Z37" s="489" t="inlineStr"/>
    </row>
    <row r="38">
      <c r="A38" t="n">
        <v>41</v>
      </c>
      <c r="B38">
        <f>'Loan Book'!D41</f>
        <v/>
      </c>
      <c r="C38">
        <f>'Loan Book'!E41</f>
        <v/>
      </c>
      <c r="D38">
        <f>'Loan Book'!F41</f>
        <v/>
      </c>
      <c r="E38" s="487">
        <f>'Loan Book'!G41</f>
        <v/>
      </c>
      <c r="F38" s="488">
        <f>'Loan Book'!L41</f>
        <v/>
      </c>
      <c r="G38" s="488">
        <f>'Loan Book'!M41</f>
        <v/>
      </c>
      <c r="H38" s="488">
        <f>'Loan Book'!O41</f>
        <v/>
      </c>
      <c r="I38" s="488">
        <f>'Loan Book'!R41</f>
        <v/>
      </c>
      <c r="J38" t="inlineStr">
        <is>
          <t>000104450000036</t>
        </is>
      </c>
      <c r="K38" t="inlineStr">
        <is>
          <t>High</t>
        </is>
      </c>
      <c r="L38">
        <f>IFERROR(INDEX('E-Banker master'!$B$2:$B$186,MATCH($J38,'E-Banker master'!$A$2:$A$186,0)),"")</f>
        <v/>
      </c>
      <c r="M38" s="487">
        <f>IFERROR(INDEX('E-Banker master'!$H$2:$H$186,MATCH($J38,'E-Banker master'!$A$2:$A$186,0)),"")</f>
        <v/>
      </c>
      <c r="N38" s="488">
        <f>IFERROR(INDEX('E-Banker master'!$I$2:$I$186,MATCH($J38,'E-Banker master'!$A$2:$A$186,0)),"")</f>
        <v/>
      </c>
      <c r="O38" s="488">
        <f>IFERROR(INDEX('E-Banker master'!$N$2:$N$186,MATCH($J38,'E-Banker master'!$A$2:$A$186,0)),"")</f>
        <v/>
      </c>
      <c r="P38" s="488">
        <f>IFERROR(INDEX('E-Banker master'!$P$2:$P$186,MATCH($J38,'E-Banker master'!$A$2:$A$186,0)),"")</f>
        <v/>
      </c>
      <c r="Q38" s="487">
        <f>IFERROR(INDEX('E-Banker master'!$Q$2:$Q$186,MATCH($J38,'E-Banker master'!$A$2:$A$186,0)),"")</f>
        <v/>
      </c>
      <c r="R38">
        <f>IFERROR(INDEX('E-Banker master'!$E$2:$E$186,MATCH($J38,'E-Banker master'!$A$2:$A$186,0)),"")</f>
        <v/>
      </c>
      <c r="S38">
        <f>IF($J38="","",IF(O38="","No take-on posting",IF(ABS(H38-O38)&lt;1,"Yes",IF(ABS(H38/O38-1)&lt;0.01,"Within 1%","No"))))</f>
        <v/>
      </c>
      <c r="T38">
        <f>IF($J38="","",IF(OR(P38="",P38=0),"No balance",IF(ABS(I38-P38)&lt;1,"Yes",IF(ABS(I38/P38-1)&lt;0.02,"Within 2%",IF(ABS(I38/P38-1)&lt;0.05,"Within 5%","No")))))</f>
        <v/>
      </c>
      <c r="U38">
        <f>IF($J38="","",IF(N38="","",IF(ABS(F38-N38)&lt;1,"Yes",IF(ABS(G38-N38)&lt;1,"Disbursed = sanction","No"))))</f>
        <v/>
      </c>
      <c r="V38">
        <f>IF(OR($J38="",Q38="",E38=""),"",ABS(E38-Q38))</f>
        <v/>
      </c>
      <c r="W38" t="inlineStr">
        <is>
          <t>Yes</t>
        </is>
      </c>
      <c r="X38" s="489" t="inlineStr"/>
      <c r="Y38" s="489" t="inlineStr"/>
      <c r="Z38" s="489" t="inlineStr"/>
    </row>
    <row r="39">
      <c r="A39" t="n">
        <v>42</v>
      </c>
      <c r="B39">
        <f>'Loan Book'!D42</f>
        <v/>
      </c>
      <c r="C39">
        <f>'Loan Book'!E42</f>
        <v/>
      </c>
      <c r="D39">
        <f>'Loan Book'!F42</f>
        <v/>
      </c>
      <c r="E39" s="487">
        <f>'Loan Book'!G42</f>
        <v/>
      </c>
      <c r="F39" s="488">
        <f>'Loan Book'!L42</f>
        <v/>
      </c>
      <c r="G39" s="488">
        <f>'Loan Book'!M42</f>
        <v/>
      </c>
      <c r="H39" s="488">
        <f>'Loan Book'!O42</f>
        <v/>
      </c>
      <c r="I39" s="488">
        <f>'Loan Book'!R42</f>
        <v/>
      </c>
      <c r="K39" t="inlineStr">
        <is>
          <t>Not matched</t>
        </is>
      </c>
      <c r="L39">
        <f>IFERROR(INDEX('E-Banker master'!$B$2:$B$186,MATCH($J39,'E-Banker master'!$A$2:$A$186,0)),"")</f>
        <v/>
      </c>
      <c r="M39" s="487">
        <f>IFERROR(INDEX('E-Banker master'!$H$2:$H$186,MATCH($J39,'E-Banker master'!$A$2:$A$186,0)),"")</f>
        <v/>
      </c>
      <c r="N39" s="488">
        <f>IFERROR(INDEX('E-Banker master'!$I$2:$I$186,MATCH($J39,'E-Banker master'!$A$2:$A$186,0)),"")</f>
        <v/>
      </c>
      <c r="O39" s="488">
        <f>IFERROR(INDEX('E-Banker master'!$N$2:$N$186,MATCH($J39,'E-Banker master'!$A$2:$A$186,0)),"")</f>
        <v/>
      </c>
      <c r="P39" s="488">
        <f>IFERROR(INDEX('E-Banker master'!$P$2:$P$186,MATCH($J39,'E-Banker master'!$A$2:$A$186,0)),"")</f>
        <v/>
      </c>
      <c r="Q39" s="487">
        <f>IFERROR(INDEX('E-Banker master'!$Q$2:$Q$186,MATCH($J39,'E-Banker master'!$A$2:$A$186,0)),"")</f>
        <v/>
      </c>
      <c r="R39">
        <f>IFERROR(INDEX('E-Banker master'!$E$2:$E$186,MATCH($J39,'E-Banker master'!$A$2:$A$186,0)),"")</f>
        <v/>
      </c>
      <c r="S39">
        <f>IF($J39="","",IF(O39="","No take-on posting",IF(ABS(H39-O39)&lt;1,"Yes",IF(ABS(H39/O39-1)&lt;0.01,"Within 1%","No"))))</f>
        <v/>
      </c>
      <c r="T39">
        <f>IF($J39="","",IF(OR(P39="",P39=0),"No balance",IF(ABS(I39-P39)&lt;1,"Yes",IF(ABS(I39/P39-1)&lt;0.02,"Within 2%",IF(ABS(I39/P39-1)&lt;0.05,"Within 5%","No")))))</f>
        <v/>
      </c>
      <c r="U39">
        <f>IF($J39="","",IF(N39="","",IF(ABS(F39-N39)&lt;1,"Yes",IF(ABS(G39-N39)&lt;1,"Disbursed = sanction","No"))))</f>
        <v/>
      </c>
      <c r="V39">
        <f>IF(OR($J39="",Q39="",E39=""),"",ABS(E39-Q39))</f>
        <v/>
      </c>
      <c r="W39" t="inlineStr">
        <is>
          <t>No</t>
        </is>
      </c>
      <c r="X39" s="489" t="inlineStr"/>
      <c r="Y39" s="489" t="inlineStr"/>
      <c r="Z39" s="489" t="inlineStr"/>
    </row>
    <row r="40">
      <c r="A40" t="n">
        <v>43</v>
      </c>
      <c r="B40">
        <f>'Loan Book'!D43</f>
        <v/>
      </c>
      <c r="C40">
        <f>'Loan Book'!E43</f>
        <v/>
      </c>
      <c r="D40">
        <f>'Loan Book'!F43</f>
        <v/>
      </c>
      <c r="E40" s="487">
        <f>'Loan Book'!G43</f>
        <v/>
      </c>
      <c r="F40" s="488">
        <f>'Loan Book'!L43</f>
        <v/>
      </c>
      <c r="G40" s="488">
        <f>'Loan Book'!M43</f>
        <v/>
      </c>
      <c r="H40" s="488">
        <f>'Loan Book'!O43</f>
        <v/>
      </c>
      <c r="I40" s="488">
        <f>'Loan Book'!R43</f>
        <v/>
      </c>
      <c r="J40" t="inlineStr">
        <is>
          <t>000104450000038</t>
        </is>
      </c>
      <c r="K40" t="inlineStr">
        <is>
          <t>High</t>
        </is>
      </c>
      <c r="L40">
        <f>IFERROR(INDEX('E-Banker master'!$B$2:$B$186,MATCH($J40,'E-Banker master'!$A$2:$A$186,0)),"")</f>
        <v/>
      </c>
      <c r="M40" s="487">
        <f>IFERROR(INDEX('E-Banker master'!$H$2:$H$186,MATCH($J40,'E-Banker master'!$A$2:$A$186,0)),"")</f>
        <v/>
      </c>
      <c r="N40" s="488">
        <f>IFERROR(INDEX('E-Banker master'!$I$2:$I$186,MATCH($J40,'E-Banker master'!$A$2:$A$186,0)),"")</f>
        <v/>
      </c>
      <c r="O40" s="488">
        <f>IFERROR(INDEX('E-Banker master'!$N$2:$N$186,MATCH($J40,'E-Banker master'!$A$2:$A$186,0)),"")</f>
        <v/>
      </c>
      <c r="P40" s="488">
        <f>IFERROR(INDEX('E-Banker master'!$P$2:$P$186,MATCH($J40,'E-Banker master'!$A$2:$A$186,0)),"")</f>
        <v/>
      </c>
      <c r="Q40" s="487">
        <f>IFERROR(INDEX('E-Banker master'!$Q$2:$Q$186,MATCH($J40,'E-Banker master'!$A$2:$A$186,0)),"")</f>
        <v/>
      </c>
      <c r="R40">
        <f>IFERROR(INDEX('E-Banker master'!$E$2:$E$186,MATCH($J40,'E-Banker master'!$A$2:$A$186,0)),"")</f>
        <v/>
      </c>
      <c r="S40">
        <f>IF($J40="","",IF(O40="","No take-on posting",IF(ABS(H40-O40)&lt;1,"Yes",IF(ABS(H40/O40-1)&lt;0.01,"Within 1%","No"))))</f>
        <v/>
      </c>
      <c r="T40">
        <f>IF($J40="","",IF(OR(P40="",P40=0),"No balance",IF(ABS(I40-P40)&lt;1,"Yes",IF(ABS(I40/P40-1)&lt;0.02,"Within 2%",IF(ABS(I40/P40-1)&lt;0.05,"Within 5%","No")))))</f>
        <v/>
      </c>
      <c r="U40">
        <f>IF($J40="","",IF(N40="","",IF(ABS(F40-N40)&lt;1,"Yes",IF(ABS(G40-N40)&lt;1,"Disbursed = sanction","No"))))</f>
        <v/>
      </c>
      <c r="V40">
        <f>IF(OR($J40="",Q40="",E40=""),"",ABS(E40-Q40))</f>
        <v/>
      </c>
      <c r="W40" t="inlineStr">
        <is>
          <t>Yes</t>
        </is>
      </c>
      <c r="X40" s="489" t="inlineStr"/>
      <c r="Y40" s="489" t="inlineStr"/>
      <c r="Z40" s="489" t="inlineStr"/>
    </row>
    <row r="41">
      <c r="A41" t="n">
        <v>44</v>
      </c>
      <c r="B41">
        <f>'Loan Book'!D44</f>
        <v/>
      </c>
      <c r="C41">
        <f>'Loan Book'!E44</f>
        <v/>
      </c>
      <c r="D41">
        <f>'Loan Book'!F44</f>
        <v/>
      </c>
      <c r="E41" s="487">
        <f>'Loan Book'!G44</f>
        <v/>
      </c>
      <c r="F41" s="488">
        <f>'Loan Book'!L44</f>
        <v/>
      </c>
      <c r="G41" s="488">
        <f>'Loan Book'!M44</f>
        <v/>
      </c>
      <c r="H41" s="488">
        <f>'Loan Book'!O44</f>
        <v/>
      </c>
      <c r="I41" s="488">
        <f>'Loan Book'!R44</f>
        <v/>
      </c>
      <c r="J41" t="inlineStr">
        <is>
          <t>000104450000039</t>
        </is>
      </c>
      <c r="K41" t="inlineStr">
        <is>
          <t>High</t>
        </is>
      </c>
      <c r="L41">
        <f>IFERROR(INDEX('E-Banker master'!$B$2:$B$186,MATCH($J41,'E-Banker master'!$A$2:$A$186,0)),"")</f>
        <v/>
      </c>
      <c r="M41" s="487">
        <f>IFERROR(INDEX('E-Banker master'!$H$2:$H$186,MATCH($J41,'E-Banker master'!$A$2:$A$186,0)),"")</f>
        <v/>
      </c>
      <c r="N41" s="488">
        <f>IFERROR(INDEX('E-Banker master'!$I$2:$I$186,MATCH($J41,'E-Banker master'!$A$2:$A$186,0)),"")</f>
        <v/>
      </c>
      <c r="O41" s="488">
        <f>IFERROR(INDEX('E-Banker master'!$N$2:$N$186,MATCH($J41,'E-Banker master'!$A$2:$A$186,0)),"")</f>
        <v/>
      </c>
      <c r="P41" s="488">
        <f>IFERROR(INDEX('E-Banker master'!$P$2:$P$186,MATCH($J41,'E-Banker master'!$A$2:$A$186,0)),"")</f>
        <v/>
      </c>
      <c r="Q41" s="487">
        <f>IFERROR(INDEX('E-Banker master'!$Q$2:$Q$186,MATCH($J41,'E-Banker master'!$A$2:$A$186,0)),"")</f>
        <v/>
      </c>
      <c r="R41">
        <f>IFERROR(INDEX('E-Banker master'!$E$2:$E$186,MATCH($J41,'E-Banker master'!$A$2:$A$186,0)),"")</f>
        <v/>
      </c>
      <c r="S41">
        <f>IF($J41="","",IF(O41="","No take-on posting",IF(ABS(H41-O41)&lt;1,"Yes",IF(ABS(H41/O41-1)&lt;0.01,"Within 1%","No"))))</f>
        <v/>
      </c>
      <c r="T41">
        <f>IF($J41="","",IF(OR(P41="",P41=0),"No balance",IF(ABS(I41-P41)&lt;1,"Yes",IF(ABS(I41/P41-1)&lt;0.02,"Within 2%",IF(ABS(I41/P41-1)&lt;0.05,"Within 5%","No")))))</f>
        <v/>
      </c>
      <c r="U41">
        <f>IF($J41="","",IF(N41="","",IF(ABS(F41-N41)&lt;1,"Yes",IF(ABS(G41-N41)&lt;1,"Disbursed = sanction","No"))))</f>
        <v/>
      </c>
      <c r="V41">
        <f>IF(OR($J41="",Q41="",E41=""),"",ABS(E41-Q41))</f>
        <v/>
      </c>
      <c r="W41" t="inlineStr">
        <is>
          <t>Yes</t>
        </is>
      </c>
      <c r="X41" s="489" t="inlineStr"/>
      <c r="Y41" s="489" t="inlineStr"/>
      <c r="Z41" s="489" t="inlineStr"/>
    </row>
    <row r="42">
      <c r="A42" t="n">
        <v>45</v>
      </c>
      <c r="B42">
        <f>'Loan Book'!D45</f>
        <v/>
      </c>
      <c r="C42">
        <f>'Loan Book'!E45</f>
        <v/>
      </c>
      <c r="D42">
        <f>'Loan Book'!F45</f>
        <v/>
      </c>
      <c r="E42" s="487">
        <f>'Loan Book'!G45</f>
        <v/>
      </c>
      <c r="F42" s="488">
        <f>'Loan Book'!L45</f>
        <v/>
      </c>
      <c r="G42" s="488">
        <f>'Loan Book'!M45</f>
        <v/>
      </c>
      <c r="H42" s="488">
        <f>'Loan Book'!O45</f>
        <v/>
      </c>
      <c r="I42" s="488">
        <f>'Loan Book'!R45</f>
        <v/>
      </c>
      <c r="J42" t="inlineStr">
        <is>
          <t>000104420000040</t>
        </is>
      </c>
      <c r="K42" t="inlineStr">
        <is>
          <t>High</t>
        </is>
      </c>
      <c r="L42">
        <f>IFERROR(INDEX('E-Banker master'!$B$2:$B$186,MATCH($J42,'E-Banker master'!$A$2:$A$186,0)),"")</f>
        <v/>
      </c>
      <c r="M42" s="487">
        <f>IFERROR(INDEX('E-Banker master'!$H$2:$H$186,MATCH($J42,'E-Banker master'!$A$2:$A$186,0)),"")</f>
        <v/>
      </c>
      <c r="N42" s="488">
        <f>IFERROR(INDEX('E-Banker master'!$I$2:$I$186,MATCH($J42,'E-Banker master'!$A$2:$A$186,0)),"")</f>
        <v/>
      </c>
      <c r="O42" s="488">
        <f>IFERROR(INDEX('E-Banker master'!$N$2:$N$186,MATCH($J42,'E-Banker master'!$A$2:$A$186,0)),"")</f>
        <v/>
      </c>
      <c r="P42" s="488">
        <f>IFERROR(INDEX('E-Banker master'!$P$2:$P$186,MATCH($J42,'E-Banker master'!$A$2:$A$186,0)),"")</f>
        <v/>
      </c>
      <c r="Q42" s="487">
        <f>IFERROR(INDEX('E-Banker master'!$Q$2:$Q$186,MATCH($J42,'E-Banker master'!$A$2:$A$186,0)),"")</f>
        <v/>
      </c>
      <c r="R42">
        <f>IFERROR(INDEX('E-Banker master'!$E$2:$E$186,MATCH($J42,'E-Banker master'!$A$2:$A$186,0)),"")</f>
        <v/>
      </c>
      <c r="S42">
        <f>IF($J42="","",IF(O42="","No take-on posting",IF(ABS(H42-O42)&lt;1,"Yes",IF(ABS(H42/O42-1)&lt;0.01,"Within 1%","No"))))</f>
        <v/>
      </c>
      <c r="T42">
        <f>IF($J42="","",IF(OR(P42="",P42=0),"No balance",IF(ABS(I42-P42)&lt;1,"Yes",IF(ABS(I42/P42-1)&lt;0.02,"Within 2%",IF(ABS(I42/P42-1)&lt;0.05,"Within 5%","No")))))</f>
        <v/>
      </c>
      <c r="U42">
        <f>IF($J42="","",IF(N42="","",IF(ABS(F42-N42)&lt;1,"Yes",IF(ABS(G42-N42)&lt;1,"Disbursed = sanction","No"))))</f>
        <v/>
      </c>
      <c r="V42">
        <f>IF(OR($J42="",Q42="",E42=""),"",ABS(E42-Q42))</f>
        <v/>
      </c>
      <c r="W42" t="inlineStr">
        <is>
          <t>Yes</t>
        </is>
      </c>
      <c r="X42" s="489" t="inlineStr"/>
      <c r="Y42" s="489" t="inlineStr"/>
      <c r="Z42" s="489" t="inlineStr"/>
    </row>
    <row r="43">
      <c r="A43" t="n">
        <v>46</v>
      </c>
      <c r="B43">
        <f>'Loan Book'!D46</f>
        <v/>
      </c>
      <c r="C43">
        <f>'Loan Book'!E46</f>
        <v/>
      </c>
      <c r="D43">
        <f>'Loan Book'!F46</f>
        <v/>
      </c>
      <c r="E43" s="487">
        <f>'Loan Book'!G46</f>
        <v/>
      </c>
      <c r="F43" s="488">
        <f>'Loan Book'!L46</f>
        <v/>
      </c>
      <c r="G43" s="488">
        <f>'Loan Book'!M46</f>
        <v/>
      </c>
      <c r="H43" s="488">
        <f>'Loan Book'!O46</f>
        <v/>
      </c>
      <c r="I43" s="488">
        <f>'Loan Book'!R46</f>
        <v/>
      </c>
      <c r="J43" t="inlineStr">
        <is>
          <t>000104450000041</t>
        </is>
      </c>
      <c r="K43" t="inlineStr">
        <is>
          <t>High</t>
        </is>
      </c>
      <c r="L43">
        <f>IFERROR(INDEX('E-Banker master'!$B$2:$B$186,MATCH($J43,'E-Banker master'!$A$2:$A$186,0)),"")</f>
        <v/>
      </c>
      <c r="M43" s="487">
        <f>IFERROR(INDEX('E-Banker master'!$H$2:$H$186,MATCH($J43,'E-Banker master'!$A$2:$A$186,0)),"")</f>
        <v/>
      </c>
      <c r="N43" s="488">
        <f>IFERROR(INDEX('E-Banker master'!$I$2:$I$186,MATCH($J43,'E-Banker master'!$A$2:$A$186,0)),"")</f>
        <v/>
      </c>
      <c r="O43" s="488">
        <f>IFERROR(INDEX('E-Banker master'!$N$2:$N$186,MATCH($J43,'E-Banker master'!$A$2:$A$186,0)),"")</f>
        <v/>
      </c>
      <c r="P43" s="488">
        <f>IFERROR(INDEX('E-Banker master'!$P$2:$P$186,MATCH($J43,'E-Banker master'!$A$2:$A$186,0)),"")</f>
        <v/>
      </c>
      <c r="Q43" s="487">
        <f>IFERROR(INDEX('E-Banker master'!$Q$2:$Q$186,MATCH($J43,'E-Banker master'!$A$2:$A$186,0)),"")</f>
        <v/>
      </c>
      <c r="R43">
        <f>IFERROR(INDEX('E-Banker master'!$E$2:$E$186,MATCH($J43,'E-Banker master'!$A$2:$A$186,0)),"")</f>
        <v/>
      </c>
      <c r="S43">
        <f>IF($J43="","",IF(O43="","No take-on posting",IF(ABS(H43-O43)&lt;1,"Yes",IF(ABS(H43/O43-1)&lt;0.01,"Within 1%","No"))))</f>
        <v/>
      </c>
      <c r="T43">
        <f>IF($J43="","",IF(OR(P43="",P43=0),"No balance",IF(ABS(I43-P43)&lt;1,"Yes",IF(ABS(I43/P43-1)&lt;0.02,"Within 2%",IF(ABS(I43/P43-1)&lt;0.05,"Within 5%","No")))))</f>
        <v/>
      </c>
      <c r="U43">
        <f>IF($J43="","",IF(N43="","",IF(ABS(F43-N43)&lt;1,"Yes",IF(ABS(G43-N43)&lt;1,"Disbursed = sanction","No"))))</f>
        <v/>
      </c>
      <c r="V43">
        <f>IF(OR($J43="",Q43="",E43=""),"",ABS(E43-Q43))</f>
        <v/>
      </c>
      <c r="W43" t="inlineStr">
        <is>
          <t>Yes</t>
        </is>
      </c>
      <c r="X43" s="489" t="inlineStr"/>
      <c r="Y43" s="489" t="inlineStr"/>
      <c r="Z43" s="489" t="inlineStr"/>
    </row>
    <row r="44">
      <c r="A44" t="n">
        <v>47</v>
      </c>
      <c r="B44">
        <f>'Loan Book'!D47</f>
        <v/>
      </c>
      <c r="C44">
        <f>'Loan Book'!E47</f>
        <v/>
      </c>
      <c r="D44">
        <f>'Loan Book'!F47</f>
        <v/>
      </c>
      <c r="E44" s="487">
        <f>'Loan Book'!G47</f>
        <v/>
      </c>
      <c r="F44" s="488">
        <f>'Loan Book'!L47</f>
        <v/>
      </c>
      <c r="G44" s="488">
        <f>'Loan Book'!M47</f>
        <v/>
      </c>
      <c r="H44" s="488">
        <f>'Loan Book'!O47</f>
        <v/>
      </c>
      <c r="I44" s="488">
        <f>'Loan Book'!R47</f>
        <v/>
      </c>
      <c r="J44" t="inlineStr">
        <is>
          <t>000104450000042</t>
        </is>
      </c>
      <c r="K44" t="inlineStr">
        <is>
          <t>High</t>
        </is>
      </c>
      <c r="L44">
        <f>IFERROR(INDEX('E-Banker master'!$B$2:$B$186,MATCH($J44,'E-Banker master'!$A$2:$A$186,0)),"")</f>
        <v/>
      </c>
      <c r="M44" s="487">
        <f>IFERROR(INDEX('E-Banker master'!$H$2:$H$186,MATCH($J44,'E-Banker master'!$A$2:$A$186,0)),"")</f>
        <v/>
      </c>
      <c r="N44" s="488">
        <f>IFERROR(INDEX('E-Banker master'!$I$2:$I$186,MATCH($J44,'E-Banker master'!$A$2:$A$186,0)),"")</f>
        <v/>
      </c>
      <c r="O44" s="488">
        <f>IFERROR(INDEX('E-Banker master'!$N$2:$N$186,MATCH($J44,'E-Banker master'!$A$2:$A$186,0)),"")</f>
        <v/>
      </c>
      <c r="P44" s="488">
        <f>IFERROR(INDEX('E-Banker master'!$P$2:$P$186,MATCH($J44,'E-Banker master'!$A$2:$A$186,0)),"")</f>
        <v/>
      </c>
      <c r="Q44" s="487">
        <f>IFERROR(INDEX('E-Banker master'!$Q$2:$Q$186,MATCH($J44,'E-Banker master'!$A$2:$A$186,0)),"")</f>
        <v/>
      </c>
      <c r="R44">
        <f>IFERROR(INDEX('E-Banker master'!$E$2:$E$186,MATCH($J44,'E-Banker master'!$A$2:$A$186,0)),"")</f>
        <v/>
      </c>
      <c r="S44">
        <f>IF($J44="","",IF(O44="","No take-on posting",IF(ABS(H44-O44)&lt;1,"Yes",IF(ABS(H44/O44-1)&lt;0.01,"Within 1%","No"))))</f>
        <v/>
      </c>
      <c r="T44">
        <f>IF($J44="","",IF(OR(P44="",P44=0),"No balance",IF(ABS(I44-P44)&lt;1,"Yes",IF(ABS(I44/P44-1)&lt;0.02,"Within 2%",IF(ABS(I44/P44-1)&lt;0.05,"Within 5%","No")))))</f>
        <v/>
      </c>
      <c r="U44">
        <f>IF($J44="","",IF(N44="","",IF(ABS(F44-N44)&lt;1,"Yes",IF(ABS(G44-N44)&lt;1,"Disbursed = sanction","No"))))</f>
        <v/>
      </c>
      <c r="V44">
        <f>IF(OR($J44="",Q44="",E44=""),"",ABS(E44-Q44))</f>
        <v/>
      </c>
      <c r="W44" t="inlineStr">
        <is>
          <t>Yes</t>
        </is>
      </c>
      <c r="X44" s="489" t="inlineStr"/>
      <c r="Y44" s="489" t="inlineStr"/>
      <c r="Z44" s="489" t="inlineStr"/>
    </row>
    <row r="45">
      <c r="A45" t="n">
        <v>48</v>
      </c>
      <c r="B45">
        <f>'Loan Book'!D48</f>
        <v/>
      </c>
      <c r="C45">
        <f>'Loan Book'!E48</f>
        <v/>
      </c>
      <c r="D45">
        <f>'Loan Book'!F48</f>
        <v/>
      </c>
      <c r="E45" s="487">
        <f>'Loan Book'!G48</f>
        <v/>
      </c>
      <c r="F45" s="488">
        <f>'Loan Book'!L48</f>
        <v/>
      </c>
      <c r="G45" s="488">
        <f>'Loan Book'!M48</f>
        <v/>
      </c>
      <c r="H45" s="488">
        <f>'Loan Book'!O48</f>
        <v/>
      </c>
      <c r="I45" s="488">
        <f>'Loan Book'!R48</f>
        <v/>
      </c>
      <c r="J45" t="inlineStr">
        <is>
          <t>000104420000043</t>
        </is>
      </c>
      <c r="K45" t="inlineStr">
        <is>
          <t>High</t>
        </is>
      </c>
      <c r="L45">
        <f>IFERROR(INDEX('E-Banker master'!$B$2:$B$186,MATCH($J45,'E-Banker master'!$A$2:$A$186,0)),"")</f>
        <v/>
      </c>
      <c r="M45" s="487">
        <f>IFERROR(INDEX('E-Banker master'!$H$2:$H$186,MATCH($J45,'E-Banker master'!$A$2:$A$186,0)),"")</f>
        <v/>
      </c>
      <c r="N45" s="488">
        <f>IFERROR(INDEX('E-Banker master'!$I$2:$I$186,MATCH($J45,'E-Banker master'!$A$2:$A$186,0)),"")</f>
        <v/>
      </c>
      <c r="O45" s="488">
        <f>IFERROR(INDEX('E-Banker master'!$N$2:$N$186,MATCH($J45,'E-Banker master'!$A$2:$A$186,0)),"")</f>
        <v/>
      </c>
      <c r="P45" s="488">
        <f>IFERROR(INDEX('E-Banker master'!$P$2:$P$186,MATCH($J45,'E-Banker master'!$A$2:$A$186,0)),"")</f>
        <v/>
      </c>
      <c r="Q45" s="487">
        <f>IFERROR(INDEX('E-Banker master'!$Q$2:$Q$186,MATCH($J45,'E-Banker master'!$A$2:$A$186,0)),"")</f>
        <v/>
      </c>
      <c r="R45">
        <f>IFERROR(INDEX('E-Banker master'!$E$2:$E$186,MATCH($J45,'E-Banker master'!$A$2:$A$186,0)),"")</f>
        <v/>
      </c>
      <c r="S45">
        <f>IF($J45="","",IF(O45="","No take-on posting",IF(ABS(H45-O45)&lt;1,"Yes",IF(ABS(H45/O45-1)&lt;0.01,"Within 1%","No"))))</f>
        <v/>
      </c>
      <c r="T45">
        <f>IF($J45="","",IF(OR(P45="",P45=0),"No balance",IF(ABS(I45-P45)&lt;1,"Yes",IF(ABS(I45/P45-1)&lt;0.02,"Within 2%",IF(ABS(I45/P45-1)&lt;0.05,"Within 5%","No")))))</f>
        <v/>
      </c>
      <c r="U45">
        <f>IF($J45="","",IF(N45="","",IF(ABS(F45-N45)&lt;1,"Yes",IF(ABS(G45-N45)&lt;1,"Disbursed = sanction","No"))))</f>
        <v/>
      </c>
      <c r="V45">
        <f>IF(OR($J45="",Q45="",E45=""),"",ABS(E45-Q45))</f>
        <v/>
      </c>
      <c r="W45" t="inlineStr">
        <is>
          <t>Yes</t>
        </is>
      </c>
      <c r="X45" s="489" t="inlineStr"/>
      <c r="Y45" s="489" t="inlineStr"/>
      <c r="Z45" s="489" t="inlineStr"/>
    </row>
    <row r="46">
      <c r="A46" t="n">
        <v>49</v>
      </c>
      <c r="B46">
        <f>'Loan Book'!D49</f>
        <v/>
      </c>
      <c r="C46">
        <f>'Loan Book'!E49</f>
        <v/>
      </c>
      <c r="D46">
        <f>'Loan Book'!F49</f>
        <v/>
      </c>
      <c r="E46" s="487">
        <f>'Loan Book'!G49</f>
        <v/>
      </c>
      <c r="F46" s="488">
        <f>'Loan Book'!L49</f>
        <v/>
      </c>
      <c r="G46" s="488">
        <f>'Loan Book'!M49</f>
        <v/>
      </c>
      <c r="H46" s="488">
        <f>'Loan Book'!O49</f>
        <v/>
      </c>
      <c r="I46" s="488">
        <f>'Loan Book'!R49</f>
        <v/>
      </c>
      <c r="J46" t="inlineStr">
        <is>
          <t>000104420000044</t>
        </is>
      </c>
      <c r="K46" t="inlineStr">
        <is>
          <t>High</t>
        </is>
      </c>
      <c r="L46">
        <f>IFERROR(INDEX('E-Banker master'!$B$2:$B$186,MATCH($J46,'E-Banker master'!$A$2:$A$186,0)),"")</f>
        <v/>
      </c>
      <c r="M46" s="487">
        <f>IFERROR(INDEX('E-Banker master'!$H$2:$H$186,MATCH($J46,'E-Banker master'!$A$2:$A$186,0)),"")</f>
        <v/>
      </c>
      <c r="N46" s="488">
        <f>IFERROR(INDEX('E-Banker master'!$I$2:$I$186,MATCH($J46,'E-Banker master'!$A$2:$A$186,0)),"")</f>
        <v/>
      </c>
      <c r="O46" s="488">
        <f>IFERROR(INDEX('E-Banker master'!$N$2:$N$186,MATCH($J46,'E-Banker master'!$A$2:$A$186,0)),"")</f>
        <v/>
      </c>
      <c r="P46" s="488">
        <f>IFERROR(INDEX('E-Banker master'!$P$2:$P$186,MATCH($J46,'E-Banker master'!$A$2:$A$186,0)),"")</f>
        <v/>
      </c>
      <c r="Q46" s="487">
        <f>IFERROR(INDEX('E-Banker master'!$Q$2:$Q$186,MATCH($J46,'E-Banker master'!$A$2:$A$186,0)),"")</f>
        <v/>
      </c>
      <c r="R46">
        <f>IFERROR(INDEX('E-Banker master'!$E$2:$E$186,MATCH($J46,'E-Banker master'!$A$2:$A$186,0)),"")</f>
        <v/>
      </c>
      <c r="S46">
        <f>IF($J46="","",IF(O46="","No take-on posting",IF(ABS(H46-O46)&lt;1,"Yes",IF(ABS(H46/O46-1)&lt;0.01,"Within 1%","No"))))</f>
        <v/>
      </c>
      <c r="T46">
        <f>IF($J46="","",IF(OR(P46="",P46=0),"No balance",IF(ABS(I46-P46)&lt;1,"Yes",IF(ABS(I46/P46-1)&lt;0.02,"Within 2%",IF(ABS(I46/P46-1)&lt;0.05,"Within 5%","No")))))</f>
        <v/>
      </c>
      <c r="U46">
        <f>IF($J46="","",IF(N46="","",IF(ABS(F46-N46)&lt;1,"Yes",IF(ABS(G46-N46)&lt;1,"Disbursed = sanction","No"))))</f>
        <v/>
      </c>
      <c r="V46">
        <f>IF(OR($J46="",Q46="",E46=""),"",ABS(E46-Q46))</f>
        <v/>
      </c>
      <c r="W46" t="inlineStr">
        <is>
          <t>Yes</t>
        </is>
      </c>
      <c r="X46" s="489" t="inlineStr"/>
      <c r="Y46" s="489" t="inlineStr"/>
      <c r="Z46" s="489" t="inlineStr"/>
    </row>
    <row r="47">
      <c r="A47" t="n">
        <v>50</v>
      </c>
      <c r="B47">
        <f>'Loan Book'!D50</f>
        <v/>
      </c>
      <c r="C47">
        <f>'Loan Book'!E50</f>
        <v/>
      </c>
      <c r="D47">
        <f>'Loan Book'!F50</f>
        <v/>
      </c>
      <c r="E47" s="487">
        <f>'Loan Book'!G50</f>
        <v/>
      </c>
      <c r="F47" s="488">
        <f>'Loan Book'!L50</f>
        <v/>
      </c>
      <c r="G47" s="488">
        <f>'Loan Book'!M50</f>
        <v/>
      </c>
      <c r="H47" s="488">
        <f>'Loan Book'!O50</f>
        <v/>
      </c>
      <c r="I47" s="488">
        <f>'Loan Book'!R50</f>
        <v/>
      </c>
      <c r="J47" t="inlineStr">
        <is>
          <t>000104450000045</t>
        </is>
      </c>
      <c r="K47" t="inlineStr">
        <is>
          <t>High</t>
        </is>
      </c>
      <c r="L47">
        <f>IFERROR(INDEX('E-Banker master'!$B$2:$B$186,MATCH($J47,'E-Banker master'!$A$2:$A$186,0)),"")</f>
        <v/>
      </c>
      <c r="M47" s="487">
        <f>IFERROR(INDEX('E-Banker master'!$H$2:$H$186,MATCH($J47,'E-Banker master'!$A$2:$A$186,0)),"")</f>
        <v/>
      </c>
      <c r="N47" s="488">
        <f>IFERROR(INDEX('E-Banker master'!$I$2:$I$186,MATCH($J47,'E-Banker master'!$A$2:$A$186,0)),"")</f>
        <v/>
      </c>
      <c r="O47" s="488">
        <f>IFERROR(INDEX('E-Banker master'!$N$2:$N$186,MATCH($J47,'E-Banker master'!$A$2:$A$186,0)),"")</f>
        <v/>
      </c>
      <c r="P47" s="488">
        <f>IFERROR(INDEX('E-Banker master'!$P$2:$P$186,MATCH($J47,'E-Banker master'!$A$2:$A$186,0)),"")</f>
        <v/>
      </c>
      <c r="Q47" s="487">
        <f>IFERROR(INDEX('E-Banker master'!$Q$2:$Q$186,MATCH($J47,'E-Banker master'!$A$2:$A$186,0)),"")</f>
        <v/>
      </c>
      <c r="R47">
        <f>IFERROR(INDEX('E-Banker master'!$E$2:$E$186,MATCH($J47,'E-Banker master'!$A$2:$A$186,0)),"")</f>
        <v/>
      </c>
      <c r="S47">
        <f>IF($J47="","",IF(O47="","No take-on posting",IF(ABS(H47-O47)&lt;1,"Yes",IF(ABS(H47/O47-1)&lt;0.01,"Within 1%","No"))))</f>
        <v/>
      </c>
      <c r="T47">
        <f>IF($J47="","",IF(OR(P47="",P47=0),"No balance",IF(ABS(I47-P47)&lt;1,"Yes",IF(ABS(I47/P47-1)&lt;0.02,"Within 2%",IF(ABS(I47/P47-1)&lt;0.05,"Within 5%","No")))))</f>
        <v/>
      </c>
      <c r="U47">
        <f>IF($J47="","",IF(N47="","",IF(ABS(F47-N47)&lt;1,"Yes",IF(ABS(G47-N47)&lt;1,"Disbursed = sanction","No"))))</f>
        <v/>
      </c>
      <c r="V47">
        <f>IF(OR($J47="",Q47="",E47=""),"",ABS(E47-Q47))</f>
        <v/>
      </c>
      <c r="W47" t="inlineStr">
        <is>
          <t>Yes</t>
        </is>
      </c>
      <c r="X47" s="489" t="inlineStr"/>
      <c r="Y47" s="489" t="inlineStr"/>
      <c r="Z47" s="489" t="inlineStr"/>
    </row>
    <row r="48">
      <c r="A48" t="n">
        <v>51</v>
      </c>
      <c r="B48">
        <f>'Loan Book'!D51</f>
        <v/>
      </c>
      <c r="C48">
        <f>'Loan Book'!E51</f>
        <v/>
      </c>
      <c r="D48">
        <f>'Loan Book'!F51</f>
        <v/>
      </c>
      <c r="E48" s="487">
        <f>'Loan Book'!G51</f>
        <v/>
      </c>
      <c r="F48" s="488">
        <f>'Loan Book'!L51</f>
        <v/>
      </c>
      <c r="G48" s="488">
        <f>'Loan Book'!M51</f>
        <v/>
      </c>
      <c r="H48" s="488">
        <f>'Loan Book'!O51</f>
        <v/>
      </c>
      <c r="I48" s="488">
        <f>'Loan Book'!R51</f>
        <v/>
      </c>
      <c r="J48" t="inlineStr">
        <is>
          <t>000104450000046</t>
        </is>
      </c>
      <c r="K48" t="inlineStr">
        <is>
          <t>High</t>
        </is>
      </c>
      <c r="L48">
        <f>IFERROR(INDEX('E-Banker master'!$B$2:$B$186,MATCH($J48,'E-Banker master'!$A$2:$A$186,0)),"")</f>
        <v/>
      </c>
      <c r="M48" s="487">
        <f>IFERROR(INDEX('E-Banker master'!$H$2:$H$186,MATCH($J48,'E-Banker master'!$A$2:$A$186,0)),"")</f>
        <v/>
      </c>
      <c r="N48" s="488">
        <f>IFERROR(INDEX('E-Banker master'!$I$2:$I$186,MATCH($J48,'E-Banker master'!$A$2:$A$186,0)),"")</f>
        <v/>
      </c>
      <c r="O48" s="488">
        <f>IFERROR(INDEX('E-Banker master'!$N$2:$N$186,MATCH($J48,'E-Banker master'!$A$2:$A$186,0)),"")</f>
        <v/>
      </c>
      <c r="P48" s="488">
        <f>IFERROR(INDEX('E-Banker master'!$P$2:$P$186,MATCH($J48,'E-Banker master'!$A$2:$A$186,0)),"")</f>
        <v/>
      </c>
      <c r="Q48" s="487">
        <f>IFERROR(INDEX('E-Banker master'!$Q$2:$Q$186,MATCH($J48,'E-Banker master'!$A$2:$A$186,0)),"")</f>
        <v/>
      </c>
      <c r="R48">
        <f>IFERROR(INDEX('E-Banker master'!$E$2:$E$186,MATCH($J48,'E-Banker master'!$A$2:$A$186,0)),"")</f>
        <v/>
      </c>
      <c r="S48">
        <f>IF($J48="","",IF(O48="","No take-on posting",IF(ABS(H48-O48)&lt;1,"Yes",IF(ABS(H48/O48-1)&lt;0.01,"Within 1%","No"))))</f>
        <v/>
      </c>
      <c r="T48">
        <f>IF($J48="","",IF(OR(P48="",P48=0),"No balance",IF(ABS(I48-P48)&lt;1,"Yes",IF(ABS(I48/P48-1)&lt;0.02,"Within 2%",IF(ABS(I48/P48-1)&lt;0.05,"Within 5%","No")))))</f>
        <v/>
      </c>
      <c r="U48">
        <f>IF($J48="","",IF(N48="","",IF(ABS(F48-N48)&lt;1,"Yes",IF(ABS(G48-N48)&lt;1,"Disbursed = sanction","No"))))</f>
        <v/>
      </c>
      <c r="V48">
        <f>IF(OR($J48="",Q48="",E48=""),"",ABS(E48-Q48))</f>
        <v/>
      </c>
      <c r="W48" t="inlineStr">
        <is>
          <t>Yes</t>
        </is>
      </c>
      <c r="X48" s="489" t="inlineStr"/>
      <c r="Y48" s="489" t="inlineStr"/>
      <c r="Z48" s="489" t="inlineStr"/>
    </row>
    <row r="49">
      <c r="A49" t="n">
        <v>52</v>
      </c>
      <c r="B49">
        <f>'Loan Book'!D52</f>
        <v/>
      </c>
      <c r="C49">
        <f>'Loan Book'!E52</f>
        <v/>
      </c>
      <c r="D49">
        <f>'Loan Book'!F52</f>
        <v/>
      </c>
      <c r="E49" s="487">
        <f>'Loan Book'!G52</f>
        <v/>
      </c>
      <c r="F49" s="488">
        <f>'Loan Book'!L52</f>
        <v/>
      </c>
      <c r="G49" s="488">
        <f>'Loan Book'!M52</f>
        <v/>
      </c>
      <c r="H49" s="488">
        <f>'Loan Book'!O52</f>
        <v/>
      </c>
      <c r="I49" s="488">
        <f>'Loan Book'!R52</f>
        <v/>
      </c>
      <c r="J49" t="inlineStr">
        <is>
          <t>000104450000047</t>
        </is>
      </c>
      <c r="K49" t="inlineStr">
        <is>
          <t>High</t>
        </is>
      </c>
      <c r="L49">
        <f>IFERROR(INDEX('E-Banker master'!$B$2:$B$186,MATCH($J49,'E-Banker master'!$A$2:$A$186,0)),"")</f>
        <v/>
      </c>
      <c r="M49" s="487">
        <f>IFERROR(INDEX('E-Banker master'!$H$2:$H$186,MATCH($J49,'E-Banker master'!$A$2:$A$186,0)),"")</f>
        <v/>
      </c>
      <c r="N49" s="488">
        <f>IFERROR(INDEX('E-Banker master'!$I$2:$I$186,MATCH($J49,'E-Banker master'!$A$2:$A$186,0)),"")</f>
        <v/>
      </c>
      <c r="O49" s="488">
        <f>IFERROR(INDEX('E-Banker master'!$N$2:$N$186,MATCH($J49,'E-Banker master'!$A$2:$A$186,0)),"")</f>
        <v/>
      </c>
      <c r="P49" s="488">
        <f>IFERROR(INDEX('E-Banker master'!$P$2:$P$186,MATCH($J49,'E-Banker master'!$A$2:$A$186,0)),"")</f>
        <v/>
      </c>
      <c r="Q49" s="487">
        <f>IFERROR(INDEX('E-Banker master'!$Q$2:$Q$186,MATCH($J49,'E-Banker master'!$A$2:$A$186,0)),"")</f>
        <v/>
      </c>
      <c r="R49">
        <f>IFERROR(INDEX('E-Banker master'!$E$2:$E$186,MATCH($J49,'E-Banker master'!$A$2:$A$186,0)),"")</f>
        <v/>
      </c>
      <c r="S49">
        <f>IF($J49="","",IF(O49="","No take-on posting",IF(ABS(H49-O49)&lt;1,"Yes",IF(ABS(H49/O49-1)&lt;0.01,"Within 1%","No"))))</f>
        <v/>
      </c>
      <c r="T49">
        <f>IF($J49="","",IF(OR(P49="",P49=0),"No balance",IF(ABS(I49-P49)&lt;1,"Yes",IF(ABS(I49/P49-1)&lt;0.02,"Within 2%",IF(ABS(I49/P49-1)&lt;0.05,"Within 5%","No")))))</f>
        <v/>
      </c>
      <c r="U49">
        <f>IF($J49="","",IF(N49="","",IF(ABS(F49-N49)&lt;1,"Yes",IF(ABS(G49-N49)&lt;1,"Disbursed = sanction","No"))))</f>
        <v/>
      </c>
      <c r="V49">
        <f>IF(OR($J49="",Q49="",E49=""),"",ABS(E49-Q49))</f>
        <v/>
      </c>
      <c r="W49" t="inlineStr">
        <is>
          <t>Yes</t>
        </is>
      </c>
      <c r="X49" s="489" t="inlineStr"/>
      <c r="Y49" s="489" t="inlineStr"/>
      <c r="Z49" s="489" t="inlineStr"/>
    </row>
    <row r="50">
      <c r="A50" t="n">
        <v>53</v>
      </c>
      <c r="B50">
        <f>'Loan Book'!D53</f>
        <v/>
      </c>
      <c r="C50">
        <f>'Loan Book'!E53</f>
        <v/>
      </c>
      <c r="D50">
        <f>'Loan Book'!F53</f>
        <v/>
      </c>
      <c r="E50" s="487">
        <f>'Loan Book'!G53</f>
        <v/>
      </c>
      <c r="F50" s="488">
        <f>'Loan Book'!L53</f>
        <v/>
      </c>
      <c r="G50" s="488">
        <f>'Loan Book'!M53</f>
        <v/>
      </c>
      <c r="H50" s="488">
        <f>'Loan Book'!O53</f>
        <v/>
      </c>
      <c r="I50" s="488">
        <f>'Loan Book'!R53</f>
        <v/>
      </c>
      <c r="J50" t="inlineStr">
        <is>
          <t>000104450000048</t>
        </is>
      </c>
      <c r="K50" t="inlineStr">
        <is>
          <t>High</t>
        </is>
      </c>
      <c r="L50">
        <f>IFERROR(INDEX('E-Banker master'!$B$2:$B$186,MATCH($J50,'E-Banker master'!$A$2:$A$186,0)),"")</f>
        <v/>
      </c>
      <c r="M50" s="487">
        <f>IFERROR(INDEX('E-Banker master'!$H$2:$H$186,MATCH($J50,'E-Banker master'!$A$2:$A$186,0)),"")</f>
        <v/>
      </c>
      <c r="N50" s="488">
        <f>IFERROR(INDEX('E-Banker master'!$I$2:$I$186,MATCH($J50,'E-Banker master'!$A$2:$A$186,0)),"")</f>
        <v/>
      </c>
      <c r="O50" s="488">
        <f>IFERROR(INDEX('E-Banker master'!$N$2:$N$186,MATCH($J50,'E-Banker master'!$A$2:$A$186,0)),"")</f>
        <v/>
      </c>
      <c r="P50" s="488">
        <f>IFERROR(INDEX('E-Banker master'!$P$2:$P$186,MATCH($J50,'E-Banker master'!$A$2:$A$186,0)),"")</f>
        <v/>
      </c>
      <c r="Q50" s="487">
        <f>IFERROR(INDEX('E-Banker master'!$Q$2:$Q$186,MATCH($J50,'E-Banker master'!$A$2:$A$186,0)),"")</f>
        <v/>
      </c>
      <c r="R50">
        <f>IFERROR(INDEX('E-Banker master'!$E$2:$E$186,MATCH($J50,'E-Banker master'!$A$2:$A$186,0)),"")</f>
        <v/>
      </c>
      <c r="S50">
        <f>IF($J50="","",IF(O50="","No take-on posting",IF(ABS(H50-O50)&lt;1,"Yes",IF(ABS(H50/O50-1)&lt;0.01,"Within 1%","No"))))</f>
        <v/>
      </c>
      <c r="T50">
        <f>IF($J50="","",IF(OR(P50="",P50=0),"No balance",IF(ABS(I50-P50)&lt;1,"Yes",IF(ABS(I50/P50-1)&lt;0.02,"Within 2%",IF(ABS(I50/P50-1)&lt;0.05,"Within 5%","No")))))</f>
        <v/>
      </c>
      <c r="U50">
        <f>IF($J50="","",IF(N50="","",IF(ABS(F50-N50)&lt;1,"Yes",IF(ABS(G50-N50)&lt;1,"Disbursed = sanction","No"))))</f>
        <v/>
      </c>
      <c r="V50">
        <f>IF(OR($J50="",Q50="",E50=""),"",ABS(E50-Q50))</f>
        <v/>
      </c>
      <c r="W50" t="inlineStr">
        <is>
          <t>Yes</t>
        </is>
      </c>
      <c r="X50" s="489" t="inlineStr"/>
      <c r="Y50" s="489" t="inlineStr"/>
      <c r="Z50" s="489" t="inlineStr"/>
    </row>
    <row r="51">
      <c r="A51" t="n">
        <v>54</v>
      </c>
      <c r="B51">
        <f>'Loan Book'!D54</f>
        <v/>
      </c>
      <c r="C51">
        <f>'Loan Book'!E54</f>
        <v/>
      </c>
      <c r="D51">
        <f>'Loan Book'!F54</f>
        <v/>
      </c>
      <c r="E51" s="487">
        <f>'Loan Book'!G54</f>
        <v/>
      </c>
      <c r="F51" s="488">
        <f>'Loan Book'!L54</f>
        <v/>
      </c>
      <c r="G51" s="488">
        <f>'Loan Book'!M54</f>
        <v/>
      </c>
      <c r="H51" s="488">
        <f>'Loan Book'!O54</f>
        <v/>
      </c>
      <c r="I51" s="488">
        <f>'Loan Book'!R54</f>
        <v/>
      </c>
      <c r="J51" t="inlineStr">
        <is>
          <t>000104450000049</t>
        </is>
      </c>
      <c r="K51" t="inlineStr">
        <is>
          <t>High</t>
        </is>
      </c>
      <c r="L51">
        <f>IFERROR(INDEX('E-Banker master'!$B$2:$B$186,MATCH($J51,'E-Banker master'!$A$2:$A$186,0)),"")</f>
        <v/>
      </c>
      <c r="M51" s="487">
        <f>IFERROR(INDEX('E-Banker master'!$H$2:$H$186,MATCH($J51,'E-Banker master'!$A$2:$A$186,0)),"")</f>
        <v/>
      </c>
      <c r="N51" s="488">
        <f>IFERROR(INDEX('E-Banker master'!$I$2:$I$186,MATCH($J51,'E-Banker master'!$A$2:$A$186,0)),"")</f>
        <v/>
      </c>
      <c r="O51" s="488">
        <f>IFERROR(INDEX('E-Banker master'!$N$2:$N$186,MATCH($J51,'E-Banker master'!$A$2:$A$186,0)),"")</f>
        <v/>
      </c>
      <c r="P51" s="488">
        <f>IFERROR(INDEX('E-Banker master'!$P$2:$P$186,MATCH($J51,'E-Banker master'!$A$2:$A$186,0)),"")</f>
        <v/>
      </c>
      <c r="Q51" s="487">
        <f>IFERROR(INDEX('E-Banker master'!$Q$2:$Q$186,MATCH($J51,'E-Banker master'!$A$2:$A$186,0)),"")</f>
        <v/>
      </c>
      <c r="R51">
        <f>IFERROR(INDEX('E-Banker master'!$E$2:$E$186,MATCH($J51,'E-Banker master'!$A$2:$A$186,0)),"")</f>
        <v/>
      </c>
      <c r="S51">
        <f>IF($J51="","",IF(O51="","No take-on posting",IF(ABS(H51-O51)&lt;1,"Yes",IF(ABS(H51/O51-1)&lt;0.01,"Within 1%","No"))))</f>
        <v/>
      </c>
      <c r="T51">
        <f>IF($J51="","",IF(OR(P51="",P51=0),"No balance",IF(ABS(I51-P51)&lt;1,"Yes",IF(ABS(I51/P51-1)&lt;0.02,"Within 2%",IF(ABS(I51/P51-1)&lt;0.05,"Within 5%","No")))))</f>
        <v/>
      </c>
      <c r="U51">
        <f>IF($J51="","",IF(N51="","",IF(ABS(F51-N51)&lt;1,"Yes",IF(ABS(G51-N51)&lt;1,"Disbursed = sanction","No"))))</f>
        <v/>
      </c>
      <c r="V51">
        <f>IF(OR($J51="",Q51="",E51=""),"",ABS(E51-Q51))</f>
        <v/>
      </c>
      <c r="W51" t="inlineStr">
        <is>
          <t>Yes</t>
        </is>
      </c>
      <c r="X51" s="489" t="inlineStr"/>
      <c r="Y51" s="489" t="inlineStr"/>
      <c r="Z51" s="489" t="inlineStr"/>
    </row>
    <row r="52">
      <c r="A52" t="n">
        <v>55</v>
      </c>
      <c r="B52">
        <f>'Loan Book'!D55</f>
        <v/>
      </c>
      <c r="C52">
        <f>'Loan Book'!E55</f>
        <v/>
      </c>
      <c r="D52">
        <f>'Loan Book'!F55</f>
        <v/>
      </c>
      <c r="E52" s="487">
        <f>'Loan Book'!G55</f>
        <v/>
      </c>
      <c r="F52" s="488">
        <f>'Loan Book'!L55</f>
        <v/>
      </c>
      <c r="G52" s="488">
        <f>'Loan Book'!M55</f>
        <v/>
      </c>
      <c r="H52" s="488">
        <f>'Loan Book'!O55</f>
        <v/>
      </c>
      <c r="I52" s="488">
        <f>'Loan Book'!R55</f>
        <v/>
      </c>
      <c r="J52" t="inlineStr">
        <is>
          <t>000104450000050</t>
        </is>
      </c>
      <c r="K52" t="inlineStr">
        <is>
          <t>High</t>
        </is>
      </c>
      <c r="L52">
        <f>IFERROR(INDEX('E-Banker master'!$B$2:$B$186,MATCH($J52,'E-Banker master'!$A$2:$A$186,0)),"")</f>
        <v/>
      </c>
      <c r="M52" s="487">
        <f>IFERROR(INDEX('E-Banker master'!$H$2:$H$186,MATCH($J52,'E-Banker master'!$A$2:$A$186,0)),"")</f>
        <v/>
      </c>
      <c r="N52" s="488">
        <f>IFERROR(INDEX('E-Banker master'!$I$2:$I$186,MATCH($J52,'E-Banker master'!$A$2:$A$186,0)),"")</f>
        <v/>
      </c>
      <c r="O52" s="488">
        <f>IFERROR(INDEX('E-Banker master'!$N$2:$N$186,MATCH($J52,'E-Banker master'!$A$2:$A$186,0)),"")</f>
        <v/>
      </c>
      <c r="P52" s="488">
        <f>IFERROR(INDEX('E-Banker master'!$P$2:$P$186,MATCH($J52,'E-Banker master'!$A$2:$A$186,0)),"")</f>
        <v/>
      </c>
      <c r="Q52" s="487">
        <f>IFERROR(INDEX('E-Banker master'!$Q$2:$Q$186,MATCH($J52,'E-Banker master'!$A$2:$A$186,0)),"")</f>
        <v/>
      </c>
      <c r="R52">
        <f>IFERROR(INDEX('E-Banker master'!$E$2:$E$186,MATCH($J52,'E-Banker master'!$A$2:$A$186,0)),"")</f>
        <v/>
      </c>
      <c r="S52">
        <f>IF($J52="","",IF(O52="","No take-on posting",IF(ABS(H52-O52)&lt;1,"Yes",IF(ABS(H52/O52-1)&lt;0.01,"Within 1%","No"))))</f>
        <v/>
      </c>
      <c r="T52">
        <f>IF($J52="","",IF(OR(P52="",P52=0),"No balance",IF(ABS(I52-P52)&lt;1,"Yes",IF(ABS(I52/P52-1)&lt;0.02,"Within 2%",IF(ABS(I52/P52-1)&lt;0.05,"Within 5%","No")))))</f>
        <v/>
      </c>
      <c r="U52">
        <f>IF($J52="","",IF(N52="","",IF(ABS(F52-N52)&lt;1,"Yes",IF(ABS(G52-N52)&lt;1,"Disbursed = sanction","No"))))</f>
        <v/>
      </c>
      <c r="V52">
        <f>IF(OR($J52="",Q52="",E52=""),"",ABS(E52-Q52))</f>
        <v/>
      </c>
      <c r="W52" t="inlineStr">
        <is>
          <t>Yes</t>
        </is>
      </c>
      <c r="X52" s="489" t="inlineStr"/>
      <c r="Y52" s="489" t="inlineStr"/>
      <c r="Z52" s="489" t="inlineStr"/>
    </row>
    <row r="53">
      <c r="A53" t="n">
        <v>56</v>
      </c>
      <c r="B53">
        <f>'Loan Book'!D56</f>
        <v/>
      </c>
      <c r="C53">
        <f>'Loan Book'!E56</f>
        <v/>
      </c>
      <c r="D53">
        <f>'Loan Book'!F56</f>
        <v/>
      </c>
      <c r="E53" s="487">
        <f>'Loan Book'!G56</f>
        <v/>
      </c>
      <c r="F53" s="488">
        <f>'Loan Book'!L56</f>
        <v/>
      </c>
      <c r="G53" s="488">
        <f>'Loan Book'!M56</f>
        <v/>
      </c>
      <c r="H53" s="488">
        <f>'Loan Book'!O56</f>
        <v/>
      </c>
      <c r="I53" s="488">
        <f>'Loan Book'!R56</f>
        <v/>
      </c>
      <c r="J53" t="inlineStr">
        <is>
          <t>000104450000051</t>
        </is>
      </c>
      <c r="K53" t="inlineStr">
        <is>
          <t>High</t>
        </is>
      </c>
      <c r="L53">
        <f>IFERROR(INDEX('E-Banker master'!$B$2:$B$186,MATCH($J53,'E-Banker master'!$A$2:$A$186,0)),"")</f>
        <v/>
      </c>
      <c r="M53" s="487">
        <f>IFERROR(INDEX('E-Banker master'!$H$2:$H$186,MATCH($J53,'E-Banker master'!$A$2:$A$186,0)),"")</f>
        <v/>
      </c>
      <c r="N53" s="488">
        <f>IFERROR(INDEX('E-Banker master'!$I$2:$I$186,MATCH($J53,'E-Banker master'!$A$2:$A$186,0)),"")</f>
        <v/>
      </c>
      <c r="O53" s="488">
        <f>IFERROR(INDEX('E-Banker master'!$N$2:$N$186,MATCH($J53,'E-Banker master'!$A$2:$A$186,0)),"")</f>
        <v/>
      </c>
      <c r="P53" s="488">
        <f>IFERROR(INDEX('E-Banker master'!$P$2:$P$186,MATCH($J53,'E-Banker master'!$A$2:$A$186,0)),"")</f>
        <v/>
      </c>
      <c r="Q53" s="487">
        <f>IFERROR(INDEX('E-Banker master'!$Q$2:$Q$186,MATCH($J53,'E-Banker master'!$A$2:$A$186,0)),"")</f>
        <v/>
      </c>
      <c r="R53">
        <f>IFERROR(INDEX('E-Banker master'!$E$2:$E$186,MATCH($J53,'E-Banker master'!$A$2:$A$186,0)),"")</f>
        <v/>
      </c>
      <c r="S53">
        <f>IF($J53="","",IF(O53="","No take-on posting",IF(ABS(H53-O53)&lt;1,"Yes",IF(ABS(H53/O53-1)&lt;0.01,"Within 1%","No"))))</f>
        <v/>
      </c>
      <c r="T53">
        <f>IF($J53="","",IF(OR(P53="",P53=0),"No balance",IF(ABS(I53-P53)&lt;1,"Yes",IF(ABS(I53/P53-1)&lt;0.02,"Within 2%",IF(ABS(I53/P53-1)&lt;0.05,"Within 5%","No")))))</f>
        <v/>
      </c>
      <c r="U53">
        <f>IF($J53="","",IF(N53="","",IF(ABS(F53-N53)&lt;1,"Yes",IF(ABS(G53-N53)&lt;1,"Disbursed = sanction","No"))))</f>
        <v/>
      </c>
      <c r="V53">
        <f>IF(OR($J53="",Q53="",E53=""),"",ABS(E53-Q53))</f>
        <v/>
      </c>
      <c r="W53" t="inlineStr">
        <is>
          <t>Yes</t>
        </is>
      </c>
      <c r="X53" s="489" t="inlineStr"/>
      <c r="Y53" s="489" t="inlineStr"/>
      <c r="Z53" s="489" t="inlineStr"/>
    </row>
    <row r="54">
      <c r="A54" t="n">
        <v>57</v>
      </c>
      <c r="B54">
        <f>'Loan Book'!D57</f>
        <v/>
      </c>
      <c r="C54">
        <f>'Loan Book'!E57</f>
        <v/>
      </c>
      <c r="D54">
        <f>'Loan Book'!F57</f>
        <v/>
      </c>
      <c r="E54" s="487">
        <f>'Loan Book'!G57</f>
        <v/>
      </c>
      <c r="F54" s="488">
        <f>'Loan Book'!L57</f>
        <v/>
      </c>
      <c r="G54" s="488">
        <f>'Loan Book'!M57</f>
        <v/>
      </c>
      <c r="H54" s="488">
        <f>'Loan Book'!O57</f>
        <v/>
      </c>
      <c r="I54" s="488">
        <f>'Loan Book'!R57</f>
        <v/>
      </c>
      <c r="J54" t="inlineStr">
        <is>
          <t>000104420000052</t>
        </is>
      </c>
      <c r="K54" t="inlineStr">
        <is>
          <t>High</t>
        </is>
      </c>
      <c r="L54">
        <f>IFERROR(INDEX('E-Banker master'!$B$2:$B$186,MATCH($J54,'E-Banker master'!$A$2:$A$186,0)),"")</f>
        <v/>
      </c>
      <c r="M54" s="487">
        <f>IFERROR(INDEX('E-Banker master'!$H$2:$H$186,MATCH($J54,'E-Banker master'!$A$2:$A$186,0)),"")</f>
        <v/>
      </c>
      <c r="N54" s="488">
        <f>IFERROR(INDEX('E-Banker master'!$I$2:$I$186,MATCH($J54,'E-Banker master'!$A$2:$A$186,0)),"")</f>
        <v/>
      </c>
      <c r="O54" s="488">
        <f>IFERROR(INDEX('E-Banker master'!$N$2:$N$186,MATCH($J54,'E-Banker master'!$A$2:$A$186,0)),"")</f>
        <v/>
      </c>
      <c r="P54" s="488">
        <f>IFERROR(INDEX('E-Banker master'!$P$2:$P$186,MATCH($J54,'E-Banker master'!$A$2:$A$186,0)),"")</f>
        <v/>
      </c>
      <c r="Q54" s="487">
        <f>IFERROR(INDEX('E-Banker master'!$Q$2:$Q$186,MATCH($J54,'E-Banker master'!$A$2:$A$186,0)),"")</f>
        <v/>
      </c>
      <c r="R54">
        <f>IFERROR(INDEX('E-Banker master'!$E$2:$E$186,MATCH($J54,'E-Banker master'!$A$2:$A$186,0)),"")</f>
        <v/>
      </c>
      <c r="S54">
        <f>IF($J54="","",IF(O54="","No take-on posting",IF(ABS(H54-O54)&lt;1,"Yes",IF(ABS(H54/O54-1)&lt;0.01,"Within 1%","No"))))</f>
        <v/>
      </c>
      <c r="T54">
        <f>IF($J54="","",IF(OR(P54="",P54=0),"No balance",IF(ABS(I54-P54)&lt;1,"Yes",IF(ABS(I54/P54-1)&lt;0.02,"Within 2%",IF(ABS(I54/P54-1)&lt;0.05,"Within 5%","No")))))</f>
        <v/>
      </c>
      <c r="U54">
        <f>IF($J54="","",IF(N54="","",IF(ABS(F54-N54)&lt;1,"Yes",IF(ABS(G54-N54)&lt;1,"Disbursed = sanction","No"))))</f>
        <v/>
      </c>
      <c r="V54">
        <f>IF(OR($J54="",Q54="",E54=""),"",ABS(E54-Q54))</f>
        <v/>
      </c>
      <c r="W54" t="inlineStr">
        <is>
          <t>Yes</t>
        </is>
      </c>
      <c r="X54" s="489" t="inlineStr"/>
      <c r="Y54" s="489" t="inlineStr"/>
      <c r="Z54" s="489" t="inlineStr"/>
    </row>
    <row r="55">
      <c r="A55" t="n">
        <v>58</v>
      </c>
      <c r="B55">
        <f>'Loan Book'!D58</f>
        <v/>
      </c>
      <c r="C55">
        <f>'Loan Book'!E58</f>
        <v/>
      </c>
      <c r="D55">
        <f>'Loan Book'!F58</f>
        <v/>
      </c>
      <c r="E55" s="487">
        <f>'Loan Book'!G58</f>
        <v/>
      </c>
      <c r="F55" s="488">
        <f>'Loan Book'!L58</f>
        <v/>
      </c>
      <c r="G55" s="488">
        <f>'Loan Book'!M58</f>
        <v/>
      </c>
      <c r="H55" s="488">
        <f>'Loan Book'!O58</f>
        <v/>
      </c>
      <c r="I55" s="488">
        <f>'Loan Book'!R58</f>
        <v/>
      </c>
      <c r="J55" t="inlineStr">
        <is>
          <t>000104450000053</t>
        </is>
      </c>
      <c r="K55" t="inlineStr">
        <is>
          <t>High</t>
        </is>
      </c>
      <c r="L55">
        <f>IFERROR(INDEX('E-Banker master'!$B$2:$B$186,MATCH($J55,'E-Banker master'!$A$2:$A$186,0)),"")</f>
        <v/>
      </c>
      <c r="M55" s="487">
        <f>IFERROR(INDEX('E-Banker master'!$H$2:$H$186,MATCH($J55,'E-Banker master'!$A$2:$A$186,0)),"")</f>
        <v/>
      </c>
      <c r="N55" s="488">
        <f>IFERROR(INDEX('E-Banker master'!$I$2:$I$186,MATCH($J55,'E-Banker master'!$A$2:$A$186,0)),"")</f>
        <v/>
      </c>
      <c r="O55" s="488">
        <f>IFERROR(INDEX('E-Banker master'!$N$2:$N$186,MATCH($J55,'E-Banker master'!$A$2:$A$186,0)),"")</f>
        <v/>
      </c>
      <c r="P55" s="488">
        <f>IFERROR(INDEX('E-Banker master'!$P$2:$P$186,MATCH($J55,'E-Banker master'!$A$2:$A$186,0)),"")</f>
        <v/>
      </c>
      <c r="Q55" s="487">
        <f>IFERROR(INDEX('E-Banker master'!$Q$2:$Q$186,MATCH($J55,'E-Banker master'!$A$2:$A$186,0)),"")</f>
        <v/>
      </c>
      <c r="R55">
        <f>IFERROR(INDEX('E-Banker master'!$E$2:$E$186,MATCH($J55,'E-Banker master'!$A$2:$A$186,0)),"")</f>
        <v/>
      </c>
      <c r="S55">
        <f>IF($J55="","",IF(O55="","No take-on posting",IF(ABS(H55-O55)&lt;1,"Yes",IF(ABS(H55/O55-1)&lt;0.01,"Within 1%","No"))))</f>
        <v/>
      </c>
      <c r="T55">
        <f>IF($J55="","",IF(OR(P55="",P55=0),"No balance",IF(ABS(I55-P55)&lt;1,"Yes",IF(ABS(I55/P55-1)&lt;0.02,"Within 2%",IF(ABS(I55/P55-1)&lt;0.05,"Within 5%","No")))))</f>
        <v/>
      </c>
      <c r="U55">
        <f>IF($J55="","",IF(N55="","",IF(ABS(F55-N55)&lt;1,"Yes",IF(ABS(G55-N55)&lt;1,"Disbursed = sanction","No"))))</f>
        <v/>
      </c>
      <c r="V55">
        <f>IF(OR($J55="",Q55="",E55=""),"",ABS(E55-Q55))</f>
        <v/>
      </c>
      <c r="W55" t="inlineStr">
        <is>
          <t>Yes</t>
        </is>
      </c>
      <c r="X55" s="489" t="inlineStr"/>
      <c r="Y55" s="489" t="inlineStr"/>
      <c r="Z55" s="489" t="inlineStr"/>
    </row>
    <row r="56">
      <c r="A56" t="n">
        <v>59</v>
      </c>
      <c r="B56">
        <f>'Loan Book'!D59</f>
        <v/>
      </c>
      <c r="C56">
        <f>'Loan Book'!E59</f>
        <v/>
      </c>
      <c r="D56">
        <f>'Loan Book'!F59</f>
        <v/>
      </c>
      <c r="E56" s="487">
        <f>'Loan Book'!G59</f>
        <v/>
      </c>
      <c r="F56" s="488">
        <f>'Loan Book'!L59</f>
        <v/>
      </c>
      <c r="G56" s="488">
        <f>'Loan Book'!M59</f>
        <v/>
      </c>
      <c r="H56" s="488">
        <f>'Loan Book'!O59</f>
        <v/>
      </c>
      <c r="I56" s="488">
        <f>'Loan Book'!R59</f>
        <v/>
      </c>
      <c r="J56" t="inlineStr">
        <is>
          <t>000104430000054</t>
        </is>
      </c>
      <c r="K56" t="inlineStr">
        <is>
          <t>High</t>
        </is>
      </c>
      <c r="L56">
        <f>IFERROR(INDEX('E-Banker master'!$B$2:$B$186,MATCH($J56,'E-Banker master'!$A$2:$A$186,0)),"")</f>
        <v/>
      </c>
      <c r="M56" s="487">
        <f>IFERROR(INDEX('E-Banker master'!$H$2:$H$186,MATCH($J56,'E-Banker master'!$A$2:$A$186,0)),"")</f>
        <v/>
      </c>
      <c r="N56" s="488">
        <f>IFERROR(INDEX('E-Banker master'!$I$2:$I$186,MATCH($J56,'E-Banker master'!$A$2:$A$186,0)),"")</f>
        <v/>
      </c>
      <c r="O56" s="488">
        <f>IFERROR(INDEX('E-Banker master'!$N$2:$N$186,MATCH($J56,'E-Banker master'!$A$2:$A$186,0)),"")</f>
        <v/>
      </c>
      <c r="P56" s="488">
        <f>IFERROR(INDEX('E-Banker master'!$P$2:$P$186,MATCH($J56,'E-Banker master'!$A$2:$A$186,0)),"")</f>
        <v/>
      </c>
      <c r="Q56" s="487">
        <f>IFERROR(INDEX('E-Banker master'!$Q$2:$Q$186,MATCH($J56,'E-Banker master'!$A$2:$A$186,0)),"")</f>
        <v/>
      </c>
      <c r="R56">
        <f>IFERROR(INDEX('E-Banker master'!$E$2:$E$186,MATCH($J56,'E-Banker master'!$A$2:$A$186,0)),"")</f>
        <v/>
      </c>
      <c r="S56">
        <f>IF($J56="","",IF(O56="","No take-on posting",IF(ABS(H56-O56)&lt;1,"Yes",IF(ABS(H56/O56-1)&lt;0.01,"Within 1%","No"))))</f>
        <v/>
      </c>
      <c r="T56">
        <f>IF($J56="","",IF(OR(P56="",P56=0),"No balance",IF(ABS(I56-P56)&lt;1,"Yes",IF(ABS(I56/P56-1)&lt;0.02,"Within 2%",IF(ABS(I56/P56-1)&lt;0.05,"Within 5%","No")))))</f>
        <v/>
      </c>
      <c r="U56">
        <f>IF($J56="","",IF(N56="","",IF(ABS(F56-N56)&lt;1,"Yes",IF(ABS(G56-N56)&lt;1,"Disbursed = sanction","No"))))</f>
        <v/>
      </c>
      <c r="V56">
        <f>IF(OR($J56="",Q56="",E56=""),"",ABS(E56-Q56))</f>
        <v/>
      </c>
      <c r="W56" t="inlineStr">
        <is>
          <t>Yes</t>
        </is>
      </c>
      <c r="X56" s="489" t="inlineStr"/>
      <c r="Y56" s="489" t="inlineStr"/>
      <c r="Z56" s="489" t="inlineStr"/>
    </row>
    <row r="57">
      <c r="A57" t="n">
        <v>60</v>
      </c>
      <c r="B57">
        <f>'Loan Book'!D60</f>
        <v/>
      </c>
      <c r="C57">
        <f>'Loan Book'!E60</f>
        <v/>
      </c>
      <c r="D57">
        <f>'Loan Book'!F60</f>
        <v/>
      </c>
      <c r="E57" s="487">
        <f>'Loan Book'!G60</f>
        <v/>
      </c>
      <c r="F57" s="488">
        <f>'Loan Book'!L60</f>
        <v/>
      </c>
      <c r="G57" s="488">
        <f>'Loan Book'!M60</f>
        <v/>
      </c>
      <c r="H57" s="488">
        <f>'Loan Book'!O60</f>
        <v/>
      </c>
      <c r="I57" s="488">
        <f>'Loan Book'!R60</f>
        <v/>
      </c>
      <c r="J57" t="inlineStr">
        <is>
          <t>000104460000055</t>
        </is>
      </c>
      <c r="K57" t="inlineStr">
        <is>
          <t>High</t>
        </is>
      </c>
      <c r="L57">
        <f>IFERROR(INDEX('E-Banker master'!$B$2:$B$186,MATCH($J57,'E-Banker master'!$A$2:$A$186,0)),"")</f>
        <v/>
      </c>
      <c r="M57" s="487">
        <f>IFERROR(INDEX('E-Banker master'!$H$2:$H$186,MATCH($J57,'E-Banker master'!$A$2:$A$186,0)),"")</f>
        <v/>
      </c>
      <c r="N57" s="488">
        <f>IFERROR(INDEX('E-Banker master'!$I$2:$I$186,MATCH($J57,'E-Banker master'!$A$2:$A$186,0)),"")</f>
        <v/>
      </c>
      <c r="O57" s="488">
        <f>IFERROR(INDEX('E-Banker master'!$N$2:$N$186,MATCH($J57,'E-Banker master'!$A$2:$A$186,0)),"")</f>
        <v/>
      </c>
      <c r="P57" s="488">
        <f>IFERROR(INDEX('E-Banker master'!$P$2:$P$186,MATCH($J57,'E-Banker master'!$A$2:$A$186,0)),"")</f>
        <v/>
      </c>
      <c r="Q57" s="487">
        <f>IFERROR(INDEX('E-Banker master'!$Q$2:$Q$186,MATCH($J57,'E-Banker master'!$A$2:$A$186,0)),"")</f>
        <v/>
      </c>
      <c r="R57">
        <f>IFERROR(INDEX('E-Banker master'!$E$2:$E$186,MATCH($J57,'E-Banker master'!$A$2:$A$186,0)),"")</f>
        <v/>
      </c>
      <c r="S57">
        <f>IF($J57="","",IF(O57="","No take-on posting",IF(ABS(H57-O57)&lt;1,"Yes",IF(ABS(H57/O57-1)&lt;0.01,"Within 1%","No"))))</f>
        <v/>
      </c>
      <c r="T57">
        <f>IF($J57="","",IF(OR(P57="",P57=0),"No balance",IF(ABS(I57-P57)&lt;1,"Yes",IF(ABS(I57/P57-1)&lt;0.02,"Within 2%",IF(ABS(I57/P57-1)&lt;0.05,"Within 5%","No")))))</f>
        <v/>
      </c>
      <c r="U57">
        <f>IF($J57="","",IF(N57="","",IF(ABS(F57-N57)&lt;1,"Yes",IF(ABS(G57-N57)&lt;1,"Disbursed = sanction","No"))))</f>
        <v/>
      </c>
      <c r="V57">
        <f>IF(OR($J57="",Q57="",E57=""),"",ABS(E57-Q57))</f>
        <v/>
      </c>
      <c r="W57" t="inlineStr">
        <is>
          <t>Yes</t>
        </is>
      </c>
      <c r="X57" s="489" t="inlineStr"/>
      <c r="Y57" s="489" t="inlineStr"/>
      <c r="Z57" s="489" t="inlineStr"/>
    </row>
    <row r="58">
      <c r="A58" t="n">
        <v>61</v>
      </c>
      <c r="B58">
        <f>'Loan Book'!D61</f>
        <v/>
      </c>
      <c r="C58">
        <f>'Loan Book'!E61</f>
        <v/>
      </c>
      <c r="D58">
        <f>'Loan Book'!F61</f>
        <v/>
      </c>
      <c r="E58" s="487">
        <f>'Loan Book'!G61</f>
        <v/>
      </c>
      <c r="F58" s="488">
        <f>'Loan Book'!L61</f>
        <v/>
      </c>
      <c r="G58" s="488">
        <f>'Loan Book'!M61</f>
        <v/>
      </c>
      <c r="H58" s="488">
        <f>'Loan Book'!O61</f>
        <v/>
      </c>
      <c r="I58" s="488">
        <f>'Loan Book'!R61</f>
        <v/>
      </c>
      <c r="J58" t="inlineStr">
        <is>
          <t>000104450000056</t>
        </is>
      </c>
      <c r="K58" t="inlineStr">
        <is>
          <t>High</t>
        </is>
      </c>
      <c r="L58">
        <f>IFERROR(INDEX('E-Banker master'!$B$2:$B$186,MATCH($J58,'E-Banker master'!$A$2:$A$186,0)),"")</f>
        <v/>
      </c>
      <c r="M58" s="487">
        <f>IFERROR(INDEX('E-Banker master'!$H$2:$H$186,MATCH($J58,'E-Banker master'!$A$2:$A$186,0)),"")</f>
        <v/>
      </c>
      <c r="N58" s="488">
        <f>IFERROR(INDEX('E-Banker master'!$I$2:$I$186,MATCH($J58,'E-Banker master'!$A$2:$A$186,0)),"")</f>
        <v/>
      </c>
      <c r="O58" s="488">
        <f>IFERROR(INDEX('E-Banker master'!$N$2:$N$186,MATCH($J58,'E-Banker master'!$A$2:$A$186,0)),"")</f>
        <v/>
      </c>
      <c r="P58" s="488">
        <f>IFERROR(INDEX('E-Banker master'!$P$2:$P$186,MATCH($J58,'E-Banker master'!$A$2:$A$186,0)),"")</f>
        <v/>
      </c>
      <c r="Q58" s="487">
        <f>IFERROR(INDEX('E-Banker master'!$Q$2:$Q$186,MATCH($J58,'E-Banker master'!$A$2:$A$186,0)),"")</f>
        <v/>
      </c>
      <c r="R58">
        <f>IFERROR(INDEX('E-Banker master'!$E$2:$E$186,MATCH($J58,'E-Banker master'!$A$2:$A$186,0)),"")</f>
        <v/>
      </c>
      <c r="S58">
        <f>IF($J58="","",IF(O58="","No take-on posting",IF(ABS(H58-O58)&lt;1,"Yes",IF(ABS(H58/O58-1)&lt;0.01,"Within 1%","No"))))</f>
        <v/>
      </c>
      <c r="T58">
        <f>IF($J58="","",IF(OR(P58="",P58=0),"No balance",IF(ABS(I58-P58)&lt;1,"Yes",IF(ABS(I58/P58-1)&lt;0.02,"Within 2%",IF(ABS(I58/P58-1)&lt;0.05,"Within 5%","No")))))</f>
        <v/>
      </c>
      <c r="U58">
        <f>IF($J58="","",IF(N58="","",IF(ABS(F58-N58)&lt;1,"Yes",IF(ABS(G58-N58)&lt;1,"Disbursed = sanction","No"))))</f>
        <v/>
      </c>
      <c r="V58">
        <f>IF(OR($J58="",Q58="",E58=""),"",ABS(E58-Q58))</f>
        <v/>
      </c>
      <c r="W58" t="inlineStr">
        <is>
          <t>Yes</t>
        </is>
      </c>
      <c r="X58" s="489" t="inlineStr"/>
      <c r="Y58" s="489" t="inlineStr"/>
      <c r="Z58" s="489" t="inlineStr"/>
    </row>
    <row r="59">
      <c r="A59" t="n">
        <v>62</v>
      </c>
      <c r="B59">
        <f>'Loan Book'!D62</f>
        <v/>
      </c>
      <c r="C59">
        <f>'Loan Book'!E62</f>
        <v/>
      </c>
      <c r="D59">
        <f>'Loan Book'!F62</f>
        <v/>
      </c>
      <c r="E59" s="487">
        <f>'Loan Book'!G62</f>
        <v/>
      </c>
      <c r="F59" s="488">
        <f>'Loan Book'!L62</f>
        <v/>
      </c>
      <c r="G59" s="488">
        <f>'Loan Book'!M62</f>
        <v/>
      </c>
      <c r="H59" s="488">
        <f>'Loan Book'!O62</f>
        <v/>
      </c>
      <c r="I59" s="488">
        <f>'Loan Book'!R62</f>
        <v/>
      </c>
      <c r="J59" t="inlineStr">
        <is>
          <t>000104450000057</t>
        </is>
      </c>
      <c r="K59" t="inlineStr">
        <is>
          <t>High</t>
        </is>
      </c>
      <c r="L59">
        <f>IFERROR(INDEX('E-Banker master'!$B$2:$B$186,MATCH($J59,'E-Banker master'!$A$2:$A$186,0)),"")</f>
        <v/>
      </c>
      <c r="M59" s="487">
        <f>IFERROR(INDEX('E-Banker master'!$H$2:$H$186,MATCH($J59,'E-Banker master'!$A$2:$A$186,0)),"")</f>
        <v/>
      </c>
      <c r="N59" s="488">
        <f>IFERROR(INDEX('E-Banker master'!$I$2:$I$186,MATCH($J59,'E-Banker master'!$A$2:$A$186,0)),"")</f>
        <v/>
      </c>
      <c r="O59" s="488">
        <f>IFERROR(INDEX('E-Banker master'!$N$2:$N$186,MATCH($J59,'E-Banker master'!$A$2:$A$186,0)),"")</f>
        <v/>
      </c>
      <c r="P59" s="488">
        <f>IFERROR(INDEX('E-Banker master'!$P$2:$P$186,MATCH($J59,'E-Banker master'!$A$2:$A$186,0)),"")</f>
        <v/>
      </c>
      <c r="Q59" s="487">
        <f>IFERROR(INDEX('E-Banker master'!$Q$2:$Q$186,MATCH($J59,'E-Banker master'!$A$2:$A$186,0)),"")</f>
        <v/>
      </c>
      <c r="R59">
        <f>IFERROR(INDEX('E-Banker master'!$E$2:$E$186,MATCH($J59,'E-Banker master'!$A$2:$A$186,0)),"")</f>
        <v/>
      </c>
      <c r="S59">
        <f>IF($J59="","",IF(O59="","No take-on posting",IF(ABS(H59-O59)&lt;1,"Yes",IF(ABS(H59/O59-1)&lt;0.01,"Within 1%","No"))))</f>
        <v/>
      </c>
      <c r="T59">
        <f>IF($J59="","",IF(OR(P59="",P59=0),"No balance",IF(ABS(I59-P59)&lt;1,"Yes",IF(ABS(I59/P59-1)&lt;0.02,"Within 2%",IF(ABS(I59/P59-1)&lt;0.05,"Within 5%","No")))))</f>
        <v/>
      </c>
      <c r="U59">
        <f>IF($J59="","",IF(N59="","",IF(ABS(F59-N59)&lt;1,"Yes",IF(ABS(G59-N59)&lt;1,"Disbursed = sanction","No"))))</f>
        <v/>
      </c>
      <c r="V59">
        <f>IF(OR($J59="",Q59="",E59=""),"",ABS(E59-Q59))</f>
        <v/>
      </c>
      <c r="W59" t="inlineStr">
        <is>
          <t>Yes</t>
        </is>
      </c>
      <c r="X59" s="489" t="inlineStr"/>
      <c r="Y59" s="489" t="inlineStr"/>
      <c r="Z59" s="489" t="inlineStr"/>
    </row>
    <row r="60">
      <c r="A60" t="n">
        <v>63</v>
      </c>
      <c r="B60">
        <f>'Loan Book'!D63</f>
        <v/>
      </c>
      <c r="C60">
        <f>'Loan Book'!E63</f>
        <v/>
      </c>
      <c r="D60">
        <f>'Loan Book'!F63</f>
        <v/>
      </c>
      <c r="E60" s="487">
        <f>'Loan Book'!G63</f>
        <v/>
      </c>
      <c r="F60" s="488">
        <f>'Loan Book'!L63</f>
        <v/>
      </c>
      <c r="G60" s="488">
        <f>'Loan Book'!M63</f>
        <v/>
      </c>
      <c r="H60" s="488">
        <f>'Loan Book'!O63</f>
        <v/>
      </c>
      <c r="I60" s="488">
        <f>'Loan Book'!R63</f>
        <v/>
      </c>
      <c r="J60" t="inlineStr">
        <is>
          <t>000104430000061</t>
        </is>
      </c>
      <c r="K60" t="inlineStr">
        <is>
          <t>High</t>
        </is>
      </c>
      <c r="L60">
        <f>IFERROR(INDEX('E-Banker master'!$B$2:$B$186,MATCH($J60,'E-Banker master'!$A$2:$A$186,0)),"")</f>
        <v/>
      </c>
      <c r="M60" s="487">
        <f>IFERROR(INDEX('E-Banker master'!$H$2:$H$186,MATCH($J60,'E-Banker master'!$A$2:$A$186,0)),"")</f>
        <v/>
      </c>
      <c r="N60" s="488">
        <f>IFERROR(INDEX('E-Banker master'!$I$2:$I$186,MATCH($J60,'E-Banker master'!$A$2:$A$186,0)),"")</f>
        <v/>
      </c>
      <c r="O60" s="488">
        <f>IFERROR(INDEX('E-Banker master'!$N$2:$N$186,MATCH($J60,'E-Banker master'!$A$2:$A$186,0)),"")</f>
        <v/>
      </c>
      <c r="P60" s="488">
        <f>IFERROR(INDEX('E-Banker master'!$P$2:$P$186,MATCH($J60,'E-Banker master'!$A$2:$A$186,0)),"")</f>
        <v/>
      </c>
      <c r="Q60" s="487">
        <f>IFERROR(INDEX('E-Banker master'!$Q$2:$Q$186,MATCH($J60,'E-Banker master'!$A$2:$A$186,0)),"")</f>
        <v/>
      </c>
      <c r="R60">
        <f>IFERROR(INDEX('E-Banker master'!$E$2:$E$186,MATCH($J60,'E-Banker master'!$A$2:$A$186,0)),"")</f>
        <v/>
      </c>
      <c r="S60">
        <f>IF($J60="","",IF(O60="","No take-on posting",IF(ABS(H60-O60)&lt;1,"Yes",IF(ABS(H60/O60-1)&lt;0.01,"Within 1%","No"))))</f>
        <v/>
      </c>
      <c r="T60">
        <f>IF($J60="","",IF(OR(P60="",P60=0),"No balance",IF(ABS(I60-P60)&lt;1,"Yes",IF(ABS(I60/P60-1)&lt;0.02,"Within 2%",IF(ABS(I60/P60-1)&lt;0.05,"Within 5%","No")))))</f>
        <v/>
      </c>
      <c r="U60">
        <f>IF($J60="","",IF(N60="","",IF(ABS(F60-N60)&lt;1,"Yes",IF(ABS(G60-N60)&lt;1,"Disbursed = sanction","No"))))</f>
        <v/>
      </c>
      <c r="V60">
        <f>IF(OR($J60="",Q60="",E60=""),"",ABS(E60-Q60))</f>
        <v/>
      </c>
      <c r="W60" t="inlineStr">
        <is>
          <t>Yes</t>
        </is>
      </c>
      <c r="X60" s="489" t="inlineStr"/>
      <c r="Y60" s="489" t="inlineStr"/>
      <c r="Z60" s="489" t="inlineStr"/>
    </row>
    <row r="61">
      <c r="A61" t="n">
        <v>64</v>
      </c>
      <c r="B61">
        <f>'Loan Book'!D64</f>
        <v/>
      </c>
      <c r="C61">
        <f>'Loan Book'!E64</f>
        <v/>
      </c>
      <c r="D61">
        <f>'Loan Book'!F64</f>
        <v/>
      </c>
      <c r="E61" s="487">
        <f>'Loan Book'!G64</f>
        <v/>
      </c>
      <c r="F61" s="488">
        <f>'Loan Book'!L64</f>
        <v/>
      </c>
      <c r="G61" s="488">
        <f>'Loan Book'!M64</f>
        <v/>
      </c>
      <c r="H61" s="488">
        <f>'Loan Book'!O64</f>
        <v/>
      </c>
      <c r="I61" s="488">
        <f>'Loan Book'!R64</f>
        <v/>
      </c>
      <c r="J61" t="inlineStr">
        <is>
          <t>000104460000059</t>
        </is>
      </c>
      <c r="K61" t="inlineStr">
        <is>
          <t>High</t>
        </is>
      </c>
      <c r="L61">
        <f>IFERROR(INDEX('E-Banker master'!$B$2:$B$186,MATCH($J61,'E-Banker master'!$A$2:$A$186,0)),"")</f>
        <v/>
      </c>
      <c r="M61" s="487">
        <f>IFERROR(INDEX('E-Banker master'!$H$2:$H$186,MATCH($J61,'E-Banker master'!$A$2:$A$186,0)),"")</f>
        <v/>
      </c>
      <c r="N61" s="488">
        <f>IFERROR(INDEX('E-Banker master'!$I$2:$I$186,MATCH($J61,'E-Banker master'!$A$2:$A$186,0)),"")</f>
        <v/>
      </c>
      <c r="O61" s="488">
        <f>IFERROR(INDEX('E-Banker master'!$N$2:$N$186,MATCH($J61,'E-Banker master'!$A$2:$A$186,0)),"")</f>
        <v/>
      </c>
      <c r="P61" s="488">
        <f>IFERROR(INDEX('E-Banker master'!$P$2:$P$186,MATCH($J61,'E-Banker master'!$A$2:$A$186,0)),"")</f>
        <v/>
      </c>
      <c r="Q61" s="487">
        <f>IFERROR(INDEX('E-Banker master'!$Q$2:$Q$186,MATCH($J61,'E-Banker master'!$A$2:$A$186,0)),"")</f>
        <v/>
      </c>
      <c r="R61">
        <f>IFERROR(INDEX('E-Banker master'!$E$2:$E$186,MATCH($J61,'E-Banker master'!$A$2:$A$186,0)),"")</f>
        <v/>
      </c>
      <c r="S61">
        <f>IF($J61="","",IF(O61="","No take-on posting",IF(ABS(H61-O61)&lt;1,"Yes",IF(ABS(H61/O61-1)&lt;0.01,"Within 1%","No"))))</f>
        <v/>
      </c>
      <c r="T61">
        <f>IF($J61="","",IF(OR(P61="",P61=0),"No balance",IF(ABS(I61-P61)&lt;1,"Yes",IF(ABS(I61/P61-1)&lt;0.02,"Within 2%",IF(ABS(I61/P61-1)&lt;0.05,"Within 5%","No")))))</f>
        <v/>
      </c>
      <c r="U61">
        <f>IF($J61="","",IF(N61="","",IF(ABS(F61-N61)&lt;1,"Yes",IF(ABS(G61-N61)&lt;1,"Disbursed = sanction","No"))))</f>
        <v/>
      </c>
      <c r="V61">
        <f>IF(OR($J61="",Q61="",E61=""),"",ABS(E61-Q61))</f>
        <v/>
      </c>
      <c r="W61" t="inlineStr">
        <is>
          <t>Yes</t>
        </is>
      </c>
      <c r="X61" s="489" t="inlineStr"/>
      <c r="Y61" s="489" t="inlineStr"/>
      <c r="Z61" s="489" t="inlineStr"/>
    </row>
    <row r="62">
      <c r="A62" t="n">
        <v>65</v>
      </c>
      <c r="B62">
        <f>'Loan Book'!D65</f>
        <v/>
      </c>
      <c r="C62">
        <f>'Loan Book'!E65</f>
        <v/>
      </c>
      <c r="D62">
        <f>'Loan Book'!F65</f>
        <v/>
      </c>
      <c r="E62" s="487">
        <f>'Loan Book'!G65</f>
        <v/>
      </c>
      <c r="F62" s="488">
        <f>'Loan Book'!L65</f>
        <v/>
      </c>
      <c r="G62" s="488">
        <f>'Loan Book'!M65</f>
        <v/>
      </c>
      <c r="H62" s="488">
        <f>'Loan Book'!O65</f>
        <v/>
      </c>
      <c r="I62" s="488">
        <f>'Loan Book'!R65</f>
        <v/>
      </c>
      <c r="J62" t="inlineStr">
        <is>
          <t>000104450000082</t>
        </is>
      </c>
      <c r="K62" t="inlineStr">
        <is>
          <t>Medium</t>
        </is>
      </c>
      <c r="L62">
        <f>IFERROR(INDEX('E-Banker master'!$B$2:$B$186,MATCH($J62,'E-Banker master'!$A$2:$A$186,0)),"")</f>
        <v/>
      </c>
      <c r="M62" s="487">
        <f>IFERROR(INDEX('E-Banker master'!$H$2:$H$186,MATCH($J62,'E-Banker master'!$A$2:$A$186,0)),"")</f>
        <v/>
      </c>
      <c r="N62" s="488">
        <f>IFERROR(INDEX('E-Banker master'!$I$2:$I$186,MATCH($J62,'E-Banker master'!$A$2:$A$186,0)),"")</f>
        <v/>
      </c>
      <c r="O62" s="488">
        <f>IFERROR(INDEX('E-Banker master'!$N$2:$N$186,MATCH($J62,'E-Banker master'!$A$2:$A$186,0)),"")</f>
        <v/>
      </c>
      <c r="P62" s="488">
        <f>IFERROR(INDEX('E-Banker master'!$P$2:$P$186,MATCH($J62,'E-Banker master'!$A$2:$A$186,0)),"")</f>
        <v/>
      </c>
      <c r="Q62" s="487">
        <f>IFERROR(INDEX('E-Banker master'!$Q$2:$Q$186,MATCH($J62,'E-Banker master'!$A$2:$A$186,0)),"")</f>
        <v/>
      </c>
      <c r="R62">
        <f>IFERROR(INDEX('E-Banker master'!$E$2:$E$186,MATCH($J62,'E-Banker master'!$A$2:$A$186,0)),"")</f>
        <v/>
      </c>
      <c r="S62">
        <f>IF($J62="","",IF(O62="","No take-on posting",IF(ABS(H62-O62)&lt;1,"Yes",IF(ABS(H62/O62-1)&lt;0.01,"Within 1%","No"))))</f>
        <v/>
      </c>
      <c r="T62">
        <f>IF($J62="","",IF(OR(P62="",P62=0),"No balance",IF(ABS(I62-P62)&lt;1,"Yes",IF(ABS(I62/P62-1)&lt;0.02,"Within 2%",IF(ABS(I62/P62-1)&lt;0.05,"Within 5%","No")))))</f>
        <v/>
      </c>
      <c r="U62">
        <f>IF($J62="","",IF(N62="","",IF(ABS(F62-N62)&lt;1,"Yes",IF(ABS(G62-N62)&lt;1,"Disbursed = sanction","No"))))</f>
        <v/>
      </c>
      <c r="V62">
        <f>IF(OR($J62="",Q62="",E62=""),"",ABS(E62-Q62))</f>
        <v/>
      </c>
      <c r="W62" t="inlineStr">
        <is>
          <t>Yes</t>
        </is>
      </c>
      <c r="X62" s="489" t="inlineStr"/>
      <c r="Y62" s="489" t="inlineStr"/>
      <c r="Z62" s="489" t="inlineStr"/>
    </row>
    <row r="63">
      <c r="A63" t="n">
        <v>66</v>
      </c>
      <c r="B63">
        <f>'Loan Book'!D66</f>
        <v/>
      </c>
      <c r="C63">
        <f>'Loan Book'!E66</f>
        <v/>
      </c>
      <c r="D63">
        <f>'Loan Book'!F66</f>
        <v/>
      </c>
      <c r="E63" s="487">
        <f>'Loan Book'!G66</f>
        <v/>
      </c>
      <c r="F63" s="488">
        <f>'Loan Book'!L66</f>
        <v/>
      </c>
      <c r="G63" s="488">
        <f>'Loan Book'!M66</f>
        <v/>
      </c>
      <c r="H63" s="488">
        <f>'Loan Book'!O66</f>
        <v/>
      </c>
      <c r="I63" s="488">
        <f>'Loan Book'!R66</f>
        <v/>
      </c>
      <c r="J63" t="inlineStr">
        <is>
          <t>000104460000061</t>
        </is>
      </c>
      <c r="K63" t="inlineStr">
        <is>
          <t>High</t>
        </is>
      </c>
      <c r="L63">
        <f>IFERROR(INDEX('E-Banker master'!$B$2:$B$186,MATCH($J63,'E-Banker master'!$A$2:$A$186,0)),"")</f>
        <v/>
      </c>
      <c r="M63" s="487">
        <f>IFERROR(INDEX('E-Banker master'!$H$2:$H$186,MATCH($J63,'E-Banker master'!$A$2:$A$186,0)),"")</f>
        <v/>
      </c>
      <c r="N63" s="488">
        <f>IFERROR(INDEX('E-Banker master'!$I$2:$I$186,MATCH($J63,'E-Banker master'!$A$2:$A$186,0)),"")</f>
        <v/>
      </c>
      <c r="O63" s="488">
        <f>IFERROR(INDEX('E-Banker master'!$N$2:$N$186,MATCH($J63,'E-Banker master'!$A$2:$A$186,0)),"")</f>
        <v/>
      </c>
      <c r="P63" s="488">
        <f>IFERROR(INDEX('E-Banker master'!$P$2:$P$186,MATCH($J63,'E-Banker master'!$A$2:$A$186,0)),"")</f>
        <v/>
      </c>
      <c r="Q63" s="487">
        <f>IFERROR(INDEX('E-Banker master'!$Q$2:$Q$186,MATCH($J63,'E-Banker master'!$A$2:$A$186,0)),"")</f>
        <v/>
      </c>
      <c r="R63">
        <f>IFERROR(INDEX('E-Banker master'!$E$2:$E$186,MATCH($J63,'E-Banker master'!$A$2:$A$186,0)),"")</f>
        <v/>
      </c>
      <c r="S63">
        <f>IF($J63="","",IF(O63="","No take-on posting",IF(ABS(H63-O63)&lt;1,"Yes",IF(ABS(H63/O63-1)&lt;0.01,"Within 1%","No"))))</f>
        <v/>
      </c>
      <c r="T63">
        <f>IF($J63="","",IF(OR(P63="",P63=0),"No balance",IF(ABS(I63-P63)&lt;1,"Yes",IF(ABS(I63/P63-1)&lt;0.02,"Within 2%",IF(ABS(I63/P63-1)&lt;0.05,"Within 5%","No")))))</f>
        <v/>
      </c>
      <c r="U63">
        <f>IF($J63="","",IF(N63="","",IF(ABS(F63-N63)&lt;1,"Yes",IF(ABS(G63-N63)&lt;1,"Disbursed = sanction","No"))))</f>
        <v/>
      </c>
      <c r="V63">
        <f>IF(OR($J63="",Q63="",E63=""),"",ABS(E63-Q63))</f>
        <v/>
      </c>
      <c r="W63" t="inlineStr">
        <is>
          <t>Yes</t>
        </is>
      </c>
      <c r="X63" s="489" t="inlineStr"/>
      <c r="Y63" s="489" t="inlineStr"/>
      <c r="Z63" s="489" t="inlineStr"/>
    </row>
    <row r="64">
      <c r="A64" t="n">
        <v>67</v>
      </c>
      <c r="B64">
        <f>'Loan Book'!D67</f>
        <v/>
      </c>
      <c r="C64">
        <f>'Loan Book'!E67</f>
        <v/>
      </c>
      <c r="D64">
        <f>'Loan Book'!F67</f>
        <v/>
      </c>
      <c r="E64" s="487">
        <f>'Loan Book'!G67</f>
        <v/>
      </c>
      <c r="F64" s="488">
        <f>'Loan Book'!L67</f>
        <v/>
      </c>
      <c r="G64" s="488">
        <f>'Loan Book'!M67</f>
        <v/>
      </c>
      <c r="H64" s="488">
        <f>'Loan Book'!O67</f>
        <v/>
      </c>
      <c r="I64" s="488">
        <f>'Loan Book'!R67</f>
        <v/>
      </c>
      <c r="J64" t="inlineStr">
        <is>
          <t>000104420000062</t>
        </is>
      </c>
      <c r="K64" t="inlineStr">
        <is>
          <t>High</t>
        </is>
      </c>
      <c r="L64">
        <f>IFERROR(INDEX('E-Banker master'!$B$2:$B$186,MATCH($J64,'E-Banker master'!$A$2:$A$186,0)),"")</f>
        <v/>
      </c>
      <c r="M64" s="487">
        <f>IFERROR(INDEX('E-Banker master'!$H$2:$H$186,MATCH($J64,'E-Banker master'!$A$2:$A$186,0)),"")</f>
        <v/>
      </c>
      <c r="N64" s="488">
        <f>IFERROR(INDEX('E-Banker master'!$I$2:$I$186,MATCH($J64,'E-Banker master'!$A$2:$A$186,0)),"")</f>
        <v/>
      </c>
      <c r="O64" s="488">
        <f>IFERROR(INDEX('E-Banker master'!$N$2:$N$186,MATCH($J64,'E-Banker master'!$A$2:$A$186,0)),"")</f>
        <v/>
      </c>
      <c r="P64" s="488">
        <f>IFERROR(INDEX('E-Banker master'!$P$2:$P$186,MATCH($J64,'E-Banker master'!$A$2:$A$186,0)),"")</f>
        <v/>
      </c>
      <c r="Q64" s="487">
        <f>IFERROR(INDEX('E-Banker master'!$Q$2:$Q$186,MATCH($J64,'E-Banker master'!$A$2:$A$186,0)),"")</f>
        <v/>
      </c>
      <c r="R64">
        <f>IFERROR(INDEX('E-Banker master'!$E$2:$E$186,MATCH($J64,'E-Banker master'!$A$2:$A$186,0)),"")</f>
        <v/>
      </c>
      <c r="S64">
        <f>IF($J64="","",IF(O64="","No take-on posting",IF(ABS(H64-O64)&lt;1,"Yes",IF(ABS(H64/O64-1)&lt;0.01,"Within 1%","No"))))</f>
        <v/>
      </c>
      <c r="T64">
        <f>IF($J64="","",IF(OR(P64="",P64=0),"No balance",IF(ABS(I64-P64)&lt;1,"Yes",IF(ABS(I64/P64-1)&lt;0.02,"Within 2%",IF(ABS(I64/P64-1)&lt;0.05,"Within 5%","No")))))</f>
        <v/>
      </c>
      <c r="U64">
        <f>IF($J64="","",IF(N64="","",IF(ABS(F64-N64)&lt;1,"Yes",IF(ABS(G64-N64)&lt;1,"Disbursed = sanction","No"))))</f>
        <v/>
      </c>
      <c r="V64">
        <f>IF(OR($J64="",Q64="",E64=""),"",ABS(E64-Q64))</f>
        <v/>
      </c>
      <c r="W64" t="inlineStr">
        <is>
          <t>Yes</t>
        </is>
      </c>
      <c r="X64" s="489" t="inlineStr"/>
      <c r="Y64" s="489" t="inlineStr"/>
      <c r="Z64" s="489" t="inlineStr"/>
    </row>
    <row r="65">
      <c r="A65" t="n">
        <v>68</v>
      </c>
      <c r="B65">
        <f>'Loan Book'!D68</f>
        <v/>
      </c>
      <c r="C65">
        <f>'Loan Book'!E68</f>
        <v/>
      </c>
      <c r="D65">
        <f>'Loan Book'!F68</f>
        <v/>
      </c>
      <c r="E65" s="487">
        <f>'Loan Book'!G68</f>
        <v/>
      </c>
      <c r="F65" s="488">
        <f>'Loan Book'!L68</f>
        <v/>
      </c>
      <c r="G65" s="488">
        <f>'Loan Book'!M68</f>
        <v/>
      </c>
      <c r="H65" s="488">
        <f>'Loan Book'!O68</f>
        <v/>
      </c>
      <c r="I65" s="488">
        <f>'Loan Book'!R68</f>
        <v/>
      </c>
      <c r="J65" t="inlineStr">
        <is>
          <t>000104450000063</t>
        </is>
      </c>
      <c r="K65" t="inlineStr">
        <is>
          <t>High</t>
        </is>
      </c>
      <c r="L65">
        <f>IFERROR(INDEX('E-Banker master'!$B$2:$B$186,MATCH($J65,'E-Banker master'!$A$2:$A$186,0)),"")</f>
        <v/>
      </c>
      <c r="M65" s="487">
        <f>IFERROR(INDEX('E-Banker master'!$H$2:$H$186,MATCH($J65,'E-Banker master'!$A$2:$A$186,0)),"")</f>
        <v/>
      </c>
      <c r="N65" s="488">
        <f>IFERROR(INDEX('E-Banker master'!$I$2:$I$186,MATCH($J65,'E-Banker master'!$A$2:$A$186,0)),"")</f>
        <v/>
      </c>
      <c r="O65" s="488">
        <f>IFERROR(INDEX('E-Banker master'!$N$2:$N$186,MATCH($J65,'E-Banker master'!$A$2:$A$186,0)),"")</f>
        <v/>
      </c>
      <c r="P65" s="488">
        <f>IFERROR(INDEX('E-Banker master'!$P$2:$P$186,MATCH($J65,'E-Banker master'!$A$2:$A$186,0)),"")</f>
        <v/>
      </c>
      <c r="Q65" s="487">
        <f>IFERROR(INDEX('E-Banker master'!$Q$2:$Q$186,MATCH($J65,'E-Banker master'!$A$2:$A$186,0)),"")</f>
        <v/>
      </c>
      <c r="R65">
        <f>IFERROR(INDEX('E-Banker master'!$E$2:$E$186,MATCH($J65,'E-Banker master'!$A$2:$A$186,0)),"")</f>
        <v/>
      </c>
      <c r="S65">
        <f>IF($J65="","",IF(O65="","No take-on posting",IF(ABS(H65-O65)&lt;1,"Yes",IF(ABS(H65/O65-1)&lt;0.01,"Within 1%","No"))))</f>
        <v/>
      </c>
      <c r="T65">
        <f>IF($J65="","",IF(OR(P65="",P65=0),"No balance",IF(ABS(I65-P65)&lt;1,"Yes",IF(ABS(I65/P65-1)&lt;0.02,"Within 2%",IF(ABS(I65/P65-1)&lt;0.05,"Within 5%","No")))))</f>
        <v/>
      </c>
      <c r="U65">
        <f>IF($J65="","",IF(N65="","",IF(ABS(F65-N65)&lt;1,"Yes",IF(ABS(G65-N65)&lt;1,"Disbursed = sanction","No"))))</f>
        <v/>
      </c>
      <c r="V65">
        <f>IF(OR($J65="",Q65="",E65=""),"",ABS(E65-Q65))</f>
        <v/>
      </c>
      <c r="W65" t="inlineStr">
        <is>
          <t>Yes</t>
        </is>
      </c>
      <c r="X65" s="489" t="inlineStr"/>
      <c r="Y65" s="489" t="inlineStr"/>
      <c r="Z65" s="489" t="inlineStr"/>
    </row>
    <row r="66">
      <c r="A66" t="n">
        <v>69</v>
      </c>
      <c r="B66">
        <f>'Loan Book'!D69</f>
        <v/>
      </c>
      <c r="C66">
        <f>'Loan Book'!E69</f>
        <v/>
      </c>
      <c r="D66">
        <f>'Loan Book'!F69</f>
        <v/>
      </c>
      <c r="E66" s="487">
        <f>'Loan Book'!G69</f>
        <v/>
      </c>
      <c r="F66" s="488">
        <f>'Loan Book'!L69</f>
        <v/>
      </c>
      <c r="G66" s="488">
        <f>'Loan Book'!M69</f>
        <v/>
      </c>
      <c r="H66" s="488">
        <f>'Loan Book'!O69</f>
        <v/>
      </c>
      <c r="I66" s="488">
        <f>'Loan Book'!R69</f>
        <v/>
      </c>
      <c r="J66" t="inlineStr">
        <is>
          <t>000104460000064</t>
        </is>
      </c>
      <c r="K66" t="inlineStr">
        <is>
          <t>High</t>
        </is>
      </c>
      <c r="L66">
        <f>IFERROR(INDEX('E-Banker master'!$B$2:$B$186,MATCH($J66,'E-Banker master'!$A$2:$A$186,0)),"")</f>
        <v/>
      </c>
      <c r="M66" s="487">
        <f>IFERROR(INDEX('E-Banker master'!$H$2:$H$186,MATCH($J66,'E-Banker master'!$A$2:$A$186,0)),"")</f>
        <v/>
      </c>
      <c r="N66" s="488">
        <f>IFERROR(INDEX('E-Banker master'!$I$2:$I$186,MATCH($J66,'E-Banker master'!$A$2:$A$186,0)),"")</f>
        <v/>
      </c>
      <c r="O66" s="488">
        <f>IFERROR(INDEX('E-Banker master'!$N$2:$N$186,MATCH($J66,'E-Banker master'!$A$2:$A$186,0)),"")</f>
        <v/>
      </c>
      <c r="P66" s="488">
        <f>IFERROR(INDEX('E-Banker master'!$P$2:$P$186,MATCH($J66,'E-Banker master'!$A$2:$A$186,0)),"")</f>
        <v/>
      </c>
      <c r="Q66" s="487">
        <f>IFERROR(INDEX('E-Banker master'!$Q$2:$Q$186,MATCH($J66,'E-Banker master'!$A$2:$A$186,0)),"")</f>
        <v/>
      </c>
      <c r="R66">
        <f>IFERROR(INDEX('E-Banker master'!$E$2:$E$186,MATCH($J66,'E-Banker master'!$A$2:$A$186,0)),"")</f>
        <v/>
      </c>
      <c r="S66">
        <f>IF($J66="","",IF(O66="","No take-on posting",IF(ABS(H66-O66)&lt;1,"Yes",IF(ABS(H66/O66-1)&lt;0.01,"Within 1%","No"))))</f>
        <v/>
      </c>
      <c r="T66">
        <f>IF($J66="","",IF(OR(P66="",P66=0),"No balance",IF(ABS(I66-P66)&lt;1,"Yes",IF(ABS(I66/P66-1)&lt;0.02,"Within 2%",IF(ABS(I66/P66-1)&lt;0.05,"Within 5%","No")))))</f>
        <v/>
      </c>
      <c r="U66">
        <f>IF($J66="","",IF(N66="","",IF(ABS(F66-N66)&lt;1,"Yes",IF(ABS(G66-N66)&lt;1,"Disbursed = sanction","No"))))</f>
        <v/>
      </c>
      <c r="V66">
        <f>IF(OR($J66="",Q66="",E66=""),"",ABS(E66-Q66))</f>
        <v/>
      </c>
      <c r="W66" t="inlineStr">
        <is>
          <t>Yes</t>
        </is>
      </c>
      <c r="X66" s="489" t="inlineStr"/>
      <c r="Y66" s="489" t="inlineStr"/>
      <c r="Z66" s="489" t="inlineStr"/>
    </row>
    <row r="67">
      <c r="A67" t="n">
        <v>70</v>
      </c>
      <c r="B67">
        <f>'Loan Book'!D70</f>
        <v/>
      </c>
      <c r="C67">
        <f>'Loan Book'!E70</f>
        <v/>
      </c>
      <c r="D67">
        <f>'Loan Book'!F70</f>
        <v/>
      </c>
      <c r="E67" s="487">
        <f>'Loan Book'!G70</f>
        <v/>
      </c>
      <c r="F67" s="488">
        <f>'Loan Book'!L70</f>
        <v/>
      </c>
      <c r="G67" s="488">
        <f>'Loan Book'!M70</f>
        <v/>
      </c>
      <c r="H67" s="488">
        <f>'Loan Book'!O70</f>
        <v/>
      </c>
      <c r="I67" s="488">
        <f>'Loan Book'!R70</f>
        <v/>
      </c>
      <c r="J67" t="inlineStr">
        <is>
          <t>000104460000065</t>
        </is>
      </c>
      <c r="K67" t="inlineStr">
        <is>
          <t>High</t>
        </is>
      </c>
      <c r="L67">
        <f>IFERROR(INDEX('E-Banker master'!$B$2:$B$186,MATCH($J67,'E-Banker master'!$A$2:$A$186,0)),"")</f>
        <v/>
      </c>
      <c r="M67" s="487">
        <f>IFERROR(INDEX('E-Banker master'!$H$2:$H$186,MATCH($J67,'E-Banker master'!$A$2:$A$186,0)),"")</f>
        <v/>
      </c>
      <c r="N67" s="488">
        <f>IFERROR(INDEX('E-Banker master'!$I$2:$I$186,MATCH($J67,'E-Banker master'!$A$2:$A$186,0)),"")</f>
        <v/>
      </c>
      <c r="O67" s="488">
        <f>IFERROR(INDEX('E-Banker master'!$N$2:$N$186,MATCH($J67,'E-Banker master'!$A$2:$A$186,0)),"")</f>
        <v/>
      </c>
      <c r="P67" s="488">
        <f>IFERROR(INDEX('E-Banker master'!$P$2:$P$186,MATCH($J67,'E-Banker master'!$A$2:$A$186,0)),"")</f>
        <v/>
      </c>
      <c r="Q67" s="487">
        <f>IFERROR(INDEX('E-Banker master'!$Q$2:$Q$186,MATCH($J67,'E-Banker master'!$A$2:$A$186,0)),"")</f>
        <v/>
      </c>
      <c r="R67">
        <f>IFERROR(INDEX('E-Banker master'!$E$2:$E$186,MATCH($J67,'E-Banker master'!$A$2:$A$186,0)),"")</f>
        <v/>
      </c>
      <c r="S67">
        <f>IF($J67="","",IF(O67="","No take-on posting",IF(ABS(H67-O67)&lt;1,"Yes",IF(ABS(H67/O67-1)&lt;0.01,"Within 1%","No"))))</f>
        <v/>
      </c>
      <c r="T67">
        <f>IF($J67="","",IF(OR(P67="",P67=0),"No balance",IF(ABS(I67-P67)&lt;1,"Yes",IF(ABS(I67/P67-1)&lt;0.02,"Within 2%",IF(ABS(I67/P67-1)&lt;0.05,"Within 5%","No")))))</f>
        <v/>
      </c>
      <c r="U67">
        <f>IF($J67="","",IF(N67="","",IF(ABS(F67-N67)&lt;1,"Yes",IF(ABS(G67-N67)&lt;1,"Disbursed = sanction","No"))))</f>
        <v/>
      </c>
      <c r="V67">
        <f>IF(OR($J67="",Q67="",E67=""),"",ABS(E67-Q67))</f>
        <v/>
      </c>
      <c r="W67" t="inlineStr">
        <is>
          <t>Yes</t>
        </is>
      </c>
      <c r="X67" s="489" t="inlineStr"/>
      <c r="Y67" s="489" t="inlineStr"/>
      <c r="Z67" s="489" t="inlineStr"/>
    </row>
    <row r="68">
      <c r="A68" t="n">
        <v>71</v>
      </c>
      <c r="B68">
        <f>'Loan Book'!D71</f>
        <v/>
      </c>
      <c r="C68">
        <f>'Loan Book'!E71</f>
        <v/>
      </c>
      <c r="D68">
        <f>'Loan Book'!F71</f>
        <v/>
      </c>
      <c r="E68" s="487">
        <f>'Loan Book'!G71</f>
        <v/>
      </c>
      <c r="F68" s="488">
        <f>'Loan Book'!L71</f>
        <v/>
      </c>
      <c r="G68" s="488">
        <f>'Loan Book'!M71</f>
        <v/>
      </c>
      <c r="H68" s="488">
        <f>'Loan Book'!O71</f>
        <v/>
      </c>
      <c r="I68" s="488">
        <f>'Loan Book'!R71</f>
        <v/>
      </c>
      <c r="J68" t="inlineStr">
        <is>
          <t>000104460000066</t>
        </is>
      </c>
      <c r="K68" t="inlineStr">
        <is>
          <t>High</t>
        </is>
      </c>
      <c r="L68">
        <f>IFERROR(INDEX('E-Banker master'!$B$2:$B$186,MATCH($J68,'E-Banker master'!$A$2:$A$186,0)),"")</f>
        <v/>
      </c>
      <c r="M68" s="487">
        <f>IFERROR(INDEX('E-Banker master'!$H$2:$H$186,MATCH($J68,'E-Banker master'!$A$2:$A$186,0)),"")</f>
        <v/>
      </c>
      <c r="N68" s="488">
        <f>IFERROR(INDEX('E-Banker master'!$I$2:$I$186,MATCH($J68,'E-Banker master'!$A$2:$A$186,0)),"")</f>
        <v/>
      </c>
      <c r="O68" s="488">
        <f>IFERROR(INDEX('E-Banker master'!$N$2:$N$186,MATCH($J68,'E-Banker master'!$A$2:$A$186,0)),"")</f>
        <v/>
      </c>
      <c r="P68" s="488">
        <f>IFERROR(INDEX('E-Banker master'!$P$2:$P$186,MATCH($J68,'E-Banker master'!$A$2:$A$186,0)),"")</f>
        <v/>
      </c>
      <c r="Q68" s="487">
        <f>IFERROR(INDEX('E-Banker master'!$Q$2:$Q$186,MATCH($J68,'E-Banker master'!$A$2:$A$186,0)),"")</f>
        <v/>
      </c>
      <c r="R68">
        <f>IFERROR(INDEX('E-Banker master'!$E$2:$E$186,MATCH($J68,'E-Banker master'!$A$2:$A$186,0)),"")</f>
        <v/>
      </c>
      <c r="S68">
        <f>IF($J68="","",IF(O68="","No take-on posting",IF(ABS(H68-O68)&lt;1,"Yes",IF(ABS(H68/O68-1)&lt;0.01,"Within 1%","No"))))</f>
        <v/>
      </c>
      <c r="T68">
        <f>IF($J68="","",IF(OR(P68="",P68=0),"No balance",IF(ABS(I68-P68)&lt;1,"Yes",IF(ABS(I68/P68-1)&lt;0.02,"Within 2%",IF(ABS(I68/P68-1)&lt;0.05,"Within 5%","No")))))</f>
        <v/>
      </c>
      <c r="U68">
        <f>IF($J68="","",IF(N68="","",IF(ABS(F68-N68)&lt;1,"Yes",IF(ABS(G68-N68)&lt;1,"Disbursed = sanction","No"))))</f>
        <v/>
      </c>
      <c r="V68">
        <f>IF(OR($J68="",Q68="",E68=""),"",ABS(E68-Q68))</f>
        <v/>
      </c>
      <c r="W68" t="inlineStr">
        <is>
          <t>Yes</t>
        </is>
      </c>
      <c r="X68" s="489" t="inlineStr"/>
      <c r="Y68" s="489" t="inlineStr"/>
      <c r="Z68" s="489" t="inlineStr"/>
    </row>
    <row r="69">
      <c r="A69" t="n">
        <v>72</v>
      </c>
      <c r="B69">
        <f>'Loan Book'!D72</f>
        <v/>
      </c>
      <c r="C69">
        <f>'Loan Book'!E72</f>
        <v/>
      </c>
      <c r="D69">
        <f>'Loan Book'!F72</f>
        <v/>
      </c>
      <c r="E69" s="487">
        <f>'Loan Book'!G72</f>
        <v/>
      </c>
      <c r="F69" s="488">
        <f>'Loan Book'!L72</f>
        <v/>
      </c>
      <c r="G69" s="488">
        <f>'Loan Book'!M72</f>
        <v/>
      </c>
      <c r="H69" s="488">
        <f>'Loan Book'!O72</f>
        <v/>
      </c>
      <c r="I69" s="488">
        <f>'Loan Book'!R72</f>
        <v/>
      </c>
      <c r="J69" t="inlineStr">
        <is>
          <t>000104450000067</t>
        </is>
      </c>
      <c r="K69" t="inlineStr">
        <is>
          <t>High</t>
        </is>
      </c>
      <c r="L69">
        <f>IFERROR(INDEX('E-Banker master'!$B$2:$B$186,MATCH($J69,'E-Banker master'!$A$2:$A$186,0)),"")</f>
        <v/>
      </c>
      <c r="M69" s="487">
        <f>IFERROR(INDEX('E-Banker master'!$H$2:$H$186,MATCH($J69,'E-Banker master'!$A$2:$A$186,0)),"")</f>
        <v/>
      </c>
      <c r="N69" s="488">
        <f>IFERROR(INDEX('E-Banker master'!$I$2:$I$186,MATCH($J69,'E-Banker master'!$A$2:$A$186,0)),"")</f>
        <v/>
      </c>
      <c r="O69" s="488">
        <f>IFERROR(INDEX('E-Banker master'!$N$2:$N$186,MATCH($J69,'E-Banker master'!$A$2:$A$186,0)),"")</f>
        <v/>
      </c>
      <c r="P69" s="488">
        <f>IFERROR(INDEX('E-Banker master'!$P$2:$P$186,MATCH($J69,'E-Banker master'!$A$2:$A$186,0)),"")</f>
        <v/>
      </c>
      <c r="Q69" s="487">
        <f>IFERROR(INDEX('E-Banker master'!$Q$2:$Q$186,MATCH($J69,'E-Banker master'!$A$2:$A$186,0)),"")</f>
        <v/>
      </c>
      <c r="R69">
        <f>IFERROR(INDEX('E-Banker master'!$E$2:$E$186,MATCH($J69,'E-Banker master'!$A$2:$A$186,0)),"")</f>
        <v/>
      </c>
      <c r="S69">
        <f>IF($J69="","",IF(O69="","No take-on posting",IF(ABS(H69-O69)&lt;1,"Yes",IF(ABS(H69/O69-1)&lt;0.01,"Within 1%","No"))))</f>
        <v/>
      </c>
      <c r="T69">
        <f>IF($J69="","",IF(OR(P69="",P69=0),"No balance",IF(ABS(I69-P69)&lt;1,"Yes",IF(ABS(I69/P69-1)&lt;0.02,"Within 2%",IF(ABS(I69/P69-1)&lt;0.05,"Within 5%","No")))))</f>
        <v/>
      </c>
      <c r="U69">
        <f>IF($J69="","",IF(N69="","",IF(ABS(F69-N69)&lt;1,"Yes",IF(ABS(G69-N69)&lt;1,"Disbursed = sanction","No"))))</f>
        <v/>
      </c>
      <c r="V69">
        <f>IF(OR($J69="",Q69="",E69=""),"",ABS(E69-Q69))</f>
        <v/>
      </c>
      <c r="W69" t="inlineStr">
        <is>
          <t>Yes</t>
        </is>
      </c>
      <c r="X69" s="489" t="inlineStr"/>
      <c r="Y69" s="489" t="inlineStr"/>
      <c r="Z69" s="489" t="inlineStr"/>
    </row>
    <row r="70">
      <c r="A70" t="n">
        <v>73</v>
      </c>
      <c r="B70">
        <f>'Loan Book'!D73</f>
        <v/>
      </c>
      <c r="C70">
        <f>'Loan Book'!E73</f>
        <v/>
      </c>
      <c r="D70">
        <f>'Loan Book'!F73</f>
        <v/>
      </c>
      <c r="E70" s="487">
        <f>'Loan Book'!G73</f>
        <v/>
      </c>
      <c r="F70" s="488">
        <f>'Loan Book'!L73</f>
        <v/>
      </c>
      <c r="G70" s="488">
        <f>'Loan Book'!M73</f>
        <v/>
      </c>
      <c r="H70" s="488">
        <f>'Loan Book'!O73</f>
        <v/>
      </c>
      <c r="I70" s="488">
        <f>'Loan Book'!R73</f>
        <v/>
      </c>
      <c r="J70" t="inlineStr">
        <is>
          <t>000104450000068</t>
        </is>
      </c>
      <c r="K70" t="inlineStr">
        <is>
          <t>High</t>
        </is>
      </c>
      <c r="L70">
        <f>IFERROR(INDEX('E-Banker master'!$B$2:$B$186,MATCH($J70,'E-Banker master'!$A$2:$A$186,0)),"")</f>
        <v/>
      </c>
      <c r="M70" s="487">
        <f>IFERROR(INDEX('E-Banker master'!$H$2:$H$186,MATCH($J70,'E-Banker master'!$A$2:$A$186,0)),"")</f>
        <v/>
      </c>
      <c r="N70" s="488">
        <f>IFERROR(INDEX('E-Banker master'!$I$2:$I$186,MATCH($J70,'E-Banker master'!$A$2:$A$186,0)),"")</f>
        <v/>
      </c>
      <c r="O70" s="488">
        <f>IFERROR(INDEX('E-Banker master'!$N$2:$N$186,MATCH($J70,'E-Banker master'!$A$2:$A$186,0)),"")</f>
        <v/>
      </c>
      <c r="P70" s="488">
        <f>IFERROR(INDEX('E-Banker master'!$P$2:$P$186,MATCH($J70,'E-Banker master'!$A$2:$A$186,0)),"")</f>
        <v/>
      </c>
      <c r="Q70" s="487">
        <f>IFERROR(INDEX('E-Banker master'!$Q$2:$Q$186,MATCH($J70,'E-Banker master'!$A$2:$A$186,0)),"")</f>
        <v/>
      </c>
      <c r="R70">
        <f>IFERROR(INDEX('E-Banker master'!$E$2:$E$186,MATCH($J70,'E-Banker master'!$A$2:$A$186,0)),"")</f>
        <v/>
      </c>
      <c r="S70">
        <f>IF($J70="","",IF(O70="","No take-on posting",IF(ABS(H70-O70)&lt;1,"Yes",IF(ABS(H70/O70-1)&lt;0.01,"Within 1%","No"))))</f>
        <v/>
      </c>
      <c r="T70">
        <f>IF($J70="","",IF(OR(P70="",P70=0),"No balance",IF(ABS(I70-P70)&lt;1,"Yes",IF(ABS(I70/P70-1)&lt;0.02,"Within 2%",IF(ABS(I70/P70-1)&lt;0.05,"Within 5%","No")))))</f>
        <v/>
      </c>
      <c r="U70">
        <f>IF($J70="","",IF(N70="","",IF(ABS(F70-N70)&lt;1,"Yes",IF(ABS(G70-N70)&lt;1,"Disbursed = sanction","No"))))</f>
        <v/>
      </c>
      <c r="V70">
        <f>IF(OR($J70="",Q70="",E70=""),"",ABS(E70-Q70))</f>
        <v/>
      </c>
      <c r="W70" t="inlineStr">
        <is>
          <t>Yes</t>
        </is>
      </c>
      <c r="X70" s="489" t="inlineStr"/>
      <c r="Y70" s="489" t="inlineStr"/>
      <c r="Z70" s="489" t="inlineStr"/>
    </row>
    <row r="71">
      <c r="A71" t="n">
        <v>74</v>
      </c>
      <c r="B71">
        <f>'Loan Book'!D74</f>
        <v/>
      </c>
      <c r="C71">
        <f>'Loan Book'!E74</f>
        <v/>
      </c>
      <c r="D71">
        <f>'Loan Book'!F74</f>
        <v/>
      </c>
      <c r="E71" s="487">
        <f>'Loan Book'!G74</f>
        <v/>
      </c>
      <c r="F71" s="488">
        <f>'Loan Book'!L74</f>
        <v/>
      </c>
      <c r="G71" s="488">
        <f>'Loan Book'!M74</f>
        <v/>
      </c>
      <c r="H71" s="488">
        <f>'Loan Book'!O74</f>
        <v/>
      </c>
      <c r="I71" s="488">
        <f>'Loan Book'!R74</f>
        <v/>
      </c>
      <c r="J71" t="inlineStr">
        <is>
          <t>000104450000069</t>
        </is>
      </c>
      <c r="K71" t="inlineStr">
        <is>
          <t>High</t>
        </is>
      </c>
      <c r="L71">
        <f>IFERROR(INDEX('E-Banker master'!$B$2:$B$186,MATCH($J71,'E-Banker master'!$A$2:$A$186,0)),"")</f>
        <v/>
      </c>
      <c r="M71" s="487">
        <f>IFERROR(INDEX('E-Banker master'!$H$2:$H$186,MATCH($J71,'E-Banker master'!$A$2:$A$186,0)),"")</f>
        <v/>
      </c>
      <c r="N71" s="488">
        <f>IFERROR(INDEX('E-Banker master'!$I$2:$I$186,MATCH($J71,'E-Banker master'!$A$2:$A$186,0)),"")</f>
        <v/>
      </c>
      <c r="O71" s="488">
        <f>IFERROR(INDEX('E-Banker master'!$N$2:$N$186,MATCH($J71,'E-Banker master'!$A$2:$A$186,0)),"")</f>
        <v/>
      </c>
      <c r="P71" s="488">
        <f>IFERROR(INDEX('E-Banker master'!$P$2:$P$186,MATCH($J71,'E-Banker master'!$A$2:$A$186,0)),"")</f>
        <v/>
      </c>
      <c r="Q71" s="487">
        <f>IFERROR(INDEX('E-Banker master'!$Q$2:$Q$186,MATCH($J71,'E-Banker master'!$A$2:$A$186,0)),"")</f>
        <v/>
      </c>
      <c r="R71">
        <f>IFERROR(INDEX('E-Banker master'!$E$2:$E$186,MATCH($J71,'E-Banker master'!$A$2:$A$186,0)),"")</f>
        <v/>
      </c>
      <c r="S71">
        <f>IF($J71="","",IF(O71="","No take-on posting",IF(ABS(H71-O71)&lt;1,"Yes",IF(ABS(H71/O71-1)&lt;0.01,"Within 1%","No"))))</f>
        <v/>
      </c>
      <c r="T71">
        <f>IF($J71="","",IF(OR(P71="",P71=0),"No balance",IF(ABS(I71-P71)&lt;1,"Yes",IF(ABS(I71/P71-1)&lt;0.02,"Within 2%",IF(ABS(I71/P71-1)&lt;0.05,"Within 5%","No")))))</f>
        <v/>
      </c>
      <c r="U71">
        <f>IF($J71="","",IF(N71="","",IF(ABS(F71-N71)&lt;1,"Yes",IF(ABS(G71-N71)&lt;1,"Disbursed = sanction","No"))))</f>
        <v/>
      </c>
      <c r="V71">
        <f>IF(OR($J71="",Q71="",E71=""),"",ABS(E71-Q71))</f>
        <v/>
      </c>
      <c r="W71" t="inlineStr">
        <is>
          <t>Yes</t>
        </is>
      </c>
      <c r="X71" s="489" t="inlineStr"/>
      <c r="Y71" s="489" t="inlineStr"/>
      <c r="Z71" s="489" t="inlineStr"/>
    </row>
    <row r="72">
      <c r="A72" t="n">
        <v>75</v>
      </c>
      <c r="B72">
        <f>'Loan Book'!D75</f>
        <v/>
      </c>
      <c r="C72">
        <f>'Loan Book'!E75</f>
        <v/>
      </c>
      <c r="D72">
        <f>'Loan Book'!F75</f>
        <v/>
      </c>
      <c r="E72" s="487">
        <f>'Loan Book'!G75</f>
        <v/>
      </c>
      <c r="F72" s="488">
        <f>'Loan Book'!L75</f>
        <v/>
      </c>
      <c r="G72" s="488">
        <f>'Loan Book'!M75</f>
        <v/>
      </c>
      <c r="H72" s="488">
        <f>'Loan Book'!O75</f>
        <v/>
      </c>
      <c r="I72" s="488">
        <f>'Loan Book'!R75</f>
        <v/>
      </c>
      <c r="J72" t="inlineStr">
        <is>
          <t>000104460000070</t>
        </is>
      </c>
      <c r="K72" t="inlineStr">
        <is>
          <t>High</t>
        </is>
      </c>
      <c r="L72">
        <f>IFERROR(INDEX('E-Banker master'!$B$2:$B$186,MATCH($J72,'E-Banker master'!$A$2:$A$186,0)),"")</f>
        <v/>
      </c>
      <c r="M72" s="487">
        <f>IFERROR(INDEX('E-Banker master'!$H$2:$H$186,MATCH($J72,'E-Banker master'!$A$2:$A$186,0)),"")</f>
        <v/>
      </c>
      <c r="N72" s="488">
        <f>IFERROR(INDEX('E-Banker master'!$I$2:$I$186,MATCH($J72,'E-Banker master'!$A$2:$A$186,0)),"")</f>
        <v/>
      </c>
      <c r="O72" s="488">
        <f>IFERROR(INDEX('E-Banker master'!$N$2:$N$186,MATCH($J72,'E-Banker master'!$A$2:$A$186,0)),"")</f>
        <v/>
      </c>
      <c r="P72" s="488">
        <f>IFERROR(INDEX('E-Banker master'!$P$2:$P$186,MATCH($J72,'E-Banker master'!$A$2:$A$186,0)),"")</f>
        <v/>
      </c>
      <c r="Q72" s="487">
        <f>IFERROR(INDEX('E-Banker master'!$Q$2:$Q$186,MATCH($J72,'E-Banker master'!$A$2:$A$186,0)),"")</f>
        <v/>
      </c>
      <c r="R72">
        <f>IFERROR(INDEX('E-Banker master'!$E$2:$E$186,MATCH($J72,'E-Banker master'!$A$2:$A$186,0)),"")</f>
        <v/>
      </c>
      <c r="S72">
        <f>IF($J72="","",IF(O72="","No take-on posting",IF(ABS(H72-O72)&lt;1,"Yes",IF(ABS(H72/O72-1)&lt;0.01,"Within 1%","No"))))</f>
        <v/>
      </c>
      <c r="T72">
        <f>IF($J72="","",IF(OR(P72="",P72=0),"No balance",IF(ABS(I72-P72)&lt;1,"Yes",IF(ABS(I72/P72-1)&lt;0.02,"Within 2%",IF(ABS(I72/P72-1)&lt;0.05,"Within 5%","No")))))</f>
        <v/>
      </c>
      <c r="U72">
        <f>IF($J72="","",IF(N72="","",IF(ABS(F72-N72)&lt;1,"Yes",IF(ABS(G72-N72)&lt;1,"Disbursed = sanction","No"))))</f>
        <v/>
      </c>
      <c r="V72">
        <f>IF(OR($J72="",Q72="",E72=""),"",ABS(E72-Q72))</f>
        <v/>
      </c>
      <c r="W72" t="inlineStr">
        <is>
          <t>Yes</t>
        </is>
      </c>
      <c r="X72" s="489" t="inlineStr"/>
      <c r="Y72" s="489" t="inlineStr"/>
      <c r="Z72" s="489" t="inlineStr"/>
    </row>
    <row r="73">
      <c r="A73" t="n">
        <v>76</v>
      </c>
      <c r="B73">
        <f>'Loan Book'!D76</f>
        <v/>
      </c>
      <c r="C73">
        <f>'Loan Book'!E76</f>
        <v/>
      </c>
      <c r="D73">
        <f>'Loan Book'!F76</f>
        <v/>
      </c>
      <c r="E73" s="487">
        <f>'Loan Book'!G76</f>
        <v/>
      </c>
      <c r="F73" s="488">
        <f>'Loan Book'!L76</f>
        <v/>
      </c>
      <c r="G73" s="488">
        <f>'Loan Book'!M76</f>
        <v/>
      </c>
      <c r="H73" s="488">
        <f>'Loan Book'!O76</f>
        <v/>
      </c>
      <c r="I73" s="488">
        <f>'Loan Book'!R76</f>
        <v/>
      </c>
      <c r="J73" t="inlineStr">
        <is>
          <t>000104460000071</t>
        </is>
      </c>
      <c r="K73" t="inlineStr">
        <is>
          <t>High</t>
        </is>
      </c>
      <c r="L73">
        <f>IFERROR(INDEX('E-Banker master'!$B$2:$B$186,MATCH($J73,'E-Banker master'!$A$2:$A$186,0)),"")</f>
        <v/>
      </c>
      <c r="M73" s="487">
        <f>IFERROR(INDEX('E-Banker master'!$H$2:$H$186,MATCH($J73,'E-Banker master'!$A$2:$A$186,0)),"")</f>
        <v/>
      </c>
      <c r="N73" s="488">
        <f>IFERROR(INDEX('E-Banker master'!$I$2:$I$186,MATCH($J73,'E-Banker master'!$A$2:$A$186,0)),"")</f>
        <v/>
      </c>
      <c r="O73" s="488">
        <f>IFERROR(INDEX('E-Banker master'!$N$2:$N$186,MATCH($J73,'E-Banker master'!$A$2:$A$186,0)),"")</f>
        <v/>
      </c>
      <c r="P73" s="488">
        <f>IFERROR(INDEX('E-Banker master'!$P$2:$P$186,MATCH($J73,'E-Banker master'!$A$2:$A$186,0)),"")</f>
        <v/>
      </c>
      <c r="Q73" s="487">
        <f>IFERROR(INDEX('E-Banker master'!$Q$2:$Q$186,MATCH($J73,'E-Banker master'!$A$2:$A$186,0)),"")</f>
        <v/>
      </c>
      <c r="R73">
        <f>IFERROR(INDEX('E-Banker master'!$E$2:$E$186,MATCH($J73,'E-Banker master'!$A$2:$A$186,0)),"")</f>
        <v/>
      </c>
      <c r="S73">
        <f>IF($J73="","",IF(O73="","No take-on posting",IF(ABS(H73-O73)&lt;1,"Yes",IF(ABS(H73/O73-1)&lt;0.01,"Within 1%","No"))))</f>
        <v/>
      </c>
      <c r="T73">
        <f>IF($J73="","",IF(OR(P73="",P73=0),"No balance",IF(ABS(I73-P73)&lt;1,"Yes",IF(ABS(I73/P73-1)&lt;0.02,"Within 2%",IF(ABS(I73/P73-1)&lt;0.05,"Within 5%","No")))))</f>
        <v/>
      </c>
      <c r="U73">
        <f>IF($J73="","",IF(N73="","",IF(ABS(F73-N73)&lt;1,"Yes",IF(ABS(G73-N73)&lt;1,"Disbursed = sanction","No"))))</f>
        <v/>
      </c>
      <c r="V73">
        <f>IF(OR($J73="",Q73="",E73=""),"",ABS(E73-Q73))</f>
        <v/>
      </c>
      <c r="W73" t="inlineStr">
        <is>
          <t>Yes</t>
        </is>
      </c>
      <c r="X73" s="489" t="inlineStr"/>
      <c r="Y73" s="489" t="inlineStr"/>
      <c r="Z73" s="489" t="inlineStr"/>
    </row>
    <row r="74">
      <c r="A74" t="n">
        <v>77</v>
      </c>
      <c r="B74">
        <f>'Loan Book'!D77</f>
        <v/>
      </c>
      <c r="C74">
        <f>'Loan Book'!E77</f>
        <v/>
      </c>
      <c r="D74">
        <f>'Loan Book'!F77</f>
        <v/>
      </c>
      <c r="E74" s="487">
        <f>'Loan Book'!G77</f>
        <v/>
      </c>
      <c r="F74" s="488">
        <f>'Loan Book'!L77</f>
        <v/>
      </c>
      <c r="G74" s="488">
        <f>'Loan Book'!M77</f>
        <v/>
      </c>
      <c r="H74" s="488">
        <f>'Loan Book'!O77</f>
        <v/>
      </c>
      <c r="I74" s="488">
        <f>'Loan Book'!R77</f>
        <v/>
      </c>
      <c r="J74" t="inlineStr">
        <is>
          <t>000104450000072</t>
        </is>
      </c>
      <c r="K74" t="inlineStr">
        <is>
          <t>High</t>
        </is>
      </c>
      <c r="L74">
        <f>IFERROR(INDEX('E-Banker master'!$B$2:$B$186,MATCH($J74,'E-Banker master'!$A$2:$A$186,0)),"")</f>
        <v/>
      </c>
      <c r="M74" s="487">
        <f>IFERROR(INDEX('E-Banker master'!$H$2:$H$186,MATCH($J74,'E-Banker master'!$A$2:$A$186,0)),"")</f>
        <v/>
      </c>
      <c r="N74" s="488">
        <f>IFERROR(INDEX('E-Banker master'!$I$2:$I$186,MATCH($J74,'E-Banker master'!$A$2:$A$186,0)),"")</f>
        <v/>
      </c>
      <c r="O74" s="488">
        <f>IFERROR(INDEX('E-Banker master'!$N$2:$N$186,MATCH($J74,'E-Banker master'!$A$2:$A$186,0)),"")</f>
        <v/>
      </c>
      <c r="P74" s="488">
        <f>IFERROR(INDEX('E-Banker master'!$P$2:$P$186,MATCH($J74,'E-Banker master'!$A$2:$A$186,0)),"")</f>
        <v/>
      </c>
      <c r="Q74" s="487">
        <f>IFERROR(INDEX('E-Banker master'!$Q$2:$Q$186,MATCH($J74,'E-Banker master'!$A$2:$A$186,0)),"")</f>
        <v/>
      </c>
      <c r="R74">
        <f>IFERROR(INDEX('E-Banker master'!$E$2:$E$186,MATCH($J74,'E-Banker master'!$A$2:$A$186,0)),"")</f>
        <v/>
      </c>
      <c r="S74">
        <f>IF($J74="","",IF(O74="","No take-on posting",IF(ABS(H74-O74)&lt;1,"Yes",IF(ABS(H74/O74-1)&lt;0.01,"Within 1%","No"))))</f>
        <v/>
      </c>
      <c r="T74">
        <f>IF($J74="","",IF(OR(P74="",P74=0),"No balance",IF(ABS(I74-P74)&lt;1,"Yes",IF(ABS(I74/P74-1)&lt;0.02,"Within 2%",IF(ABS(I74/P74-1)&lt;0.05,"Within 5%","No")))))</f>
        <v/>
      </c>
      <c r="U74">
        <f>IF($J74="","",IF(N74="","",IF(ABS(F74-N74)&lt;1,"Yes",IF(ABS(G74-N74)&lt;1,"Disbursed = sanction","No"))))</f>
        <v/>
      </c>
      <c r="V74">
        <f>IF(OR($J74="",Q74="",E74=""),"",ABS(E74-Q74))</f>
        <v/>
      </c>
      <c r="W74" t="inlineStr">
        <is>
          <t>Yes</t>
        </is>
      </c>
      <c r="X74" s="489" t="inlineStr"/>
      <c r="Y74" s="489" t="inlineStr"/>
      <c r="Z74" s="489" t="inlineStr"/>
    </row>
    <row r="75">
      <c r="A75" t="n">
        <v>78</v>
      </c>
      <c r="B75">
        <f>'Loan Book'!D78</f>
        <v/>
      </c>
      <c r="C75">
        <f>'Loan Book'!E78</f>
        <v/>
      </c>
      <c r="D75">
        <f>'Loan Book'!F78</f>
        <v/>
      </c>
      <c r="E75" s="487">
        <f>'Loan Book'!G78</f>
        <v/>
      </c>
      <c r="F75" s="488">
        <f>'Loan Book'!L78</f>
        <v/>
      </c>
      <c r="G75" s="488">
        <f>'Loan Book'!M78</f>
        <v/>
      </c>
      <c r="H75" s="488">
        <f>'Loan Book'!O78</f>
        <v/>
      </c>
      <c r="I75" s="488">
        <f>'Loan Book'!R78</f>
        <v/>
      </c>
      <c r="J75" t="inlineStr">
        <is>
          <t>000104460000073</t>
        </is>
      </c>
      <c r="K75" t="inlineStr">
        <is>
          <t>High</t>
        </is>
      </c>
      <c r="L75">
        <f>IFERROR(INDEX('E-Banker master'!$B$2:$B$186,MATCH($J75,'E-Banker master'!$A$2:$A$186,0)),"")</f>
        <v/>
      </c>
      <c r="M75" s="487">
        <f>IFERROR(INDEX('E-Banker master'!$H$2:$H$186,MATCH($J75,'E-Banker master'!$A$2:$A$186,0)),"")</f>
        <v/>
      </c>
      <c r="N75" s="488">
        <f>IFERROR(INDEX('E-Banker master'!$I$2:$I$186,MATCH($J75,'E-Banker master'!$A$2:$A$186,0)),"")</f>
        <v/>
      </c>
      <c r="O75" s="488">
        <f>IFERROR(INDEX('E-Banker master'!$N$2:$N$186,MATCH($J75,'E-Banker master'!$A$2:$A$186,0)),"")</f>
        <v/>
      </c>
      <c r="P75" s="488">
        <f>IFERROR(INDEX('E-Banker master'!$P$2:$P$186,MATCH($J75,'E-Banker master'!$A$2:$A$186,0)),"")</f>
        <v/>
      </c>
      <c r="Q75" s="487">
        <f>IFERROR(INDEX('E-Banker master'!$Q$2:$Q$186,MATCH($J75,'E-Banker master'!$A$2:$A$186,0)),"")</f>
        <v/>
      </c>
      <c r="R75">
        <f>IFERROR(INDEX('E-Banker master'!$E$2:$E$186,MATCH($J75,'E-Banker master'!$A$2:$A$186,0)),"")</f>
        <v/>
      </c>
      <c r="S75">
        <f>IF($J75="","",IF(O75="","No take-on posting",IF(ABS(H75-O75)&lt;1,"Yes",IF(ABS(H75/O75-1)&lt;0.01,"Within 1%","No"))))</f>
        <v/>
      </c>
      <c r="T75">
        <f>IF($J75="","",IF(OR(P75="",P75=0),"No balance",IF(ABS(I75-P75)&lt;1,"Yes",IF(ABS(I75/P75-1)&lt;0.02,"Within 2%",IF(ABS(I75/P75-1)&lt;0.05,"Within 5%","No")))))</f>
        <v/>
      </c>
      <c r="U75">
        <f>IF($J75="","",IF(N75="","",IF(ABS(F75-N75)&lt;1,"Yes",IF(ABS(G75-N75)&lt;1,"Disbursed = sanction","No"))))</f>
        <v/>
      </c>
      <c r="V75">
        <f>IF(OR($J75="",Q75="",E75=""),"",ABS(E75-Q75))</f>
        <v/>
      </c>
      <c r="W75" t="inlineStr">
        <is>
          <t>Yes</t>
        </is>
      </c>
      <c r="X75" s="489" t="inlineStr"/>
      <c r="Y75" s="489" t="inlineStr"/>
      <c r="Z75" s="489" t="inlineStr"/>
    </row>
    <row r="76">
      <c r="A76" t="n">
        <v>79</v>
      </c>
      <c r="B76">
        <f>'Loan Book'!D79</f>
        <v/>
      </c>
      <c r="C76">
        <f>'Loan Book'!E79</f>
        <v/>
      </c>
      <c r="D76">
        <f>'Loan Book'!F79</f>
        <v/>
      </c>
      <c r="E76" s="487">
        <f>'Loan Book'!G79</f>
        <v/>
      </c>
      <c r="F76" s="488">
        <f>'Loan Book'!L79</f>
        <v/>
      </c>
      <c r="G76" s="488">
        <f>'Loan Book'!M79</f>
        <v/>
      </c>
      <c r="H76" s="488">
        <f>'Loan Book'!O79</f>
        <v/>
      </c>
      <c r="I76" s="488">
        <f>'Loan Book'!R79</f>
        <v/>
      </c>
      <c r="J76" t="inlineStr">
        <is>
          <t>000104450000074</t>
        </is>
      </c>
      <c r="K76" t="inlineStr">
        <is>
          <t>High</t>
        </is>
      </c>
      <c r="L76">
        <f>IFERROR(INDEX('E-Banker master'!$B$2:$B$186,MATCH($J76,'E-Banker master'!$A$2:$A$186,0)),"")</f>
        <v/>
      </c>
      <c r="M76" s="487">
        <f>IFERROR(INDEX('E-Banker master'!$H$2:$H$186,MATCH($J76,'E-Banker master'!$A$2:$A$186,0)),"")</f>
        <v/>
      </c>
      <c r="N76" s="488">
        <f>IFERROR(INDEX('E-Banker master'!$I$2:$I$186,MATCH($J76,'E-Banker master'!$A$2:$A$186,0)),"")</f>
        <v/>
      </c>
      <c r="O76" s="488">
        <f>IFERROR(INDEX('E-Banker master'!$N$2:$N$186,MATCH($J76,'E-Banker master'!$A$2:$A$186,0)),"")</f>
        <v/>
      </c>
      <c r="P76" s="488">
        <f>IFERROR(INDEX('E-Banker master'!$P$2:$P$186,MATCH($J76,'E-Banker master'!$A$2:$A$186,0)),"")</f>
        <v/>
      </c>
      <c r="Q76" s="487">
        <f>IFERROR(INDEX('E-Banker master'!$Q$2:$Q$186,MATCH($J76,'E-Banker master'!$A$2:$A$186,0)),"")</f>
        <v/>
      </c>
      <c r="R76">
        <f>IFERROR(INDEX('E-Banker master'!$E$2:$E$186,MATCH($J76,'E-Banker master'!$A$2:$A$186,0)),"")</f>
        <v/>
      </c>
      <c r="S76">
        <f>IF($J76="","",IF(O76="","No take-on posting",IF(ABS(H76-O76)&lt;1,"Yes",IF(ABS(H76/O76-1)&lt;0.01,"Within 1%","No"))))</f>
        <v/>
      </c>
      <c r="T76">
        <f>IF($J76="","",IF(OR(P76="",P76=0),"No balance",IF(ABS(I76-P76)&lt;1,"Yes",IF(ABS(I76/P76-1)&lt;0.02,"Within 2%",IF(ABS(I76/P76-1)&lt;0.05,"Within 5%","No")))))</f>
        <v/>
      </c>
      <c r="U76">
        <f>IF($J76="","",IF(N76="","",IF(ABS(F76-N76)&lt;1,"Yes",IF(ABS(G76-N76)&lt;1,"Disbursed = sanction","No"))))</f>
        <v/>
      </c>
      <c r="V76">
        <f>IF(OR($J76="",Q76="",E76=""),"",ABS(E76-Q76))</f>
        <v/>
      </c>
      <c r="W76" t="inlineStr">
        <is>
          <t>Yes</t>
        </is>
      </c>
      <c r="X76" s="489" t="inlineStr"/>
      <c r="Y76" s="489" t="inlineStr"/>
      <c r="Z76" s="489" t="inlineStr"/>
    </row>
    <row r="77">
      <c r="A77" t="n">
        <v>80</v>
      </c>
      <c r="B77">
        <f>'Loan Book'!D80</f>
        <v/>
      </c>
      <c r="C77">
        <f>'Loan Book'!E80</f>
        <v/>
      </c>
      <c r="D77">
        <f>'Loan Book'!F80</f>
        <v/>
      </c>
      <c r="E77" s="487">
        <f>'Loan Book'!G80</f>
        <v/>
      </c>
      <c r="F77" s="488">
        <f>'Loan Book'!L80</f>
        <v/>
      </c>
      <c r="G77" s="488">
        <f>'Loan Book'!M80</f>
        <v/>
      </c>
      <c r="H77" s="488">
        <f>'Loan Book'!O80</f>
        <v/>
      </c>
      <c r="I77" s="488">
        <f>'Loan Book'!R80</f>
        <v/>
      </c>
      <c r="J77" t="inlineStr">
        <is>
          <t>000104460000075</t>
        </is>
      </c>
      <c r="K77" t="inlineStr">
        <is>
          <t>High</t>
        </is>
      </c>
      <c r="L77">
        <f>IFERROR(INDEX('E-Banker master'!$B$2:$B$186,MATCH($J77,'E-Banker master'!$A$2:$A$186,0)),"")</f>
        <v/>
      </c>
      <c r="M77" s="487">
        <f>IFERROR(INDEX('E-Banker master'!$H$2:$H$186,MATCH($J77,'E-Banker master'!$A$2:$A$186,0)),"")</f>
        <v/>
      </c>
      <c r="N77" s="488">
        <f>IFERROR(INDEX('E-Banker master'!$I$2:$I$186,MATCH($J77,'E-Banker master'!$A$2:$A$186,0)),"")</f>
        <v/>
      </c>
      <c r="O77" s="488">
        <f>IFERROR(INDEX('E-Banker master'!$N$2:$N$186,MATCH($J77,'E-Banker master'!$A$2:$A$186,0)),"")</f>
        <v/>
      </c>
      <c r="P77" s="488">
        <f>IFERROR(INDEX('E-Banker master'!$P$2:$P$186,MATCH($J77,'E-Banker master'!$A$2:$A$186,0)),"")</f>
        <v/>
      </c>
      <c r="Q77" s="487">
        <f>IFERROR(INDEX('E-Banker master'!$Q$2:$Q$186,MATCH($J77,'E-Banker master'!$A$2:$A$186,0)),"")</f>
        <v/>
      </c>
      <c r="R77">
        <f>IFERROR(INDEX('E-Banker master'!$E$2:$E$186,MATCH($J77,'E-Banker master'!$A$2:$A$186,0)),"")</f>
        <v/>
      </c>
      <c r="S77">
        <f>IF($J77="","",IF(O77="","No take-on posting",IF(ABS(H77-O77)&lt;1,"Yes",IF(ABS(H77/O77-1)&lt;0.01,"Within 1%","No"))))</f>
        <v/>
      </c>
      <c r="T77">
        <f>IF($J77="","",IF(OR(P77="",P77=0),"No balance",IF(ABS(I77-P77)&lt;1,"Yes",IF(ABS(I77/P77-1)&lt;0.02,"Within 2%",IF(ABS(I77/P77-1)&lt;0.05,"Within 5%","No")))))</f>
        <v/>
      </c>
      <c r="U77">
        <f>IF($J77="","",IF(N77="","",IF(ABS(F77-N77)&lt;1,"Yes",IF(ABS(G77-N77)&lt;1,"Disbursed = sanction","No"))))</f>
        <v/>
      </c>
      <c r="V77">
        <f>IF(OR($J77="",Q77="",E77=""),"",ABS(E77-Q77))</f>
        <v/>
      </c>
      <c r="W77" t="inlineStr">
        <is>
          <t>Yes</t>
        </is>
      </c>
      <c r="X77" s="489" t="inlineStr"/>
      <c r="Y77" s="489" t="inlineStr"/>
      <c r="Z77" s="489" t="inlineStr"/>
    </row>
    <row r="78">
      <c r="A78" t="n">
        <v>81</v>
      </c>
      <c r="B78">
        <f>'Loan Book'!D81</f>
        <v/>
      </c>
      <c r="C78">
        <f>'Loan Book'!E81</f>
        <v/>
      </c>
      <c r="D78">
        <f>'Loan Book'!F81</f>
        <v/>
      </c>
      <c r="E78" s="487">
        <f>'Loan Book'!G81</f>
        <v/>
      </c>
      <c r="F78" s="488">
        <f>'Loan Book'!L81</f>
        <v/>
      </c>
      <c r="G78" s="488">
        <f>'Loan Book'!M81</f>
        <v/>
      </c>
      <c r="H78" s="488">
        <f>'Loan Book'!O81</f>
        <v/>
      </c>
      <c r="I78" s="488">
        <f>'Loan Book'!R81</f>
        <v/>
      </c>
      <c r="J78" t="inlineStr">
        <is>
          <t>000104450000076</t>
        </is>
      </c>
      <c r="K78" t="inlineStr">
        <is>
          <t>High</t>
        </is>
      </c>
      <c r="L78">
        <f>IFERROR(INDEX('E-Banker master'!$B$2:$B$186,MATCH($J78,'E-Banker master'!$A$2:$A$186,0)),"")</f>
        <v/>
      </c>
      <c r="M78" s="487">
        <f>IFERROR(INDEX('E-Banker master'!$H$2:$H$186,MATCH($J78,'E-Banker master'!$A$2:$A$186,0)),"")</f>
        <v/>
      </c>
      <c r="N78" s="488">
        <f>IFERROR(INDEX('E-Banker master'!$I$2:$I$186,MATCH($J78,'E-Banker master'!$A$2:$A$186,0)),"")</f>
        <v/>
      </c>
      <c r="O78" s="488">
        <f>IFERROR(INDEX('E-Banker master'!$N$2:$N$186,MATCH($J78,'E-Banker master'!$A$2:$A$186,0)),"")</f>
        <v/>
      </c>
      <c r="P78" s="488">
        <f>IFERROR(INDEX('E-Banker master'!$P$2:$P$186,MATCH($J78,'E-Banker master'!$A$2:$A$186,0)),"")</f>
        <v/>
      </c>
      <c r="Q78" s="487">
        <f>IFERROR(INDEX('E-Banker master'!$Q$2:$Q$186,MATCH($J78,'E-Banker master'!$A$2:$A$186,0)),"")</f>
        <v/>
      </c>
      <c r="R78">
        <f>IFERROR(INDEX('E-Banker master'!$E$2:$E$186,MATCH($J78,'E-Banker master'!$A$2:$A$186,0)),"")</f>
        <v/>
      </c>
      <c r="S78">
        <f>IF($J78="","",IF(O78="","No take-on posting",IF(ABS(H78-O78)&lt;1,"Yes",IF(ABS(H78/O78-1)&lt;0.01,"Within 1%","No"))))</f>
        <v/>
      </c>
      <c r="T78">
        <f>IF($J78="","",IF(OR(P78="",P78=0),"No balance",IF(ABS(I78-P78)&lt;1,"Yes",IF(ABS(I78/P78-1)&lt;0.02,"Within 2%",IF(ABS(I78/P78-1)&lt;0.05,"Within 5%","No")))))</f>
        <v/>
      </c>
      <c r="U78">
        <f>IF($J78="","",IF(N78="","",IF(ABS(F78-N78)&lt;1,"Yes",IF(ABS(G78-N78)&lt;1,"Disbursed = sanction","No"))))</f>
        <v/>
      </c>
      <c r="V78">
        <f>IF(OR($J78="",Q78="",E78=""),"",ABS(E78-Q78))</f>
        <v/>
      </c>
      <c r="W78" t="inlineStr">
        <is>
          <t>Yes</t>
        </is>
      </c>
      <c r="X78" s="489" t="inlineStr"/>
      <c r="Y78" s="489" t="inlineStr"/>
      <c r="Z78" s="489" t="inlineStr"/>
    </row>
    <row r="79">
      <c r="A79" t="n">
        <v>82</v>
      </c>
      <c r="B79">
        <f>'Loan Book'!D82</f>
        <v/>
      </c>
      <c r="C79">
        <f>'Loan Book'!E82</f>
        <v/>
      </c>
      <c r="D79">
        <f>'Loan Book'!F82</f>
        <v/>
      </c>
      <c r="E79" s="487">
        <f>'Loan Book'!G82</f>
        <v/>
      </c>
      <c r="F79" s="488">
        <f>'Loan Book'!L82</f>
        <v/>
      </c>
      <c r="G79" s="488">
        <f>'Loan Book'!M82</f>
        <v/>
      </c>
      <c r="H79" s="488">
        <f>'Loan Book'!O82</f>
        <v/>
      </c>
      <c r="I79" s="488">
        <f>'Loan Book'!R82</f>
        <v/>
      </c>
      <c r="J79" t="inlineStr">
        <is>
          <t>000104450000077</t>
        </is>
      </c>
      <c r="K79" t="inlineStr">
        <is>
          <t>High</t>
        </is>
      </c>
      <c r="L79">
        <f>IFERROR(INDEX('E-Banker master'!$B$2:$B$186,MATCH($J79,'E-Banker master'!$A$2:$A$186,0)),"")</f>
        <v/>
      </c>
      <c r="M79" s="487">
        <f>IFERROR(INDEX('E-Banker master'!$H$2:$H$186,MATCH($J79,'E-Banker master'!$A$2:$A$186,0)),"")</f>
        <v/>
      </c>
      <c r="N79" s="488">
        <f>IFERROR(INDEX('E-Banker master'!$I$2:$I$186,MATCH($J79,'E-Banker master'!$A$2:$A$186,0)),"")</f>
        <v/>
      </c>
      <c r="O79" s="488">
        <f>IFERROR(INDEX('E-Banker master'!$N$2:$N$186,MATCH($J79,'E-Banker master'!$A$2:$A$186,0)),"")</f>
        <v/>
      </c>
      <c r="P79" s="488">
        <f>IFERROR(INDEX('E-Banker master'!$P$2:$P$186,MATCH($J79,'E-Banker master'!$A$2:$A$186,0)),"")</f>
        <v/>
      </c>
      <c r="Q79" s="487">
        <f>IFERROR(INDEX('E-Banker master'!$Q$2:$Q$186,MATCH($J79,'E-Banker master'!$A$2:$A$186,0)),"")</f>
        <v/>
      </c>
      <c r="R79">
        <f>IFERROR(INDEX('E-Banker master'!$E$2:$E$186,MATCH($J79,'E-Banker master'!$A$2:$A$186,0)),"")</f>
        <v/>
      </c>
      <c r="S79">
        <f>IF($J79="","",IF(O79="","No take-on posting",IF(ABS(H79-O79)&lt;1,"Yes",IF(ABS(H79/O79-1)&lt;0.01,"Within 1%","No"))))</f>
        <v/>
      </c>
      <c r="T79">
        <f>IF($J79="","",IF(OR(P79="",P79=0),"No balance",IF(ABS(I79-P79)&lt;1,"Yes",IF(ABS(I79/P79-1)&lt;0.02,"Within 2%",IF(ABS(I79/P79-1)&lt;0.05,"Within 5%","No")))))</f>
        <v/>
      </c>
      <c r="U79">
        <f>IF($J79="","",IF(N79="","",IF(ABS(F79-N79)&lt;1,"Yes",IF(ABS(G79-N79)&lt;1,"Disbursed = sanction","No"))))</f>
        <v/>
      </c>
      <c r="V79">
        <f>IF(OR($J79="",Q79="",E79=""),"",ABS(E79-Q79))</f>
        <v/>
      </c>
      <c r="W79" t="inlineStr">
        <is>
          <t>Partly</t>
        </is>
      </c>
      <c r="X79" s="489" t="inlineStr"/>
      <c r="Y79" s="489" t="inlineStr"/>
      <c r="Z79" s="489" t="inlineStr"/>
    </row>
    <row r="80">
      <c r="A80" t="n">
        <v>83</v>
      </c>
      <c r="B80">
        <f>'Loan Book'!D83</f>
        <v/>
      </c>
      <c r="C80">
        <f>'Loan Book'!E83</f>
        <v/>
      </c>
      <c r="D80">
        <f>'Loan Book'!F83</f>
        <v/>
      </c>
      <c r="E80" s="487">
        <f>'Loan Book'!G83</f>
        <v/>
      </c>
      <c r="F80" s="488">
        <f>'Loan Book'!L83</f>
        <v/>
      </c>
      <c r="G80" s="488">
        <f>'Loan Book'!M83</f>
        <v/>
      </c>
      <c r="H80" s="488">
        <f>'Loan Book'!O83</f>
        <v/>
      </c>
      <c r="I80" s="488">
        <f>'Loan Book'!R83</f>
        <v/>
      </c>
      <c r="J80" t="inlineStr">
        <is>
          <t>000104460000078</t>
        </is>
      </c>
      <c r="K80" t="inlineStr">
        <is>
          <t>High</t>
        </is>
      </c>
      <c r="L80">
        <f>IFERROR(INDEX('E-Banker master'!$B$2:$B$186,MATCH($J80,'E-Banker master'!$A$2:$A$186,0)),"")</f>
        <v/>
      </c>
      <c r="M80" s="487">
        <f>IFERROR(INDEX('E-Banker master'!$H$2:$H$186,MATCH($J80,'E-Banker master'!$A$2:$A$186,0)),"")</f>
        <v/>
      </c>
      <c r="N80" s="488">
        <f>IFERROR(INDEX('E-Banker master'!$I$2:$I$186,MATCH($J80,'E-Banker master'!$A$2:$A$186,0)),"")</f>
        <v/>
      </c>
      <c r="O80" s="488">
        <f>IFERROR(INDEX('E-Banker master'!$N$2:$N$186,MATCH($J80,'E-Banker master'!$A$2:$A$186,0)),"")</f>
        <v/>
      </c>
      <c r="P80" s="488">
        <f>IFERROR(INDEX('E-Banker master'!$P$2:$P$186,MATCH($J80,'E-Banker master'!$A$2:$A$186,0)),"")</f>
        <v/>
      </c>
      <c r="Q80" s="487">
        <f>IFERROR(INDEX('E-Banker master'!$Q$2:$Q$186,MATCH($J80,'E-Banker master'!$A$2:$A$186,0)),"")</f>
        <v/>
      </c>
      <c r="R80">
        <f>IFERROR(INDEX('E-Banker master'!$E$2:$E$186,MATCH($J80,'E-Banker master'!$A$2:$A$186,0)),"")</f>
        <v/>
      </c>
      <c r="S80">
        <f>IF($J80="","",IF(O80="","No take-on posting",IF(ABS(H80-O80)&lt;1,"Yes",IF(ABS(H80/O80-1)&lt;0.01,"Within 1%","No"))))</f>
        <v/>
      </c>
      <c r="T80">
        <f>IF($J80="","",IF(OR(P80="",P80=0),"No balance",IF(ABS(I80-P80)&lt;1,"Yes",IF(ABS(I80/P80-1)&lt;0.02,"Within 2%",IF(ABS(I80/P80-1)&lt;0.05,"Within 5%","No")))))</f>
        <v/>
      </c>
      <c r="U80">
        <f>IF($J80="","",IF(N80="","",IF(ABS(F80-N80)&lt;1,"Yes",IF(ABS(G80-N80)&lt;1,"Disbursed = sanction","No"))))</f>
        <v/>
      </c>
      <c r="V80">
        <f>IF(OR($J80="",Q80="",E80=""),"",ABS(E80-Q80))</f>
        <v/>
      </c>
      <c r="W80" t="inlineStr">
        <is>
          <t>Yes</t>
        </is>
      </c>
      <c r="X80" s="489" t="inlineStr"/>
      <c r="Y80" s="489" t="inlineStr"/>
      <c r="Z80" s="489" t="inlineStr"/>
    </row>
    <row r="81">
      <c r="A81" t="n">
        <v>84</v>
      </c>
      <c r="B81">
        <f>'Loan Book'!D84</f>
        <v/>
      </c>
      <c r="C81">
        <f>'Loan Book'!E84</f>
        <v/>
      </c>
      <c r="D81">
        <f>'Loan Book'!F84</f>
        <v/>
      </c>
      <c r="E81" s="487">
        <f>'Loan Book'!G84</f>
        <v/>
      </c>
      <c r="F81" s="488">
        <f>'Loan Book'!L84</f>
        <v/>
      </c>
      <c r="G81" s="488">
        <f>'Loan Book'!M84</f>
        <v/>
      </c>
      <c r="H81" s="488">
        <f>'Loan Book'!O84</f>
        <v/>
      </c>
      <c r="I81" s="488">
        <f>'Loan Book'!R84</f>
        <v/>
      </c>
      <c r="J81" t="inlineStr">
        <is>
          <t>000104460000079</t>
        </is>
      </c>
      <c r="K81" t="inlineStr">
        <is>
          <t>High</t>
        </is>
      </c>
      <c r="L81">
        <f>IFERROR(INDEX('E-Banker master'!$B$2:$B$186,MATCH($J81,'E-Banker master'!$A$2:$A$186,0)),"")</f>
        <v/>
      </c>
      <c r="M81" s="487">
        <f>IFERROR(INDEX('E-Banker master'!$H$2:$H$186,MATCH($J81,'E-Banker master'!$A$2:$A$186,0)),"")</f>
        <v/>
      </c>
      <c r="N81" s="488">
        <f>IFERROR(INDEX('E-Banker master'!$I$2:$I$186,MATCH($J81,'E-Banker master'!$A$2:$A$186,0)),"")</f>
        <v/>
      </c>
      <c r="O81" s="488">
        <f>IFERROR(INDEX('E-Banker master'!$N$2:$N$186,MATCH($J81,'E-Banker master'!$A$2:$A$186,0)),"")</f>
        <v/>
      </c>
      <c r="P81" s="488">
        <f>IFERROR(INDEX('E-Banker master'!$P$2:$P$186,MATCH($J81,'E-Banker master'!$A$2:$A$186,0)),"")</f>
        <v/>
      </c>
      <c r="Q81" s="487">
        <f>IFERROR(INDEX('E-Banker master'!$Q$2:$Q$186,MATCH($J81,'E-Banker master'!$A$2:$A$186,0)),"")</f>
        <v/>
      </c>
      <c r="R81">
        <f>IFERROR(INDEX('E-Banker master'!$E$2:$E$186,MATCH($J81,'E-Banker master'!$A$2:$A$186,0)),"")</f>
        <v/>
      </c>
      <c r="S81">
        <f>IF($J81="","",IF(O81="","No take-on posting",IF(ABS(H81-O81)&lt;1,"Yes",IF(ABS(H81/O81-1)&lt;0.01,"Within 1%","No"))))</f>
        <v/>
      </c>
      <c r="T81">
        <f>IF($J81="","",IF(OR(P81="",P81=0),"No balance",IF(ABS(I81-P81)&lt;1,"Yes",IF(ABS(I81/P81-1)&lt;0.02,"Within 2%",IF(ABS(I81/P81-1)&lt;0.05,"Within 5%","No")))))</f>
        <v/>
      </c>
      <c r="U81">
        <f>IF($J81="","",IF(N81="","",IF(ABS(F81-N81)&lt;1,"Yes",IF(ABS(G81-N81)&lt;1,"Disbursed = sanction","No"))))</f>
        <v/>
      </c>
      <c r="V81">
        <f>IF(OR($J81="",Q81="",E81=""),"",ABS(E81-Q81))</f>
        <v/>
      </c>
      <c r="W81" t="inlineStr">
        <is>
          <t>Yes</t>
        </is>
      </c>
      <c r="X81" s="489" t="inlineStr"/>
      <c r="Y81" s="489" t="inlineStr"/>
      <c r="Z81" s="489" t="inlineStr"/>
    </row>
    <row r="82">
      <c r="A82" t="n">
        <v>85</v>
      </c>
      <c r="B82">
        <f>'Loan Book'!D85</f>
        <v/>
      </c>
      <c r="C82">
        <f>'Loan Book'!E85</f>
        <v/>
      </c>
      <c r="D82">
        <f>'Loan Book'!F85</f>
        <v/>
      </c>
      <c r="E82" s="487">
        <f>'Loan Book'!G85</f>
        <v/>
      </c>
      <c r="F82" s="488">
        <f>'Loan Book'!L85</f>
        <v/>
      </c>
      <c r="G82" s="488">
        <f>'Loan Book'!M85</f>
        <v/>
      </c>
      <c r="H82" s="488">
        <f>'Loan Book'!O85</f>
        <v/>
      </c>
      <c r="I82" s="488">
        <f>'Loan Book'!R85</f>
        <v/>
      </c>
      <c r="J82" t="inlineStr">
        <is>
          <t>000104460000080</t>
        </is>
      </c>
      <c r="K82" t="inlineStr">
        <is>
          <t>High</t>
        </is>
      </c>
      <c r="L82">
        <f>IFERROR(INDEX('E-Banker master'!$B$2:$B$186,MATCH($J82,'E-Banker master'!$A$2:$A$186,0)),"")</f>
        <v/>
      </c>
      <c r="M82" s="487">
        <f>IFERROR(INDEX('E-Banker master'!$H$2:$H$186,MATCH($J82,'E-Banker master'!$A$2:$A$186,0)),"")</f>
        <v/>
      </c>
      <c r="N82" s="488">
        <f>IFERROR(INDEX('E-Banker master'!$I$2:$I$186,MATCH($J82,'E-Banker master'!$A$2:$A$186,0)),"")</f>
        <v/>
      </c>
      <c r="O82" s="488">
        <f>IFERROR(INDEX('E-Banker master'!$N$2:$N$186,MATCH($J82,'E-Banker master'!$A$2:$A$186,0)),"")</f>
        <v/>
      </c>
      <c r="P82" s="488">
        <f>IFERROR(INDEX('E-Banker master'!$P$2:$P$186,MATCH($J82,'E-Banker master'!$A$2:$A$186,0)),"")</f>
        <v/>
      </c>
      <c r="Q82" s="487">
        <f>IFERROR(INDEX('E-Banker master'!$Q$2:$Q$186,MATCH($J82,'E-Banker master'!$A$2:$A$186,0)),"")</f>
        <v/>
      </c>
      <c r="R82">
        <f>IFERROR(INDEX('E-Banker master'!$E$2:$E$186,MATCH($J82,'E-Banker master'!$A$2:$A$186,0)),"")</f>
        <v/>
      </c>
      <c r="S82">
        <f>IF($J82="","",IF(O82="","No take-on posting",IF(ABS(H82-O82)&lt;1,"Yes",IF(ABS(H82/O82-1)&lt;0.01,"Within 1%","No"))))</f>
        <v/>
      </c>
      <c r="T82">
        <f>IF($J82="","",IF(OR(P82="",P82=0),"No balance",IF(ABS(I82-P82)&lt;1,"Yes",IF(ABS(I82/P82-1)&lt;0.02,"Within 2%",IF(ABS(I82/P82-1)&lt;0.05,"Within 5%","No")))))</f>
        <v/>
      </c>
      <c r="U82">
        <f>IF($J82="","",IF(N82="","",IF(ABS(F82-N82)&lt;1,"Yes",IF(ABS(G82-N82)&lt;1,"Disbursed = sanction","No"))))</f>
        <v/>
      </c>
      <c r="V82">
        <f>IF(OR($J82="",Q82="",E82=""),"",ABS(E82-Q82))</f>
        <v/>
      </c>
      <c r="W82" t="inlineStr">
        <is>
          <t>Yes</t>
        </is>
      </c>
      <c r="X82" s="489" t="inlineStr"/>
      <c r="Y82" s="489" t="inlineStr"/>
      <c r="Z82" s="489" t="inlineStr"/>
    </row>
    <row r="83">
      <c r="A83" t="n">
        <v>86</v>
      </c>
      <c r="B83">
        <f>'Loan Book'!D86</f>
        <v/>
      </c>
      <c r="C83">
        <f>'Loan Book'!E86</f>
        <v/>
      </c>
      <c r="D83">
        <f>'Loan Book'!F86</f>
        <v/>
      </c>
      <c r="E83" s="487">
        <f>'Loan Book'!G86</f>
        <v/>
      </c>
      <c r="F83" s="488">
        <f>'Loan Book'!L86</f>
        <v/>
      </c>
      <c r="G83" s="488">
        <f>'Loan Book'!M86</f>
        <v/>
      </c>
      <c r="H83" s="488">
        <f>'Loan Book'!O86</f>
        <v/>
      </c>
      <c r="I83" s="488">
        <f>'Loan Book'!R86</f>
        <v/>
      </c>
      <c r="J83" t="inlineStr">
        <is>
          <t>000104460000081</t>
        </is>
      </c>
      <c r="K83" t="inlineStr">
        <is>
          <t>High</t>
        </is>
      </c>
      <c r="L83">
        <f>IFERROR(INDEX('E-Banker master'!$B$2:$B$186,MATCH($J83,'E-Banker master'!$A$2:$A$186,0)),"")</f>
        <v/>
      </c>
      <c r="M83" s="487">
        <f>IFERROR(INDEX('E-Banker master'!$H$2:$H$186,MATCH($J83,'E-Banker master'!$A$2:$A$186,0)),"")</f>
        <v/>
      </c>
      <c r="N83" s="488">
        <f>IFERROR(INDEX('E-Banker master'!$I$2:$I$186,MATCH($J83,'E-Banker master'!$A$2:$A$186,0)),"")</f>
        <v/>
      </c>
      <c r="O83" s="488">
        <f>IFERROR(INDEX('E-Banker master'!$N$2:$N$186,MATCH($J83,'E-Banker master'!$A$2:$A$186,0)),"")</f>
        <v/>
      </c>
      <c r="P83" s="488">
        <f>IFERROR(INDEX('E-Banker master'!$P$2:$P$186,MATCH($J83,'E-Banker master'!$A$2:$A$186,0)),"")</f>
        <v/>
      </c>
      <c r="Q83" s="487">
        <f>IFERROR(INDEX('E-Banker master'!$Q$2:$Q$186,MATCH($J83,'E-Banker master'!$A$2:$A$186,0)),"")</f>
        <v/>
      </c>
      <c r="R83">
        <f>IFERROR(INDEX('E-Banker master'!$E$2:$E$186,MATCH($J83,'E-Banker master'!$A$2:$A$186,0)),"")</f>
        <v/>
      </c>
      <c r="S83">
        <f>IF($J83="","",IF(O83="","No take-on posting",IF(ABS(H83-O83)&lt;1,"Yes",IF(ABS(H83/O83-1)&lt;0.01,"Within 1%","No"))))</f>
        <v/>
      </c>
      <c r="T83">
        <f>IF($J83="","",IF(OR(P83="",P83=0),"No balance",IF(ABS(I83-P83)&lt;1,"Yes",IF(ABS(I83/P83-1)&lt;0.02,"Within 2%",IF(ABS(I83/P83-1)&lt;0.05,"Within 5%","No")))))</f>
        <v/>
      </c>
      <c r="U83">
        <f>IF($J83="","",IF(N83="","",IF(ABS(F83-N83)&lt;1,"Yes",IF(ABS(G83-N83)&lt;1,"Disbursed = sanction","No"))))</f>
        <v/>
      </c>
      <c r="V83">
        <f>IF(OR($J83="",Q83="",E83=""),"",ABS(E83-Q83))</f>
        <v/>
      </c>
      <c r="W83" t="inlineStr">
        <is>
          <t>Yes</t>
        </is>
      </c>
      <c r="X83" s="489" t="inlineStr"/>
      <c r="Y83" s="489" t="inlineStr"/>
      <c r="Z83" s="489" t="inlineStr"/>
    </row>
    <row r="84">
      <c r="A84" t="n">
        <v>87</v>
      </c>
      <c r="B84">
        <f>'Loan Book'!D87</f>
        <v/>
      </c>
      <c r="C84">
        <f>'Loan Book'!E87</f>
        <v/>
      </c>
      <c r="D84">
        <f>'Loan Book'!F87</f>
        <v/>
      </c>
      <c r="E84" s="487">
        <f>'Loan Book'!G87</f>
        <v/>
      </c>
      <c r="F84" s="488">
        <f>'Loan Book'!L87</f>
        <v/>
      </c>
      <c r="G84" s="488">
        <f>'Loan Book'!M87</f>
        <v/>
      </c>
      <c r="H84" s="488">
        <f>'Loan Book'!O87</f>
        <v/>
      </c>
      <c r="I84" s="488">
        <f>'Loan Book'!R87</f>
        <v/>
      </c>
      <c r="J84" t="inlineStr">
        <is>
          <t>000104450000060</t>
        </is>
      </c>
      <c r="K84" t="inlineStr">
        <is>
          <t>High</t>
        </is>
      </c>
      <c r="L84">
        <f>IFERROR(INDEX('E-Banker master'!$B$2:$B$186,MATCH($J84,'E-Banker master'!$A$2:$A$186,0)),"")</f>
        <v/>
      </c>
      <c r="M84" s="487">
        <f>IFERROR(INDEX('E-Banker master'!$H$2:$H$186,MATCH($J84,'E-Banker master'!$A$2:$A$186,0)),"")</f>
        <v/>
      </c>
      <c r="N84" s="488">
        <f>IFERROR(INDEX('E-Banker master'!$I$2:$I$186,MATCH($J84,'E-Banker master'!$A$2:$A$186,0)),"")</f>
        <v/>
      </c>
      <c r="O84" s="488">
        <f>IFERROR(INDEX('E-Banker master'!$N$2:$N$186,MATCH($J84,'E-Banker master'!$A$2:$A$186,0)),"")</f>
        <v/>
      </c>
      <c r="P84" s="488">
        <f>IFERROR(INDEX('E-Banker master'!$P$2:$P$186,MATCH($J84,'E-Banker master'!$A$2:$A$186,0)),"")</f>
        <v/>
      </c>
      <c r="Q84" s="487">
        <f>IFERROR(INDEX('E-Banker master'!$Q$2:$Q$186,MATCH($J84,'E-Banker master'!$A$2:$A$186,0)),"")</f>
        <v/>
      </c>
      <c r="R84">
        <f>IFERROR(INDEX('E-Banker master'!$E$2:$E$186,MATCH($J84,'E-Banker master'!$A$2:$A$186,0)),"")</f>
        <v/>
      </c>
      <c r="S84">
        <f>IF($J84="","",IF(O84="","No take-on posting",IF(ABS(H84-O84)&lt;1,"Yes",IF(ABS(H84/O84-1)&lt;0.01,"Within 1%","No"))))</f>
        <v/>
      </c>
      <c r="T84">
        <f>IF($J84="","",IF(OR(P84="",P84=0),"No balance",IF(ABS(I84-P84)&lt;1,"Yes",IF(ABS(I84/P84-1)&lt;0.02,"Within 2%",IF(ABS(I84/P84-1)&lt;0.05,"Within 5%","No")))))</f>
        <v/>
      </c>
      <c r="U84">
        <f>IF($J84="","",IF(N84="","",IF(ABS(F84-N84)&lt;1,"Yes",IF(ABS(G84-N84)&lt;1,"Disbursed = sanction","No"))))</f>
        <v/>
      </c>
      <c r="V84">
        <f>IF(OR($J84="",Q84="",E84=""),"",ABS(E84-Q84))</f>
        <v/>
      </c>
      <c r="W84" t="inlineStr">
        <is>
          <t>Partly</t>
        </is>
      </c>
      <c r="X84" s="489" t="inlineStr"/>
      <c r="Y84" s="489" t="inlineStr"/>
      <c r="Z84" s="489" t="inlineStr"/>
    </row>
    <row r="85">
      <c r="A85" t="n">
        <v>88</v>
      </c>
      <c r="B85">
        <f>'Loan Book'!D88</f>
        <v/>
      </c>
      <c r="C85">
        <f>'Loan Book'!E88</f>
        <v/>
      </c>
      <c r="D85">
        <f>'Loan Book'!F88</f>
        <v/>
      </c>
      <c r="E85" s="487">
        <f>'Loan Book'!G88</f>
        <v/>
      </c>
      <c r="F85" s="488">
        <f>'Loan Book'!L88</f>
        <v/>
      </c>
      <c r="G85" s="488">
        <f>'Loan Book'!M88</f>
        <v/>
      </c>
      <c r="H85" s="488">
        <f>'Loan Book'!O88</f>
        <v/>
      </c>
      <c r="I85" s="488">
        <f>'Loan Book'!R88</f>
        <v/>
      </c>
      <c r="J85" t="inlineStr">
        <is>
          <t>000104460000083</t>
        </is>
      </c>
      <c r="K85" t="inlineStr">
        <is>
          <t>High</t>
        </is>
      </c>
      <c r="L85">
        <f>IFERROR(INDEX('E-Banker master'!$B$2:$B$186,MATCH($J85,'E-Banker master'!$A$2:$A$186,0)),"")</f>
        <v/>
      </c>
      <c r="M85" s="487">
        <f>IFERROR(INDEX('E-Banker master'!$H$2:$H$186,MATCH($J85,'E-Banker master'!$A$2:$A$186,0)),"")</f>
        <v/>
      </c>
      <c r="N85" s="488">
        <f>IFERROR(INDEX('E-Banker master'!$I$2:$I$186,MATCH($J85,'E-Banker master'!$A$2:$A$186,0)),"")</f>
        <v/>
      </c>
      <c r="O85" s="488">
        <f>IFERROR(INDEX('E-Banker master'!$N$2:$N$186,MATCH($J85,'E-Banker master'!$A$2:$A$186,0)),"")</f>
        <v/>
      </c>
      <c r="P85" s="488">
        <f>IFERROR(INDEX('E-Banker master'!$P$2:$P$186,MATCH($J85,'E-Banker master'!$A$2:$A$186,0)),"")</f>
        <v/>
      </c>
      <c r="Q85" s="487">
        <f>IFERROR(INDEX('E-Banker master'!$Q$2:$Q$186,MATCH($J85,'E-Banker master'!$A$2:$A$186,0)),"")</f>
        <v/>
      </c>
      <c r="R85">
        <f>IFERROR(INDEX('E-Banker master'!$E$2:$E$186,MATCH($J85,'E-Banker master'!$A$2:$A$186,0)),"")</f>
        <v/>
      </c>
      <c r="S85">
        <f>IF($J85="","",IF(O85="","No take-on posting",IF(ABS(H85-O85)&lt;1,"Yes",IF(ABS(H85/O85-1)&lt;0.01,"Within 1%","No"))))</f>
        <v/>
      </c>
      <c r="T85">
        <f>IF($J85="","",IF(OR(P85="",P85=0),"No balance",IF(ABS(I85-P85)&lt;1,"Yes",IF(ABS(I85/P85-1)&lt;0.02,"Within 2%",IF(ABS(I85/P85-1)&lt;0.05,"Within 5%","No")))))</f>
        <v/>
      </c>
      <c r="U85">
        <f>IF($J85="","",IF(N85="","",IF(ABS(F85-N85)&lt;1,"Yes",IF(ABS(G85-N85)&lt;1,"Disbursed = sanction","No"))))</f>
        <v/>
      </c>
      <c r="V85">
        <f>IF(OR($J85="",Q85="",E85=""),"",ABS(E85-Q85))</f>
        <v/>
      </c>
      <c r="W85" t="inlineStr">
        <is>
          <t>Yes</t>
        </is>
      </c>
      <c r="X85" s="489" t="inlineStr"/>
      <c r="Y85" s="489" t="inlineStr"/>
      <c r="Z85" s="489" t="inlineStr"/>
    </row>
    <row r="86">
      <c r="A86" t="n">
        <v>89</v>
      </c>
      <c r="B86">
        <f>'Loan Book'!D89</f>
        <v/>
      </c>
      <c r="C86">
        <f>'Loan Book'!E89</f>
        <v/>
      </c>
      <c r="D86">
        <f>'Loan Book'!F89</f>
        <v/>
      </c>
      <c r="E86" s="487">
        <f>'Loan Book'!G89</f>
        <v/>
      </c>
      <c r="F86" s="488">
        <f>'Loan Book'!L89</f>
        <v/>
      </c>
      <c r="G86" s="488">
        <f>'Loan Book'!M89</f>
        <v/>
      </c>
      <c r="H86" s="488">
        <f>'Loan Book'!O89</f>
        <v/>
      </c>
      <c r="I86" s="488">
        <f>'Loan Book'!R89</f>
        <v/>
      </c>
      <c r="J86" t="inlineStr">
        <is>
          <t>000104450000084</t>
        </is>
      </c>
      <c r="K86" t="inlineStr">
        <is>
          <t>High</t>
        </is>
      </c>
      <c r="L86">
        <f>IFERROR(INDEX('E-Banker master'!$B$2:$B$186,MATCH($J86,'E-Banker master'!$A$2:$A$186,0)),"")</f>
        <v/>
      </c>
      <c r="M86" s="487">
        <f>IFERROR(INDEX('E-Banker master'!$H$2:$H$186,MATCH($J86,'E-Banker master'!$A$2:$A$186,0)),"")</f>
        <v/>
      </c>
      <c r="N86" s="488">
        <f>IFERROR(INDEX('E-Banker master'!$I$2:$I$186,MATCH($J86,'E-Banker master'!$A$2:$A$186,0)),"")</f>
        <v/>
      </c>
      <c r="O86" s="488">
        <f>IFERROR(INDEX('E-Banker master'!$N$2:$N$186,MATCH($J86,'E-Banker master'!$A$2:$A$186,0)),"")</f>
        <v/>
      </c>
      <c r="P86" s="488">
        <f>IFERROR(INDEX('E-Banker master'!$P$2:$P$186,MATCH($J86,'E-Banker master'!$A$2:$A$186,0)),"")</f>
        <v/>
      </c>
      <c r="Q86" s="487">
        <f>IFERROR(INDEX('E-Banker master'!$Q$2:$Q$186,MATCH($J86,'E-Banker master'!$A$2:$A$186,0)),"")</f>
        <v/>
      </c>
      <c r="R86">
        <f>IFERROR(INDEX('E-Banker master'!$E$2:$E$186,MATCH($J86,'E-Banker master'!$A$2:$A$186,0)),"")</f>
        <v/>
      </c>
      <c r="S86">
        <f>IF($J86="","",IF(O86="","No take-on posting",IF(ABS(H86-O86)&lt;1,"Yes",IF(ABS(H86/O86-1)&lt;0.01,"Within 1%","No"))))</f>
        <v/>
      </c>
      <c r="T86">
        <f>IF($J86="","",IF(OR(P86="",P86=0),"No balance",IF(ABS(I86-P86)&lt;1,"Yes",IF(ABS(I86/P86-1)&lt;0.02,"Within 2%",IF(ABS(I86/P86-1)&lt;0.05,"Within 5%","No")))))</f>
        <v/>
      </c>
      <c r="U86">
        <f>IF($J86="","",IF(N86="","",IF(ABS(F86-N86)&lt;1,"Yes",IF(ABS(G86-N86)&lt;1,"Disbursed = sanction","No"))))</f>
        <v/>
      </c>
      <c r="V86">
        <f>IF(OR($J86="",Q86="",E86=""),"",ABS(E86-Q86))</f>
        <v/>
      </c>
      <c r="W86" t="inlineStr">
        <is>
          <t>Yes</t>
        </is>
      </c>
      <c r="X86" s="489" t="inlineStr"/>
      <c r="Y86" s="489" t="inlineStr"/>
      <c r="Z86" s="489" t="inlineStr"/>
    </row>
    <row r="87">
      <c r="A87" t="n">
        <v>90</v>
      </c>
      <c r="B87">
        <f>'Loan Book'!D90</f>
        <v/>
      </c>
      <c r="C87">
        <f>'Loan Book'!E90</f>
        <v/>
      </c>
      <c r="D87">
        <f>'Loan Book'!F90</f>
        <v/>
      </c>
      <c r="E87" s="487">
        <f>'Loan Book'!G90</f>
        <v/>
      </c>
      <c r="F87" s="488">
        <f>'Loan Book'!L90</f>
        <v/>
      </c>
      <c r="G87" s="488">
        <f>'Loan Book'!M90</f>
        <v/>
      </c>
      <c r="H87" s="488">
        <f>'Loan Book'!O90</f>
        <v/>
      </c>
      <c r="I87" s="488">
        <f>'Loan Book'!R90</f>
        <v/>
      </c>
      <c r="J87" t="inlineStr">
        <is>
          <t>000104450000085</t>
        </is>
      </c>
      <c r="K87" t="inlineStr">
        <is>
          <t>High</t>
        </is>
      </c>
      <c r="L87">
        <f>IFERROR(INDEX('E-Banker master'!$B$2:$B$186,MATCH($J87,'E-Banker master'!$A$2:$A$186,0)),"")</f>
        <v/>
      </c>
      <c r="M87" s="487">
        <f>IFERROR(INDEX('E-Banker master'!$H$2:$H$186,MATCH($J87,'E-Banker master'!$A$2:$A$186,0)),"")</f>
        <v/>
      </c>
      <c r="N87" s="488">
        <f>IFERROR(INDEX('E-Banker master'!$I$2:$I$186,MATCH($J87,'E-Banker master'!$A$2:$A$186,0)),"")</f>
        <v/>
      </c>
      <c r="O87" s="488">
        <f>IFERROR(INDEX('E-Banker master'!$N$2:$N$186,MATCH($J87,'E-Banker master'!$A$2:$A$186,0)),"")</f>
        <v/>
      </c>
      <c r="P87" s="488">
        <f>IFERROR(INDEX('E-Banker master'!$P$2:$P$186,MATCH($J87,'E-Banker master'!$A$2:$A$186,0)),"")</f>
        <v/>
      </c>
      <c r="Q87" s="487">
        <f>IFERROR(INDEX('E-Banker master'!$Q$2:$Q$186,MATCH($J87,'E-Banker master'!$A$2:$A$186,0)),"")</f>
        <v/>
      </c>
      <c r="R87">
        <f>IFERROR(INDEX('E-Banker master'!$E$2:$E$186,MATCH($J87,'E-Banker master'!$A$2:$A$186,0)),"")</f>
        <v/>
      </c>
      <c r="S87">
        <f>IF($J87="","",IF(O87="","No take-on posting",IF(ABS(H87-O87)&lt;1,"Yes",IF(ABS(H87/O87-1)&lt;0.01,"Within 1%","No"))))</f>
        <v/>
      </c>
      <c r="T87">
        <f>IF($J87="","",IF(OR(P87="",P87=0),"No balance",IF(ABS(I87-P87)&lt;1,"Yes",IF(ABS(I87/P87-1)&lt;0.02,"Within 2%",IF(ABS(I87/P87-1)&lt;0.05,"Within 5%","No")))))</f>
        <v/>
      </c>
      <c r="U87">
        <f>IF($J87="","",IF(N87="","",IF(ABS(F87-N87)&lt;1,"Yes",IF(ABS(G87-N87)&lt;1,"Disbursed = sanction","No"))))</f>
        <v/>
      </c>
      <c r="V87">
        <f>IF(OR($J87="",Q87="",E87=""),"",ABS(E87-Q87))</f>
        <v/>
      </c>
      <c r="W87" t="inlineStr">
        <is>
          <t>Yes</t>
        </is>
      </c>
      <c r="X87" s="489" t="inlineStr"/>
      <c r="Y87" s="489" t="inlineStr"/>
      <c r="Z87" s="489" t="inlineStr"/>
    </row>
    <row r="88">
      <c r="A88" t="n">
        <v>91</v>
      </c>
      <c r="B88">
        <f>'Loan Book'!D91</f>
        <v/>
      </c>
      <c r="C88">
        <f>'Loan Book'!E91</f>
        <v/>
      </c>
      <c r="D88">
        <f>'Loan Book'!F91</f>
        <v/>
      </c>
      <c r="E88" s="487">
        <f>'Loan Book'!G91</f>
        <v/>
      </c>
      <c r="F88" s="488">
        <f>'Loan Book'!L91</f>
        <v/>
      </c>
      <c r="G88" s="488">
        <f>'Loan Book'!M91</f>
        <v/>
      </c>
      <c r="H88" s="488">
        <f>'Loan Book'!O91</f>
        <v/>
      </c>
      <c r="I88" s="488">
        <f>'Loan Book'!R91</f>
        <v/>
      </c>
      <c r="J88" t="inlineStr">
        <is>
          <t>000104450000086</t>
        </is>
      </c>
      <c r="K88" t="inlineStr">
        <is>
          <t>High</t>
        </is>
      </c>
      <c r="L88">
        <f>IFERROR(INDEX('E-Banker master'!$B$2:$B$186,MATCH($J88,'E-Banker master'!$A$2:$A$186,0)),"")</f>
        <v/>
      </c>
      <c r="M88" s="487">
        <f>IFERROR(INDEX('E-Banker master'!$H$2:$H$186,MATCH($J88,'E-Banker master'!$A$2:$A$186,0)),"")</f>
        <v/>
      </c>
      <c r="N88" s="488">
        <f>IFERROR(INDEX('E-Banker master'!$I$2:$I$186,MATCH($J88,'E-Banker master'!$A$2:$A$186,0)),"")</f>
        <v/>
      </c>
      <c r="O88" s="488">
        <f>IFERROR(INDEX('E-Banker master'!$N$2:$N$186,MATCH($J88,'E-Banker master'!$A$2:$A$186,0)),"")</f>
        <v/>
      </c>
      <c r="P88" s="488">
        <f>IFERROR(INDEX('E-Banker master'!$P$2:$P$186,MATCH($J88,'E-Banker master'!$A$2:$A$186,0)),"")</f>
        <v/>
      </c>
      <c r="Q88" s="487">
        <f>IFERROR(INDEX('E-Banker master'!$Q$2:$Q$186,MATCH($J88,'E-Banker master'!$A$2:$A$186,0)),"")</f>
        <v/>
      </c>
      <c r="R88">
        <f>IFERROR(INDEX('E-Banker master'!$E$2:$E$186,MATCH($J88,'E-Banker master'!$A$2:$A$186,0)),"")</f>
        <v/>
      </c>
      <c r="S88">
        <f>IF($J88="","",IF(O88="","No take-on posting",IF(ABS(H88-O88)&lt;1,"Yes",IF(ABS(H88/O88-1)&lt;0.01,"Within 1%","No"))))</f>
        <v/>
      </c>
      <c r="T88">
        <f>IF($J88="","",IF(OR(P88="",P88=0),"No balance",IF(ABS(I88-P88)&lt;1,"Yes",IF(ABS(I88/P88-1)&lt;0.02,"Within 2%",IF(ABS(I88/P88-1)&lt;0.05,"Within 5%","No")))))</f>
        <v/>
      </c>
      <c r="U88">
        <f>IF($J88="","",IF(N88="","",IF(ABS(F88-N88)&lt;1,"Yes",IF(ABS(G88-N88)&lt;1,"Disbursed = sanction","No"))))</f>
        <v/>
      </c>
      <c r="V88">
        <f>IF(OR($J88="",Q88="",E88=""),"",ABS(E88-Q88))</f>
        <v/>
      </c>
      <c r="W88" t="inlineStr">
        <is>
          <t>Yes</t>
        </is>
      </c>
      <c r="X88" s="489" t="inlineStr"/>
      <c r="Y88" s="489" t="inlineStr"/>
      <c r="Z88" s="489" t="inlineStr"/>
    </row>
    <row r="89">
      <c r="A89" t="n">
        <v>92</v>
      </c>
      <c r="B89">
        <f>'Loan Book'!D92</f>
        <v/>
      </c>
      <c r="C89">
        <f>'Loan Book'!E92</f>
        <v/>
      </c>
      <c r="D89">
        <f>'Loan Book'!F92</f>
        <v/>
      </c>
      <c r="E89" s="487">
        <f>'Loan Book'!G92</f>
        <v/>
      </c>
      <c r="F89" s="488">
        <f>'Loan Book'!L92</f>
        <v/>
      </c>
      <c r="G89" s="488">
        <f>'Loan Book'!M92</f>
        <v/>
      </c>
      <c r="H89" s="488">
        <f>'Loan Book'!O92</f>
        <v/>
      </c>
      <c r="I89" s="488">
        <f>'Loan Book'!R92</f>
        <v/>
      </c>
      <c r="J89" t="inlineStr">
        <is>
          <t>000104460000087</t>
        </is>
      </c>
      <c r="K89" t="inlineStr">
        <is>
          <t>High</t>
        </is>
      </c>
      <c r="L89">
        <f>IFERROR(INDEX('E-Banker master'!$B$2:$B$186,MATCH($J89,'E-Banker master'!$A$2:$A$186,0)),"")</f>
        <v/>
      </c>
      <c r="M89" s="487">
        <f>IFERROR(INDEX('E-Banker master'!$H$2:$H$186,MATCH($J89,'E-Banker master'!$A$2:$A$186,0)),"")</f>
        <v/>
      </c>
      <c r="N89" s="488">
        <f>IFERROR(INDEX('E-Banker master'!$I$2:$I$186,MATCH($J89,'E-Banker master'!$A$2:$A$186,0)),"")</f>
        <v/>
      </c>
      <c r="O89" s="488">
        <f>IFERROR(INDEX('E-Banker master'!$N$2:$N$186,MATCH($J89,'E-Banker master'!$A$2:$A$186,0)),"")</f>
        <v/>
      </c>
      <c r="P89" s="488">
        <f>IFERROR(INDEX('E-Banker master'!$P$2:$P$186,MATCH($J89,'E-Banker master'!$A$2:$A$186,0)),"")</f>
        <v/>
      </c>
      <c r="Q89" s="487">
        <f>IFERROR(INDEX('E-Banker master'!$Q$2:$Q$186,MATCH($J89,'E-Banker master'!$A$2:$A$186,0)),"")</f>
        <v/>
      </c>
      <c r="R89">
        <f>IFERROR(INDEX('E-Banker master'!$E$2:$E$186,MATCH($J89,'E-Banker master'!$A$2:$A$186,0)),"")</f>
        <v/>
      </c>
      <c r="S89">
        <f>IF($J89="","",IF(O89="","No take-on posting",IF(ABS(H89-O89)&lt;1,"Yes",IF(ABS(H89/O89-1)&lt;0.01,"Within 1%","No"))))</f>
        <v/>
      </c>
      <c r="T89">
        <f>IF($J89="","",IF(OR(P89="",P89=0),"No balance",IF(ABS(I89-P89)&lt;1,"Yes",IF(ABS(I89/P89-1)&lt;0.02,"Within 2%",IF(ABS(I89/P89-1)&lt;0.05,"Within 5%","No")))))</f>
        <v/>
      </c>
      <c r="U89">
        <f>IF($J89="","",IF(N89="","",IF(ABS(F89-N89)&lt;1,"Yes",IF(ABS(G89-N89)&lt;1,"Disbursed = sanction","No"))))</f>
        <v/>
      </c>
      <c r="V89">
        <f>IF(OR($J89="",Q89="",E89=""),"",ABS(E89-Q89))</f>
        <v/>
      </c>
      <c r="W89" t="inlineStr">
        <is>
          <t>Yes</t>
        </is>
      </c>
      <c r="X89" s="489" t="inlineStr"/>
      <c r="Y89" s="489" t="inlineStr"/>
      <c r="Z89" s="489" t="inlineStr"/>
    </row>
    <row r="90">
      <c r="A90" t="n">
        <v>93</v>
      </c>
      <c r="B90">
        <f>'Loan Book'!D93</f>
        <v/>
      </c>
      <c r="C90">
        <f>'Loan Book'!E93</f>
        <v/>
      </c>
      <c r="D90">
        <f>'Loan Book'!F93</f>
        <v/>
      </c>
      <c r="E90" s="487">
        <f>'Loan Book'!G93</f>
        <v/>
      </c>
      <c r="F90" s="488">
        <f>'Loan Book'!L93</f>
        <v/>
      </c>
      <c r="G90" s="488">
        <f>'Loan Book'!M93</f>
        <v/>
      </c>
      <c r="H90" s="488">
        <f>'Loan Book'!O93</f>
        <v/>
      </c>
      <c r="I90" s="488">
        <f>'Loan Book'!R93</f>
        <v/>
      </c>
      <c r="J90" t="inlineStr">
        <is>
          <t>000104460000088</t>
        </is>
      </c>
      <c r="K90" t="inlineStr">
        <is>
          <t>High</t>
        </is>
      </c>
      <c r="L90">
        <f>IFERROR(INDEX('E-Banker master'!$B$2:$B$186,MATCH($J90,'E-Banker master'!$A$2:$A$186,0)),"")</f>
        <v/>
      </c>
      <c r="M90" s="487">
        <f>IFERROR(INDEX('E-Banker master'!$H$2:$H$186,MATCH($J90,'E-Banker master'!$A$2:$A$186,0)),"")</f>
        <v/>
      </c>
      <c r="N90" s="488">
        <f>IFERROR(INDEX('E-Banker master'!$I$2:$I$186,MATCH($J90,'E-Banker master'!$A$2:$A$186,0)),"")</f>
        <v/>
      </c>
      <c r="O90" s="488">
        <f>IFERROR(INDEX('E-Banker master'!$N$2:$N$186,MATCH($J90,'E-Banker master'!$A$2:$A$186,0)),"")</f>
        <v/>
      </c>
      <c r="P90" s="488">
        <f>IFERROR(INDEX('E-Banker master'!$P$2:$P$186,MATCH($J90,'E-Banker master'!$A$2:$A$186,0)),"")</f>
        <v/>
      </c>
      <c r="Q90" s="487">
        <f>IFERROR(INDEX('E-Banker master'!$Q$2:$Q$186,MATCH($J90,'E-Banker master'!$A$2:$A$186,0)),"")</f>
        <v/>
      </c>
      <c r="R90">
        <f>IFERROR(INDEX('E-Banker master'!$E$2:$E$186,MATCH($J90,'E-Banker master'!$A$2:$A$186,0)),"")</f>
        <v/>
      </c>
      <c r="S90">
        <f>IF($J90="","",IF(O90="","No take-on posting",IF(ABS(H90-O90)&lt;1,"Yes",IF(ABS(H90/O90-1)&lt;0.01,"Within 1%","No"))))</f>
        <v/>
      </c>
      <c r="T90">
        <f>IF($J90="","",IF(OR(P90="",P90=0),"No balance",IF(ABS(I90-P90)&lt;1,"Yes",IF(ABS(I90/P90-1)&lt;0.02,"Within 2%",IF(ABS(I90/P90-1)&lt;0.05,"Within 5%","No")))))</f>
        <v/>
      </c>
      <c r="U90">
        <f>IF($J90="","",IF(N90="","",IF(ABS(F90-N90)&lt;1,"Yes",IF(ABS(G90-N90)&lt;1,"Disbursed = sanction","No"))))</f>
        <v/>
      </c>
      <c r="V90">
        <f>IF(OR($J90="",Q90="",E90=""),"",ABS(E90-Q90))</f>
        <v/>
      </c>
      <c r="W90" t="inlineStr">
        <is>
          <t>Yes</t>
        </is>
      </c>
      <c r="X90" s="489" t="inlineStr"/>
      <c r="Y90" s="489" t="inlineStr"/>
      <c r="Z90" s="489" t="inlineStr"/>
    </row>
    <row r="91">
      <c r="A91" t="n">
        <v>94</v>
      </c>
      <c r="B91">
        <f>'Loan Book'!D94</f>
        <v/>
      </c>
      <c r="C91">
        <f>'Loan Book'!E94</f>
        <v/>
      </c>
      <c r="D91">
        <f>'Loan Book'!F94</f>
        <v/>
      </c>
      <c r="E91" s="487">
        <f>'Loan Book'!G94</f>
        <v/>
      </c>
      <c r="F91" s="488">
        <f>'Loan Book'!L94</f>
        <v/>
      </c>
      <c r="G91" s="488">
        <f>'Loan Book'!M94</f>
        <v/>
      </c>
      <c r="H91" s="488">
        <f>'Loan Book'!O94</f>
        <v/>
      </c>
      <c r="I91" s="488">
        <f>'Loan Book'!R94</f>
        <v/>
      </c>
      <c r="J91" t="inlineStr">
        <is>
          <t>000104460000089</t>
        </is>
      </c>
      <c r="K91" t="inlineStr">
        <is>
          <t>High</t>
        </is>
      </c>
      <c r="L91">
        <f>IFERROR(INDEX('E-Banker master'!$B$2:$B$186,MATCH($J91,'E-Banker master'!$A$2:$A$186,0)),"")</f>
        <v/>
      </c>
      <c r="M91" s="487">
        <f>IFERROR(INDEX('E-Banker master'!$H$2:$H$186,MATCH($J91,'E-Banker master'!$A$2:$A$186,0)),"")</f>
        <v/>
      </c>
      <c r="N91" s="488">
        <f>IFERROR(INDEX('E-Banker master'!$I$2:$I$186,MATCH($J91,'E-Banker master'!$A$2:$A$186,0)),"")</f>
        <v/>
      </c>
      <c r="O91" s="488">
        <f>IFERROR(INDEX('E-Banker master'!$N$2:$N$186,MATCH($J91,'E-Banker master'!$A$2:$A$186,0)),"")</f>
        <v/>
      </c>
      <c r="P91" s="488">
        <f>IFERROR(INDEX('E-Banker master'!$P$2:$P$186,MATCH($J91,'E-Banker master'!$A$2:$A$186,0)),"")</f>
        <v/>
      </c>
      <c r="Q91" s="487">
        <f>IFERROR(INDEX('E-Banker master'!$Q$2:$Q$186,MATCH($J91,'E-Banker master'!$A$2:$A$186,0)),"")</f>
        <v/>
      </c>
      <c r="R91">
        <f>IFERROR(INDEX('E-Banker master'!$E$2:$E$186,MATCH($J91,'E-Banker master'!$A$2:$A$186,0)),"")</f>
        <v/>
      </c>
      <c r="S91">
        <f>IF($J91="","",IF(O91="","No take-on posting",IF(ABS(H91-O91)&lt;1,"Yes",IF(ABS(H91/O91-1)&lt;0.01,"Within 1%","No"))))</f>
        <v/>
      </c>
      <c r="T91">
        <f>IF($J91="","",IF(OR(P91="",P91=0),"No balance",IF(ABS(I91-P91)&lt;1,"Yes",IF(ABS(I91/P91-1)&lt;0.02,"Within 2%",IF(ABS(I91/P91-1)&lt;0.05,"Within 5%","No")))))</f>
        <v/>
      </c>
      <c r="U91">
        <f>IF($J91="","",IF(N91="","",IF(ABS(F91-N91)&lt;1,"Yes",IF(ABS(G91-N91)&lt;1,"Disbursed = sanction","No"))))</f>
        <v/>
      </c>
      <c r="V91">
        <f>IF(OR($J91="",Q91="",E91=""),"",ABS(E91-Q91))</f>
        <v/>
      </c>
      <c r="W91" t="inlineStr">
        <is>
          <t>Yes</t>
        </is>
      </c>
      <c r="X91" s="489" t="inlineStr"/>
      <c r="Y91" s="489" t="inlineStr"/>
      <c r="Z91" s="489" t="inlineStr"/>
    </row>
    <row r="92">
      <c r="A92" t="n">
        <v>95</v>
      </c>
      <c r="B92">
        <f>'Loan Book'!D95</f>
        <v/>
      </c>
      <c r="C92">
        <f>'Loan Book'!E95</f>
        <v/>
      </c>
      <c r="D92">
        <f>'Loan Book'!F95</f>
        <v/>
      </c>
      <c r="E92" s="487">
        <f>'Loan Book'!G95</f>
        <v/>
      </c>
      <c r="F92" s="488">
        <f>'Loan Book'!L95</f>
        <v/>
      </c>
      <c r="G92" s="488">
        <f>'Loan Book'!M95</f>
        <v/>
      </c>
      <c r="H92" s="488">
        <f>'Loan Book'!O95</f>
        <v/>
      </c>
      <c r="I92" s="488">
        <f>'Loan Book'!R95</f>
        <v/>
      </c>
      <c r="J92" t="inlineStr">
        <is>
          <t>000104450000090</t>
        </is>
      </c>
      <c r="K92" t="inlineStr">
        <is>
          <t>High</t>
        </is>
      </c>
      <c r="L92">
        <f>IFERROR(INDEX('E-Banker master'!$B$2:$B$186,MATCH($J92,'E-Banker master'!$A$2:$A$186,0)),"")</f>
        <v/>
      </c>
      <c r="M92" s="487">
        <f>IFERROR(INDEX('E-Banker master'!$H$2:$H$186,MATCH($J92,'E-Banker master'!$A$2:$A$186,0)),"")</f>
        <v/>
      </c>
      <c r="N92" s="488">
        <f>IFERROR(INDEX('E-Banker master'!$I$2:$I$186,MATCH($J92,'E-Banker master'!$A$2:$A$186,0)),"")</f>
        <v/>
      </c>
      <c r="O92" s="488">
        <f>IFERROR(INDEX('E-Banker master'!$N$2:$N$186,MATCH($J92,'E-Banker master'!$A$2:$A$186,0)),"")</f>
        <v/>
      </c>
      <c r="P92" s="488">
        <f>IFERROR(INDEX('E-Banker master'!$P$2:$P$186,MATCH($J92,'E-Banker master'!$A$2:$A$186,0)),"")</f>
        <v/>
      </c>
      <c r="Q92" s="487">
        <f>IFERROR(INDEX('E-Banker master'!$Q$2:$Q$186,MATCH($J92,'E-Banker master'!$A$2:$A$186,0)),"")</f>
        <v/>
      </c>
      <c r="R92">
        <f>IFERROR(INDEX('E-Banker master'!$E$2:$E$186,MATCH($J92,'E-Banker master'!$A$2:$A$186,0)),"")</f>
        <v/>
      </c>
      <c r="S92">
        <f>IF($J92="","",IF(O92="","No take-on posting",IF(ABS(H92-O92)&lt;1,"Yes",IF(ABS(H92/O92-1)&lt;0.01,"Within 1%","No"))))</f>
        <v/>
      </c>
      <c r="T92">
        <f>IF($J92="","",IF(OR(P92="",P92=0),"No balance",IF(ABS(I92-P92)&lt;1,"Yes",IF(ABS(I92/P92-1)&lt;0.02,"Within 2%",IF(ABS(I92/P92-1)&lt;0.05,"Within 5%","No")))))</f>
        <v/>
      </c>
      <c r="U92">
        <f>IF($J92="","",IF(N92="","",IF(ABS(F92-N92)&lt;1,"Yes",IF(ABS(G92-N92)&lt;1,"Disbursed = sanction","No"))))</f>
        <v/>
      </c>
      <c r="V92">
        <f>IF(OR($J92="",Q92="",E92=""),"",ABS(E92-Q92))</f>
        <v/>
      </c>
      <c r="W92" t="inlineStr">
        <is>
          <t>Yes</t>
        </is>
      </c>
      <c r="X92" s="489" t="inlineStr"/>
      <c r="Y92" s="489" t="inlineStr"/>
      <c r="Z92" s="489" t="inlineStr"/>
    </row>
    <row r="93">
      <c r="A93" t="n">
        <v>96</v>
      </c>
      <c r="B93">
        <f>'Loan Book'!D96</f>
        <v/>
      </c>
      <c r="C93">
        <f>'Loan Book'!E96</f>
        <v/>
      </c>
      <c r="D93">
        <f>'Loan Book'!F96</f>
        <v/>
      </c>
      <c r="E93" s="487">
        <f>'Loan Book'!G96</f>
        <v/>
      </c>
      <c r="F93" s="488">
        <f>'Loan Book'!L96</f>
        <v/>
      </c>
      <c r="G93" s="488">
        <f>'Loan Book'!M96</f>
        <v/>
      </c>
      <c r="H93" s="488">
        <f>'Loan Book'!O96</f>
        <v/>
      </c>
      <c r="I93" s="488">
        <f>'Loan Book'!R96</f>
        <v/>
      </c>
      <c r="J93" t="inlineStr">
        <is>
          <t>000104450000091</t>
        </is>
      </c>
      <c r="K93" t="inlineStr">
        <is>
          <t>High</t>
        </is>
      </c>
      <c r="L93">
        <f>IFERROR(INDEX('E-Banker master'!$B$2:$B$186,MATCH($J93,'E-Banker master'!$A$2:$A$186,0)),"")</f>
        <v/>
      </c>
      <c r="M93" s="487">
        <f>IFERROR(INDEX('E-Banker master'!$H$2:$H$186,MATCH($J93,'E-Banker master'!$A$2:$A$186,0)),"")</f>
        <v/>
      </c>
      <c r="N93" s="488">
        <f>IFERROR(INDEX('E-Banker master'!$I$2:$I$186,MATCH($J93,'E-Banker master'!$A$2:$A$186,0)),"")</f>
        <v/>
      </c>
      <c r="O93" s="488">
        <f>IFERROR(INDEX('E-Banker master'!$N$2:$N$186,MATCH($J93,'E-Banker master'!$A$2:$A$186,0)),"")</f>
        <v/>
      </c>
      <c r="P93" s="488">
        <f>IFERROR(INDEX('E-Banker master'!$P$2:$P$186,MATCH($J93,'E-Banker master'!$A$2:$A$186,0)),"")</f>
        <v/>
      </c>
      <c r="Q93" s="487">
        <f>IFERROR(INDEX('E-Banker master'!$Q$2:$Q$186,MATCH($J93,'E-Banker master'!$A$2:$A$186,0)),"")</f>
        <v/>
      </c>
      <c r="R93">
        <f>IFERROR(INDEX('E-Banker master'!$E$2:$E$186,MATCH($J93,'E-Banker master'!$A$2:$A$186,0)),"")</f>
        <v/>
      </c>
      <c r="S93">
        <f>IF($J93="","",IF(O93="","No take-on posting",IF(ABS(H93-O93)&lt;1,"Yes",IF(ABS(H93/O93-1)&lt;0.01,"Within 1%","No"))))</f>
        <v/>
      </c>
      <c r="T93">
        <f>IF($J93="","",IF(OR(P93="",P93=0),"No balance",IF(ABS(I93-P93)&lt;1,"Yes",IF(ABS(I93/P93-1)&lt;0.02,"Within 2%",IF(ABS(I93/P93-1)&lt;0.05,"Within 5%","No")))))</f>
        <v/>
      </c>
      <c r="U93">
        <f>IF($J93="","",IF(N93="","",IF(ABS(F93-N93)&lt;1,"Yes",IF(ABS(G93-N93)&lt;1,"Disbursed = sanction","No"))))</f>
        <v/>
      </c>
      <c r="V93">
        <f>IF(OR($J93="",Q93="",E93=""),"",ABS(E93-Q93))</f>
        <v/>
      </c>
      <c r="W93" t="inlineStr">
        <is>
          <t>Yes</t>
        </is>
      </c>
      <c r="X93" s="489" t="inlineStr"/>
      <c r="Y93" s="489" t="inlineStr"/>
      <c r="Z93" s="489" t="inlineStr"/>
    </row>
    <row r="94">
      <c r="A94" t="n">
        <v>97</v>
      </c>
      <c r="B94">
        <f>'Loan Book'!D97</f>
        <v/>
      </c>
      <c r="C94">
        <f>'Loan Book'!E97</f>
        <v/>
      </c>
      <c r="D94">
        <f>'Loan Book'!F97</f>
        <v/>
      </c>
      <c r="E94" s="487">
        <f>'Loan Book'!G97</f>
        <v/>
      </c>
      <c r="F94" s="488">
        <f>'Loan Book'!L97</f>
        <v/>
      </c>
      <c r="G94" s="488">
        <f>'Loan Book'!M97</f>
        <v/>
      </c>
      <c r="H94" s="488">
        <f>'Loan Book'!O97</f>
        <v/>
      </c>
      <c r="I94" s="488">
        <f>'Loan Book'!R97</f>
        <v/>
      </c>
      <c r="J94" t="inlineStr">
        <is>
          <t>000104460000092</t>
        </is>
      </c>
      <c r="K94" t="inlineStr">
        <is>
          <t>High</t>
        </is>
      </c>
      <c r="L94">
        <f>IFERROR(INDEX('E-Banker master'!$B$2:$B$186,MATCH($J94,'E-Banker master'!$A$2:$A$186,0)),"")</f>
        <v/>
      </c>
      <c r="M94" s="487">
        <f>IFERROR(INDEX('E-Banker master'!$H$2:$H$186,MATCH($J94,'E-Banker master'!$A$2:$A$186,0)),"")</f>
        <v/>
      </c>
      <c r="N94" s="488">
        <f>IFERROR(INDEX('E-Banker master'!$I$2:$I$186,MATCH($J94,'E-Banker master'!$A$2:$A$186,0)),"")</f>
        <v/>
      </c>
      <c r="O94" s="488">
        <f>IFERROR(INDEX('E-Banker master'!$N$2:$N$186,MATCH($J94,'E-Banker master'!$A$2:$A$186,0)),"")</f>
        <v/>
      </c>
      <c r="P94" s="488">
        <f>IFERROR(INDEX('E-Banker master'!$P$2:$P$186,MATCH($J94,'E-Banker master'!$A$2:$A$186,0)),"")</f>
        <v/>
      </c>
      <c r="Q94" s="487">
        <f>IFERROR(INDEX('E-Banker master'!$Q$2:$Q$186,MATCH($J94,'E-Banker master'!$A$2:$A$186,0)),"")</f>
        <v/>
      </c>
      <c r="R94">
        <f>IFERROR(INDEX('E-Banker master'!$E$2:$E$186,MATCH($J94,'E-Banker master'!$A$2:$A$186,0)),"")</f>
        <v/>
      </c>
      <c r="S94">
        <f>IF($J94="","",IF(O94="","No take-on posting",IF(ABS(H94-O94)&lt;1,"Yes",IF(ABS(H94/O94-1)&lt;0.01,"Within 1%","No"))))</f>
        <v/>
      </c>
      <c r="T94">
        <f>IF($J94="","",IF(OR(P94="",P94=0),"No balance",IF(ABS(I94-P94)&lt;1,"Yes",IF(ABS(I94/P94-1)&lt;0.02,"Within 2%",IF(ABS(I94/P94-1)&lt;0.05,"Within 5%","No")))))</f>
        <v/>
      </c>
      <c r="U94">
        <f>IF($J94="","",IF(N94="","",IF(ABS(F94-N94)&lt;1,"Yes",IF(ABS(G94-N94)&lt;1,"Disbursed = sanction","No"))))</f>
        <v/>
      </c>
      <c r="V94">
        <f>IF(OR($J94="",Q94="",E94=""),"",ABS(E94-Q94))</f>
        <v/>
      </c>
      <c r="W94" t="inlineStr">
        <is>
          <t>Yes</t>
        </is>
      </c>
      <c r="X94" s="489" t="inlineStr"/>
      <c r="Y94" s="489" t="inlineStr"/>
      <c r="Z94" s="489" t="inlineStr"/>
    </row>
    <row r="95">
      <c r="A95" t="n">
        <v>98</v>
      </c>
      <c r="B95">
        <f>'Loan Book'!D98</f>
        <v/>
      </c>
      <c r="C95">
        <f>'Loan Book'!E98</f>
        <v/>
      </c>
      <c r="D95">
        <f>'Loan Book'!F98</f>
        <v/>
      </c>
      <c r="E95" s="487">
        <f>'Loan Book'!G98</f>
        <v/>
      </c>
      <c r="F95" s="488">
        <f>'Loan Book'!L98</f>
        <v/>
      </c>
      <c r="G95" s="488">
        <f>'Loan Book'!M98</f>
        <v/>
      </c>
      <c r="H95" s="488">
        <f>'Loan Book'!O98</f>
        <v/>
      </c>
      <c r="I95" s="488">
        <f>'Loan Book'!R98</f>
        <v/>
      </c>
      <c r="J95" t="inlineStr">
        <is>
          <t>000104460000093</t>
        </is>
      </c>
      <c r="K95" t="inlineStr">
        <is>
          <t>High</t>
        </is>
      </c>
      <c r="L95">
        <f>IFERROR(INDEX('E-Banker master'!$B$2:$B$186,MATCH($J95,'E-Banker master'!$A$2:$A$186,0)),"")</f>
        <v/>
      </c>
      <c r="M95" s="487">
        <f>IFERROR(INDEX('E-Banker master'!$H$2:$H$186,MATCH($J95,'E-Banker master'!$A$2:$A$186,0)),"")</f>
        <v/>
      </c>
      <c r="N95" s="488">
        <f>IFERROR(INDEX('E-Banker master'!$I$2:$I$186,MATCH($J95,'E-Banker master'!$A$2:$A$186,0)),"")</f>
        <v/>
      </c>
      <c r="O95" s="488">
        <f>IFERROR(INDEX('E-Banker master'!$N$2:$N$186,MATCH($J95,'E-Banker master'!$A$2:$A$186,0)),"")</f>
        <v/>
      </c>
      <c r="P95" s="488">
        <f>IFERROR(INDEX('E-Banker master'!$P$2:$P$186,MATCH($J95,'E-Banker master'!$A$2:$A$186,0)),"")</f>
        <v/>
      </c>
      <c r="Q95" s="487">
        <f>IFERROR(INDEX('E-Banker master'!$Q$2:$Q$186,MATCH($J95,'E-Banker master'!$A$2:$A$186,0)),"")</f>
        <v/>
      </c>
      <c r="R95">
        <f>IFERROR(INDEX('E-Banker master'!$E$2:$E$186,MATCH($J95,'E-Banker master'!$A$2:$A$186,0)),"")</f>
        <v/>
      </c>
      <c r="S95">
        <f>IF($J95="","",IF(O95="","No take-on posting",IF(ABS(H95-O95)&lt;1,"Yes",IF(ABS(H95/O95-1)&lt;0.01,"Within 1%","No"))))</f>
        <v/>
      </c>
      <c r="T95">
        <f>IF($J95="","",IF(OR(P95="",P95=0),"No balance",IF(ABS(I95-P95)&lt;1,"Yes",IF(ABS(I95/P95-1)&lt;0.02,"Within 2%",IF(ABS(I95/P95-1)&lt;0.05,"Within 5%","No")))))</f>
        <v/>
      </c>
      <c r="U95">
        <f>IF($J95="","",IF(N95="","",IF(ABS(F95-N95)&lt;1,"Yes",IF(ABS(G95-N95)&lt;1,"Disbursed = sanction","No"))))</f>
        <v/>
      </c>
      <c r="V95">
        <f>IF(OR($J95="",Q95="",E95=""),"",ABS(E95-Q95))</f>
        <v/>
      </c>
      <c r="W95" t="inlineStr">
        <is>
          <t>Yes</t>
        </is>
      </c>
      <c r="X95" s="489" t="inlineStr"/>
      <c r="Y95" s="489" t="inlineStr"/>
      <c r="Z95" s="489" t="inlineStr"/>
    </row>
    <row r="96">
      <c r="A96" t="n">
        <v>99</v>
      </c>
      <c r="B96">
        <f>'Loan Book'!D99</f>
        <v/>
      </c>
      <c r="C96">
        <f>'Loan Book'!E99</f>
        <v/>
      </c>
      <c r="D96">
        <f>'Loan Book'!F99</f>
        <v/>
      </c>
      <c r="E96" s="487">
        <f>'Loan Book'!G99</f>
        <v/>
      </c>
      <c r="F96" s="488">
        <f>'Loan Book'!L99</f>
        <v/>
      </c>
      <c r="G96" s="488">
        <f>'Loan Book'!M99</f>
        <v/>
      </c>
      <c r="H96" s="488">
        <f>'Loan Book'!O99</f>
        <v/>
      </c>
      <c r="I96" s="488">
        <f>'Loan Book'!R99</f>
        <v/>
      </c>
      <c r="J96" t="inlineStr">
        <is>
          <t>000104450000037</t>
        </is>
      </c>
      <c r="K96" t="inlineStr">
        <is>
          <t>High</t>
        </is>
      </c>
      <c r="L96">
        <f>IFERROR(INDEX('E-Banker master'!$B$2:$B$186,MATCH($J96,'E-Banker master'!$A$2:$A$186,0)),"")</f>
        <v/>
      </c>
      <c r="M96" s="487">
        <f>IFERROR(INDEX('E-Banker master'!$H$2:$H$186,MATCH($J96,'E-Banker master'!$A$2:$A$186,0)),"")</f>
        <v/>
      </c>
      <c r="N96" s="488">
        <f>IFERROR(INDEX('E-Banker master'!$I$2:$I$186,MATCH($J96,'E-Banker master'!$A$2:$A$186,0)),"")</f>
        <v/>
      </c>
      <c r="O96" s="488">
        <f>IFERROR(INDEX('E-Banker master'!$N$2:$N$186,MATCH($J96,'E-Banker master'!$A$2:$A$186,0)),"")</f>
        <v/>
      </c>
      <c r="P96" s="488">
        <f>IFERROR(INDEX('E-Banker master'!$P$2:$P$186,MATCH($J96,'E-Banker master'!$A$2:$A$186,0)),"")</f>
        <v/>
      </c>
      <c r="Q96" s="487">
        <f>IFERROR(INDEX('E-Banker master'!$Q$2:$Q$186,MATCH($J96,'E-Banker master'!$A$2:$A$186,0)),"")</f>
        <v/>
      </c>
      <c r="R96">
        <f>IFERROR(INDEX('E-Banker master'!$E$2:$E$186,MATCH($J96,'E-Banker master'!$A$2:$A$186,0)),"")</f>
        <v/>
      </c>
      <c r="S96">
        <f>IF($J96="","",IF(O96="","No take-on posting",IF(ABS(H96-O96)&lt;1,"Yes",IF(ABS(H96/O96-1)&lt;0.01,"Within 1%","No"))))</f>
        <v/>
      </c>
      <c r="T96">
        <f>IF($J96="","",IF(OR(P96="",P96=0),"No balance",IF(ABS(I96-P96)&lt;1,"Yes",IF(ABS(I96/P96-1)&lt;0.02,"Within 2%",IF(ABS(I96/P96-1)&lt;0.05,"Within 5%","No")))))</f>
        <v/>
      </c>
      <c r="U96">
        <f>IF($J96="","",IF(N96="","",IF(ABS(F96-N96)&lt;1,"Yes",IF(ABS(G96-N96)&lt;1,"Disbursed = sanction","No"))))</f>
        <v/>
      </c>
      <c r="V96">
        <f>IF(OR($J96="",Q96="",E96=""),"",ABS(E96-Q96))</f>
        <v/>
      </c>
      <c r="W96" t="inlineStr">
        <is>
          <t>Yes</t>
        </is>
      </c>
      <c r="X96" s="489" t="inlineStr"/>
      <c r="Y96" s="489" t="inlineStr"/>
      <c r="Z96" s="489" t="inlineStr"/>
    </row>
    <row r="97">
      <c r="A97" t="n">
        <v>100</v>
      </c>
      <c r="B97">
        <f>'Loan Book'!D100</f>
        <v/>
      </c>
      <c r="C97">
        <f>'Loan Book'!E100</f>
        <v/>
      </c>
      <c r="D97">
        <f>'Loan Book'!F100</f>
        <v/>
      </c>
      <c r="E97" s="487">
        <f>'Loan Book'!G100</f>
        <v/>
      </c>
      <c r="F97" s="488">
        <f>'Loan Book'!L100</f>
        <v/>
      </c>
      <c r="G97" s="488">
        <f>'Loan Book'!M100</f>
        <v/>
      </c>
      <c r="H97" s="488">
        <f>'Loan Book'!O100</f>
        <v/>
      </c>
      <c r="I97" s="488">
        <f>'Loan Book'!R100</f>
        <v/>
      </c>
      <c r="J97" t="inlineStr">
        <is>
          <t>000104450000095</t>
        </is>
      </c>
      <c r="K97" t="inlineStr">
        <is>
          <t>High</t>
        </is>
      </c>
      <c r="L97">
        <f>IFERROR(INDEX('E-Banker master'!$B$2:$B$186,MATCH($J97,'E-Banker master'!$A$2:$A$186,0)),"")</f>
        <v/>
      </c>
      <c r="M97" s="487">
        <f>IFERROR(INDEX('E-Banker master'!$H$2:$H$186,MATCH($J97,'E-Banker master'!$A$2:$A$186,0)),"")</f>
        <v/>
      </c>
      <c r="N97" s="488">
        <f>IFERROR(INDEX('E-Banker master'!$I$2:$I$186,MATCH($J97,'E-Banker master'!$A$2:$A$186,0)),"")</f>
        <v/>
      </c>
      <c r="O97" s="488">
        <f>IFERROR(INDEX('E-Banker master'!$N$2:$N$186,MATCH($J97,'E-Banker master'!$A$2:$A$186,0)),"")</f>
        <v/>
      </c>
      <c r="P97" s="488">
        <f>IFERROR(INDEX('E-Banker master'!$P$2:$P$186,MATCH($J97,'E-Banker master'!$A$2:$A$186,0)),"")</f>
        <v/>
      </c>
      <c r="Q97" s="487">
        <f>IFERROR(INDEX('E-Banker master'!$Q$2:$Q$186,MATCH($J97,'E-Banker master'!$A$2:$A$186,0)),"")</f>
        <v/>
      </c>
      <c r="R97">
        <f>IFERROR(INDEX('E-Banker master'!$E$2:$E$186,MATCH($J97,'E-Banker master'!$A$2:$A$186,0)),"")</f>
        <v/>
      </c>
      <c r="S97">
        <f>IF($J97="","",IF(O97="","No take-on posting",IF(ABS(H97-O97)&lt;1,"Yes",IF(ABS(H97/O97-1)&lt;0.01,"Within 1%","No"))))</f>
        <v/>
      </c>
      <c r="T97">
        <f>IF($J97="","",IF(OR(P97="",P97=0),"No balance",IF(ABS(I97-P97)&lt;1,"Yes",IF(ABS(I97/P97-1)&lt;0.02,"Within 2%",IF(ABS(I97/P97-1)&lt;0.05,"Within 5%","No")))))</f>
        <v/>
      </c>
      <c r="U97">
        <f>IF($J97="","",IF(N97="","",IF(ABS(F97-N97)&lt;1,"Yes",IF(ABS(G97-N97)&lt;1,"Disbursed = sanction","No"))))</f>
        <v/>
      </c>
      <c r="V97">
        <f>IF(OR($J97="",Q97="",E97=""),"",ABS(E97-Q97))</f>
        <v/>
      </c>
      <c r="W97" t="inlineStr">
        <is>
          <t>Yes</t>
        </is>
      </c>
      <c r="X97" s="489" t="inlineStr"/>
      <c r="Y97" s="489" t="inlineStr"/>
      <c r="Z97" s="489" t="inlineStr"/>
    </row>
    <row r="98">
      <c r="A98" t="n">
        <v>101</v>
      </c>
      <c r="B98">
        <f>'Loan Book'!D101</f>
        <v/>
      </c>
      <c r="C98">
        <f>'Loan Book'!E101</f>
        <v/>
      </c>
      <c r="D98">
        <f>'Loan Book'!F101</f>
        <v/>
      </c>
      <c r="E98" s="487">
        <f>'Loan Book'!G101</f>
        <v/>
      </c>
      <c r="F98" s="488">
        <f>'Loan Book'!L101</f>
        <v/>
      </c>
      <c r="G98" s="488">
        <f>'Loan Book'!M101</f>
        <v/>
      </c>
      <c r="H98" s="488">
        <f>'Loan Book'!O101</f>
        <v/>
      </c>
      <c r="I98" s="488">
        <f>'Loan Book'!R101</f>
        <v/>
      </c>
      <c r="J98" t="inlineStr">
        <is>
          <t>000104460000096</t>
        </is>
      </c>
      <c r="K98" t="inlineStr">
        <is>
          <t>High</t>
        </is>
      </c>
      <c r="L98">
        <f>IFERROR(INDEX('E-Banker master'!$B$2:$B$186,MATCH($J98,'E-Banker master'!$A$2:$A$186,0)),"")</f>
        <v/>
      </c>
      <c r="M98" s="487">
        <f>IFERROR(INDEX('E-Banker master'!$H$2:$H$186,MATCH($J98,'E-Banker master'!$A$2:$A$186,0)),"")</f>
        <v/>
      </c>
      <c r="N98" s="488">
        <f>IFERROR(INDEX('E-Banker master'!$I$2:$I$186,MATCH($J98,'E-Banker master'!$A$2:$A$186,0)),"")</f>
        <v/>
      </c>
      <c r="O98" s="488">
        <f>IFERROR(INDEX('E-Banker master'!$N$2:$N$186,MATCH($J98,'E-Banker master'!$A$2:$A$186,0)),"")</f>
        <v/>
      </c>
      <c r="P98" s="488">
        <f>IFERROR(INDEX('E-Banker master'!$P$2:$P$186,MATCH($J98,'E-Banker master'!$A$2:$A$186,0)),"")</f>
        <v/>
      </c>
      <c r="Q98" s="487">
        <f>IFERROR(INDEX('E-Banker master'!$Q$2:$Q$186,MATCH($J98,'E-Banker master'!$A$2:$A$186,0)),"")</f>
        <v/>
      </c>
      <c r="R98">
        <f>IFERROR(INDEX('E-Banker master'!$E$2:$E$186,MATCH($J98,'E-Banker master'!$A$2:$A$186,0)),"")</f>
        <v/>
      </c>
      <c r="S98">
        <f>IF($J98="","",IF(O98="","No take-on posting",IF(ABS(H98-O98)&lt;1,"Yes",IF(ABS(H98/O98-1)&lt;0.01,"Within 1%","No"))))</f>
        <v/>
      </c>
      <c r="T98">
        <f>IF($J98="","",IF(OR(P98="",P98=0),"No balance",IF(ABS(I98-P98)&lt;1,"Yes",IF(ABS(I98/P98-1)&lt;0.02,"Within 2%",IF(ABS(I98/P98-1)&lt;0.05,"Within 5%","No")))))</f>
        <v/>
      </c>
      <c r="U98">
        <f>IF($J98="","",IF(N98="","",IF(ABS(F98-N98)&lt;1,"Yes",IF(ABS(G98-N98)&lt;1,"Disbursed = sanction","No"))))</f>
        <v/>
      </c>
      <c r="V98">
        <f>IF(OR($J98="",Q98="",E98=""),"",ABS(E98-Q98))</f>
        <v/>
      </c>
      <c r="W98" t="inlineStr">
        <is>
          <t>Yes</t>
        </is>
      </c>
      <c r="X98" s="489" t="inlineStr"/>
      <c r="Y98" s="489" t="inlineStr"/>
      <c r="Z98" s="489" t="inlineStr"/>
    </row>
    <row r="99">
      <c r="A99" t="n">
        <v>102</v>
      </c>
      <c r="B99">
        <f>'Loan Book'!D102</f>
        <v/>
      </c>
      <c r="C99">
        <f>'Loan Book'!E102</f>
        <v/>
      </c>
      <c r="D99">
        <f>'Loan Book'!F102</f>
        <v/>
      </c>
      <c r="E99" s="487">
        <f>'Loan Book'!G102</f>
        <v/>
      </c>
      <c r="F99" s="488">
        <f>'Loan Book'!L102</f>
        <v/>
      </c>
      <c r="G99" s="488">
        <f>'Loan Book'!M102</f>
        <v/>
      </c>
      <c r="H99" s="488">
        <f>'Loan Book'!O102</f>
        <v/>
      </c>
      <c r="I99" s="488">
        <f>'Loan Book'!R102</f>
        <v/>
      </c>
      <c r="J99" t="inlineStr">
        <is>
          <t>000104430000062</t>
        </is>
      </c>
      <c r="K99" t="inlineStr">
        <is>
          <t>High</t>
        </is>
      </c>
      <c r="L99">
        <f>IFERROR(INDEX('E-Banker master'!$B$2:$B$186,MATCH($J99,'E-Banker master'!$A$2:$A$186,0)),"")</f>
        <v/>
      </c>
      <c r="M99" s="487">
        <f>IFERROR(INDEX('E-Banker master'!$H$2:$H$186,MATCH($J99,'E-Banker master'!$A$2:$A$186,0)),"")</f>
        <v/>
      </c>
      <c r="N99" s="488">
        <f>IFERROR(INDEX('E-Banker master'!$I$2:$I$186,MATCH($J99,'E-Banker master'!$A$2:$A$186,0)),"")</f>
        <v/>
      </c>
      <c r="O99" s="488">
        <f>IFERROR(INDEX('E-Banker master'!$N$2:$N$186,MATCH($J99,'E-Banker master'!$A$2:$A$186,0)),"")</f>
        <v/>
      </c>
      <c r="P99" s="488">
        <f>IFERROR(INDEX('E-Banker master'!$P$2:$P$186,MATCH($J99,'E-Banker master'!$A$2:$A$186,0)),"")</f>
        <v/>
      </c>
      <c r="Q99" s="487">
        <f>IFERROR(INDEX('E-Banker master'!$Q$2:$Q$186,MATCH($J99,'E-Banker master'!$A$2:$A$186,0)),"")</f>
        <v/>
      </c>
      <c r="R99">
        <f>IFERROR(INDEX('E-Banker master'!$E$2:$E$186,MATCH($J99,'E-Banker master'!$A$2:$A$186,0)),"")</f>
        <v/>
      </c>
      <c r="S99">
        <f>IF($J99="","",IF(O99="","No take-on posting",IF(ABS(H99-O99)&lt;1,"Yes",IF(ABS(H99/O99-1)&lt;0.01,"Within 1%","No"))))</f>
        <v/>
      </c>
      <c r="T99">
        <f>IF($J99="","",IF(OR(P99="",P99=0),"No balance",IF(ABS(I99-P99)&lt;1,"Yes",IF(ABS(I99/P99-1)&lt;0.02,"Within 2%",IF(ABS(I99/P99-1)&lt;0.05,"Within 5%","No")))))</f>
        <v/>
      </c>
      <c r="U99">
        <f>IF($J99="","",IF(N99="","",IF(ABS(F99-N99)&lt;1,"Yes",IF(ABS(G99-N99)&lt;1,"Disbursed = sanction","No"))))</f>
        <v/>
      </c>
      <c r="V99">
        <f>IF(OR($J99="",Q99="",E99=""),"",ABS(E99-Q99))</f>
        <v/>
      </c>
      <c r="W99" t="inlineStr">
        <is>
          <t>Yes</t>
        </is>
      </c>
      <c r="X99" s="489" t="inlineStr"/>
      <c r="Y99" s="489" t="inlineStr"/>
      <c r="Z99" s="489" t="inlineStr"/>
    </row>
    <row r="100">
      <c r="A100" t="n">
        <v>103</v>
      </c>
      <c r="B100">
        <f>'Loan Book'!D103</f>
        <v/>
      </c>
      <c r="C100">
        <f>'Loan Book'!E103</f>
        <v/>
      </c>
      <c r="D100">
        <f>'Loan Book'!F103</f>
        <v/>
      </c>
      <c r="E100" s="487">
        <f>'Loan Book'!G103</f>
        <v/>
      </c>
      <c r="F100" s="488">
        <f>'Loan Book'!L103</f>
        <v/>
      </c>
      <c r="G100" s="488">
        <f>'Loan Book'!M103</f>
        <v/>
      </c>
      <c r="H100" s="488">
        <f>'Loan Book'!O103</f>
        <v/>
      </c>
      <c r="I100" s="488">
        <f>'Loan Book'!R103</f>
        <v/>
      </c>
      <c r="J100" t="inlineStr">
        <is>
          <t>000104460000098</t>
        </is>
      </c>
      <c r="K100" t="inlineStr">
        <is>
          <t>High</t>
        </is>
      </c>
      <c r="L100">
        <f>IFERROR(INDEX('E-Banker master'!$B$2:$B$186,MATCH($J100,'E-Banker master'!$A$2:$A$186,0)),"")</f>
        <v/>
      </c>
      <c r="M100" s="487">
        <f>IFERROR(INDEX('E-Banker master'!$H$2:$H$186,MATCH($J100,'E-Banker master'!$A$2:$A$186,0)),"")</f>
        <v/>
      </c>
      <c r="N100" s="488">
        <f>IFERROR(INDEX('E-Banker master'!$I$2:$I$186,MATCH($J100,'E-Banker master'!$A$2:$A$186,0)),"")</f>
        <v/>
      </c>
      <c r="O100" s="488">
        <f>IFERROR(INDEX('E-Banker master'!$N$2:$N$186,MATCH($J100,'E-Banker master'!$A$2:$A$186,0)),"")</f>
        <v/>
      </c>
      <c r="P100" s="488">
        <f>IFERROR(INDEX('E-Banker master'!$P$2:$P$186,MATCH($J100,'E-Banker master'!$A$2:$A$186,0)),"")</f>
        <v/>
      </c>
      <c r="Q100" s="487">
        <f>IFERROR(INDEX('E-Banker master'!$Q$2:$Q$186,MATCH($J100,'E-Banker master'!$A$2:$A$186,0)),"")</f>
        <v/>
      </c>
      <c r="R100">
        <f>IFERROR(INDEX('E-Banker master'!$E$2:$E$186,MATCH($J100,'E-Banker master'!$A$2:$A$186,0)),"")</f>
        <v/>
      </c>
      <c r="S100">
        <f>IF($J100="","",IF(O100="","No take-on posting",IF(ABS(H100-O100)&lt;1,"Yes",IF(ABS(H100/O100-1)&lt;0.01,"Within 1%","No"))))</f>
        <v/>
      </c>
      <c r="T100">
        <f>IF($J100="","",IF(OR(P100="",P100=0),"No balance",IF(ABS(I100-P100)&lt;1,"Yes",IF(ABS(I100/P100-1)&lt;0.02,"Within 2%",IF(ABS(I100/P100-1)&lt;0.05,"Within 5%","No")))))</f>
        <v/>
      </c>
      <c r="U100">
        <f>IF($J100="","",IF(N100="","",IF(ABS(F100-N100)&lt;1,"Yes",IF(ABS(G100-N100)&lt;1,"Disbursed = sanction","No"))))</f>
        <v/>
      </c>
      <c r="V100">
        <f>IF(OR($J100="",Q100="",E100=""),"",ABS(E100-Q100))</f>
        <v/>
      </c>
      <c r="W100" t="inlineStr">
        <is>
          <t>Yes</t>
        </is>
      </c>
      <c r="X100" s="489" t="inlineStr"/>
      <c r="Y100" s="489" t="inlineStr"/>
      <c r="Z100" s="489" t="inlineStr"/>
    </row>
    <row r="101">
      <c r="A101" t="n">
        <v>104</v>
      </c>
      <c r="B101">
        <f>'Loan Book'!D104</f>
        <v/>
      </c>
      <c r="C101">
        <f>'Loan Book'!E104</f>
        <v/>
      </c>
      <c r="D101">
        <f>'Loan Book'!F104</f>
        <v/>
      </c>
      <c r="E101" s="487">
        <f>'Loan Book'!G104</f>
        <v/>
      </c>
      <c r="F101" s="488">
        <f>'Loan Book'!L104</f>
        <v/>
      </c>
      <c r="G101" s="488">
        <f>'Loan Book'!M104</f>
        <v/>
      </c>
      <c r="H101" s="488">
        <f>'Loan Book'!O104</f>
        <v/>
      </c>
      <c r="I101" s="488">
        <f>'Loan Book'!R104</f>
        <v/>
      </c>
      <c r="J101" t="inlineStr">
        <is>
          <t>000104460000099</t>
        </is>
      </c>
      <c r="K101" t="inlineStr">
        <is>
          <t>High</t>
        </is>
      </c>
      <c r="L101">
        <f>IFERROR(INDEX('E-Banker master'!$B$2:$B$186,MATCH($J101,'E-Banker master'!$A$2:$A$186,0)),"")</f>
        <v/>
      </c>
      <c r="M101" s="487">
        <f>IFERROR(INDEX('E-Banker master'!$H$2:$H$186,MATCH($J101,'E-Banker master'!$A$2:$A$186,0)),"")</f>
        <v/>
      </c>
      <c r="N101" s="488">
        <f>IFERROR(INDEX('E-Banker master'!$I$2:$I$186,MATCH($J101,'E-Banker master'!$A$2:$A$186,0)),"")</f>
        <v/>
      </c>
      <c r="O101" s="488">
        <f>IFERROR(INDEX('E-Banker master'!$N$2:$N$186,MATCH($J101,'E-Banker master'!$A$2:$A$186,0)),"")</f>
        <v/>
      </c>
      <c r="P101" s="488">
        <f>IFERROR(INDEX('E-Banker master'!$P$2:$P$186,MATCH($J101,'E-Banker master'!$A$2:$A$186,0)),"")</f>
        <v/>
      </c>
      <c r="Q101" s="487">
        <f>IFERROR(INDEX('E-Banker master'!$Q$2:$Q$186,MATCH($J101,'E-Banker master'!$A$2:$A$186,0)),"")</f>
        <v/>
      </c>
      <c r="R101">
        <f>IFERROR(INDEX('E-Banker master'!$E$2:$E$186,MATCH($J101,'E-Banker master'!$A$2:$A$186,0)),"")</f>
        <v/>
      </c>
      <c r="S101">
        <f>IF($J101="","",IF(O101="","No take-on posting",IF(ABS(H101-O101)&lt;1,"Yes",IF(ABS(H101/O101-1)&lt;0.01,"Within 1%","No"))))</f>
        <v/>
      </c>
      <c r="T101">
        <f>IF($J101="","",IF(OR(P101="",P101=0),"No balance",IF(ABS(I101-P101)&lt;1,"Yes",IF(ABS(I101/P101-1)&lt;0.02,"Within 2%",IF(ABS(I101/P101-1)&lt;0.05,"Within 5%","No")))))</f>
        <v/>
      </c>
      <c r="U101">
        <f>IF($J101="","",IF(N101="","",IF(ABS(F101-N101)&lt;1,"Yes",IF(ABS(G101-N101)&lt;1,"Disbursed = sanction","No"))))</f>
        <v/>
      </c>
      <c r="V101">
        <f>IF(OR($J101="",Q101="",E101=""),"",ABS(E101-Q101))</f>
        <v/>
      </c>
      <c r="W101" t="inlineStr">
        <is>
          <t>Yes</t>
        </is>
      </c>
      <c r="X101" s="489" t="inlineStr"/>
      <c r="Y101" s="489" t="inlineStr"/>
      <c r="Z101" s="489" t="inlineStr"/>
    </row>
    <row r="102">
      <c r="A102" t="n">
        <v>105</v>
      </c>
      <c r="B102">
        <f>'Loan Book'!D105</f>
        <v/>
      </c>
      <c r="C102">
        <f>'Loan Book'!E105</f>
        <v/>
      </c>
      <c r="D102">
        <f>'Loan Book'!F105</f>
        <v/>
      </c>
      <c r="E102" s="487">
        <f>'Loan Book'!G105</f>
        <v/>
      </c>
      <c r="F102" s="488">
        <f>'Loan Book'!L105</f>
        <v/>
      </c>
      <c r="G102" s="488">
        <f>'Loan Book'!M105</f>
        <v/>
      </c>
      <c r="H102" s="488">
        <f>'Loan Book'!O105</f>
        <v/>
      </c>
      <c r="I102" s="488">
        <f>'Loan Book'!R105</f>
        <v/>
      </c>
      <c r="J102" t="inlineStr">
        <is>
          <t>000104420000063</t>
        </is>
      </c>
      <c r="K102" t="inlineStr">
        <is>
          <t>High</t>
        </is>
      </c>
      <c r="L102">
        <f>IFERROR(INDEX('E-Banker master'!$B$2:$B$186,MATCH($J102,'E-Banker master'!$A$2:$A$186,0)),"")</f>
        <v/>
      </c>
      <c r="M102" s="487">
        <f>IFERROR(INDEX('E-Banker master'!$H$2:$H$186,MATCH($J102,'E-Banker master'!$A$2:$A$186,0)),"")</f>
        <v/>
      </c>
      <c r="N102" s="488">
        <f>IFERROR(INDEX('E-Banker master'!$I$2:$I$186,MATCH($J102,'E-Banker master'!$A$2:$A$186,0)),"")</f>
        <v/>
      </c>
      <c r="O102" s="488">
        <f>IFERROR(INDEX('E-Banker master'!$N$2:$N$186,MATCH($J102,'E-Banker master'!$A$2:$A$186,0)),"")</f>
        <v/>
      </c>
      <c r="P102" s="488">
        <f>IFERROR(INDEX('E-Banker master'!$P$2:$P$186,MATCH($J102,'E-Banker master'!$A$2:$A$186,0)),"")</f>
        <v/>
      </c>
      <c r="Q102" s="487">
        <f>IFERROR(INDEX('E-Banker master'!$Q$2:$Q$186,MATCH($J102,'E-Banker master'!$A$2:$A$186,0)),"")</f>
        <v/>
      </c>
      <c r="R102">
        <f>IFERROR(INDEX('E-Banker master'!$E$2:$E$186,MATCH($J102,'E-Banker master'!$A$2:$A$186,0)),"")</f>
        <v/>
      </c>
      <c r="S102">
        <f>IF($J102="","",IF(O102="","No take-on posting",IF(ABS(H102-O102)&lt;1,"Yes",IF(ABS(H102/O102-1)&lt;0.01,"Within 1%","No"))))</f>
        <v/>
      </c>
      <c r="T102">
        <f>IF($J102="","",IF(OR(P102="",P102=0),"No balance",IF(ABS(I102-P102)&lt;1,"Yes",IF(ABS(I102/P102-1)&lt;0.02,"Within 2%",IF(ABS(I102/P102-1)&lt;0.05,"Within 5%","No")))))</f>
        <v/>
      </c>
      <c r="U102">
        <f>IF($J102="","",IF(N102="","",IF(ABS(F102-N102)&lt;1,"Yes",IF(ABS(G102-N102)&lt;1,"Disbursed = sanction","No"))))</f>
        <v/>
      </c>
      <c r="V102">
        <f>IF(OR($J102="",Q102="",E102=""),"",ABS(E102-Q102))</f>
        <v/>
      </c>
      <c r="W102" t="inlineStr">
        <is>
          <t>Yes</t>
        </is>
      </c>
      <c r="X102" s="489" t="inlineStr"/>
      <c r="Y102" s="489" t="inlineStr"/>
      <c r="Z102" s="489" t="inlineStr"/>
    </row>
    <row r="103">
      <c r="A103" t="n">
        <v>106</v>
      </c>
      <c r="B103">
        <f>'Loan Book'!D106</f>
        <v/>
      </c>
      <c r="C103">
        <f>'Loan Book'!E106</f>
        <v/>
      </c>
      <c r="D103">
        <f>'Loan Book'!F106</f>
        <v/>
      </c>
      <c r="E103" s="487">
        <f>'Loan Book'!G106</f>
        <v/>
      </c>
      <c r="F103" s="488">
        <f>'Loan Book'!L106</f>
        <v/>
      </c>
      <c r="G103" s="488">
        <f>'Loan Book'!M106</f>
        <v/>
      </c>
      <c r="H103" s="488">
        <f>'Loan Book'!O106</f>
        <v/>
      </c>
      <c r="I103" s="488">
        <f>'Loan Book'!R106</f>
        <v/>
      </c>
      <c r="J103" t="inlineStr">
        <is>
          <t>000104460000104</t>
        </is>
      </c>
      <c r="K103" t="inlineStr">
        <is>
          <t>High</t>
        </is>
      </c>
      <c r="L103">
        <f>IFERROR(INDEX('E-Banker master'!$B$2:$B$186,MATCH($J103,'E-Banker master'!$A$2:$A$186,0)),"")</f>
        <v/>
      </c>
      <c r="M103" s="487">
        <f>IFERROR(INDEX('E-Banker master'!$H$2:$H$186,MATCH($J103,'E-Banker master'!$A$2:$A$186,0)),"")</f>
        <v/>
      </c>
      <c r="N103" s="488">
        <f>IFERROR(INDEX('E-Banker master'!$I$2:$I$186,MATCH($J103,'E-Banker master'!$A$2:$A$186,0)),"")</f>
        <v/>
      </c>
      <c r="O103" s="488">
        <f>IFERROR(INDEX('E-Banker master'!$N$2:$N$186,MATCH($J103,'E-Banker master'!$A$2:$A$186,0)),"")</f>
        <v/>
      </c>
      <c r="P103" s="488">
        <f>IFERROR(INDEX('E-Banker master'!$P$2:$P$186,MATCH($J103,'E-Banker master'!$A$2:$A$186,0)),"")</f>
        <v/>
      </c>
      <c r="Q103" s="487">
        <f>IFERROR(INDEX('E-Banker master'!$Q$2:$Q$186,MATCH($J103,'E-Banker master'!$A$2:$A$186,0)),"")</f>
        <v/>
      </c>
      <c r="R103">
        <f>IFERROR(INDEX('E-Banker master'!$E$2:$E$186,MATCH($J103,'E-Banker master'!$A$2:$A$186,0)),"")</f>
        <v/>
      </c>
      <c r="S103">
        <f>IF($J103="","",IF(O103="","No take-on posting",IF(ABS(H103-O103)&lt;1,"Yes",IF(ABS(H103/O103-1)&lt;0.01,"Within 1%","No"))))</f>
        <v/>
      </c>
      <c r="T103">
        <f>IF($J103="","",IF(OR(P103="",P103=0),"No balance",IF(ABS(I103-P103)&lt;1,"Yes",IF(ABS(I103/P103-1)&lt;0.02,"Within 2%",IF(ABS(I103/P103-1)&lt;0.05,"Within 5%","No")))))</f>
        <v/>
      </c>
      <c r="U103">
        <f>IF($J103="","",IF(N103="","",IF(ABS(F103-N103)&lt;1,"Yes",IF(ABS(G103-N103)&lt;1,"Disbursed = sanction","No"))))</f>
        <v/>
      </c>
      <c r="V103">
        <f>IF(OR($J103="",Q103="",E103=""),"",ABS(E103-Q103))</f>
        <v/>
      </c>
      <c r="W103" t="inlineStr">
        <is>
          <t>Yes</t>
        </is>
      </c>
      <c r="X103" s="489" t="inlineStr"/>
      <c r="Y103" s="489" t="inlineStr"/>
      <c r="Z103" s="489" t="inlineStr"/>
    </row>
    <row r="104">
      <c r="A104" t="n">
        <v>107</v>
      </c>
      <c r="B104">
        <f>'Loan Book'!D107</f>
        <v/>
      </c>
      <c r="C104">
        <f>'Loan Book'!E107</f>
        <v/>
      </c>
      <c r="D104">
        <f>'Loan Book'!F107</f>
        <v/>
      </c>
      <c r="E104" s="487">
        <f>'Loan Book'!G107</f>
        <v/>
      </c>
      <c r="F104" s="488">
        <f>'Loan Book'!L107</f>
        <v/>
      </c>
      <c r="G104" s="488">
        <f>'Loan Book'!M107</f>
        <v/>
      </c>
      <c r="H104" s="488">
        <f>'Loan Book'!O107</f>
        <v/>
      </c>
      <c r="I104" s="488">
        <f>'Loan Book'!R107</f>
        <v/>
      </c>
      <c r="J104" t="inlineStr">
        <is>
          <t>000104430000064</t>
        </is>
      </c>
      <c r="K104" t="inlineStr">
        <is>
          <t>High</t>
        </is>
      </c>
      <c r="L104">
        <f>IFERROR(INDEX('E-Banker master'!$B$2:$B$186,MATCH($J104,'E-Banker master'!$A$2:$A$186,0)),"")</f>
        <v/>
      </c>
      <c r="M104" s="487">
        <f>IFERROR(INDEX('E-Banker master'!$H$2:$H$186,MATCH($J104,'E-Banker master'!$A$2:$A$186,0)),"")</f>
        <v/>
      </c>
      <c r="N104" s="488">
        <f>IFERROR(INDEX('E-Banker master'!$I$2:$I$186,MATCH($J104,'E-Banker master'!$A$2:$A$186,0)),"")</f>
        <v/>
      </c>
      <c r="O104" s="488">
        <f>IFERROR(INDEX('E-Banker master'!$N$2:$N$186,MATCH($J104,'E-Banker master'!$A$2:$A$186,0)),"")</f>
        <v/>
      </c>
      <c r="P104" s="488">
        <f>IFERROR(INDEX('E-Banker master'!$P$2:$P$186,MATCH($J104,'E-Banker master'!$A$2:$A$186,0)),"")</f>
        <v/>
      </c>
      <c r="Q104" s="487">
        <f>IFERROR(INDEX('E-Banker master'!$Q$2:$Q$186,MATCH($J104,'E-Banker master'!$A$2:$A$186,0)),"")</f>
        <v/>
      </c>
      <c r="R104">
        <f>IFERROR(INDEX('E-Banker master'!$E$2:$E$186,MATCH($J104,'E-Banker master'!$A$2:$A$186,0)),"")</f>
        <v/>
      </c>
      <c r="S104">
        <f>IF($J104="","",IF(O104="","No take-on posting",IF(ABS(H104-O104)&lt;1,"Yes",IF(ABS(H104/O104-1)&lt;0.01,"Within 1%","No"))))</f>
        <v/>
      </c>
      <c r="T104">
        <f>IF($J104="","",IF(OR(P104="",P104=0),"No balance",IF(ABS(I104-P104)&lt;1,"Yes",IF(ABS(I104/P104-1)&lt;0.02,"Within 2%",IF(ABS(I104/P104-1)&lt;0.05,"Within 5%","No")))))</f>
        <v/>
      </c>
      <c r="U104">
        <f>IF($J104="","",IF(N104="","",IF(ABS(F104-N104)&lt;1,"Yes",IF(ABS(G104-N104)&lt;1,"Disbursed = sanction","No"))))</f>
        <v/>
      </c>
      <c r="V104">
        <f>IF(OR($J104="",Q104="",E104=""),"",ABS(E104-Q104))</f>
        <v/>
      </c>
      <c r="W104" t="inlineStr">
        <is>
          <t>Yes</t>
        </is>
      </c>
      <c r="X104" s="489" t="inlineStr"/>
      <c r="Y104" s="489" t="inlineStr"/>
      <c r="Z104" s="489" t="inlineStr"/>
    </row>
    <row r="105">
      <c r="A105" t="n">
        <v>111</v>
      </c>
      <c r="B105">
        <f>'Loan Book'!D111</f>
        <v/>
      </c>
      <c r="C105">
        <f>'Loan Book'!E111</f>
        <v/>
      </c>
      <c r="D105">
        <f>'Loan Book'!F111</f>
        <v/>
      </c>
      <c r="E105" s="487">
        <f>'Loan Book'!G111</f>
        <v/>
      </c>
      <c r="F105" s="488">
        <f>'Loan Book'!L111</f>
        <v/>
      </c>
      <c r="G105" s="488">
        <f>'Loan Book'!M111</f>
        <v/>
      </c>
      <c r="H105" s="488">
        <f>'Loan Book'!O111</f>
        <v/>
      </c>
      <c r="I105" s="488">
        <f>'Loan Book'!R111</f>
        <v/>
      </c>
      <c r="K105" t="inlineStr">
        <is>
          <t>Not matched</t>
        </is>
      </c>
      <c r="L105">
        <f>IFERROR(INDEX('E-Banker master'!$B$2:$B$186,MATCH($J105,'E-Banker master'!$A$2:$A$186,0)),"")</f>
        <v/>
      </c>
      <c r="M105" s="487">
        <f>IFERROR(INDEX('E-Banker master'!$H$2:$H$186,MATCH($J105,'E-Banker master'!$A$2:$A$186,0)),"")</f>
        <v/>
      </c>
      <c r="N105" s="488">
        <f>IFERROR(INDEX('E-Banker master'!$I$2:$I$186,MATCH($J105,'E-Banker master'!$A$2:$A$186,0)),"")</f>
        <v/>
      </c>
      <c r="O105" s="488">
        <f>IFERROR(INDEX('E-Banker master'!$N$2:$N$186,MATCH($J105,'E-Banker master'!$A$2:$A$186,0)),"")</f>
        <v/>
      </c>
      <c r="P105" s="488">
        <f>IFERROR(INDEX('E-Banker master'!$P$2:$P$186,MATCH($J105,'E-Banker master'!$A$2:$A$186,0)),"")</f>
        <v/>
      </c>
      <c r="Q105" s="487">
        <f>IFERROR(INDEX('E-Banker master'!$Q$2:$Q$186,MATCH($J105,'E-Banker master'!$A$2:$A$186,0)),"")</f>
        <v/>
      </c>
      <c r="R105">
        <f>IFERROR(INDEX('E-Banker master'!$E$2:$E$186,MATCH($J105,'E-Banker master'!$A$2:$A$186,0)),"")</f>
        <v/>
      </c>
      <c r="S105">
        <f>IF($J105="","",IF(O105="","No take-on posting",IF(ABS(H105-O105)&lt;1,"Yes",IF(ABS(H105/O105-1)&lt;0.01,"Within 1%","No"))))</f>
        <v/>
      </c>
      <c r="T105">
        <f>IF($J105="","",IF(OR(P105="",P105=0),"No balance",IF(ABS(I105-P105)&lt;1,"Yes",IF(ABS(I105/P105-1)&lt;0.02,"Within 2%",IF(ABS(I105/P105-1)&lt;0.05,"Within 5%","No")))))</f>
        <v/>
      </c>
      <c r="U105">
        <f>IF($J105="","",IF(N105="","",IF(ABS(F105-N105)&lt;1,"Yes",IF(ABS(G105-N105)&lt;1,"Disbursed = sanction","No"))))</f>
        <v/>
      </c>
      <c r="V105">
        <f>IF(OR($J105="",Q105="",E105=""),"",ABS(E105-Q105))</f>
        <v/>
      </c>
      <c r="W105" t="inlineStr">
        <is>
          <t>No</t>
        </is>
      </c>
      <c r="X105" s="489" t="inlineStr"/>
      <c r="Y105" s="489" t="inlineStr"/>
      <c r="Z105" s="489" t="inlineStr"/>
    </row>
    <row r="106">
      <c r="A106" t="n">
        <v>112</v>
      </c>
      <c r="B106">
        <f>'Loan Book'!D112</f>
        <v/>
      </c>
      <c r="C106">
        <f>'Loan Book'!E112</f>
        <v/>
      </c>
      <c r="D106">
        <f>'Loan Book'!F112</f>
        <v/>
      </c>
      <c r="E106" s="487">
        <f>'Loan Book'!G112</f>
        <v/>
      </c>
      <c r="F106" s="488">
        <f>'Loan Book'!L112</f>
        <v/>
      </c>
      <c r="G106" s="488">
        <f>'Loan Book'!M112</f>
        <v/>
      </c>
      <c r="H106" s="488">
        <f>'Loan Book'!O112</f>
        <v/>
      </c>
      <c r="I106" s="488">
        <f>'Loan Book'!R112</f>
        <v/>
      </c>
      <c r="K106" t="inlineStr">
        <is>
          <t>Not matched</t>
        </is>
      </c>
      <c r="L106">
        <f>IFERROR(INDEX('E-Banker master'!$B$2:$B$186,MATCH($J106,'E-Banker master'!$A$2:$A$186,0)),"")</f>
        <v/>
      </c>
      <c r="M106" s="487">
        <f>IFERROR(INDEX('E-Banker master'!$H$2:$H$186,MATCH($J106,'E-Banker master'!$A$2:$A$186,0)),"")</f>
        <v/>
      </c>
      <c r="N106" s="488">
        <f>IFERROR(INDEX('E-Banker master'!$I$2:$I$186,MATCH($J106,'E-Banker master'!$A$2:$A$186,0)),"")</f>
        <v/>
      </c>
      <c r="O106" s="488">
        <f>IFERROR(INDEX('E-Banker master'!$N$2:$N$186,MATCH($J106,'E-Banker master'!$A$2:$A$186,0)),"")</f>
        <v/>
      </c>
      <c r="P106" s="488">
        <f>IFERROR(INDEX('E-Banker master'!$P$2:$P$186,MATCH($J106,'E-Banker master'!$A$2:$A$186,0)),"")</f>
        <v/>
      </c>
      <c r="Q106" s="487">
        <f>IFERROR(INDEX('E-Banker master'!$Q$2:$Q$186,MATCH($J106,'E-Banker master'!$A$2:$A$186,0)),"")</f>
        <v/>
      </c>
      <c r="R106">
        <f>IFERROR(INDEX('E-Banker master'!$E$2:$E$186,MATCH($J106,'E-Banker master'!$A$2:$A$186,0)),"")</f>
        <v/>
      </c>
      <c r="S106">
        <f>IF($J106="","",IF(O106="","No take-on posting",IF(ABS(H106-O106)&lt;1,"Yes",IF(ABS(H106/O106-1)&lt;0.01,"Within 1%","No"))))</f>
        <v/>
      </c>
      <c r="T106">
        <f>IF($J106="","",IF(OR(P106="",P106=0),"No balance",IF(ABS(I106-P106)&lt;1,"Yes",IF(ABS(I106/P106-1)&lt;0.02,"Within 2%",IF(ABS(I106/P106-1)&lt;0.05,"Within 5%","No")))))</f>
        <v/>
      </c>
      <c r="U106">
        <f>IF($J106="","",IF(N106="","",IF(ABS(F106-N106)&lt;1,"Yes",IF(ABS(G106-N106)&lt;1,"Disbursed = sanction","No"))))</f>
        <v/>
      </c>
      <c r="V106">
        <f>IF(OR($J106="",Q106="",E106=""),"",ABS(E106-Q106))</f>
        <v/>
      </c>
      <c r="W106" t="inlineStr">
        <is>
          <t>No</t>
        </is>
      </c>
      <c r="X106" s="489" t="inlineStr"/>
      <c r="Y106" s="489" t="inlineStr"/>
      <c r="Z106" s="489" t="inlineStr"/>
    </row>
    <row r="107">
      <c r="A107" t="n">
        <v>113</v>
      </c>
      <c r="B107">
        <f>'Loan Book'!D113</f>
        <v/>
      </c>
      <c r="C107">
        <f>'Loan Book'!E113</f>
        <v/>
      </c>
      <c r="D107">
        <f>'Loan Book'!F113</f>
        <v/>
      </c>
      <c r="E107" s="487">
        <f>'Loan Book'!G113</f>
        <v/>
      </c>
      <c r="F107" s="488">
        <f>'Loan Book'!L113</f>
        <v/>
      </c>
      <c r="G107" s="488">
        <f>'Loan Book'!M113</f>
        <v/>
      </c>
      <c r="H107" s="488">
        <f>'Loan Book'!O113</f>
        <v/>
      </c>
      <c r="I107" s="488">
        <f>'Loan Book'!R113</f>
        <v/>
      </c>
      <c r="K107" t="inlineStr">
        <is>
          <t>Not matched</t>
        </is>
      </c>
      <c r="L107">
        <f>IFERROR(INDEX('E-Banker master'!$B$2:$B$186,MATCH($J107,'E-Banker master'!$A$2:$A$186,0)),"")</f>
        <v/>
      </c>
      <c r="M107" s="487">
        <f>IFERROR(INDEX('E-Banker master'!$H$2:$H$186,MATCH($J107,'E-Banker master'!$A$2:$A$186,0)),"")</f>
        <v/>
      </c>
      <c r="N107" s="488">
        <f>IFERROR(INDEX('E-Banker master'!$I$2:$I$186,MATCH($J107,'E-Banker master'!$A$2:$A$186,0)),"")</f>
        <v/>
      </c>
      <c r="O107" s="488">
        <f>IFERROR(INDEX('E-Banker master'!$N$2:$N$186,MATCH($J107,'E-Banker master'!$A$2:$A$186,0)),"")</f>
        <v/>
      </c>
      <c r="P107" s="488">
        <f>IFERROR(INDEX('E-Banker master'!$P$2:$P$186,MATCH($J107,'E-Banker master'!$A$2:$A$186,0)),"")</f>
        <v/>
      </c>
      <c r="Q107" s="487">
        <f>IFERROR(INDEX('E-Banker master'!$Q$2:$Q$186,MATCH($J107,'E-Banker master'!$A$2:$A$186,0)),"")</f>
        <v/>
      </c>
      <c r="R107">
        <f>IFERROR(INDEX('E-Banker master'!$E$2:$E$186,MATCH($J107,'E-Banker master'!$A$2:$A$186,0)),"")</f>
        <v/>
      </c>
      <c r="S107">
        <f>IF($J107="","",IF(O107="","No take-on posting",IF(ABS(H107-O107)&lt;1,"Yes",IF(ABS(H107/O107-1)&lt;0.01,"Within 1%","No"))))</f>
        <v/>
      </c>
      <c r="T107">
        <f>IF($J107="","",IF(OR(P107="",P107=0),"No balance",IF(ABS(I107-P107)&lt;1,"Yes",IF(ABS(I107/P107-1)&lt;0.02,"Within 2%",IF(ABS(I107/P107-1)&lt;0.05,"Within 5%","No")))))</f>
        <v/>
      </c>
      <c r="U107">
        <f>IF($J107="","",IF(N107="","",IF(ABS(F107-N107)&lt;1,"Yes",IF(ABS(G107-N107)&lt;1,"Disbursed = sanction","No"))))</f>
        <v/>
      </c>
      <c r="V107">
        <f>IF(OR($J107="",Q107="",E107=""),"",ABS(E107-Q107))</f>
        <v/>
      </c>
      <c r="W107" t="inlineStr">
        <is>
          <t>No</t>
        </is>
      </c>
      <c r="X107" s="489" t="inlineStr"/>
      <c r="Y107" s="489" t="inlineStr"/>
      <c r="Z107" s="489" t="inlineStr"/>
    </row>
    <row r="108">
      <c r="A108" t="n">
        <v>114</v>
      </c>
      <c r="B108">
        <f>'Loan Book'!D114</f>
        <v/>
      </c>
      <c r="C108">
        <f>'Loan Book'!E114</f>
        <v/>
      </c>
      <c r="D108">
        <f>'Loan Book'!F114</f>
        <v/>
      </c>
      <c r="E108" s="487">
        <f>'Loan Book'!G114</f>
        <v/>
      </c>
      <c r="F108" s="488">
        <f>'Loan Book'!L114</f>
        <v/>
      </c>
      <c r="G108" s="488">
        <f>'Loan Book'!M114</f>
        <v/>
      </c>
      <c r="H108" s="488">
        <f>'Loan Book'!O114</f>
        <v/>
      </c>
      <c r="I108" s="488">
        <f>'Loan Book'!R114</f>
        <v/>
      </c>
      <c r="J108" t="inlineStr">
        <is>
          <t>000104470000004</t>
        </is>
      </c>
      <c r="K108" t="inlineStr">
        <is>
          <t>High</t>
        </is>
      </c>
      <c r="L108">
        <f>IFERROR(INDEX('E-Banker master'!$B$2:$B$186,MATCH($J108,'E-Banker master'!$A$2:$A$186,0)),"")</f>
        <v/>
      </c>
      <c r="M108" s="487">
        <f>IFERROR(INDEX('E-Banker master'!$H$2:$H$186,MATCH($J108,'E-Banker master'!$A$2:$A$186,0)),"")</f>
        <v/>
      </c>
      <c r="N108" s="488">
        <f>IFERROR(INDEX('E-Banker master'!$I$2:$I$186,MATCH($J108,'E-Banker master'!$A$2:$A$186,0)),"")</f>
        <v/>
      </c>
      <c r="O108" s="488">
        <f>IFERROR(INDEX('E-Banker master'!$N$2:$N$186,MATCH($J108,'E-Banker master'!$A$2:$A$186,0)),"")</f>
        <v/>
      </c>
      <c r="P108" s="488">
        <f>IFERROR(INDEX('E-Banker master'!$P$2:$P$186,MATCH($J108,'E-Banker master'!$A$2:$A$186,0)),"")</f>
        <v/>
      </c>
      <c r="Q108" s="487">
        <f>IFERROR(INDEX('E-Banker master'!$Q$2:$Q$186,MATCH($J108,'E-Banker master'!$A$2:$A$186,0)),"")</f>
        <v/>
      </c>
      <c r="R108">
        <f>IFERROR(INDEX('E-Banker master'!$E$2:$E$186,MATCH($J108,'E-Banker master'!$A$2:$A$186,0)),"")</f>
        <v/>
      </c>
      <c r="S108">
        <f>IF($J108="","",IF(O108="","No take-on posting",IF(ABS(H108-O108)&lt;1,"Yes",IF(ABS(H108/O108-1)&lt;0.01,"Within 1%","No"))))</f>
        <v/>
      </c>
      <c r="T108">
        <f>IF($J108="","",IF(OR(P108="",P108=0),"No balance",IF(ABS(I108-P108)&lt;1,"Yes",IF(ABS(I108/P108-1)&lt;0.02,"Within 2%",IF(ABS(I108/P108-1)&lt;0.05,"Within 5%","No")))))</f>
        <v/>
      </c>
      <c r="U108">
        <f>IF($J108="","",IF(N108="","",IF(ABS(F108-N108)&lt;1,"Yes",IF(ABS(G108-N108)&lt;1,"Disbursed = sanction","No"))))</f>
        <v/>
      </c>
      <c r="V108">
        <f>IF(OR($J108="",Q108="",E108=""),"",ABS(E108-Q108))</f>
        <v/>
      </c>
      <c r="W108" t="inlineStr">
        <is>
          <t>Yes</t>
        </is>
      </c>
      <c r="X108" s="489" t="inlineStr"/>
      <c r="Y108" s="489" t="inlineStr"/>
      <c r="Z108" s="489" t="inlineStr"/>
    </row>
    <row r="109">
      <c r="A109" t="n">
        <v>115</v>
      </c>
      <c r="B109">
        <f>'Loan Book'!D115</f>
        <v/>
      </c>
      <c r="C109">
        <f>'Loan Book'!E115</f>
        <v/>
      </c>
      <c r="D109">
        <f>'Loan Book'!F115</f>
        <v/>
      </c>
      <c r="E109" s="487">
        <f>'Loan Book'!G115</f>
        <v/>
      </c>
      <c r="F109" s="488">
        <f>'Loan Book'!L115</f>
        <v/>
      </c>
      <c r="G109" s="488">
        <f>'Loan Book'!M115</f>
        <v/>
      </c>
      <c r="H109" s="488">
        <f>'Loan Book'!O115</f>
        <v/>
      </c>
      <c r="I109" s="488">
        <f>'Loan Book'!R115</f>
        <v/>
      </c>
      <c r="J109" t="inlineStr">
        <is>
          <t>000104430000057</t>
        </is>
      </c>
      <c r="K109" t="inlineStr">
        <is>
          <t>High</t>
        </is>
      </c>
      <c r="L109">
        <f>IFERROR(INDEX('E-Banker master'!$B$2:$B$186,MATCH($J109,'E-Banker master'!$A$2:$A$186,0)),"")</f>
        <v/>
      </c>
      <c r="M109" s="487">
        <f>IFERROR(INDEX('E-Banker master'!$H$2:$H$186,MATCH($J109,'E-Banker master'!$A$2:$A$186,0)),"")</f>
        <v/>
      </c>
      <c r="N109" s="488">
        <f>IFERROR(INDEX('E-Banker master'!$I$2:$I$186,MATCH($J109,'E-Banker master'!$A$2:$A$186,0)),"")</f>
        <v/>
      </c>
      <c r="O109" s="488">
        <f>IFERROR(INDEX('E-Banker master'!$N$2:$N$186,MATCH($J109,'E-Banker master'!$A$2:$A$186,0)),"")</f>
        <v/>
      </c>
      <c r="P109" s="488">
        <f>IFERROR(INDEX('E-Banker master'!$P$2:$P$186,MATCH($J109,'E-Banker master'!$A$2:$A$186,0)),"")</f>
        <v/>
      </c>
      <c r="Q109" s="487">
        <f>IFERROR(INDEX('E-Banker master'!$Q$2:$Q$186,MATCH($J109,'E-Banker master'!$A$2:$A$186,0)),"")</f>
        <v/>
      </c>
      <c r="R109">
        <f>IFERROR(INDEX('E-Banker master'!$E$2:$E$186,MATCH($J109,'E-Banker master'!$A$2:$A$186,0)),"")</f>
        <v/>
      </c>
      <c r="S109">
        <f>IF($J109="","",IF(O109="","No take-on posting",IF(ABS(H109-O109)&lt;1,"Yes",IF(ABS(H109/O109-1)&lt;0.01,"Within 1%","No"))))</f>
        <v/>
      </c>
      <c r="T109">
        <f>IF($J109="","",IF(OR(P109="",P109=0),"No balance",IF(ABS(I109-P109)&lt;1,"Yes",IF(ABS(I109/P109-1)&lt;0.02,"Within 2%",IF(ABS(I109/P109-1)&lt;0.05,"Within 5%","No")))))</f>
        <v/>
      </c>
      <c r="U109">
        <f>IF($J109="","",IF(N109="","",IF(ABS(F109-N109)&lt;1,"Yes",IF(ABS(G109-N109)&lt;1,"Disbursed = sanction","No"))))</f>
        <v/>
      </c>
      <c r="V109">
        <f>IF(OR($J109="",Q109="",E109=""),"",ABS(E109-Q109))</f>
        <v/>
      </c>
      <c r="W109" t="inlineStr">
        <is>
          <t>Yes</t>
        </is>
      </c>
      <c r="X109" s="489" t="inlineStr"/>
      <c r="Y109" s="489" t="inlineStr"/>
      <c r="Z109" s="489" t="inlineStr"/>
    </row>
    <row r="110">
      <c r="A110" t="n">
        <v>116</v>
      </c>
      <c r="B110">
        <f>'Loan Book'!D116</f>
        <v/>
      </c>
      <c r="C110">
        <f>'Loan Book'!E116</f>
        <v/>
      </c>
      <c r="D110">
        <f>'Loan Book'!F116</f>
        <v/>
      </c>
      <c r="E110" s="487">
        <f>'Loan Book'!G116</f>
        <v/>
      </c>
      <c r="F110" s="488">
        <f>'Loan Book'!L116</f>
        <v/>
      </c>
      <c r="G110" s="488">
        <f>'Loan Book'!M116</f>
        <v/>
      </c>
      <c r="H110" s="488">
        <f>'Loan Book'!O116</f>
        <v/>
      </c>
      <c r="I110" s="488">
        <f>'Loan Book'!R116</f>
        <v/>
      </c>
      <c r="J110" t="inlineStr">
        <is>
          <t>000104430000060</t>
        </is>
      </c>
      <c r="K110" t="inlineStr">
        <is>
          <t>High</t>
        </is>
      </c>
      <c r="L110">
        <f>IFERROR(INDEX('E-Banker master'!$B$2:$B$186,MATCH($J110,'E-Banker master'!$A$2:$A$186,0)),"")</f>
        <v/>
      </c>
      <c r="M110" s="487">
        <f>IFERROR(INDEX('E-Banker master'!$H$2:$H$186,MATCH($J110,'E-Banker master'!$A$2:$A$186,0)),"")</f>
        <v/>
      </c>
      <c r="N110" s="488">
        <f>IFERROR(INDEX('E-Banker master'!$I$2:$I$186,MATCH($J110,'E-Banker master'!$A$2:$A$186,0)),"")</f>
        <v/>
      </c>
      <c r="O110" s="488">
        <f>IFERROR(INDEX('E-Banker master'!$N$2:$N$186,MATCH($J110,'E-Banker master'!$A$2:$A$186,0)),"")</f>
        <v/>
      </c>
      <c r="P110" s="488">
        <f>IFERROR(INDEX('E-Banker master'!$P$2:$P$186,MATCH($J110,'E-Banker master'!$A$2:$A$186,0)),"")</f>
        <v/>
      </c>
      <c r="Q110" s="487">
        <f>IFERROR(INDEX('E-Banker master'!$Q$2:$Q$186,MATCH($J110,'E-Banker master'!$A$2:$A$186,0)),"")</f>
        <v/>
      </c>
      <c r="R110">
        <f>IFERROR(INDEX('E-Banker master'!$E$2:$E$186,MATCH($J110,'E-Banker master'!$A$2:$A$186,0)),"")</f>
        <v/>
      </c>
      <c r="S110">
        <f>IF($J110="","",IF(O110="","No take-on posting",IF(ABS(H110-O110)&lt;1,"Yes",IF(ABS(H110/O110-1)&lt;0.01,"Within 1%","No"))))</f>
        <v/>
      </c>
      <c r="T110">
        <f>IF($J110="","",IF(OR(P110="",P110=0),"No balance",IF(ABS(I110-P110)&lt;1,"Yes",IF(ABS(I110/P110-1)&lt;0.02,"Within 2%",IF(ABS(I110/P110-1)&lt;0.05,"Within 5%","No")))))</f>
        <v/>
      </c>
      <c r="U110">
        <f>IF($J110="","",IF(N110="","",IF(ABS(F110-N110)&lt;1,"Yes",IF(ABS(G110-N110)&lt;1,"Disbursed = sanction","No"))))</f>
        <v/>
      </c>
      <c r="V110">
        <f>IF(OR($J110="",Q110="",E110=""),"",ABS(E110-Q110))</f>
        <v/>
      </c>
      <c r="W110" t="inlineStr">
        <is>
          <t>Yes</t>
        </is>
      </c>
      <c r="X110" s="489" t="inlineStr"/>
      <c r="Y110" s="489" t="inlineStr"/>
      <c r="Z110" s="489" t="inlineStr"/>
    </row>
    <row r="112">
      <c r="A112" t="inlineStr">
        <is>
          <t>Columns A to I are formulas into the 'Loan Book' sheet; L to R are lookups into 'E-Banker master' by the account in J; S to V are tests computed here; J, K and W are typed values from our matching (see Instructions). Yellow columns are for Tamanda.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2" customHeight="1">
      <c r="A1" s="486" t="inlineStr">
        <is>
          <t>Loan Book #</t>
        </is>
      </c>
      <c r="B1" s="486" t="inlineStr">
        <is>
          <t>Facility name</t>
        </is>
      </c>
      <c r="C1" s="486" t="inlineStr">
        <is>
          <t>Type</t>
        </is>
      </c>
      <c r="D1" s="486" t="inlineStr">
        <is>
          <t>Value date</t>
        </is>
      </c>
      <c r="E1" s="486" t="inlineStr">
        <is>
          <t>Approved</t>
        </is>
      </c>
      <c r="F1" s="486" t="inlineStr">
        <is>
          <t>Nearest candidates</t>
        </is>
      </c>
      <c r="G1" s="486" t="inlineStr">
        <is>
          <t>Tamanda: account number or 'no account'</t>
        </is>
      </c>
      <c r="H1" s="486" t="inlineStr">
        <is>
          <t>Comment</t>
        </is>
      </c>
    </row>
    <row r="2">
      <c r="A2" t="n">
        <v>38</v>
      </c>
      <c r="B2" t="inlineStr">
        <is>
          <t>Favoured Farms</t>
        </is>
      </c>
      <c r="C2" t="inlineStr">
        <is>
          <t>Debt</t>
        </is>
      </c>
      <c r="D2" t="inlineStr">
        <is>
          <t>2022-07-13</t>
        </is>
      </c>
      <c r="E2" t="n">
        <v>10000000</v>
      </c>
      <c r="F2" t="inlineStr">
        <is>
          <t>000104450000050 Greendom Farming (score 0.64); 000104450000038 Tac-Maz Investment (score 0.60); 000104450000015 Zaithwa Farms (score 0.58)</t>
        </is>
      </c>
      <c r="G2" s="489" t="inlineStr"/>
      <c r="H2" s="489" t="inlineStr"/>
    </row>
    <row r="3">
      <c r="A3" t="n">
        <v>1</v>
      </c>
      <c r="B3" t="inlineStr">
        <is>
          <t>MMC Limited</t>
        </is>
      </c>
      <c r="C3" t="inlineStr">
        <is>
          <t>Equity</t>
        </is>
      </c>
      <c r="D3" t="inlineStr">
        <is>
          <t>2022-12-23</t>
        </is>
      </c>
      <c r="E3" t="n">
        <v>819476000</v>
      </c>
      <c r="F3" t="inlineStr">
        <is>
          <t>000104450000085 MMC Limited (score 0.45); 000104450000034 MMM Investments (score 0.23); 000104420000005 MUSECO (score 0.16)</t>
        </is>
      </c>
      <c r="G3" s="489" t="inlineStr"/>
      <c r="H3" s="489" t="inlineStr"/>
    </row>
    <row r="4">
      <c r="A4" t="n">
        <v>2</v>
      </c>
      <c r="B4" t="inlineStr">
        <is>
          <t>Wi Jays Enterprises</t>
        </is>
      </c>
      <c r="C4" t="inlineStr">
        <is>
          <t>Equity</t>
        </is>
      </c>
      <c r="D4" t="inlineStr">
        <is>
          <t>2022-12-23</t>
        </is>
      </c>
      <c r="E4" t="n">
        <v>177939650</v>
      </c>
      <c r="F4" t="inlineStr">
        <is>
          <t>000104450000045 Walusiya Investment (score 0.19); 000104450000051 JAT Investments (score 0.19); 000106050000005 Wallie Farms (score 0.18)</t>
        </is>
      </c>
      <c r="G4" s="489" t="inlineStr"/>
      <c r="H4" s="489" t="inlineStr"/>
    </row>
    <row r="5">
      <c r="A5" t="n">
        <v>3</v>
      </c>
      <c r="B5" t="inlineStr">
        <is>
          <t>Good Hope</t>
        </is>
      </c>
      <c r="C5" t="inlineStr">
        <is>
          <t>Equity</t>
        </is>
      </c>
      <c r="D5" t="inlineStr">
        <is>
          <t>2023-03-31</t>
        </is>
      </c>
      <c r="E5" t="n">
        <v>1500000000</v>
      </c>
      <c r="F5" t="inlineStr">
        <is>
          <t>000106050000010 KWACHA Boutique HOTEL (score 0.27); 000104450000068 The Food Empire Limited (score 0.26); 000104420000043 The Food Empire Limited (score 0.21)</t>
        </is>
      </c>
      <c r="G5" s="489" t="inlineStr"/>
      <c r="H5" s="48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42" customHeight="1">
      <c r="A1" s="486" t="inlineStr">
        <is>
          <t>E-Banker account</t>
        </is>
      </c>
      <c r="B1" s="486" t="inlineStr">
        <is>
          <t>E-Banker name</t>
        </is>
      </c>
      <c r="C1" s="486" t="inlineStr">
        <is>
          <t>Opening date</t>
        </is>
      </c>
      <c r="D1" s="486" t="inlineStr">
        <is>
          <t>Sanction</t>
        </is>
      </c>
      <c r="E1" s="486" t="inlineStr">
        <is>
          <t>Status</t>
        </is>
      </c>
      <c r="F1" s="486" t="inlineStr">
        <is>
          <t>Tamanda: which facility is this, or 'none'</t>
        </is>
      </c>
      <c r="G1" s="486" t="inlineStr">
        <is>
          <t>Comment</t>
        </is>
      </c>
    </row>
    <row r="2">
      <c r="A2" t="inlineStr">
        <is>
          <t>000104430000055</t>
        </is>
      </c>
      <c r="B2">
        <f>IFERROR(INDEX('E-Banker master'!$B$2:$B$186,MATCH($A2,'E-Banker master'!$A$2:$A$186,0)),"")</f>
        <v/>
      </c>
      <c r="C2" s="487">
        <f>IFERROR(INDEX('E-Banker master'!$H$2:$H$186,MATCH($A2,'E-Banker master'!$A$2:$A$186,0)),"")</f>
        <v/>
      </c>
      <c r="D2" s="488">
        <f>IFERROR(INDEX('E-Banker master'!$I$2:$I$186,MATCH($A2,'E-Banker master'!$A$2:$A$186,0)),"")</f>
        <v/>
      </c>
      <c r="E2">
        <f>IFERROR(INDEX('E-Banker master'!$E$2:$E$186,MATCH($A2,'E-Banker master'!$A$2:$A$186,0)),"")</f>
        <v/>
      </c>
      <c r="F2" s="489" t="inlineStr"/>
      <c r="G2" s="489" t="inlineStr"/>
    </row>
    <row r="3">
      <c r="A3" t="inlineStr">
        <is>
          <t>000104430000056</t>
        </is>
      </c>
      <c r="B3">
        <f>IFERROR(INDEX('E-Banker master'!$B$2:$B$186,MATCH($A3,'E-Banker master'!$A$2:$A$186,0)),"")</f>
        <v/>
      </c>
      <c r="C3" s="487">
        <f>IFERROR(INDEX('E-Banker master'!$H$2:$H$186,MATCH($A3,'E-Banker master'!$A$2:$A$186,0)),"")</f>
        <v/>
      </c>
      <c r="D3" s="488">
        <f>IFERROR(INDEX('E-Banker master'!$I$2:$I$186,MATCH($A3,'E-Banker master'!$A$2:$A$186,0)),"")</f>
        <v/>
      </c>
      <c r="E3">
        <f>IFERROR(INDEX('E-Banker master'!$E$2:$E$186,MATCH($A3,'E-Banker master'!$A$2:$A$186,0)),"")</f>
        <v/>
      </c>
      <c r="F3" s="489" t="inlineStr"/>
      <c r="G3" s="489" t="inlineStr"/>
    </row>
    <row r="4">
      <c r="A4" t="inlineStr">
        <is>
          <t>000104430000058</t>
        </is>
      </c>
      <c r="B4">
        <f>IFERROR(INDEX('E-Banker master'!$B$2:$B$186,MATCH($A4,'E-Banker master'!$A$2:$A$186,0)),"")</f>
        <v/>
      </c>
      <c r="C4" s="487">
        <f>IFERROR(INDEX('E-Banker master'!$H$2:$H$186,MATCH($A4,'E-Banker master'!$A$2:$A$186,0)),"")</f>
        <v/>
      </c>
      <c r="D4" s="488">
        <f>IFERROR(INDEX('E-Banker master'!$I$2:$I$186,MATCH($A4,'E-Banker master'!$A$2:$A$186,0)),"")</f>
        <v/>
      </c>
      <c r="E4">
        <f>IFERROR(INDEX('E-Banker master'!$E$2:$E$186,MATCH($A4,'E-Banker master'!$A$2:$A$186,0)),"")</f>
        <v/>
      </c>
      <c r="F4" s="489" t="inlineStr"/>
      <c r="G4" s="489" t="inlineStr"/>
    </row>
    <row r="5">
      <c r="A5" t="inlineStr">
        <is>
          <t>000104430000059</t>
        </is>
      </c>
      <c r="B5">
        <f>IFERROR(INDEX('E-Banker master'!$B$2:$B$186,MATCH($A5,'E-Banker master'!$A$2:$A$186,0)),"")</f>
        <v/>
      </c>
      <c r="C5" s="487">
        <f>IFERROR(INDEX('E-Banker master'!$H$2:$H$186,MATCH($A5,'E-Banker master'!$A$2:$A$186,0)),"")</f>
        <v/>
      </c>
      <c r="D5" s="488">
        <f>IFERROR(INDEX('E-Banker master'!$I$2:$I$186,MATCH($A5,'E-Banker master'!$A$2:$A$186,0)),"")</f>
        <v/>
      </c>
      <c r="E5">
        <f>IFERROR(INDEX('E-Banker master'!$E$2:$E$186,MATCH($A5,'E-Banker master'!$A$2:$A$186,0)),"")</f>
        <v/>
      </c>
      <c r="F5" s="489" t="inlineStr"/>
      <c r="G5" s="489" t="inlineStr"/>
    </row>
    <row r="6">
      <c r="A6" t="inlineStr">
        <is>
          <t>000104440000004</t>
        </is>
      </c>
      <c r="B6">
        <f>IFERROR(INDEX('E-Banker master'!$B$2:$B$186,MATCH($A6,'E-Banker master'!$A$2:$A$186,0)),"")</f>
        <v/>
      </c>
      <c r="C6" s="487">
        <f>IFERROR(INDEX('E-Banker master'!$H$2:$H$186,MATCH($A6,'E-Banker master'!$A$2:$A$186,0)),"")</f>
        <v/>
      </c>
      <c r="D6" s="488">
        <f>IFERROR(INDEX('E-Banker master'!$I$2:$I$186,MATCH($A6,'E-Banker master'!$A$2:$A$186,0)),"")</f>
        <v/>
      </c>
      <c r="E6">
        <f>IFERROR(INDEX('E-Banker master'!$E$2:$E$186,MATCH($A6,'E-Banker master'!$A$2:$A$186,0)),"")</f>
        <v/>
      </c>
      <c r="F6" s="489" t="inlineStr"/>
      <c r="G6" s="489" t="inlineStr"/>
    </row>
    <row r="7">
      <c r="A7" t="inlineStr">
        <is>
          <t>000104460000058</t>
        </is>
      </c>
      <c r="B7">
        <f>IFERROR(INDEX('E-Banker master'!$B$2:$B$186,MATCH($A7,'E-Banker master'!$A$2:$A$186,0)),"")</f>
        <v/>
      </c>
      <c r="C7" s="487">
        <f>IFERROR(INDEX('E-Banker master'!$H$2:$H$186,MATCH($A7,'E-Banker master'!$A$2:$A$186,0)),"")</f>
        <v/>
      </c>
      <c r="D7" s="488">
        <f>IFERROR(INDEX('E-Banker master'!$I$2:$I$186,MATCH($A7,'E-Banker master'!$A$2:$A$186,0)),"")</f>
        <v/>
      </c>
      <c r="E7">
        <f>IFERROR(INDEX('E-Banker master'!$E$2:$E$186,MATCH($A7,'E-Banker master'!$A$2:$A$186,0)),"")</f>
        <v/>
      </c>
      <c r="F7" s="489" t="inlineStr"/>
      <c r="G7" s="489" t="inlineStr"/>
    </row>
    <row r="8">
      <c r="A8" t="inlineStr">
        <is>
          <t>000104460000100</t>
        </is>
      </c>
      <c r="B8">
        <f>IFERROR(INDEX('E-Banker master'!$B$2:$B$186,MATCH($A8,'E-Banker master'!$A$2:$A$186,0)),"")</f>
        <v/>
      </c>
      <c r="C8" s="487">
        <f>IFERROR(INDEX('E-Banker master'!$H$2:$H$186,MATCH($A8,'E-Banker master'!$A$2:$A$186,0)),"")</f>
        <v/>
      </c>
      <c r="D8" s="488">
        <f>IFERROR(INDEX('E-Banker master'!$I$2:$I$186,MATCH($A8,'E-Banker master'!$A$2:$A$186,0)),"")</f>
        <v/>
      </c>
      <c r="E8">
        <f>IFERROR(INDEX('E-Banker master'!$E$2:$E$186,MATCH($A8,'E-Banker master'!$A$2:$A$186,0)),"")</f>
        <v/>
      </c>
      <c r="F8" s="489" t="inlineStr"/>
      <c r="G8" s="489" t="inlineStr"/>
    </row>
    <row r="9">
      <c r="A9" t="inlineStr">
        <is>
          <t>000104460000101</t>
        </is>
      </c>
      <c r="B9">
        <f>IFERROR(INDEX('E-Banker master'!$B$2:$B$186,MATCH($A9,'E-Banker master'!$A$2:$A$186,0)),"")</f>
        <v/>
      </c>
      <c r="C9" s="487">
        <f>IFERROR(INDEX('E-Banker master'!$H$2:$H$186,MATCH($A9,'E-Banker master'!$A$2:$A$186,0)),"")</f>
        <v/>
      </c>
      <c r="D9" s="488">
        <f>IFERROR(INDEX('E-Banker master'!$I$2:$I$186,MATCH($A9,'E-Banker master'!$A$2:$A$186,0)),"")</f>
        <v/>
      </c>
      <c r="E9">
        <f>IFERROR(INDEX('E-Banker master'!$E$2:$E$186,MATCH($A9,'E-Banker master'!$A$2:$A$186,0)),"")</f>
        <v/>
      </c>
      <c r="F9" s="489" t="inlineStr"/>
      <c r="G9" s="48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36"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20" customWidth="1" min="41" max="41"/>
    <col width="18" customWidth="1" min="42" max="42"/>
    <col width="22" customWidth="1" min="43" max="43"/>
    <col width="20" customWidth="1" min="44" max="44"/>
    <col width="24" customWidth="1" min="45" max="45"/>
    <col width="30" customWidth="1" min="46" max="46"/>
    <col width="18" customWidth="1" min="47" max="47"/>
  </cols>
  <sheetData>
    <row r="1" ht="45" customHeight="1">
      <c r="A1" s="486" t="inlineStr">
        <is>
          <t>E-Banker account</t>
        </is>
      </c>
      <c r="B1" s="486" t="inlineStr">
        <is>
          <t>Confidence</t>
        </is>
      </c>
      <c r="C1" s="486" t="inlineStr">
        <is>
          <t>Loan Book row</t>
        </is>
      </c>
      <c r="D1" s="486" t="inlineStr">
        <is>
          <t>Facility name</t>
        </is>
      </c>
      <c r="E1" s="486" t="inlineStr">
        <is>
          <t>Type</t>
        </is>
      </c>
      <c r="F1" s="486" t="inlineStr">
        <is>
          <t>Value date</t>
        </is>
      </c>
      <c r="G1" s="486" t="inlineStr">
        <is>
          <t>Maturity date</t>
        </is>
      </c>
      <c r="H1" s="486" t="inlineStr">
        <is>
          <t>Tenor (years)</t>
        </is>
      </c>
      <c r="I1" s="486" t="inlineStr">
        <is>
          <t>Moratorium (text)</t>
        </is>
      </c>
      <c r="J1" s="486" t="inlineStr">
        <is>
          <t>Rate 31 Oct 2024 %</t>
        </is>
      </c>
      <c r="K1" s="486" t="inlineStr">
        <is>
          <t>Approved</t>
        </is>
      </c>
      <c r="L1" s="486" t="inlineStr">
        <is>
          <t>Disbursed</t>
        </is>
      </c>
      <c r="M1" s="486" t="inlineStr">
        <is>
          <t>Not yet disbursed</t>
        </is>
      </c>
      <c r="N1" s="486" t="inlineStr">
        <is>
          <t>Principal 31 Oct 2024</t>
        </is>
      </c>
      <c r="O1" s="486" t="inlineStr">
        <is>
          <t>Interest to date</t>
        </is>
      </c>
      <c r="P1" s="486" t="inlineStr">
        <is>
          <t>Repayments</t>
        </is>
      </c>
      <c r="Q1" s="486" t="inlineStr">
        <is>
          <t>Carrying amount 31 Oct 2024</t>
        </is>
      </c>
      <c r="R1" s="486" t="inlineStr">
        <is>
          <t>Arrears principal</t>
        </is>
      </c>
      <c r="S1" s="486" t="inlineStr">
        <is>
          <t>Arrears interest</t>
        </is>
      </c>
      <c r="T1" s="486" t="inlineStr">
        <is>
          <t>Arrears total</t>
        </is>
      </c>
      <c r="U1" s="486" t="inlineStr">
        <is>
          <t>Segment</t>
        </is>
      </c>
      <c r="V1" s="486" t="inlineStr">
        <is>
          <t>Industry</t>
        </is>
      </c>
      <c r="W1" s="486" t="inlineStr">
        <is>
          <t>E-Banker name</t>
        </is>
      </c>
      <c r="X1" s="486" t="inlineStr">
        <is>
          <t>Scheme id</t>
        </is>
      </c>
      <c r="Y1" s="486" t="inlineStr">
        <is>
          <t>GL code</t>
        </is>
      </c>
      <c r="Z1" s="486" t="inlineStr">
        <is>
          <t>Status</t>
        </is>
      </c>
      <c r="AA1" s="486" t="inlineStr">
        <is>
          <t>Interest policy</t>
        </is>
      </c>
      <c r="AB1" s="486" t="inlineStr">
        <is>
          <t>Rate now %</t>
        </is>
      </c>
      <c r="AC1" s="486" t="inlineStr">
        <is>
          <t>Sanction</t>
        </is>
      </c>
      <c r="AD1" s="486" t="inlineStr">
        <is>
          <t>Sanction date</t>
        </is>
      </c>
      <c r="AE1" s="486" t="inlineStr">
        <is>
          <t>Expiry</t>
        </is>
      </c>
      <c r="AF1" s="486" t="inlineStr">
        <is>
          <t>P moratorium</t>
        </is>
      </c>
      <c r="AG1" s="486" t="inlineStr">
        <is>
          <t>I moratorium</t>
        </is>
      </c>
      <c r="AH1" s="486" t="inlineStr">
        <is>
          <t>Take-on posting 31 Jul 2024</t>
        </is>
      </c>
      <c r="AI1" s="486" t="inlineStr">
        <is>
          <t>Opening interest 31 Jul 2024</t>
        </is>
      </c>
      <c r="AJ1" s="486" t="inlineStr">
        <is>
          <t>Balance 31 Oct 2024</t>
        </is>
      </c>
      <c r="AK1" s="486" t="inlineStr">
        <is>
          <t>Carrying amount less balance</t>
        </is>
      </c>
      <c r="AL1" s="486" t="inlineStr">
        <is>
          <t>Block #</t>
        </is>
      </c>
      <c r="AM1" s="486" t="inlineStr">
        <is>
          <t>Go to block</t>
        </is>
      </c>
      <c r="AN1" s="486" t="inlineStr">
        <is>
          <t>Tamanda confirmed (from Mapping)</t>
        </is>
      </c>
      <c r="AO1" s="556" t="inlineStr">
        <is>
          <t>Arrangement fee (MK)</t>
        </is>
      </c>
      <c r="AP1" s="556" t="inlineStr">
        <is>
          <t>Legal fees (MK)</t>
        </is>
      </c>
      <c r="AQ1" s="556" t="inlineStr">
        <is>
          <t>Other integral fees (MK)</t>
        </is>
      </c>
      <c r="AR1" s="556" t="inlineStr">
        <is>
          <t>Fee date (dd/mm/yyyy)</t>
        </is>
      </c>
      <c r="AS1" s="556" t="inlineStr">
        <is>
          <t>Deducted from disbursement? (Y/N)</t>
        </is>
      </c>
      <c r="AT1" s="556" t="inlineStr">
        <is>
          <t>Source (offer letter ref or receipt)</t>
        </is>
      </c>
      <c r="AU1" s="557" t="inlineStr">
        <is>
          <t>Total fees (MK)</t>
        </is>
      </c>
    </row>
    <row r="2">
      <c r="A2">
        <f>'Mapping'!J2</f>
        <v/>
      </c>
      <c r="B2">
        <f>'Mapping'!K2</f>
        <v/>
      </c>
      <c r="C2" t="n">
        <v>5</v>
      </c>
      <c r="D2">
        <f>'Loan Book'!E5</f>
        <v/>
      </c>
      <c r="E2">
        <f>'Loan Book'!F5</f>
        <v/>
      </c>
      <c r="F2" s="487">
        <f>'Loan Book'!G5</f>
        <v/>
      </c>
      <c r="G2" s="487">
        <f>'Loan Book'!H5</f>
        <v/>
      </c>
      <c r="H2">
        <f>'Loan Book'!I5</f>
        <v/>
      </c>
      <c r="I2">
        <f>'Loan Book'!J5</f>
        <v/>
      </c>
      <c r="J2">
        <f>IF('Loan Book'!K5="","",IF('Loan Book'!K5&lt;1,'Loan Book'!K5*100,'Loan Book'!K5))</f>
        <v/>
      </c>
      <c r="K2" s="488">
        <f>'Loan Book'!L5</f>
        <v/>
      </c>
      <c r="L2" s="488">
        <f>'Loan Book'!M5</f>
        <v/>
      </c>
      <c r="M2" s="488">
        <f>'Loan Book'!N5</f>
        <v/>
      </c>
      <c r="N2" s="488">
        <f>'Loan Book'!O5</f>
        <v/>
      </c>
      <c r="O2" s="488">
        <f>'Loan Book'!P5</f>
        <v/>
      </c>
      <c r="P2" s="488">
        <f>'Loan Book'!Q5</f>
        <v/>
      </c>
      <c r="Q2" s="488">
        <f>'Loan Book'!R5</f>
        <v/>
      </c>
      <c r="R2" s="488">
        <f>'Loan Book'!S5</f>
        <v/>
      </c>
      <c r="S2" s="488">
        <f>'Loan Book'!T5</f>
        <v/>
      </c>
      <c r="T2" s="488">
        <f>'Loan Book'!U5</f>
        <v/>
      </c>
      <c r="U2">
        <f>'Loan Book'!AC5</f>
        <v/>
      </c>
      <c r="V2">
        <f>'Loan Book'!AE5</f>
        <v/>
      </c>
      <c r="W2">
        <f>IFERROR(INDEX('E-Banker master'!$B$2:$B$186,MATCH($A2,'E-Banker master'!$A$2:$A$186,0)),"")</f>
        <v/>
      </c>
      <c r="X2">
        <f>IFERROR(INDEX('E-Banker master'!$C$2:$C$186,MATCH($A2,'E-Banker master'!$A$2:$A$186,0)),"")</f>
        <v/>
      </c>
      <c r="Y2">
        <f>IFERROR(INDEX('E-Banker master'!$D$2:$D$186,MATCH($A2,'E-Banker master'!$A$2:$A$186,0)),"")</f>
        <v/>
      </c>
      <c r="Z2">
        <f>IFERROR(INDEX('E-Banker master'!$E$2:$E$186,MATCH($A2,'E-Banker master'!$A$2:$A$186,0)),"")</f>
        <v/>
      </c>
      <c r="AA2">
        <f>IFERROR(INDEX('E-Banker master'!$F$2:$F$186,MATCH($A2,'E-Banker master'!$A$2:$A$186,0)),"")</f>
        <v/>
      </c>
      <c r="AB2">
        <f>IFERROR(INDEX('E-Banker master'!$G$2:$G$186,MATCH($A2,'E-Banker master'!$A$2:$A$186,0)),"")</f>
        <v/>
      </c>
      <c r="AC2" s="488">
        <f>IFERROR(INDEX('E-Banker master'!$I$2:$I$186,MATCH($A2,'E-Banker master'!$A$2:$A$186,0)),"")</f>
        <v/>
      </c>
      <c r="AD2" s="487">
        <f>IFERROR(INDEX('E-Banker master'!$J$2:$J$186,MATCH($A2,'E-Banker master'!$A$2:$A$186,0)),"")</f>
        <v/>
      </c>
      <c r="AE2" s="487">
        <f>IFERROR(INDEX('E-Banker master'!$K$2:$K$186,MATCH($A2,'E-Banker master'!$A$2:$A$186,0)),"")</f>
        <v/>
      </c>
      <c r="AF2">
        <f>IFERROR(INDEX('E-Banker master'!$L$2:$L$186,MATCH($A2,'E-Banker master'!$A$2:$A$186,0)),"")</f>
        <v/>
      </c>
      <c r="AG2">
        <f>IFERROR(INDEX('E-Banker master'!$M$2:$M$186,MATCH($A2,'E-Banker master'!$A$2:$A$186,0)),"")</f>
        <v/>
      </c>
      <c r="AH2" s="488">
        <f>IFERROR(INDEX('E-Banker master'!$N$2:$N$186,MATCH($A2,'E-Banker master'!$A$2:$A$186,0)),"")</f>
        <v/>
      </c>
      <c r="AI2" s="488">
        <f>IFERROR(INDEX('E-Banker master'!$O$2:$O$186,MATCH($A2,'E-Banker master'!$A$2:$A$186,0)),"")</f>
        <v/>
      </c>
      <c r="AJ2" s="488">
        <f>IFERROR(INDEX('E-Banker master'!$P$2:$P$186,MATCH($A2,'E-Banker master'!$A$2:$A$186,0)),"")</f>
        <v/>
      </c>
      <c r="AK2" s="488">
        <f>IF(OR(Q2="",AJ2=""),"",Q2-AJ2)</f>
        <v/>
      </c>
      <c r="AL2" t="n">
        <v>1</v>
      </c>
      <c r="AM2">
        <f>HYPERLINK("#'Amortisation and Repayments'!C4","block 1")</f>
        <v/>
      </c>
      <c r="AN2">
        <f>'Mapping'!X2</f>
        <v/>
      </c>
      <c r="AO2" s="558" t="n"/>
      <c r="AP2" s="558" t="n"/>
      <c r="AQ2" s="558" t="n"/>
      <c r="AR2" s="559" t="n"/>
      <c r="AS2" s="560" t="n"/>
      <c r="AT2" s="560" t="n"/>
      <c r="AU2" s="561">
        <f>IF(COUNT(AO2:AQ2)=0,"",SUM(AO2:AQ2))</f>
        <v/>
      </c>
    </row>
    <row r="3">
      <c r="A3">
        <f>'Mapping'!J3</f>
        <v/>
      </c>
      <c r="B3">
        <f>'Mapping'!K3</f>
        <v/>
      </c>
      <c r="C3" t="n">
        <v>6</v>
      </c>
      <c r="D3">
        <f>'Loan Book'!E6</f>
        <v/>
      </c>
      <c r="E3">
        <f>'Loan Book'!F6</f>
        <v/>
      </c>
      <c r="F3" s="487">
        <f>'Loan Book'!G6</f>
        <v/>
      </c>
      <c r="G3" s="487">
        <f>'Loan Book'!H6</f>
        <v/>
      </c>
      <c r="H3">
        <f>'Loan Book'!I6</f>
        <v/>
      </c>
      <c r="I3">
        <f>'Loan Book'!J6</f>
        <v/>
      </c>
      <c r="J3">
        <f>IF('Loan Book'!K6="","",IF('Loan Book'!K6&lt;1,'Loan Book'!K6*100,'Loan Book'!K6))</f>
        <v/>
      </c>
      <c r="K3" s="488">
        <f>'Loan Book'!L6</f>
        <v/>
      </c>
      <c r="L3" s="488">
        <f>'Loan Book'!M6</f>
        <v/>
      </c>
      <c r="M3" s="488">
        <f>'Loan Book'!N6</f>
        <v/>
      </c>
      <c r="N3" s="488">
        <f>'Loan Book'!O6</f>
        <v/>
      </c>
      <c r="O3" s="488">
        <f>'Loan Book'!P6</f>
        <v/>
      </c>
      <c r="P3" s="488">
        <f>'Loan Book'!Q6</f>
        <v/>
      </c>
      <c r="Q3" s="488">
        <f>'Loan Book'!R6</f>
        <v/>
      </c>
      <c r="R3" s="488">
        <f>'Loan Book'!S6</f>
        <v/>
      </c>
      <c r="S3" s="488">
        <f>'Loan Book'!T6</f>
        <v/>
      </c>
      <c r="T3" s="488">
        <f>'Loan Book'!U6</f>
        <v/>
      </c>
      <c r="U3">
        <f>'Loan Book'!AC6</f>
        <v/>
      </c>
      <c r="V3">
        <f>'Loan Book'!AE6</f>
        <v/>
      </c>
      <c r="W3">
        <f>IFERROR(INDEX('E-Banker master'!$B$2:$B$186,MATCH($A3,'E-Banker master'!$A$2:$A$186,0)),"")</f>
        <v/>
      </c>
      <c r="X3">
        <f>IFERROR(INDEX('E-Banker master'!$C$2:$C$186,MATCH($A3,'E-Banker master'!$A$2:$A$186,0)),"")</f>
        <v/>
      </c>
      <c r="Y3">
        <f>IFERROR(INDEX('E-Banker master'!$D$2:$D$186,MATCH($A3,'E-Banker master'!$A$2:$A$186,0)),"")</f>
        <v/>
      </c>
      <c r="Z3">
        <f>IFERROR(INDEX('E-Banker master'!$E$2:$E$186,MATCH($A3,'E-Banker master'!$A$2:$A$186,0)),"")</f>
        <v/>
      </c>
      <c r="AA3">
        <f>IFERROR(INDEX('E-Banker master'!$F$2:$F$186,MATCH($A3,'E-Banker master'!$A$2:$A$186,0)),"")</f>
        <v/>
      </c>
      <c r="AB3">
        <f>IFERROR(INDEX('E-Banker master'!$G$2:$G$186,MATCH($A3,'E-Banker master'!$A$2:$A$186,0)),"")</f>
        <v/>
      </c>
      <c r="AC3" s="488">
        <f>IFERROR(INDEX('E-Banker master'!$I$2:$I$186,MATCH($A3,'E-Banker master'!$A$2:$A$186,0)),"")</f>
        <v/>
      </c>
      <c r="AD3" s="487">
        <f>IFERROR(INDEX('E-Banker master'!$J$2:$J$186,MATCH($A3,'E-Banker master'!$A$2:$A$186,0)),"")</f>
        <v/>
      </c>
      <c r="AE3" s="487">
        <f>IFERROR(INDEX('E-Banker master'!$K$2:$K$186,MATCH($A3,'E-Banker master'!$A$2:$A$186,0)),"")</f>
        <v/>
      </c>
      <c r="AF3">
        <f>IFERROR(INDEX('E-Banker master'!$L$2:$L$186,MATCH($A3,'E-Banker master'!$A$2:$A$186,0)),"")</f>
        <v/>
      </c>
      <c r="AG3">
        <f>IFERROR(INDEX('E-Banker master'!$M$2:$M$186,MATCH($A3,'E-Banker master'!$A$2:$A$186,0)),"")</f>
        <v/>
      </c>
      <c r="AH3" s="488">
        <f>IFERROR(INDEX('E-Banker master'!$N$2:$N$186,MATCH($A3,'E-Banker master'!$A$2:$A$186,0)),"")</f>
        <v/>
      </c>
      <c r="AI3" s="488">
        <f>IFERROR(INDEX('E-Banker master'!$O$2:$O$186,MATCH($A3,'E-Banker master'!$A$2:$A$186,0)),"")</f>
        <v/>
      </c>
      <c r="AJ3" s="488">
        <f>IFERROR(INDEX('E-Banker master'!$P$2:$P$186,MATCH($A3,'E-Banker master'!$A$2:$A$186,0)),"")</f>
        <v/>
      </c>
      <c r="AK3" s="488">
        <f>IF(OR(Q3="",AJ3=""),"",Q3-AJ3)</f>
        <v/>
      </c>
      <c r="AL3" t="n">
        <v>2</v>
      </c>
      <c r="AM3">
        <f>HYPERLINK("#'Amortisation and Repayments'!C41","block 2")</f>
        <v/>
      </c>
      <c r="AN3">
        <f>'Mapping'!X3</f>
        <v/>
      </c>
      <c r="AO3" s="558" t="n"/>
      <c r="AP3" s="558" t="n"/>
      <c r="AQ3" s="558" t="n"/>
      <c r="AR3" s="559" t="n"/>
      <c r="AS3" s="560" t="n"/>
      <c r="AT3" s="560" t="n"/>
      <c r="AU3" s="561">
        <f>IF(COUNT(AO3:AQ3)=0,"",SUM(AO3:AQ3))</f>
        <v/>
      </c>
    </row>
    <row r="4">
      <c r="A4">
        <f>'Mapping'!J4</f>
        <v/>
      </c>
      <c r="B4">
        <f>'Mapping'!K4</f>
        <v/>
      </c>
      <c r="C4" t="n">
        <v>7</v>
      </c>
      <c r="D4">
        <f>'Loan Book'!E7</f>
        <v/>
      </c>
      <c r="E4">
        <f>'Loan Book'!F7</f>
        <v/>
      </c>
      <c r="F4" s="487">
        <f>'Loan Book'!G7</f>
        <v/>
      </c>
      <c r="G4" s="487">
        <f>'Loan Book'!H7</f>
        <v/>
      </c>
      <c r="H4">
        <f>'Loan Book'!I7</f>
        <v/>
      </c>
      <c r="I4">
        <f>'Loan Book'!J7</f>
        <v/>
      </c>
      <c r="J4">
        <f>IF('Loan Book'!K7="","",IF('Loan Book'!K7&lt;1,'Loan Book'!K7*100,'Loan Book'!K7))</f>
        <v/>
      </c>
      <c r="K4" s="488">
        <f>'Loan Book'!L7</f>
        <v/>
      </c>
      <c r="L4" s="488">
        <f>'Loan Book'!M7</f>
        <v/>
      </c>
      <c r="M4" s="488">
        <f>'Loan Book'!N7</f>
        <v/>
      </c>
      <c r="N4" s="488">
        <f>'Loan Book'!O7</f>
        <v/>
      </c>
      <c r="O4" s="488">
        <f>'Loan Book'!P7</f>
        <v/>
      </c>
      <c r="P4" s="488">
        <f>'Loan Book'!Q7</f>
        <v/>
      </c>
      <c r="Q4" s="488">
        <f>'Loan Book'!R7</f>
        <v/>
      </c>
      <c r="R4" s="488">
        <f>'Loan Book'!S7</f>
        <v/>
      </c>
      <c r="S4" s="488">
        <f>'Loan Book'!T7</f>
        <v/>
      </c>
      <c r="T4" s="488">
        <f>'Loan Book'!U7</f>
        <v/>
      </c>
      <c r="U4">
        <f>'Loan Book'!AC7</f>
        <v/>
      </c>
      <c r="V4">
        <f>'Loan Book'!AE7</f>
        <v/>
      </c>
      <c r="W4">
        <f>IFERROR(INDEX('E-Banker master'!$B$2:$B$186,MATCH($A4,'E-Banker master'!$A$2:$A$186,0)),"")</f>
        <v/>
      </c>
      <c r="X4">
        <f>IFERROR(INDEX('E-Banker master'!$C$2:$C$186,MATCH($A4,'E-Banker master'!$A$2:$A$186,0)),"")</f>
        <v/>
      </c>
      <c r="Y4">
        <f>IFERROR(INDEX('E-Banker master'!$D$2:$D$186,MATCH($A4,'E-Banker master'!$A$2:$A$186,0)),"")</f>
        <v/>
      </c>
      <c r="Z4">
        <f>IFERROR(INDEX('E-Banker master'!$E$2:$E$186,MATCH($A4,'E-Banker master'!$A$2:$A$186,0)),"")</f>
        <v/>
      </c>
      <c r="AA4">
        <f>IFERROR(INDEX('E-Banker master'!$F$2:$F$186,MATCH($A4,'E-Banker master'!$A$2:$A$186,0)),"")</f>
        <v/>
      </c>
      <c r="AB4">
        <f>IFERROR(INDEX('E-Banker master'!$G$2:$G$186,MATCH($A4,'E-Banker master'!$A$2:$A$186,0)),"")</f>
        <v/>
      </c>
      <c r="AC4" s="488">
        <f>IFERROR(INDEX('E-Banker master'!$I$2:$I$186,MATCH($A4,'E-Banker master'!$A$2:$A$186,0)),"")</f>
        <v/>
      </c>
      <c r="AD4" s="487">
        <f>IFERROR(INDEX('E-Banker master'!$J$2:$J$186,MATCH($A4,'E-Banker master'!$A$2:$A$186,0)),"")</f>
        <v/>
      </c>
      <c r="AE4" s="487">
        <f>IFERROR(INDEX('E-Banker master'!$K$2:$K$186,MATCH($A4,'E-Banker master'!$A$2:$A$186,0)),"")</f>
        <v/>
      </c>
      <c r="AF4">
        <f>IFERROR(INDEX('E-Banker master'!$L$2:$L$186,MATCH($A4,'E-Banker master'!$A$2:$A$186,0)),"")</f>
        <v/>
      </c>
      <c r="AG4">
        <f>IFERROR(INDEX('E-Banker master'!$M$2:$M$186,MATCH($A4,'E-Banker master'!$A$2:$A$186,0)),"")</f>
        <v/>
      </c>
      <c r="AH4" s="488">
        <f>IFERROR(INDEX('E-Banker master'!$N$2:$N$186,MATCH($A4,'E-Banker master'!$A$2:$A$186,0)),"")</f>
        <v/>
      </c>
      <c r="AI4" s="488">
        <f>IFERROR(INDEX('E-Banker master'!$O$2:$O$186,MATCH($A4,'E-Banker master'!$A$2:$A$186,0)),"")</f>
        <v/>
      </c>
      <c r="AJ4" s="488">
        <f>IFERROR(INDEX('E-Banker master'!$P$2:$P$186,MATCH($A4,'E-Banker master'!$A$2:$A$186,0)),"")</f>
        <v/>
      </c>
      <c r="AK4" s="488">
        <f>IF(OR(Q4="",AJ4=""),"",Q4-AJ4)</f>
        <v/>
      </c>
      <c r="AL4" t="n">
        <v>3</v>
      </c>
      <c r="AM4">
        <f>HYPERLINK("#'Amortisation and Repayments'!C204","block 3")</f>
        <v/>
      </c>
      <c r="AN4">
        <f>'Mapping'!X4</f>
        <v/>
      </c>
      <c r="AO4" s="558" t="n"/>
      <c r="AP4" s="558" t="n"/>
      <c r="AQ4" s="558" t="n"/>
      <c r="AR4" s="559" t="n"/>
      <c r="AS4" s="560" t="n"/>
      <c r="AT4" s="560" t="n"/>
      <c r="AU4" s="561">
        <f>IF(COUNT(AO4:AQ4)=0,"",SUM(AO4:AQ4))</f>
        <v/>
      </c>
    </row>
    <row r="5">
      <c r="A5">
        <f>'Mapping'!J5</f>
        <v/>
      </c>
      <c r="B5">
        <f>'Mapping'!K5</f>
        <v/>
      </c>
      <c r="C5" t="n">
        <v>8</v>
      </c>
      <c r="D5">
        <f>'Loan Book'!E8</f>
        <v/>
      </c>
      <c r="E5">
        <f>'Loan Book'!F8</f>
        <v/>
      </c>
      <c r="F5" s="487">
        <f>'Loan Book'!G8</f>
        <v/>
      </c>
      <c r="G5" s="487">
        <f>'Loan Book'!H8</f>
        <v/>
      </c>
      <c r="H5">
        <f>'Loan Book'!I8</f>
        <v/>
      </c>
      <c r="I5">
        <f>'Loan Book'!J8</f>
        <v/>
      </c>
      <c r="J5">
        <f>IF('Loan Book'!K8="","",IF('Loan Book'!K8&lt;1,'Loan Book'!K8*100,'Loan Book'!K8))</f>
        <v/>
      </c>
      <c r="K5" s="488">
        <f>'Loan Book'!L8</f>
        <v/>
      </c>
      <c r="L5" s="488">
        <f>'Loan Book'!M8</f>
        <v/>
      </c>
      <c r="M5" s="488">
        <f>'Loan Book'!N8</f>
        <v/>
      </c>
      <c r="N5" s="488">
        <f>'Loan Book'!O8</f>
        <v/>
      </c>
      <c r="O5" s="488">
        <f>'Loan Book'!P8</f>
        <v/>
      </c>
      <c r="P5" s="488">
        <f>'Loan Book'!Q8</f>
        <v/>
      </c>
      <c r="Q5" s="488">
        <f>'Loan Book'!R8</f>
        <v/>
      </c>
      <c r="R5" s="488">
        <f>'Loan Book'!S8</f>
        <v/>
      </c>
      <c r="S5" s="488">
        <f>'Loan Book'!T8</f>
        <v/>
      </c>
      <c r="T5" s="488">
        <f>'Loan Book'!U8</f>
        <v/>
      </c>
      <c r="U5">
        <f>'Loan Book'!AC8</f>
        <v/>
      </c>
      <c r="V5">
        <f>'Loan Book'!AE8</f>
        <v/>
      </c>
      <c r="W5">
        <f>IFERROR(INDEX('E-Banker master'!$B$2:$B$186,MATCH($A5,'E-Banker master'!$A$2:$A$186,0)),"")</f>
        <v/>
      </c>
      <c r="X5">
        <f>IFERROR(INDEX('E-Banker master'!$C$2:$C$186,MATCH($A5,'E-Banker master'!$A$2:$A$186,0)),"")</f>
        <v/>
      </c>
      <c r="Y5">
        <f>IFERROR(INDEX('E-Banker master'!$D$2:$D$186,MATCH($A5,'E-Banker master'!$A$2:$A$186,0)),"")</f>
        <v/>
      </c>
      <c r="Z5">
        <f>IFERROR(INDEX('E-Banker master'!$E$2:$E$186,MATCH($A5,'E-Banker master'!$A$2:$A$186,0)),"")</f>
        <v/>
      </c>
      <c r="AA5">
        <f>IFERROR(INDEX('E-Banker master'!$F$2:$F$186,MATCH($A5,'E-Banker master'!$A$2:$A$186,0)),"")</f>
        <v/>
      </c>
      <c r="AB5">
        <f>IFERROR(INDEX('E-Banker master'!$G$2:$G$186,MATCH($A5,'E-Banker master'!$A$2:$A$186,0)),"")</f>
        <v/>
      </c>
      <c r="AC5" s="488">
        <f>IFERROR(INDEX('E-Banker master'!$I$2:$I$186,MATCH($A5,'E-Banker master'!$A$2:$A$186,0)),"")</f>
        <v/>
      </c>
      <c r="AD5" s="487">
        <f>IFERROR(INDEX('E-Banker master'!$J$2:$J$186,MATCH($A5,'E-Banker master'!$A$2:$A$186,0)),"")</f>
        <v/>
      </c>
      <c r="AE5" s="487">
        <f>IFERROR(INDEX('E-Banker master'!$K$2:$K$186,MATCH($A5,'E-Banker master'!$A$2:$A$186,0)),"")</f>
        <v/>
      </c>
      <c r="AF5">
        <f>IFERROR(INDEX('E-Banker master'!$L$2:$L$186,MATCH($A5,'E-Banker master'!$A$2:$A$186,0)),"")</f>
        <v/>
      </c>
      <c r="AG5">
        <f>IFERROR(INDEX('E-Banker master'!$M$2:$M$186,MATCH($A5,'E-Banker master'!$A$2:$A$186,0)),"")</f>
        <v/>
      </c>
      <c r="AH5" s="488">
        <f>IFERROR(INDEX('E-Banker master'!$N$2:$N$186,MATCH($A5,'E-Banker master'!$A$2:$A$186,0)),"")</f>
        <v/>
      </c>
      <c r="AI5" s="488">
        <f>IFERROR(INDEX('E-Banker master'!$O$2:$O$186,MATCH($A5,'E-Banker master'!$A$2:$A$186,0)),"")</f>
        <v/>
      </c>
      <c r="AJ5" s="488">
        <f>IFERROR(INDEX('E-Banker master'!$P$2:$P$186,MATCH($A5,'E-Banker master'!$A$2:$A$186,0)),"")</f>
        <v/>
      </c>
      <c r="AK5" s="488">
        <f>IF(OR(Q5="",AJ5=""),"",Q5-AJ5)</f>
        <v/>
      </c>
      <c r="AL5" t="n">
        <v>4</v>
      </c>
      <c r="AM5">
        <f>HYPERLINK("#'Amortisation and Repayments'!C244","block 4")</f>
        <v/>
      </c>
      <c r="AN5">
        <f>'Mapping'!X5</f>
        <v/>
      </c>
      <c r="AO5" s="558" t="n"/>
      <c r="AP5" s="558" t="n"/>
      <c r="AQ5" s="558" t="n"/>
      <c r="AR5" s="559" t="n"/>
      <c r="AS5" s="560" t="n"/>
      <c r="AT5" s="560" t="n"/>
      <c r="AU5" s="561">
        <f>IF(COUNT(AO5:AQ5)=0,"",SUM(AO5:AQ5))</f>
        <v/>
      </c>
    </row>
    <row r="6">
      <c r="A6">
        <f>'Mapping'!J6</f>
        <v/>
      </c>
      <c r="B6">
        <f>'Mapping'!K6</f>
        <v/>
      </c>
      <c r="C6" t="n">
        <v>9</v>
      </c>
      <c r="D6">
        <f>'Loan Book'!E9</f>
        <v/>
      </c>
      <c r="E6">
        <f>'Loan Book'!F9</f>
        <v/>
      </c>
      <c r="F6" s="487">
        <f>'Loan Book'!G9</f>
        <v/>
      </c>
      <c r="G6" s="487">
        <f>'Loan Book'!H9</f>
        <v/>
      </c>
      <c r="H6">
        <f>'Loan Book'!I9</f>
        <v/>
      </c>
      <c r="I6">
        <f>'Loan Book'!J9</f>
        <v/>
      </c>
      <c r="J6">
        <f>IF('Loan Book'!K9="","",IF('Loan Book'!K9&lt;1,'Loan Book'!K9*100,'Loan Book'!K9))</f>
        <v/>
      </c>
      <c r="K6" s="488">
        <f>'Loan Book'!L9</f>
        <v/>
      </c>
      <c r="L6" s="488">
        <f>'Loan Book'!M9</f>
        <v/>
      </c>
      <c r="M6" s="488">
        <f>'Loan Book'!N9</f>
        <v/>
      </c>
      <c r="N6" s="488">
        <f>'Loan Book'!O9</f>
        <v/>
      </c>
      <c r="O6" s="488">
        <f>'Loan Book'!P9</f>
        <v/>
      </c>
      <c r="P6" s="488">
        <f>'Loan Book'!Q9</f>
        <v/>
      </c>
      <c r="Q6" s="488">
        <f>'Loan Book'!R9</f>
        <v/>
      </c>
      <c r="R6" s="488">
        <f>'Loan Book'!S9</f>
        <v/>
      </c>
      <c r="S6" s="488">
        <f>'Loan Book'!T9</f>
        <v/>
      </c>
      <c r="T6" s="488">
        <f>'Loan Book'!U9</f>
        <v/>
      </c>
      <c r="U6">
        <f>'Loan Book'!AC9</f>
        <v/>
      </c>
      <c r="V6">
        <f>'Loan Book'!AE9</f>
        <v/>
      </c>
      <c r="W6">
        <f>IFERROR(INDEX('E-Banker master'!$B$2:$B$186,MATCH($A6,'E-Banker master'!$A$2:$A$186,0)),"")</f>
        <v/>
      </c>
      <c r="X6">
        <f>IFERROR(INDEX('E-Banker master'!$C$2:$C$186,MATCH($A6,'E-Banker master'!$A$2:$A$186,0)),"")</f>
        <v/>
      </c>
      <c r="Y6">
        <f>IFERROR(INDEX('E-Banker master'!$D$2:$D$186,MATCH($A6,'E-Banker master'!$A$2:$A$186,0)),"")</f>
        <v/>
      </c>
      <c r="Z6">
        <f>IFERROR(INDEX('E-Banker master'!$E$2:$E$186,MATCH($A6,'E-Banker master'!$A$2:$A$186,0)),"")</f>
        <v/>
      </c>
      <c r="AA6">
        <f>IFERROR(INDEX('E-Banker master'!$F$2:$F$186,MATCH($A6,'E-Banker master'!$A$2:$A$186,0)),"")</f>
        <v/>
      </c>
      <c r="AB6">
        <f>IFERROR(INDEX('E-Banker master'!$G$2:$G$186,MATCH($A6,'E-Banker master'!$A$2:$A$186,0)),"")</f>
        <v/>
      </c>
      <c r="AC6" s="488">
        <f>IFERROR(INDEX('E-Banker master'!$I$2:$I$186,MATCH($A6,'E-Banker master'!$A$2:$A$186,0)),"")</f>
        <v/>
      </c>
      <c r="AD6" s="487">
        <f>IFERROR(INDEX('E-Banker master'!$J$2:$J$186,MATCH($A6,'E-Banker master'!$A$2:$A$186,0)),"")</f>
        <v/>
      </c>
      <c r="AE6" s="487">
        <f>IFERROR(INDEX('E-Banker master'!$K$2:$K$186,MATCH($A6,'E-Banker master'!$A$2:$A$186,0)),"")</f>
        <v/>
      </c>
      <c r="AF6">
        <f>IFERROR(INDEX('E-Banker master'!$L$2:$L$186,MATCH($A6,'E-Banker master'!$A$2:$A$186,0)),"")</f>
        <v/>
      </c>
      <c r="AG6">
        <f>IFERROR(INDEX('E-Banker master'!$M$2:$M$186,MATCH($A6,'E-Banker master'!$A$2:$A$186,0)),"")</f>
        <v/>
      </c>
      <c r="AH6" s="488">
        <f>IFERROR(INDEX('E-Banker master'!$N$2:$N$186,MATCH($A6,'E-Banker master'!$A$2:$A$186,0)),"")</f>
        <v/>
      </c>
      <c r="AI6" s="488">
        <f>IFERROR(INDEX('E-Banker master'!$O$2:$O$186,MATCH($A6,'E-Banker master'!$A$2:$A$186,0)),"")</f>
        <v/>
      </c>
      <c r="AJ6" s="488">
        <f>IFERROR(INDEX('E-Banker master'!$P$2:$P$186,MATCH($A6,'E-Banker master'!$A$2:$A$186,0)),"")</f>
        <v/>
      </c>
      <c r="AK6" s="488">
        <f>IF(OR(Q6="",AJ6=""),"",Q6-AJ6)</f>
        <v/>
      </c>
      <c r="AL6" t="n">
        <v>5</v>
      </c>
      <c r="AM6">
        <f>HYPERLINK("#'Amortisation and Repayments'!C282","block 5")</f>
        <v/>
      </c>
      <c r="AN6">
        <f>'Mapping'!X6</f>
        <v/>
      </c>
      <c r="AO6" s="558" t="n"/>
      <c r="AP6" s="558" t="n"/>
      <c r="AQ6" s="558" t="n"/>
      <c r="AR6" s="559" t="n"/>
      <c r="AS6" s="560" t="n"/>
      <c r="AT6" s="560" t="n"/>
      <c r="AU6" s="561">
        <f>IF(COUNT(AO6:AQ6)=0,"",SUM(AO6:AQ6))</f>
        <v/>
      </c>
    </row>
    <row r="7">
      <c r="A7">
        <f>'Mapping'!J7</f>
        <v/>
      </c>
      <c r="B7">
        <f>'Mapping'!K7</f>
        <v/>
      </c>
      <c r="C7" t="n">
        <v>10</v>
      </c>
      <c r="D7">
        <f>'Loan Book'!E10</f>
        <v/>
      </c>
      <c r="E7">
        <f>'Loan Book'!F10</f>
        <v/>
      </c>
      <c r="F7" s="487">
        <f>'Loan Book'!G10</f>
        <v/>
      </c>
      <c r="G7" s="487">
        <f>'Loan Book'!H10</f>
        <v/>
      </c>
      <c r="H7">
        <f>'Loan Book'!I10</f>
        <v/>
      </c>
      <c r="I7">
        <f>'Loan Book'!J10</f>
        <v/>
      </c>
      <c r="J7">
        <f>IF('Loan Book'!K10="","",IF('Loan Book'!K10&lt;1,'Loan Book'!K10*100,'Loan Book'!K10))</f>
        <v/>
      </c>
      <c r="K7" s="488">
        <f>'Loan Book'!L10</f>
        <v/>
      </c>
      <c r="L7" s="488">
        <f>'Loan Book'!M10</f>
        <v/>
      </c>
      <c r="M7" s="488">
        <f>'Loan Book'!N10</f>
        <v/>
      </c>
      <c r="N7" s="488">
        <f>'Loan Book'!O10</f>
        <v/>
      </c>
      <c r="O7" s="488">
        <f>'Loan Book'!P10</f>
        <v/>
      </c>
      <c r="P7" s="488">
        <f>'Loan Book'!Q10</f>
        <v/>
      </c>
      <c r="Q7" s="488">
        <f>'Loan Book'!R10</f>
        <v/>
      </c>
      <c r="R7" s="488">
        <f>'Loan Book'!S10</f>
        <v/>
      </c>
      <c r="S7" s="488">
        <f>'Loan Book'!T10</f>
        <v/>
      </c>
      <c r="T7" s="488">
        <f>'Loan Book'!U10</f>
        <v/>
      </c>
      <c r="U7">
        <f>'Loan Book'!AC10</f>
        <v/>
      </c>
      <c r="V7">
        <f>'Loan Book'!AE10</f>
        <v/>
      </c>
      <c r="W7">
        <f>IFERROR(INDEX('E-Banker master'!$B$2:$B$186,MATCH($A7,'E-Banker master'!$A$2:$A$186,0)),"")</f>
        <v/>
      </c>
      <c r="X7">
        <f>IFERROR(INDEX('E-Banker master'!$C$2:$C$186,MATCH($A7,'E-Banker master'!$A$2:$A$186,0)),"")</f>
        <v/>
      </c>
      <c r="Y7">
        <f>IFERROR(INDEX('E-Banker master'!$D$2:$D$186,MATCH($A7,'E-Banker master'!$A$2:$A$186,0)),"")</f>
        <v/>
      </c>
      <c r="Z7">
        <f>IFERROR(INDEX('E-Banker master'!$E$2:$E$186,MATCH($A7,'E-Banker master'!$A$2:$A$186,0)),"")</f>
        <v/>
      </c>
      <c r="AA7">
        <f>IFERROR(INDEX('E-Banker master'!$F$2:$F$186,MATCH($A7,'E-Banker master'!$A$2:$A$186,0)),"")</f>
        <v/>
      </c>
      <c r="AB7">
        <f>IFERROR(INDEX('E-Banker master'!$G$2:$G$186,MATCH($A7,'E-Banker master'!$A$2:$A$186,0)),"")</f>
        <v/>
      </c>
      <c r="AC7" s="488">
        <f>IFERROR(INDEX('E-Banker master'!$I$2:$I$186,MATCH($A7,'E-Banker master'!$A$2:$A$186,0)),"")</f>
        <v/>
      </c>
      <c r="AD7" s="487">
        <f>IFERROR(INDEX('E-Banker master'!$J$2:$J$186,MATCH($A7,'E-Banker master'!$A$2:$A$186,0)),"")</f>
        <v/>
      </c>
      <c r="AE7" s="487">
        <f>IFERROR(INDEX('E-Banker master'!$K$2:$K$186,MATCH($A7,'E-Banker master'!$A$2:$A$186,0)),"")</f>
        <v/>
      </c>
      <c r="AF7">
        <f>IFERROR(INDEX('E-Banker master'!$L$2:$L$186,MATCH($A7,'E-Banker master'!$A$2:$A$186,0)),"")</f>
        <v/>
      </c>
      <c r="AG7">
        <f>IFERROR(INDEX('E-Banker master'!$M$2:$M$186,MATCH($A7,'E-Banker master'!$A$2:$A$186,0)),"")</f>
        <v/>
      </c>
      <c r="AH7" s="488">
        <f>IFERROR(INDEX('E-Banker master'!$N$2:$N$186,MATCH($A7,'E-Banker master'!$A$2:$A$186,0)),"")</f>
        <v/>
      </c>
      <c r="AI7" s="488">
        <f>IFERROR(INDEX('E-Banker master'!$O$2:$O$186,MATCH($A7,'E-Banker master'!$A$2:$A$186,0)),"")</f>
        <v/>
      </c>
      <c r="AJ7" s="488">
        <f>IFERROR(INDEX('E-Banker master'!$P$2:$P$186,MATCH($A7,'E-Banker master'!$A$2:$A$186,0)),"")</f>
        <v/>
      </c>
      <c r="AK7" s="488">
        <f>IF(OR(Q7="",AJ7=""),"",Q7-AJ7)</f>
        <v/>
      </c>
      <c r="AL7" t="n">
        <v>6</v>
      </c>
      <c r="AM7">
        <f>HYPERLINK("#'Amortisation and Repayments'!C357","block 6")</f>
        <v/>
      </c>
      <c r="AN7">
        <f>'Mapping'!X7</f>
        <v/>
      </c>
      <c r="AO7" s="558" t="n"/>
      <c r="AP7" s="558" t="n"/>
      <c r="AQ7" s="558" t="n"/>
      <c r="AR7" s="559" t="n"/>
      <c r="AS7" s="560" t="n"/>
      <c r="AT7" s="560" t="n"/>
      <c r="AU7" s="561">
        <f>IF(COUNT(AO7:AQ7)=0,"",SUM(AO7:AQ7))</f>
        <v/>
      </c>
    </row>
    <row r="8">
      <c r="A8">
        <f>'Mapping'!J8</f>
        <v/>
      </c>
      <c r="B8">
        <f>'Mapping'!K8</f>
        <v/>
      </c>
      <c r="C8" t="n">
        <v>11</v>
      </c>
      <c r="D8">
        <f>'Loan Book'!E11</f>
        <v/>
      </c>
      <c r="E8">
        <f>'Loan Book'!F11</f>
        <v/>
      </c>
      <c r="F8" s="487">
        <f>'Loan Book'!G11</f>
        <v/>
      </c>
      <c r="G8" s="487">
        <f>'Loan Book'!H11</f>
        <v/>
      </c>
      <c r="H8">
        <f>'Loan Book'!I11</f>
        <v/>
      </c>
      <c r="I8">
        <f>'Loan Book'!J11</f>
        <v/>
      </c>
      <c r="J8">
        <f>IF('Loan Book'!K11="","",IF('Loan Book'!K11&lt;1,'Loan Book'!K11*100,'Loan Book'!K11))</f>
        <v/>
      </c>
      <c r="K8" s="488">
        <f>'Loan Book'!L11</f>
        <v/>
      </c>
      <c r="L8" s="488">
        <f>'Loan Book'!M11</f>
        <v/>
      </c>
      <c r="M8" s="488">
        <f>'Loan Book'!N11</f>
        <v/>
      </c>
      <c r="N8" s="488">
        <f>'Loan Book'!O11</f>
        <v/>
      </c>
      <c r="O8" s="488">
        <f>'Loan Book'!P11</f>
        <v/>
      </c>
      <c r="P8" s="488">
        <f>'Loan Book'!Q11</f>
        <v/>
      </c>
      <c r="Q8" s="488">
        <f>'Loan Book'!R11</f>
        <v/>
      </c>
      <c r="R8" s="488">
        <f>'Loan Book'!S11</f>
        <v/>
      </c>
      <c r="S8" s="488">
        <f>'Loan Book'!T11</f>
        <v/>
      </c>
      <c r="T8" s="488">
        <f>'Loan Book'!U11</f>
        <v/>
      </c>
      <c r="U8">
        <f>'Loan Book'!AC11</f>
        <v/>
      </c>
      <c r="V8">
        <f>'Loan Book'!AE11</f>
        <v/>
      </c>
      <c r="W8">
        <f>IFERROR(INDEX('E-Banker master'!$B$2:$B$186,MATCH($A8,'E-Banker master'!$A$2:$A$186,0)),"")</f>
        <v/>
      </c>
      <c r="X8">
        <f>IFERROR(INDEX('E-Banker master'!$C$2:$C$186,MATCH($A8,'E-Banker master'!$A$2:$A$186,0)),"")</f>
        <v/>
      </c>
      <c r="Y8">
        <f>IFERROR(INDEX('E-Banker master'!$D$2:$D$186,MATCH($A8,'E-Banker master'!$A$2:$A$186,0)),"")</f>
        <v/>
      </c>
      <c r="Z8">
        <f>IFERROR(INDEX('E-Banker master'!$E$2:$E$186,MATCH($A8,'E-Banker master'!$A$2:$A$186,0)),"")</f>
        <v/>
      </c>
      <c r="AA8">
        <f>IFERROR(INDEX('E-Banker master'!$F$2:$F$186,MATCH($A8,'E-Banker master'!$A$2:$A$186,0)),"")</f>
        <v/>
      </c>
      <c r="AB8">
        <f>IFERROR(INDEX('E-Banker master'!$G$2:$G$186,MATCH($A8,'E-Banker master'!$A$2:$A$186,0)),"")</f>
        <v/>
      </c>
      <c r="AC8" s="488">
        <f>IFERROR(INDEX('E-Banker master'!$I$2:$I$186,MATCH($A8,'E-Banker master'!$A$2:$A$186,0)),"")</f>
        <v/>
      </c>
      <c r="AD8" s="487">
        <f>IFERROR(INDEX('E-Banker master'!$J$2:$J$186,MATCH($A8,'E-Banker master'!$A$2:$A$186,0)),"")</f>
        <v/>
      </c>
      <c r="AE8" s="487">
        <f>IFERROR(INDEX('E-Banker master'!$K$2:$K$186,MATCH($A8,'E-Banker master'!$A$2:$A$186,0)),"")</f>
        <v/>
      </c>
      <c r="AF8">
        <f>IFERROR(INDEX('E-Banker master'!$L$2:$L$186,MATCH($A8,'E-Banker master'!$A$2:$A$186,0)),"")</f>
        <v/>
      </c>
      <c r="AG8">
        <f>IFERROR(INDEX('E-Banker master'!$M$2:$M$186,MATCH($A8,'E-Banker master'!$A$2:$A$186,0)),"")</f>
        <v/>
      </c>
      <c r="AH8" s="488">
        <f>IFERROR(INDEX('E-Banker master'!$N$2:$N$186,MATCH($A8,'E-Banker master'!$A$2:$A$186,0)),"")</f>
        <v/>
      </c>
      <c r="AI8" s="488">
        <f>IFERROR(INDEX('E-Banker master'!$O$2:$O$186,MATCH($A8,'E-Banker master'!$A$2:$A$186,0)),"")</f>
        <v/>
      </c>
      <c r="AJ8" s="488">
        <f>IFERROR(INDEX('E-Banker master'!$P$2:$P$186,MATCH($A8,'E-Banker master'!$A$2:$A$186,0)),"")</f>
        <v/>
      </c>
      <c r="AK8" s="488">
        <f>IF(OR(Q8="",AJ8=""),"",Q8-AJ8)</f>
        <v/>
      </c>
      <c r="AL8" t="n">
        <v>7</v>
      </c>
      <c r="AM8">
        <f>HYPERLINK("#'Amortisation and Repayments'!C399","block 7")</f>
        <v/>
      </c>
      <c r="AN8">
        <f>'Mapping'!X8</f>
        <v/>
      </c>
      <c r="AO8" s="558" t="n"/>
      <c r="AP8" s="558" t="n"/>
      <c r="AQ8" s="558" t="n"/>
      <c r="AR8" s="559" t="n"/>
      <c r="AS8" s="560" t="n"/>
      <c r="AT8" s="560" t="n"/>
      <c r="AU8" s="561">
        <f>IF(COUNT(AO8:AQ8)=0,"",SUM(AO8:AQ8))</f>
        <v/>
      </c>
    </row>
    <row r="9">
      <c r="A9">
        <f>'Mapping'!J9</f>
        <v/>
      </c>
      <c r="B9">
        <f>'Mapping'!K9</f>
        <v/>
      </c>
      <c r="C9" t="n">
        <v>12</v>
      </c>
      <c r="D9">
        <f>'Loan Book'!E12</f>
        <v/>
      </c>
      <c r="E9">
        <f>'Loan Book'!F12</f>
        <v/>
      </c>
      <c r="F9" s="487">
        <f>'Loan Book'!G12</f>
        <v/>
      </c>
      <c r="G9" s="487">
        <f>'Loan Book'!H12</f>
        <v/>
      </c>
      <c r="H9">
        <f>'Loan Book'!I12</f>
        <v/>
      </c>
      <c r="I9">
        <f>'Loan Book'!J12</f>
        <v/>
      </c>
      <c r="J9">
        <f>IF('Loan Book'!K12="","",IF('Loan Book'!K12&lt;1,'Loan Book'!K12*100,'Loan Book'!K12))</f>
        <v/>
      </c>
      <c r="K9" s="488">
        <f>'Loan Book'!L12</f>
        <v/>
      </c>
      <c r="L9" s="488">
        <f>'Loan Book'!M12</f>
        <v/>
      </c>
      <c r="M9" s="488">
        <f>'Loan Book'!N12</f>
        <v/>
      </c>
      <c r="N9" s="488">
        <f>'Loan Book'!O12</f>
        <v/>
      </c>
      <c r="O9" s="488">
        <f>'Loan Book'!P12</f>
        <v/>
      </c>
      <c r="P9" s="488">
        <f>'Loan Book'!Q12</f>
        <v/>
      </c>
      <c r="Q9" s="488">
        <f>'Loan Book'!R12</f>
        <v/>
      </c>
      <c r="R9" s="488">
        <f>'Loan Book'!S12</f>
        <v/>
      </c>
      <c r="S9" s="488">
        <f>'Loan Book'!T12</f>
        <v/>
      </c>
      <c r="T9" s="488">
        <f>'Loan Book'!U12</f>
        <v/>
      </c>
      <c r="U9">
        <f>'Loan Book'!AC12</f>
        <v/>
      </c>
      <c r="V9">
        <f>'Loan Book'!AE12</f>
        <v/>
      </c>
      <c r="W9">
        <f>IFERROR(INDEX('E-Banker master'!$B$2:$B$186,MATCH($A9,'E-Banker master'!$A$2:$A$186,0)),"")</f>
        <v/>
      </c>
      <c r="X9">
        <f>IFERROR(INDEX('E-Banker master'!$C$2:$C$186,MATCH($A9,'E-Banker master'!$A$2:$A$186,0)),"")</f>
        <v/>
      </c>
      <c r="Y9">
        <f>IFERROR(INDEX('E-Banker master'!$D$2:$D$186,MATCH($A9,'E-Banker master'!$A$2:$A$186,0)),"")</f>
        <v/>
      </c>
      <c r="Z9">
        <f>IFERROR(INDEX('E-Banker master'!$E$2:$E$186,MATCH($A9,'E-Banker master'!$A$2:$A$186,0)),"")</f>
        <v/>
      </c>
      <c r="AA9">
        <f>IFERROR(INDEX('E-Banker master'!$F$2:$F$186,MATCH($A9,'E-Banker master'!$A$2:$A$186,0)),"")</f>
        <v/>
      </c>
      <c r="AB9">
        <f>IFERROR(INDEX('E-Banker master'!$G$2:$G$186,MATCH($A9,'E-Banker master'!$A$2:$A$186,0)),"")</f>
        <v/>
      </c>
      <c r="AC9" s="488">
        <f>IFERROR(INDEX('E-Banker master'!$I$2:$I$186,MATCH($A9,'E-Banker master'!$A$2:$A$186,0)),"")</f>
        <v/>
      </c>
      <c r="AD9" s="487">
        <f>IFERROR(INDEX('E-Banker master'!$J$2:$J$186,MATCH($A9,'E-Banker master'!$A$2:$A$186,0)),"")</f>
        <v/>
      </c>
      <c r="AE9" s="487">
        <f>IFERROR(INDEX('E-Banker master'!$K$2:$K$186,MATCH($A9,'E-Banker master'!$A$2:$A$186,0)),"")</f>
        <v/>
      </c>
      <c r="AF9">
        <f>IFERROR(INDEX('E-Banker master'!$L$2:$L$186,MATCH($A9,'E-Banker master'!$A$2:$A$186,0)),"")</f>
        <v/>
      </c>
      <c r="AG9">
        <f>IFERROR(INDEX('E-Banker master'!$M$2:$M$186,MATCH($A9,'E-Banker master'!$A$2:$A$186,0)),"")</f>
        <v/>
      </c>
      <c r="AH9" s="488">
        <f>IFERROR(INDEX('E-Banker master'!$N$2:$N$186,MATCH($A9,'E-Banker master'!$A$2:$A$186,0)),"")</f>
        <v/>
      </c>
      <c r="AI9" s="488">
        <f>IFERROR(INDEX('E-Banker master'!$O$2:$O$186,MATCH($A9,'E-Banker master'!$A$2:$A$186,0)),"")</f>
        <v/>
      </c>
      <c r="AJ9" s="488">
        <f>IFERROR(INDEX('E-Banker master'!$P$2:$P$186,MATCH($A9,'E-Banker master'!$A$2:$A$186,0)),"")</f>
        <v/>
      </c>
      <c r="AK9" s="488">
        <f>IF(OR(Q9="",AJ9=""),"",Q9-AJ9)</f>
        <v/>
      </c>
      <c r="AL9" t="n">
        <v>8</v>
      </c>
      <c r="AM9">
        <f>HYPERLINK("#'Amortisation and Repayments'!C489","block 8")</f>
        <v/>
      </c>
      <c r="AN9">
        <f>'Mapping'!X9</f>
        <v/>
      </c>
      <c r="AO9" s="558" t="n"/>
      <c r="AP9" s="558" t="n"/>
      <c r="AQ9" s="558" t="n"/>
      <c r="AR9" s="559" t="n"/>
      <c r="AS9" s="560" t="n"/>
      <c r="AT9" s="560" t="n"/>
      <c r="AU9" s="561">
        <f>IF(COUNT(AO9:AQ9)=0,"",SUM(AO9:AQ9))</f>
        <v/>
      </c>
    </row>
    <row r="10">
      <c r="A10">
        <f>'Mapping'!J10</f>
        <v/>
      </c>
      <c r="B10">
        <f>'Mapping'!K10</f>
        <v/>
      </c>
      <c r="C10" t="n">
        <v>13</v>
      </c>
      <c r="D10">
        <f>'Loan Book'!E13</f>
        <v/>
      </c>
      <c r="E10">
        <f>'Loan Book'!F13</f>
        <v/>
      </c>
      <c r="F10" s="487">
        <f>'Loan Book'!G13</f>
        <v/>
      </c>
      <c r="G10" s="487">
        <f>'Loan Book'!H13</f>
        <v/>
      </c>
      <c r="H10">
        <f>'Loan Book'!I13</f>
        <v/>
      </c>
      <c r="I10">
        <f>'Loan Book'!J13</f>
        <v/>
      </c>
      <c r="J10">
        <f>IF('Loan Book'!K13="","",IF('Loan Book'!K13&lt;1,'Loan Book'!K13*100,'Loan Book'!K13))</f>
        <v/>
      </c>
      <c r="K10" s="488">
        <f>'Loan Book'!L13</f>
        <v/>
      </c>
      <c r="L10" s="488">
        <f>'Loan Book'!M13</f>
        <v/>
      </c>
      <c r="M10" s="488">
        <f>'Loan Book'!N13</f>
        <v/>
      </c>
      <c r="N10" s="488">
        <f>'Loan Book'!O13</f>
        <v/>
      </c>
      <c r="O10" s="488">
        <f>'Loan Book'!P13</f>
        <v/>
      </c>
      <c r="P10" s="488">
        <f>'Loan Book'!Q13</f>
        <v/>
      </c>
      <c r="Q10" s="488">
        <f>'Loan Book'!R13</f>
        <v/>
      </c>
      <c r="R10" s="488">
        <f>'Loan Book'!S13</f>
        <v/>
      </c>
      <c r="S10" s="488">
        <f>'Loan Book'!T13</f>
        <v/>
      </c>
      <c r="T10" s="488">
        <f>'Loan Book'!U13</f>
        <v/>
      </c>
      <c r="U10">
        <f>'Loan Book'!AC13</f>
        <v/>
      </c>
      <c r="V10">
        <f>'Loan Book'!AE13</f>
        <v/>
      </c>
      <c r="W10">
        <f>IFERROR(INDEX('E-Banker master'!$B$2:$B$186,MATCH($A10,'E-Banker master'!$A$2:$A$186,0)),"")</f>
        <v/>
      </c>
      <c r="X10">
        <f>IFERROR(INDEX('E-Banker master'!$C$2:$C$186,MATCH($A10,'E-Banker master'!$A$2:$A$186,0)),"")</f>
        <v/>
      </c>
      <c r="Y10">
        <f>IFERROR(INDEX('E-Banker master'!$D$2:$D$186,MATCH($A10,'E-Banker master'!$A$2:$A$186,0)),"")</f>
        <v/>
      </c>
      <c r="Z10">
        <f>IFERROR(INDEX('E-Banker master'!$E$2:$E$186,MATCH($A10,'E-Banker master'!$A$2:$A$186,0)),"")</f>
        <v/>
      </c>
      <c r="AA10">
        <f>IFERROR(INDEX('E-Banker master'!$F$2:$F$186,MATCH($A10,'E-Banker master'!$A$2:$A$186,0)),"")</f>
        <v/>
      </c>
      <c r="AB10">
        <f>IFERROR(INDEX('E-Banker master'!$G$2:$G$186,MATCH($A10,'E-Banker master'!$A$2:$A$186,0)),"")</f>
        <v/>
      </c>
      <c r="AC10" s="488">
        <f>IFERROR(INDEX('E-Banker master'!$I$2:$I$186,MATCH($A10,'E-Banker master'!$A$2:$A$186,0)),"")</f>
        <v/>
      </c>
      <c r="AD10" s="487">
        <f>IFERROR(INDEX('E-Banker master'!$J$2:$J$186,MATCH($A10,'E-Banker master'!$A$2:$A$186,0)),"")</f>
        <v/>
      </c>
      <c r="AE10" s="487">
        <f>IFERROR(INDEX('E-Banker master'!$K$2:$K$186,MATCH($A10,'E-Banker master'!$A$2:$A$186,0)),"")</f>
        <v/>
      </c>
      <c r="AF10">
        <f>IFERROR(INDEX('E-Banker master'!$L$2:$L$186,MATCH($A10,'E-Banker master'!$A$2:$A$186,0)),"")</f>
        <v/>
      </c>
      <c r="AG10">
        <f>IFERROR(INDEX('E-Banker master'!$M$2:$M$186,MATCH($A10,'E-Banker master'!$A$2:$A$186,0)),"")</f>
        <v/>
      </c>
      <c r="AH10" s="488">
        <f>IFERROR(INDEX('E-Banker master'!$N$2:$N$186,MATCH($A10,'E-Banker master'!$A$2:$A$186,0)),"")</f>
        <v/>
      </c>
      <c r="AI10" s="488">
        <f>IFERROR(INDEX('E-Banker master'!$O$2:$O$186,MATCH($A10,'E-Banker master'!$A$2:$A$186,0)),"")</f>
        <v/>
      </c>
      <c r="AJ10" s="488">
        <f>IFERROR(INDEX('E-Banker master'!$P$2:$P$186,MATCH($A10,'E-Banker master'!$A$2:$A$186,0)),"")</f>
        <v/>
      </c>
      <c r="AK10" s="488">
        <f>IF(OR(Q10="",AJ10=""),"",Q10-AJ10)</f>
        <v/>
      </c>
      <c r="AL10" t="n">
        <v>9</v>
      </c>
      <c r="AM10">
        <f>HYPERLINK("#'Amortisation and Repayments'!C553","block 9")</f>
        <v/>
      </c>
      <c r="AN10">
        <f>'Mapping'!X10</f>
        <v/>
      </c>
      <c r="AO10" s="558" t="n"/>
      <c r="AP10" s="558" t="n"/>
      <c r="AQ10" s="558" t="n"/>
      <c r="AR10" s="559" t="n"/>
      <c r="AS10" s="560" t="n"/>
      <c r="AT10" s="560" t="n"/>
      <c r="AU10" s="561">
        <f>IF(COUNT(AO10:AQ10)=0,"",SUM(AO10:AQ10))</f>
        <v/>
      </c>
    </row>
    <row r="11">
      <c r="A11">
        <f>'Mapping'!J11</f>
        <v/>
      </c>
      <c r="B11">
        <f>'Mapping'!K11</f>
        <v/>
      </c>
      <c r="C11" t="n">
        <v>14</v>
      </c>
      <c r="D11">
        <f>'Loan Book'!E14</f>
        <v/>
      </c>
      <c r="E11">
        <f>'Loan Book'!F14</f>
        <v/>
      </c>
      <c r="F11" s="487">
        <f>'Loan Book'!G14</f>
        <v/>
      </c>
      <c r="G11" s="487">
        <f>'Loan Book'!H14</f>
        <v/>
      </c>
      <c r="H11">
        <f>'Loan Book'!I14</f>
        <v/>
      </c>
      <c r="I11">
        <f>'Loan Book'!J14</f>
        <v/>
      </c>
      <c r="J11">
        <f>IF('Loan Book'!K14="","",IF('Loan Book'!K14&lt;1,'Loan Book'!K14*100,'Loan Book'!K14))</f>
        <v/>
      </c>
      <c r="K11" s="488">
        <f>'Loan Book'!L14</f>
        <v/>
      </c>
      <c r="L11" s="488">
        <f>'Loan Book'!M14</f>
        <v/>
      </c>
      <c r="M11" s="488">
        <f>'Loan Book'!N14</f>
        <v/>
      </c>
      <c r="N11" s="488">
        <f>'Loan Book'!O14</f>
        <v/>
      </c>
      <c r="O11" s="488">
        <f>'Loan Book'!P14</f>
        <v/>
      </c>
      <c r="P11" s="488">
        <f>'Loan Book'!Q14</f>
        <v/>
      </c>
      <c r="Q11" s="488">
        <f>'Loan Book'!R14</f>
        <v/>
      </c>
      <c r="R11" s="488">
        <f>'Loan Book'!S14</f>
        <v/>
      </c>
      <c r="S11" s="488">
        <f>'Loan Book'!T14</f>
        <v/>
      </c>
      <c r="T11" s="488">
        <f>'Loan Book'!U14</f>
        <v/>
      </c>
      <c r="U11">
        <f>'Loan Book'!AC14</f>
        <v/>
      </c>
      <c r="V11">
        <f>'Loan Book'!AE14</f>
        <v/>
      </c>
      <c r="W11">
        <f>IFERROR(INDEX('E-Banker master'!$B$2:$B$186,MATCH($A11,'E-Banker master'!$A$2:$A$186,0)),"")</f>
        <v/>
      </c>
      <c r="X11">
        <f>IFERROR(INDEX('E-Banker master'!$C$2:$C$186,MATCH($A11,'E-Banker master'!$A$2:$A$186,0)),"")</f>
        <v/>
      </c>
      <c r="Y11">
        <f>IFERROR(INDEX('E-Banker master'!$D$2:$D$186,MATCH($A11,'E-Banker master'!$A$2:$A$186,0)),"")</f>
        <v/>
      </c>
      <c r="Z11">
        <f>IFERROR(INDEX('E-Banker master'!$E$2:$E$186,MATCH($A11,'E-Banker master'!$A$2:$A$186,0)),"")</f>
        <v/>
      </c>
      <c r="AA11">
        <f>IFERROR(INDEX('E-Banker master'!$F$2:$F$186,MATCH($A11,'E-Banker master'!$A$2:$A$186,0)),"")</f>
        <v/>
      </c>
      <c r="AB11">
        <f>IFERROR(INDEX('E-Banker master'!$G$2:$G$186,MATCH($A11,'E-Banker master'!$A$2:$A$186,0)),"")</f>
        <v/>
      </c>
      <c r="AC11" s="488">
        <f>IFERROR(INDEX('E-Banker master'!$I$2:$I$186,MATCH($A11,'E-Banker master'!$A$2:$A$186,0)),"")</f>
        <v/>
      </c>
      <c r="AD11" s="487">
        <f>IFERROR(INDEX('E-Banker master'!$J$2:$J$186,MATCH($A11,'E-Banker master'!$A$2:$A$186,0)),"")</f>
        <v/>
      </c>
      <c r="AE11" s="487">
        <f>IFERROR(INDEX('E-Banker master'!$K$2:$K$186,MATCH($A11,'E-Banker master'!$A$2:$A$186,0)),"")</f>
        <v/>
      </c>
      <c r="AF11">
        <f>IFERROR(INDEX('E-Banker master'!$L$2:$L$186,MATCH($A11,'E-Banker master'!$A$2:$A$186,0)),"")</f>
        <v/>
      </c>
      <c r="AG11">
        <f>IFERROR(INDEX('E-Banker master'!$M$2:$M$186,MATCH($A11,'E-Banker master'!$A$2:$A$186,0)),"")</f>
        <v/>
      </c>
      <c r="AH11" s="488">
        <f>IFERROR(INDEX('E-Banker master'!$N$2:$N$186,MATCH($A11,'E-Banker master'!$A$2:$A$186,0)),"")</f>
        <v/>
      </c>
      <c r="AI11" s="488">
        <f>IFERROR(INDEX('E-Banker master'!$O$2:$O$186,MATCH($A11,'E-Banker master'!$A$2:$A$186,0)),"")</f>
        <v/>
      </c>
      <c r="AJ11" s="488">
        <f>IFERROR(INDEX('E-Banker master'!$P$2:$P$186,MATCH($A11,'E-Banker master'!$A$2:$A$186,0)),"")</f>
        <v/>
      </c>
      <c r="AK11" s="488">
        <f>IF(OR(Q11="",AJ11=""),"",Q11-AJ11)</f>
        <v/>
      </c>
      <c r="AL11" t="n">
        <v>10</v>
      </c>
      <c r="AM11">
        <f>HYPERLINK("#'Amortisation and Repayments'!C616","block 10")</f>
        <v/>
      </c>
      <c r="AN11">
        <f>'Mapping'!X11</f>
        <v/>
      </c>
      <c r="AO11" s="558" t="n"/>
      <c r="AP11" s="558" t="n"/>
      <c r="AQ11" s="558" t="n"/>
      <c r="AR11" s="559" t="n"/>
      <c r="AS11" s="560" t="n"/>
      <c r="AT11" s="560" t="n"/>
      <c r="AU11" s="561">
        <f>IF(COUNT(AO11:AQ11)=0,"",SUM(AO11:AQ11))</f>
        <v/>
      </c>
    </row>
    <row r="12">
      <c r="A12">
        <f>'Mapping'!J12</f>
        <v/>
      </c>
      <c r="B12">
        <f>'Mapping'!K12</f>
        <v/>
      </c>
      <c r="C12" t="n">
        <v>15</v>
      </c>
      <c r="D12">
        <f>'Loan Book'!E15</f>
        <v/>
      </c>
      <c r="E12">
        <f>'Loan Book'!F15</f>
        <v/>
      </c>
      <c r="F12" s="487">
        <f>'Loan Book'!G15</f>
        <v/>
      </c>
      <c r="G12" s="487">
        <f>'Loan Book'!H15</f>
        <v/>
      </c>
      <c r="H12">
        <f>'Loan Book'!I15</f>
        <v/>
      </c>
      <c r="I12">
        <f>'Loan Book'!J15</f>
        <v/>
      </c>
      <c r="J12">
        <f>IF('Loan Book'!K15="","",IF('Loan Book'!K15&lt;1,'Loan Book'!K15*100,'Loan Book'!K15))</f>
        <v/>
      </c>
      <c r="K12" s="488">
        <f>'Loan Book'!L15</f>
        <v/>
      </c>
      <c r="L12" s="488">
        <f>'Loan Book'!M15</f>
        <v/>
      </c>
      <c r="M12" s="488">
        <f>'Loan Book'!N15</f>
        <v/>
      </c>
      <c r="N12" s="488">
        <f>'Loan Book'!O15</f>
        <v/>
      </c>
      <c r="O12" s="488">
        <f>'Loan Book'!P15</f>
        <v/>
      </c>
      <c r="P12" s="488">
        <f>'Loan Book'!Q15</f>
        <v/>
      </c>
      <c r="Q12" s="488">
        <f>'Loan Book'!R15</f>
        <v/>
      </c>
      <c r="R12" s="488">
        <f>'Loan Book'!S15</f>
        <v/>
      </c>
      <c r="S12" s="488">
        <f>'Loan Book'!T15</f>
        <v/>
      </c>
      <c r="T12" s="488">
        <f>'Loan Book'!U15</f>
        <v/>
      </c>
      <c r="U12">
        <f>'Loan Book'!AC15</f>
        <v/>
      </c>
      <c r="V12">
        <f>'Loan Book'!AE15</f>
        <v/>
      </c>
      <c r="W12">
        <f>IFERROR(INDEX('E-Banker master'!$B$2:$B$186,MATCH($A12,'E-Banker master'!$A$2:$A$186,0)),"")</f>
        <v/>
      </c>
      <c r="X12">
        <f>IFERROR(INDEX('E-Banker master'!$C$2:$C$186,MATCH($A12,'E-Banker master'!$A$2:$A$186,0)),"")</f>
        <v/>
      </c>
      <c r="Y12">
        <f>IFERROR(INDEX('E-Banker master'!$D$2:$D$186,MATCH($A12,'E-Banker master'!$A$2:$A$186,0)),"")</f>
        <v/>
      </c>
      <c r="Z12">
        <f>IFERROR(INDEX('E-Banker master'!$E$2:$E$186,MATCH($A12,'E-Banker master'!$A$2:$A$186,0)),"")</f>
        <v/>
      </c>
      <c r="AA12">
        <f>IFERROR(INDEX('E-Banker master'!$F$2:$F$186,MATCH($A12,'E-Banker master'!$A$2:$A$186,0)),"")</f>
        <v/>
      </c>
      <c r="AB12">
        <f>IFERROR(INDEX('E-Banker master'!$G$2:$G$186,MATCH($A12,'E-Banker master'!$A$2:$A$186,0)),"")</f>
        <v/>
      </c>
      <c r="AC12" s="488">
        <f>IFERROR(INDEX('E-Banker master'!$I$2:$I$186,MATCH($A12,'E-Banker master'!$A$2:$A$186,0)),"")</f>
        <v/>
      </c>
      <c r="AD12" s="487">
        <f>IFERROR(INDEX('E-Banker master'!$J$2:$J$186,MATCH($A12,'E-Banker master'!$A$2:$A$186,0)),"")</f>
        <v/>
      </c>
      <c r="AE12" s="487">
        <f>IFERROR(INDEX('E-Banker master'!$K$2:$K$186,MATCH($A12,'E-Banker master'!$A$2:$A$186,0)),"")</f>
        <v/>
      </c>
      <c r="AF12">
        <f>IFERROR(INDEX('E-Banker master'!$L$2:$L$186,MATCH($A12,'E-Banker master'!$A$2:$A$186,0)),"")</f>
        <v/>
      </c>
      <c r="AG12">
        <f>IFERROR(INDEX('E-Banker master'!$M$2:$M$186,MATCH($A12,'E-Banker master'!$A$2:$A$186,0)),"")</f>
        <v/>
      </c>
      <c r="AH12" s="488">
        <f>IFERROR(INDEX('E-Banker master'!$N$2:$N$186,MATCH($A12,'E-Banker master'!$A$2:$A$186,0)),"")</f>
        <v/>
      </c>
      <c r="AI12" s="488">
        <f>IFERROR(INDEX('E-Banker master'!$O$2:$O$186,MATCH($A12,'E-Banker master'!$A$2:$A$186,0)),"")</f>
        <v/>
      </c>
      <c r="AJ12" s="488">
        <f>IFERROR(INDEX('E-Banker master'!$P$2:$P$186,MATCH($A12,'E-Banker master'!$A$2:$A$186,0)),"")</f>
        <v/>
      </c>
      <c r="AK12" s="488">
        <f>IF(OR(Q12="",AJ12=""),"",Q12-AJ12)</f>
        <v/>
      </c>
      <c r="AL12" t="n">
        <v>12</v>
      </c>
      <c r="AM12">
        <f>HYPERLINK("#'Amortisation and Repayments'!C756","block 12")</f>
        <v/>
      </c>
      <c r="AN12">
        <f>'Mapping'!X12</f>
        <v/>
      </c>
      <c r="AO12" s="558" t="n"/>
      <c r="AP12" s="558" t="n"/>
      <c r="AQ12" s="558" t="n"/>
      <c r="AR12" s="559" t="n"/>
      <c r="AS12" s="560" t="n"/>
      <c r="AT12" s="560" t="n"/>
      <c r="AU12" s="561">
        <f>IF(COUNT(AO12:AQ12)=0,"",SUM(AO12:AQ12))</f>
        <v/>
      </c>
    </row>
    <row r="13">
      <c r="A13">
        <f>'Mapping'!J13</f>
        <v/>
      </c>
      <c r="B13">
        <f>'Mapping'!K13</f>
        <v/>
      </c>
      <c r="C13" t="n">
        <v>16</v>
      </c>
      <c r="D13">
        <f>'Loan Book'!E16</f>
        <v/>
      </c>
      <c r="E13">
        <f>'Loan Book'!F16</f>
        <v/>
      </c>
      <c r="F13" s="487">
        <f>'Loan Book'!G16</f>
        <v/>
      </c>
      <c r="G13" s="487">
        <f>'Loan Book'!H16</f>
        <v/>
      </c>
      <c r="H13">
        <f>'Loan Book'!I16</f>
        <v/>
      </c>
      <c r="I13">
        <f>'Loan Book'!J16</f>
        <v/>
      </c>
      <c r="J13">
        <f>IF('Loan Book'!K16="","",IF('Loan Book'!K16&lt;1,'Loan Book'!K16*100,'Loan Book'!K16))</f>
        <v/>
      </c>
      <c r="K13" s="488">
        <f>'Loan Book'!L16</f>
        <v/>
      </c>
      <c r="L13" s="488">
        <f>'Loan Book'!M16</f>
        <v/>
      </c>
      <c r="M13" s="488">
        <f>'Loan Book'!N16</f>
        <v/>
      </c>
      <c r="N13" s="488">
        <f>'Loan Book'!O16</f>
        <v/>
      </c>
      <c r="O13" s="488">
        <f>'Loan Book'!P16</f>
        <v/>
      </c>
      <c r="P13" s="488">
        <f>'Loan Book'!Q16</f>
        <v/>
      </c>
      <c r="Q13" s="488">
        <f>'Loan Book'!R16</f>
        <v/>
      </c>
      <c r="R13" s="488">
        <f>'Loan Book'!S16</f>
        <v/>
      </c>
      <c r="S13" s="488">
        <f>'Loan Book'!T16</f>
        <v/>
      </c>
      <c r="T13" s="488">
        <f>'Loan Book'!U16</f>
        <v/>
      </c>
      <c r="U13">
        <f>'Loan Book'!AC16</f>
        <v/>
      </c>
      <c r="V13">
        <f>'Loan Book'!AE16</f>
        <v/>
      </c>
      <c r="W13">
        <f>IFERROR(INDEX('E-Banker master'!$B$2:$B$186,MATCH($A13,'E-Banker master'!$A$2:$A$186,0)),"")</f>
        <v/>
      </c>
      <c r="X13">
        <f>IFERROR(INDEX('E-Banker master'!$C$2:$C$186,MATCH($A13,'E-Banker master'!$A$2:$A$186,0)),"")</f>
        <v/>
      </c>
      <c r="Y13">
        <f>IFERROR(INDEX('E-Banker master'!$D$2:$D$186,MATCH($A13,'E-Banker master'!$A$2:$A$186,0)),"")</f>
        <v/>
      </c>
      <c r="Z13">
        <f>IFERROR(INDEX('E-Banker master'!$E$2:$E$186,MATCH($A13,'E-Banker master'!$A$2:$A$186,0)),"")</f>
        <v/>
      </c>
      <c r="AA13">
        <f>IFERROR(INDEX('E-Banker master'!$F$2:$F$186,MATCH($A13,'E-Banker master'!$A$2:$A$186,0)),"")</f>
        <v/>
      </c>
      <c r="AB13">
        <f>IFERROR(INDEX('E-Banker master'!$G$2:$G$186,MATCH($A13,'E-Banker master'!$A$2:$A$186,0)),"")</f>
        <v/>
      </c>
      <c r="AC13" s="488">
        <f>IFERROR(INDEX('E-Banker master'!$I$2:$I$186,MATCH($A13,'E-Banker master'!$A$2:$A$186,0)),"")</f>
        <v/>
      </c>
      <c r="AD13" s="487">
        <f>IFERROR(INDEX('E-Banker master'!$J$2:$J$186,MATCH($A13,'E-Banker master'!$A$2:$A$186,0)),"")</f>
        <v/>
      </c>
      <c r="AE13" s="487">
        <f>IFERROR(INDEX('E-Banker master'!$K$2:$K$186,MATCH($A13,'E-Banker master'!$A$2:$A$186,0)),"")</f>
        <v/>
      </c>
      <c r="AF13">
        <f>IFERROR(INDEX('E-Banker master'!$L$2:$L$186,MATCH($A13,'E-Banker master'!$A$2:$A$186,0)),"")</f>
        <v/>
      </c>
      <c r="AG13">
        <f>IFERROR(INDEX('E-Banker master'!$M$2:$M$186,MATCH($A13,'E-Banker master'!$A$2:$A$186,0)),"")</f>
        <v/>
      </c>
      <c r="AH13" s="488">
        <f>IFERROR(INDEX('E-Banker master'!$N$2:$N$186,MATCH($A13,'E-Banker master'!$A$2:$A$186,0)),"")</f>
        <v/>
      </c>
      <c r="AI13" s="488">
        <f>IFERROR(INDEX('E-Banker master'!$O$2:$O$186,MATCH($A13,'E-Banker master'!$A$2:$A$186,0)),"")</f>
        <v/>
      </c>
      <c r="AJ13" s="488">
        <f>IFERROR(INDEX('E-Banker master'!$P$2:$P$186,MATCH($A13,'E-Banker master'!$A$2:$A$186,0)),"")</f>
        <v/>
      </c>
      <c r="AK13" s="488">
        <f>IF(OR(Q13="",AJ13=""),"",Q13-AJ13)</f>
        <v/>
      </c>
      <c r="AL13" t="n">
        <v>11</v>
      </c>
      <c r="AM13">
        <f>HYPERLINK("#'Amortisation and Repayments'!C692","block 11")</f>
        <v/>
      </c>
      <c r="AN13">
        <f>'Mapping'!X13</f>
        <v/>
      </c>
      <c r="AO13" s="558" t="n"/>
      <c r="AP13" s="558" t="n"/>
      <c r="AQ13" s="558" t="n"/>
      <c r="AR13" s="559" t="n"/>
      <c r="AS13" s="560" t="n"/>
      <c r="AT13" s="560" t="n"/>
      <c r="AU13" s="561">
        <f>IF(COUNT(AO13:AQ13)=0,"",SUM(AO13:AQ13))</f>
        <v/>
      </c>
    </row>
    <row r="14">
      <c r="A14">
        <f>'Mapping'!J14</f>
        <v/>
      </c>
      <c r="B14">
        <f>'Mapping'!K14</f>
        <v/>
      </c>
      <c r="C14" t="n">
        <v>17</v>
      </c>
      <c r="D14">
        <f>'Loan Book'!E17</f>
        <v/>
      </c>
      <c r="E14">
        <f>'Loan Book'!F17</f>
        <v/>
      </c>
      <c r="F14" s="487">
        <f>'Loan Book'!G17</f>
        <v/>
      </c>
      <c r="G14" s="487">
        <f>'Loan Book'!H17</f>
        <v/>
      </c>
      <c r="H14">
        <f>'Loan Book'!I17</f>
        <v/>
      </c>
      <c r="I14">
        <f>'Loan Book'!J17</f>
        <v/>
      </c>
      <c r="J14">
        <f>IF('Loan Book'!K17="","",IF('Loan Book'!K17&lt;1,'Loan Book'!K17*100,'Loan Book'!K17))</f>
        <v/>
      </c>
      <c r="K14" s="488">
        <f>'Loan Book'!L17</f>
        <v/>
      </c>
      <c r="L14" s="488">
        <f>'Loan Book'!M17</f>
        <v/>
      </c>
      <c r="M14" s="488">
        <f>'Loan Book'!N17</f>
        <v/>
      </c>
      <c r="N14" s="488">
        <f>'Loan Book'!O17</f>
        <v/>
      </c>
      <c r="O14" s="488">
        <f>'Loan Book'!P17</f>
        <v/>
      </c>
      <c r="P14" s="488">
        <f>'Loan Book'!Q17</f>
        <v/>
      </c>
      <c r="Q14" s="488">
        <f>'Loan Book'!R17</f>
        <v/>
      </c>
      <c r="R14" s="488">
        <f>'Loan Book'!S17</f>
        <v/>
      </c>
      <c r="S14" s="488">
        <f>'Loan Book'!T17</f>
        <v/>
      </c>
      <c r="T14" s="488">
        <f>'Loan Book'!U17</f>
        <v/>
      </c>
      <c r="U14">
        <f>'Loan Book'!AC17</f>
        <v/>
      </c>
      <c r="V14">
        <f>'Loan Book'!AE17</f>
        <v/>
      </c>
      <c r="W14">
        <f>IFERROR(INDEX('E-Banker master'!$B$2:$B$186,MATCH($A14,'E-Banker master'!$A$2:$A$186,0)),"")</f>
        <v/>
      </c>
      <c r="X14">
        <f>IFERROR(INDEX('E-Banker master'!$C$2:$C$186,MATCH($A14,'E-Banker master'!$A$2:$A$186,0)),"")</f>
        <v/>
      </c>
      <c r="Y14">
        <f>IFERROR(INDEX('E-Banker master'!$D$2:$D$186,MATCH($A14,'E-Banker master'!$A$2:$A$186,0)),"")</f>
        <v/>
      </c>
      <c r="Z14">
        <f>IFERROR(INDEX('E-Banker master'!$E$2:$E$186,MATCH($A14,'E-Banker master'!$A$2:$A$186,0)),"")</f>
        <v/>
      </c>
      <c r="AA14">
        <f>IFERROR(INDEX('E-Banker master'!$F$2:$F$186,MATCH($A14,'E-Banker master'!$A$2:$A$186,0)),"")</f>
        <v/>
      </c>
      <c r="AB14">
        <f>IFERROR(INDEX('E-Banker master'!$G$2:$G$186,MATCH($A14,'E-Banker master'!$A$2:$A$186,0)),"")</f>
        <v/>
      </c>
      <c r="AC14" s="488">
        <f>IFERROR(INDEX('E-Banker master'!$I$2:$I$186,MATCH($A14,'E-Banker master'!$A$2:$A$186,0)),"")</f>
        <v/>
      </c>
      <c r="AD14" s="487">
        <f>IFERROR(INDEX('E-Banker master'!$J$2:$J$186,MATCH($A14,'E-Banker master'!$A$2:$A$186,0)),"")</f>
        <v/>
      </c>
      <c r="AE14" s="487">
        <f>IFERROR(INDEX('E-Banker master'!$K$2:$K$186,MATCH($A14,'E-Banker master'!$A$2:$A$186,0)),"")</f>
        <v/>
      </c>
      <c r="AF14">
        <f>IFERROR(INDEX('E-Banker master'!$L$2:$L$186,MATCH($A14,'E-Banker master'!$A$2:$A$186,0)),"")</f>
        <v/>
      </c>
      <c r="AG14">
        <f>IFERROR(INDEX('E-Banker master'!$M$2:$M$186,MATCH($A14,'E-Banker master'!$A$2:$A$186,0)),"")</f>
        <v/>
      </c>
      <c r="AH14" s="488">
        <f>IFERROR(INDEX('E-Banker master'!$N$2:$N$186,MATCH($A14,'E-Banker master'!$A$2:$A$186,0)),"")</f>
        <v/>
      </c>
      <c r="AI14" s="488">
        <f>IFERROR(INDEX('E-Banker master'!$O$2:$O$186,MATCH($A14,'E-Banker master'!$A$2:$A$186,0)),"")</f>
        <v/>
      </c>
      <c r="AJ14" s="488">
        <f>IFERROR(INDEX('E-Banker master'!$P$2:$P$186,MATCH($A14,'E-Banker master'!$A$2:$A$186,0)),"")</f>
        <v/>
      </c>
      <c r="AK14" s="488">
        <f>IF(OR(Q14="",AJ14=""),"",Q14-AJ14)</f>
        <v/>
      </c>
      <c r="AL14" t="n">
        <v>18</v>
      </c>
      <c r="AM14">
        <f>HYPERLINK("#'Amortisation and Repayments'!C1044","block 18")</f>
        <v/>
      </c>
      <c r="AN14">
        <f>'Mapping'!X14</f>
        <v/>
      </c>
      <c r="AO14" s="558" t="n"/>
      <c r="AP14" s="558" t="n"/>
      <c r="AQ14" s="558" t="n"/>
      <c r="AR14" s="559" t="n"/>
      <c r="AS14" s="560" t="n"/>
      <c r="AT14" s="560" t="n"/>
      <c r="AU14" s="561">
        <f>IF(COUNT(AO14:AQ14)=0,"",SUM(AO14:AQ14))</f>
        <v/>
      </c>
    </row>
    <row r="15">
      <c r="A15">
        <f>'Mapping'!J15</f>
        <v/>
      </c>
      <c r="B15">
        <f>'Mapping'!K15</f>
        <v/>
      </c>
      <c r="C15" t="n">
        <v>18</v>
      </c>
      <c r="D15">
        <f>'Loan Book'!E18</f>
        <v/>
      </c>
      <c r="E15">
        <f>'Loan Book'!F18</f>
        <v/>
      </c>
      <c r="F15" s="487">
        <f>'Loan Book'!G18</f>
        <v/>
      </c>
      <c r="G15" s="487">
        <f>'Loan Book'!H18</f>
        <v/>
      </c>
      <c r="H15">
        <f>'Loan Book'!I18</f>
        <v/>
      </c>
      <c r="I15">
        <f>'Loan Book'!J18</f>
        <v/>
      </c>
      <c r="J15">
        <f>IF('Loan Book'!K18="","",IF('Loan Book'!K18&lt;1,'Loan Book'!K18*100,'Loan Book'!K18))</f>
        <v/>
      </c>
      <c r="K15" s="488">
        <f>'Loan Book'!L18</f>
        <v/>
      </c>
      <c r="L15" s="488">
        <f>'Loan Book'!M18</f>
        <v/>
      </c>
      <c r="M15" s="488">
        <f>'Loan Book'!N18</f>
        <v/>
      </c>
      <c r="N15" s="488">
        <f>'Loan Book'!O18</f>
        <v/>
      </c>
      <c r="O15" s="488">
        <f>'Loan Book'!P18</f>
        <v/>
      </c>
      <c r="P15" s="488">
        <f>'Loan Book'!Q18</f>
        <v/>
      </c>
      <c r="Q15" s="488">
        <f>'Loan Book'!R18</f>
        <v/>
      </c>
      <c r="R15" s="488">
        <f>'Loan Book'!S18</f>
        <v/>
      </c>
      <c r="S15" s="488">
        <f>'Loan Book'!T18</f>
        <v/>
      </c>
      <c r="T15" s="488">
        <f>'Loan Book'!U18</f>
        <v/>
      </c>
      <c r="U15">
        <f>'Loan Book'!AC18</f>
        <v/>
      </c>
      <c r="V15">
        <f>'Loan Book'!AE18</f>
        <v/>
      </c>
      <c r="W15">
        <f>IFERROR(INDEX('E-Banker master'!$B$2:$B$186,MATCH($A15,'E-Banker master'!$A$2:$A$186,0)),"")</f>
        <v/>
      </c>
      <c r="X15">
        <f>IFERROR(INDEX('E-Banker master'!$C$2:$C$186,MATCH($A15,'E-Banker master'!$A$2:$A$186,0)),"")</f>
        <v/>
      </c>
      <c r="Y15">
        <f>IFERROR(INDEX('E-Banker master'!$D$2:$D$186,MATCH($A15,'E-Banker master'!$A$2:$A$186,0)),"")</f>
        <v/>
      </c>
      <c r="Z15">
        <f>IFERROR(INDEX('E-Banker master'!$E$2:$E$186,MATCH($A15,'E-Banker master'!$A$2:$A$186,0)),"")</f>
        <v/>
      </c>
      <c r="AA15">
        <f>IFERROR(INDEX('E-Banker master'!$F$2:$F$186,MATCH($A15,'E-Banker master'!$A$2:$A$186,0)),"")</f>
        <v/>
      </c>
      <c r="AB15">
        <f>IFERROR(INDEX('E-Banker master'!$G$2:$G$186,MATCH($A15,'E-Banker master'!$A$2:$A$186,0)),"")</f>
        <v/>
      </c>
      <c r="AC15" s="488">
        <f>IFERROR(INDEX('E-Banker master'!$I$2:$I$186,MATCH($A15,'E-Banker master'!$A$2:$A$186,0)),"")</f>
        <v/>
      </c>
      <c r="AD15" s="487">
        <f>IFERROR(INDEX('E-Banker master'!$J$2:$J$186,MATCH($A15,'E-Banker master'!$A$2:$A$186,0)),"")</f>
        <v/>
      </c>
      <c r="AE15" s="487">
        <f>IFERROR(INDEX('E-Banker master'!$K$2:$K$186,MATCH($A15,'E-Banker master'!$A$2:$A$186,0)),"")</f>
        <v/>
      </c>
      <c r="AF15">
        <f>IFERROR(INDEX('E-Banker master'!$L$2:$L$186,MATCH($A15,'E-Banker master'!$A$2:$A$186,0)),"")</f>
        <v/>
      </c>
      <c r="AG15">
        <f>IFERROR(INDEX('E-Banker master'!$M$2:$M$186,MATCH($A15,'E-Banker master'!$A$2:$A$186,0)),"")</f>
        <v/>
      </c>
      <c r="AH15" s="488">
        <f>IFERROR(INDEX('E-Banker master'!$N$2:$N$186,MATCH($A15,'E-Banker master'!$A$2:$A$186,0)),"")</f>
        <v/>
      </c>
      <c r="AI15" s="488">
        <f>IFERROR(INDEX('E-Banker master'!$O$2:$O$186,MATCH($A15,'E-Banker master'!$A$2:$A$186,0)),"")</f>
        <v/>
      </c>
      <c r="AJ15" s="488">
        <f>IFERROR(INDEX('E-Banker master'!$P$2:$P$186,MATCH($A15,'E-Banker master'!$A$2:$A$186,0)),"")</f>
        <v/>
      </c>
      <c r="AK15" s="488">
        <f>IF(OR(Q15="",AJ15=""),"",Q15-AJ15)</f>
        <v/>
      </c>
      <c r="AL15" t="n">
        <v>13</v>
      </c>
      <c r="AM15">
        <f>HYPERLINK("#'Amortisation and Repayments'!C830","block 13")</f>
        <v/>
      </c>
      <c r="AN15">
        <f>'Mapping'!X15</f>
        <v/>
      </c>
      <c r="AO15" s="558" t="n"/>
      <c r="AP15" s="558" t="n"/>
      <c r="AQ15" s="558" t="n"/>
      <c r="AR15" s="559" t="n"/>
      <c r="AS15" s="560" t="n"/>
      <c r="AT15" s="560" t="n"/>
      <c r="AU15" s="561">
        <f>IF(COUNT(AO15:AQ15)=0,"",SUM(AO15:AQ15))</f>
        <v/>
      </c>
    </row>
    <row r="16">
      <c r="A16">
        <f>'Mapping'!J16</f>
        <v/>
      </c>
      <c r="B16">
        <f>'Mapping'!K16</f>
        <v/>
      </c>
      <c r="C16" t="n">
        <v>19</v>
      </c>
      <c r="D16">
        <f>'Loan Book'!E19</f>
        <v/>
      </c>
      <c r="E16">
        <f>'Loan Book'!F19</f>
        <v/>
      </c>
      <c r="F16" s="487">
        <f>'Loan Book'!G19</f>
        <v/>
      </c>
      <c r="G16" s="487">
        <f>'Loan Book'!H19</f>
        <v/>
      </c>
      <c r="H16">
        <f>'Loan Book'!I19</f>
        <v/>
      </c>
      <c r="I16">
        <f>'Loan Book'!J19</f>
        <v/>
      </c>
      <c r="J16">
        <f>IF('Loan Book'!K19="","",IF('Loan Book'!K19&lt;1,'Loan Book'!K19*100,'Loan Book'!K19))</f>
        <v/>
      </c>
      <c r="K16" s="488">
        <f>'Loan Book'!L19</f>
        <v/>
      </c>
      <c r="L16" s="488">
        <f>'Loan Book'!M19</f>
        <v/>
      </c>
      <c r="M16" s="488">
        <f>'Loan Book'!N19</f>
        <v/>
      </c>
      <c r="N16" s="488">
        <f>'Loan Book'!O19</f>
        <v/>
      </c>
      <c r="O16" s="488">
        <f>'Loan Book'!P19</f>
        <v/>
      </c>
      <c r="P16" s="488">
        <f>'Loan Book'!Q19</f>
        <v/>
      </c>
      <c r="Q16" s="488">
        <f>'Loan Book'!R19</f>
        <v/>
      </c>
      <c r="R16" s="488">
        <f>'Loan Book'!S19</f>
        <v/>
      </c>
      <c r="S16" s="488">
        <f>'Loan Book'!T19</f>
        <v/>
      </c>
      <c r="T16" s="488">
        <f>'Loan Book'!U19</f>
        <v/>
      </c>
      <c r="U16">
        <f>'Loan Book'!AC19</f>
        <v/>
      </c>
      <c r="V16">
        <f>'Loan Book'!AE19</f>
        <v/>
      </c>
      <c r="W16">
        <f>IFERROR(INDEX('E-Banker master'!$B$2:$B$186,MATCH($A16,'E-Banker master'!$A$2:$A$186,0)),"")</f>
        <v/>
      </c>
      <c r="X16">
        <f>IFERROR(INDEX('E-Banker master'!$C$2:$C$186,MATCH($A16,'E-Banker master'!$A$2:$A$186,0)),"")</f>
        <v/>
      </c>
      <c r="Y16">
        <f>IFERROR(INDEX('E-Banker master'!$D$2:$D$186,MATCH($A16,'E-Banker master'!$A$2:$A$186,0)),"")</f>
        <v/>
      </c>
      <c r="Z16">
        <f>IFERROR(INDEX('E-Banker master'!$E$2:$E$186,MATCH($A16,'E-Banker master'!$A$2:$A$186,0)),"")</f>
        <v/>
      </c>
      <c r="AA16">
        <f>IFERROR(INDEX('E-Banker master'!$F$2:$F$186,MATCH($A16,'E-Banker master'!$A$2:$A$186,0)),"")</f>
        <v/>
      </c>
      <c r="AB16">
        <f>IFERROR(INDEX('E-Banker master'!$G$2:$G$186,MATCH($A16,'E-Banker master'!$A$2:$A$186,0)),"")</f>
        <v/>
      </c>
      <c r="AC16" s="488">
        <f>IFERROR(INDEX('E-Banker master'!$I$2:$I$186,MATCH($A16,'E-Banker master'!$A$2:$A$186,0)),"")</f>
        <v/>
      </c>
      <c r="AD16" s="487">
        <f>IFERROR(INDEX('E-Banker master'!$J$2:$J$186,MATCH($A16,'E-Banker master'!$A$2:$A$186,0)),"")</f>
        <v/>
      </c>
      <c r="AE16" s="487">
        <f>IFERROR(INDEX('E-Banker master'!$K$2:$K$186,MATCH($A16,'E-Banker master'!$A$2:$A$186,0)),"")</f>
        <v/>
      </c>
      <c r="AF16">
        <f>IFERROR(INDEX('E-Banker master'!$L$2:$L$186,MATCH($A16,'E-Banker master'!$A$2:$A$186,0)),"")</f>
        <v/>
      </c>
      <c r="AG16">
        <f>IFERROR(INDEX('E-Banker master'!$M$2:$M$186,MATCH($A16,'E-Banker master'!$A$2:$A$186,0)),"")</f>
        <v/>
      </c>
      <c r="AH16" s="488">
        <f>IFERROR(INDEX('E-Banker master'!$N$2:$N$186,MATCH($A16,'E-Banker master'!$A$2:$A$186,0)),"")</f>
        <v/>
      </c>
      <c r="AI16" s="488">
        <f>IFERROR(INDEX('E-Banker master'!$O$2:$O$186,MATCH($A16,'E-Banker master'!$A$2:$A$186,0)),"")</f>
        <v/>
      </c>
      <c r="AJ16" s="488">
        <f>IFERROR(INDEX('E-Banker master'!$P$2:$P$186,MATCH($A16,'E-Banker master'!$A$2:$A$186,0)),"")</f>
        <v/>
      </c>
      <c r="AK16" s="488">
        <f>IF(OR(Q16="",AJ16=""),"",Q16-AJ16)</f>
        <v/>
      </c>
      <c r="AL16" t="n">
        <v>14</v>
      </c>
      <c r="AM16">
        <f>HYPERLINK("#'Amortisation and Repayments'!C871","block 14")</f>
        <v/>
      </c>
      <c r="AN16">
        <f>'Mapping'!X16</f>
        <v/>
      </c>
      <c r="AO16" s="558" t="n"/>
      <c r="AP16" s="558" t="n"/>
      <c r="AQ16" s="558" t="n"/>
      <c r="AR16" s="559" t="n"/>
      <c r="AS16" s="560" t="n"/>
      <c r="AT16" s="560" t="n"/>
      <c r="AU16" s="561">
        <f>IF(COUNT(AO16:AQ16)=0,"",SUM(AO16:AQ16))</f>
        <v/>
      </c>
    </row>
    <row r="17">
      <c r="A17">
        <f>'Mapping'!J17</f>
        <v/>
      </c>
      <c r="B17">
        <f>'Mapping'!K17</f>
        <v/>
      </c>
      <c r="C17" t="n">
        <v>20</v>
      </c>
      <c r="D17">
        <f>'Loan Book'!E20</f>
        <v/>
      </c>
      <c r="E17">
        <f>'Loan Book'!F20</f>
        <v/>
      </c>
      <c r="F17" s="487">
        <f>'Loan Book'!G20</f>
        <v/>
      </c>
      <c r="G17" s="487">
        <f>'Loan Book'!H20</f>
        <v/>
      </c>
      <c r="H17">
        <f>'Loan Book'!I20</f>
        <v/>
      </c>
      <c r="I17">
        <f>'Loan Book'!J20</f>
        <v/>
      </c>
      <c r="J17">
        <f>IF('Loan Book'!K20="","",IF('Loan Book'!K20&lt;1,'Loan Book'!K20*100,'Loan Book'!K20))</f>
        <v/>
      </c>
      <c r="K17" s="488">
        <f>'Loan Book'!L20</f>
        <v/>
      </c>
      <c r="L17" s="488">
        <f>'Loan Book'!M20</f>
        <v/>
      </c>
      <c r="M17" s="488">
        <f>'Loan Book'!N20</f>
        <v/>
      </c>
      <c r="N17" s="488">
        <f>'Loan Book'!O20</f>
        <v/>
      </c>
      <c r="O17" s="488">
        <f>'Loan Book'!P20</f>
        <v/>
      </c>
      <c r="P17" s="488">
        <f>'Loan Book'!Q20</f>
        <v/>
      </c>
      <c r="Q17" s="488">
        <f>'Loan Book'!R20</f>
        <v/>
      </c>
      <c r="R17" s="488">
        <f>'Loan Book'!S20</f>
        <v/>
      </c>
      <c r="S17" s="488">
        <f>'Loan Book'!T20</f>
        <v/>
      </c>
      <c r="T17" s="488">
        <f>'Loan Book'!U20</f>
        <v/>
      </c>
      <c r="U17">
        <f>'Loan Book'!AC20</f>
        <v/>
      </c>
      <c r="V17">
        <f>'Loan Book'!AE20</f>
        <v/>
      </c>
      <c r="W17">
        <f>IFERROR(INDEX('E-Banker master'!$B$2:$B$186,MATCH($A17,'E-Banker master'!$A$2:$A$186,0)),"")</f>
        <v/>
      </c>
      <c r="X17">
        <f>IFERROR(INDEX('E-Banker master'!$C$2:$C$186,MATCH($A17,'E-Banker master'!$A$2:$A$186,0)),"")</f>
        <v/>
      </c>
      <c r="Y17">
        <f>IFERROR(INDEX('E-Banker master'!$D$2:$D$186,MATCH($A17,'E-Banker master'!$A$2:$A$186,0)),"")</f>
        <v/>
      </c>
      <c r="Z17">
        <f>IFERROR(INDEX('E-Banker master'!$E$2:$E$186,MATCH($A17,'E-Banker master'!$A$2:$A$186,0)),"")</f>
        <v/>
      </c>
      <c r="AA17">
        <f>IFERROR(INDEX('E-Banker master'!$F$2:$F$186,MATCH($A17,'E-Banker master'!$A$2:$A$186,0)),"")</f>
        <v/>
      </c>
      <c r="AB17">
        <f>IFERROR(INDEX('E-Banker master'!$G$2:$G$186,MATCH($A17,'E-Banker master'!$A$2:$A$186,0)),"")</f>
        <v/>
      </c>
      <c r="AC17" s="488">
        <f>IFERROR(INDEX('E-Banker master'!$I$2:$I$186,MATCH($A17,'E-Banker master'!$A$2:$A$186,0)),"")</f>
        <v/>
      </c>
      <c r="AD17" s="487">
        <f>IFERROR(INDEX('E-Banker master'!$J$2:$J$186,MATCH($A17,'E-Banker master'!$A$2:$A$186,0)),"")</f>
        <v/>
      </c>
      <c r="AE17" s="487">
        <f>IFERROR(INDEX('E-Banker master'!$K$2:$K$186,MATCH($A17,'E-Banker master'!$A$2:$A$186,0)),"")</f>
        <v/>
      </c>
      <c r="AF17">
        <f>IFERROR(INDEX('E-Banker master'!$L$2:$L$186,MATCH($A17,'E-Banker master'!$A$2:$A$186,0)),"")</f>
        <v/>
      </c>
      <c r="AG17">
        <f>IFERROR(INDEX('E-Banker master'!$M$2:$M$186,MATCH($A17,'E-Banker master'!$A$2:$A$186,0)),"")</f>
        <v/>
      </c>
      <c r="AH17" s="488">
        <f>IFERROR(INDEX('E-Banker master'!$N$2:$N$186,MATCH($A17,'E-Banker master'!$A$2:$A$186,0)),"")</f>
        <v/>
      </c>
      <c r="AI17" s="488">
        <f>IFERROR(INDEX('E-Banker master'!$O$2:$O$186,MATCH($A17,'E-Banker master'!$A$2:$A$186,0)),"")</f>
        <v/>
      </c>
      <c r="AJ17" s="488">
        <f>IFERROR(INDEX('E-Banker master'!$P$2:$P$186,MATCH($A17,'E-Banker master'!$A$2:$A$186,0)),"")</f>
        <v/>
      </c>
      <c r="AK17" s="488">
        <f>IF(OR(Q17="",AJ17=""),"",Q17-AJ17)</f>
        <v/>
      </c>
      <c r="AL17" t="n">
        <v>15</v>
      </c>
      <c r="AM17">
        <f>HYPERLINK("#'Amortisation and Repayments'!C911","block 15")</f>
        <v/>
      </c>
      <c r="AN17">
        <f>'Mapping'!X17</f>
        <v/>
      </c>
      <c r="AO17" s="558" t="n"/>
      <c r="AP17" s="558" t="n"/>
      <c r="AQ17" s="558" t="n"/>
      <c r="AR17" s="559" t="n"/>
      <c r="AS17" s="560" t="n"/>
      <c r="AT17" s="560" t="n"/>
      <c r="AU17" s="561">
        <f>IF(COUNT(AO17:AQ17)=0,"",SUM(AO17:AQ17))</f>
        <v/>
      </c>
    </row>
    <row r="18">
      <c r="A18">
        <f>'Mapping'!J18</f>
        <v/>
      </c>
      <c r="B18">
        <f>'Mapping'!K18</f>
        <v/>
      </c>
      <c r="C18" t="n">
        <v>21</v>
      </c>
      <c r="D18">
        <f>'Loan Book'!E21</f>
        <v/>
      </c>
      <c r="E18">
        <f>'Loan Book'!F21</f>
        <v/>
      </c>
      <c r="F18" s="487">
        <f>'Loan Book'!G21</f>
        <v/>
      </c>
      <c r="G18" s="487">
        <f>'Loan Book'!H21</f>
        <v/>
      </c>
      <c r="H18">
        <f>'Loan Book'!I21</f>
        <v/>
      </c>
      <c r="I18">
        <f>'Loan Book'!J21</f>
        <v/>
      </c>
      <c r="J18">
        <f>IF('Loan Book'!K21="","",IF('Loan Book'!K21&lt;1,'Loan Book'!K21*100,'Loan Book'!K21))</f>
        <v/>
      </c>
      <c r="K18" s="488">
        <f>'Loan Book'!L21</f>
        <v/>
      </c>
      <c r="L18" s="488">
        <f>'Loan Book'!M21</f>
        <v/>
      </c>
      <c r="M18" s="488">
        <f>'Loan Book'!N21</f>
        <v/>
      </c>
      <c r="N18" s="488">
        <f>'Loan Book'!O21</f>
        <v/>
      </c>
      <c r="O18" s="488">
        <f>'Loan Book'!P21</f>
        <v/>
      </c>
      <c r="P18" s="488">
        <f>'Loan Book'!Q21</f>
        <v/>
      </c>
      <c r="Q18" s="488">
        <f>'Loan Book'!R21</f>
        <v/>
      </c>
      <c r="R18" s="488">
        <f>'Loan Book'!S21</f>
        <v/>
      </c>
      <c r="S18" s="488">
        <f>'Loan Book'!T21</f>
        <v/>
      </c>
      <c r="T18" s="488">
        <f>'Loan Book'!U21</f>
        <v/>
      </c>
      <c r="U18">
        <f>'Loan Book'!AC21</f>
        <v/>
      </c>
      <c r="V18">
        <f>'Loan Book'!AE21</f>
        <v/>
      </c>
      <c r="W18">
        <f>IFERROR(INDEX('E-Banker master'!$B$2:$B$186,MATCH($A18,'E-Banker master'!$A$2:$A$186,0)),"")</f>
        <v/>
      </c>
      <c r="X18">
        <f>IFERROR(INDEX('E-Banker master'!$C$2:$C$186,MATCH($A18,'E-Banker master'!$A$2:$A$186,0)),"")</f>
        <v/>
      </c>
      <c r="Y18">
        <f>IFERROR(INDEX('E-Banker master'!$D$2:$D$186,MATCH($A18,'E-Banker master'!$A$2:$A$186,0)),"")</f>
        <v/>
      </c>
      <c r="Z18">
        <f>IFERROR(INDEX('E-Banker master'!$E$2:$E$186,MATCH($A18,'E-Banker master'!$A$2:$A$186,0)),"")</f>
        <v/>
      </c>
      <c r="AA18">
        <f>IFERROR(INDEX('E-Banker master'!$F$2:$F$186,MATCH($A18,'E-Banker master'!$A$2:$A$186,0)),"")</f>
        <v/>
      </c>
      <c r="AB18">
        <f>IFERROR(INDEX('E-Banker master'!$G$2:$G$186,MATCH($A18,'E-Banker master'!$A$2:$A$186,0)),"")</f>
        <v/>
      </c>
      <c r="AC18" s="488">
        <f>IFERROR(INDEX('E-Banker master'!$I$2:$I$186,MATCH($A18,'E-Banker master'!$A$2:$A$186,0)),"")</f>
        <v/>
      </c>
      <c r="AD18" s="487">
        <f>IFERROR(INDEX('E-Banker master'!$J$2:$J$186,MATCH($A18,'E-Banker master'!$A$2:$A$186,0)),"")</f>
        <v/>
      </c>
      <c r="AE18" s="487">
        <f>IFERROR(INDEX('E-Banker master'!$K$2:$K$186,MATCH($A18,'E-Banker master'!$A$2:$A$186,0)),"")</f>
        <v/>
      </c>
      <c r="AF18">
        <f>IFERROR(INDEX('E-Banker master'!$L$2:$L$186,MATCH($A18,'E-Banker master'!$A$2:$A$186,0)),"")</f>
        <v/>
      </c>
      <c r="AG18">
        <f>IFERROR(INDEX('E-Banker master'!$M$2:$M$186,MATCH($A18,'E-Banker master'!$A$2:$A$186,0)),"")</f>
        <v/>
      </c>
      <c r="AH18" s="488">
        <f>IFERROR(INDEX('E-Banker master'!$N$2:$N$186,MATCH($A18,'E-Banker master'!$A$2:$A$186,0)),"")</f>
        <v/>
      </c>
      <c r="AI18" s="488">
        <f>IFERROR(INDEX('E-Banker master'!$O$2:$O$186,MATCH($A18,'E-Banker master'!$A$2:$A$186,0)),"")</f>
        <v/>
      </c>
      <c r="AJ18" s="488">
        <f>IFERROR(INDEX('E-Banker master'!$P$2:$P$186,MATCH($A18,'E-Banker master'!$A$2:$A$186,0)),"")</f>
        <v/>
      </c>
      <c r="AK18" s="488">
        <f>IF(OR(Q18="",AJ18=""),"",Q18-AJ18)</f>
        <v/>
      </c>
      <c r="AL18" t="n">
        <v>16</v>
      </c>
      <c r="AM18">
        <f>HYPERLINK("#'Amortisation and Repayments'!C951","block 16")</f>
        <v/>
      </c>
      <c r="AN18">
        <f>'Mapping'!X18</f>
        <v/>
      </c>
      <c r="AO18" s="558" t="n"/>
      <c r="AP18" s="558" t="n"/>
      <c r="AQ18" s="558" t="n"/>
      <c r="AR18" s="559" t="n"/>
      <c r="AS18" s="560" t="n"/>
      <c r="AT18" s="560" t="n"/>
      <c r="AU18" s="561">
        <f>IF(COUNT(AO18:AQ18)=0,"",SUM(AO18:AQ18))</f>
        <v/>
      </c>
    </row>
    <row r="19">
      <c r="A19">
        <f>'Mapping'!J19</f>
        <v/>
      </c>
      <c r="B19">
        <f>'Mapping'!K19</f>
        <v/>
      </c>
      <c r="C19" t="n">
        <v>22</v>
      </c>
      <c r="D19">
        <f>'Loan Book'!E22</f>
        <v/>
      </c>
      <c r="E19">
        <f>'Loan Book'!F22</f>
        <v/>
      </c>
      <c r="F19" s="487">
        <f>'Loan Book'!G22</f>
        <v/>
      </c>
      <c r="G19" s="487">
        <f>'Loan Book'!H22</f>
        <v/>
      </c>
      <c r="H19">
        <f>'Loan Book'!I22</f>
        <v/>
      </c>
      <c r="I19">
        <f>'Loan Book'!J22</f>
        <v/>
      </c>
      <c r="J19">
        <f>IF('Loan Book'!K22="","",IF('Loan Book'!K22&lt;1,'Loan Book'!K22*100,'Loan Book'!K22))</f>
        <v/>
      </c>
      <c r="K19" s="488">
        <f>'Loan Book'!L22</f>
        <v/>
      </c>
      <c r="L19" s="488">
        <f>'Loan Book'!M22</f>
        <v/>
      </c>
      <c r="M19" s="488">
        <f>'Loan Book'!N22</f>
        <v/>
      </c>
      <c r="N19" s="488">
        <f>'Loan Book'!O22</f>
        <v/>
      </c>
      <c r="O19" s="488">
        <f>'Loan Book'!P22</f>
        <v/>
      </c>
      <c r="P19" s="488">
        <f>'Loan Book'!Q22</f>
        <v/>
      </c>
      <c r="Q19" s="488">
        <f>'Loan Book'!R22</f>
        <v/>
      </c>
      <c r="R19" s="488">
        <f>'Loan Book'!S22</f>
        <v/>
      </c>
      <c r="S19" s="488">
        <f>'Loan Book'!T22</f>
        <v/>
      </c>
      <c r="T19" s="488">
        <f>'Loan Book'!U22</f>
        <v/>
      </c>
      <c r="U19">
        <f>'Loan Book'!AC22</f>
        <v/>
      </c>
      <c r="V19">
        <f>'Loan Book'!AE22</f>
        <v/>
      </c>
      <c r="W19">
        <f>IFERROR(INDEX('E-Banker master'!$B$2:$B$186,MATCH($A19,'E-Banker master'!$A$2:$A$186,0)),"")</f>
        <v/>
      </c>
      <c r="X19">
        <f>IFERROR(INDEX('E-Banker master'!$C$2:$C$186,MATCH($A19,'E-Banker master'!$A$2:$A$186,0)),"")</f>
        <v/>
      </c>
      <c r="Y19">
        <f>IFERROR(INDEX('E-Banker master'!$D$2:$D$186,MATCH($A19,'E-Banker master'!$A$2:$A$186,0)),"")</f>
        <v/>
      </c>
      <c r="Z19">
        <f>IFERROR(INDEX('E-Banker master'!$E$2:$E$186,MATCH($A19,'E-Banker master'!$A$2:$A$186,0)),"")</f>
        <v/>
      </c>
      <c r="AA19">
        <f>IFERROR(INDEX('E-Banker master'!$F$2:$F$186,MATCH($A19,'E-Banker master'!$A$2:$A$186,0)),"")</f>
        <v/>
      </c>
      <c r="AB19">
        <f>IFERROR(INDEX('E-Banker master'!$G$2:$G$186,MATCH($A19,'E-Banker master'!$A$2:$A$186,0)),"")</f>
        <v/>
      </c>
      <c r="AC19" s="488">
        <f>IFERROR(INDEX('E-Banker master'!$I$2:$I$186,MATCH($A19,'E-Banker master'!$A$2:$A$186,0)),"")</f>
        <v/>
      </c>
      <c r="AD19" s="487">
        <f>IFERROR(INDEX('E-Banker master'!$J$2:$J$186,MATCH($A19,'E-Banker master'!$A$2:$A$186,0)),"")</f>
        <v/>
      </c>
      <c r="AE19" s="487">
        <f>IFERROR(INDEX('E-Banker master'!$K$2:$K$186,MATCH($A19,'E-Banker master'!$A$2:$A$186,0)),"")</f>
        <v/>
      </c>
      <c r="AF19">
        <f>IFERROR(INDEX('E-Banker master'!$L$2:$L$186,MATCH($A19,'E-Banker master'!$A$2:$A$186,0)),"")</f>
        <v/>
      </c>
      <c r="AG19">
        <f>IFERROR(INDEX('E-Banker master'!$M$2:$M$186,MATCH($A19,'E-Banker master'!$A$2:$A$186,0)),"")</f>
        <v/>
      </c>
      <c r="AH19" s="488">
        <f>IFERROR(INDEX('E-Banker master'!$N$2:$N$186,MATCH($A19,'E-Banker master'!$A$2:$A$186,0)),"")</f>
        <v/>
      </c>
      <c r="AI19" s="488">
        <f>IFERROR(INDEX('E-Banker master'!$O$2:$O$186,MATCH($A19,'E-Banker master'!$A$2:$A$186,0)),"")</f>
        <v/>
      </c>
      <c r="AJ19" s="488">
        <f>IFERROR(INDEX('E-Banker master'!$P$2:$P$186,MATCH($A19,'E-Banker master'!$A$2:$A$186,0)),"")</f>
        <v/>
      </c>
      <c r="AK19" s="488">
        <f>IF(OR(Q19="",AJ19=""),"",Q19-AJ19)</f>
        <v/>
      </c>
      <c r="AL19" t="n">
        <v>17</v>
      </c>
      <c r="AM19">
        <f>HYPERLINK("#'Amortisation and Repayments'!C1004","block 17")</f>
        <v/>
      </c>
      <c r="AN19">
        <f>'Mapping'!X19</f>
        <v/>
      </c>
      <c r="AO19" s="558" t="n"/>
      <c r="AP19" s="558" t="n"/>
      <c r="AQ19" s="558" t="n"/>
      <c r="AR19" s="559" t="n"/>
      <c r="AS19" s="560" t="n"/>
      <c r="AT19" s="560" t="n"/>
      <c r="AU19" s="561">
        <f>IF(COUNT(AO19:AQ19)=0,"",SUM(AO19:AQ19))</f>
        <v/>
      </c>
    </row>
    <row r="20">
      <c r="A20">
        <f>'Mapping'!J20</f>
        <v/>
      </c>
      <c r="B20">
        <f>'Mapping'!K20</f>
        <v/>
      </c>
      <c r="C20" t="n">
        <v>23</v>
      </c>
      <c r="D20">
        <f>'Loan Book'!E23</f>
        <v/>
      </c>
      <c r="E20">
        <f>'Loan Book'!F23</f>
        <v/>
      </c>
      <c r="F20" s="487">
        <f>'Loan Book'!G23</f>
        <v/>
      </c>
      <c r="G20" s="487">
        <f>'Loan Book'!H23</f>
        <v/>
      </c>
      <c r="H20">
        <f>'Loan Book'!I23</f>
        <v/>
      </c>
      <c r="I20">
        <f>'Loan Book'!J23</f>
        <v/>
      </c>
      <c r="J20">
        <f>IF('Loan Book'!K23="","",IF('Loan Book'!K23&lt;1,'Loan Book'!K23*100,'Loan Book'!K23))</f>
        <v/>
      </c>
      <c r="K20" s="488">
        <f>'Loan Book'!L23</f>
        <v/>
      </c>
      <c r="L20" s="488">
        <f>'Loan Book'!M23</f>
        <v/>
      </c>
      <c r="M20" s="488">
        <f>'Loan Book'!N23</f>
        <v/>
      </c>
      <c r="N20" s="488">
        <f>'Loan Book'!O23</f>
        <v/>
      </c>
      <c r="O20" s="488">
        <f>'Loan Book'!P23</f>
        <v/>
      </c>
      <c r="P20" s="488">
        <f>'Loan Book'!Q23</f>
        <v/>
      </c>
      <c r="Q20" s="488">
        <f>'Loan Book'!R23</f>
        <v/>
      </c>
      <c r="R20" s="488">
        <f>'Loan Book'!S23</f>
        <v/>
      </c>
      <c r="S20" s="488">
        <f>'Loan Book'!T23</f>
        <v/>
      </c>
      <c r="T20" s="488">
        <f>'Loan Book'!U23</f>
        <v/>
      </c>
      <c r="U20">
        <f>'Loan Book'!AC23</f>
        <v/>
      </c>
      <c r="V20">
        <f>'Loan Book'!AE23</f>
        <v/>
      </c>
      <c r="W20">
        <f>IFERROR(INDEX('E-Banker master'!$B$2:$B$186,MATCH($A20,'E-Banker master'!$A$2:$A$186,0)),"")</f>
        <v/>
      </c>
      <c r="X20">
        <f>IFERROR(INDEX('E-Banker master'!$C$2:$C$186,MATCH($A20,'E-Banker master'!$A$2:$A$186,0)),"")</f>
        <v/>
      </c>
      <c r="Y20">
        <f>IFERROR(INDEX('E-Banker master'!$D$2:$D$186,MATCH($A20,'E-Banker master'!$A$2:$A$186,0)),"")</f>
        <v/>
      </c>
      <c r="Z20">
        <f>IFERROR(INDEX('E-Banker master'!$E$2:$E$186,MATCH($A20,'E-Banker master'!$A$2:$A$186,0)),"")</f>
        <v/>
      </c>
      <c r="AA20">
        <f>IFERROR(INDEX('E-Banker master'!$F$2:$F$186,MATCH($A20,'E-Banker master'!$A$2:$A$186,0)),"")</f>
        <v/>
      </c>
      <c r="AB20">
        <f>IFERROR(INDEX('E-Banker master'!$G$2:$G$186,MATCH($A20,'E-Banker master'!$A$2:$A$186,0)),"")</f>
        <v/>
      </c>
      <c r="AC20" s="488">
        <f>IFERROR(INDEX('E-Banker master'!$I$2:$I$186,MATCH($A20,'E-Banker master'!$A$2:$A$186,0)),"")</f>
        <v/>
      </c>
      <c r="AD20" s="487">
        <f>IFERROR(INDEX('E-Banker master'!$J$2:$J$186,MATCH($A20,'E-Banker master'!$A$2:$A$186,0)),"")</f>
        <v/>
      </c>
      <c r="AE20" s="487">
        <f>IFERROR(INDEX('E-Banker master'!$K$2:$K$186,MATCH($A20,'E-Banker master'!$A$2:$A$186,0)),"")</f>
        <v/>
      </c>
      <c r="AF20">
        <f>IFERROR(INDEX('E-Banker master'!$L$2:$L$186,MATCH($A20,'E-Banker master'!$A$2:$A$186,0)),"")</f>
        <v/>
      </c>
      <c r="AG20">
        <f>IFERROR(INDEX('E-Banker master'!$M$2:$M$186,MATCH($A20,'E-Banker master'!$A$2:$A$186,0)),"")</f>
        <v/>
      </c>
      <c r="AH20" s="488">
        <f>IFERROR(INDEX('E-Banker master'!$N$2:$N$186,MATCH($A20,'E-Banker master'!$A$2:$A$186,0)),"")</f>
        <v/>
      </c>
      <c r="AI20" s="488">
        <f>IFERROR(INDEX('E-Banker master'!$O$2:$O$186,MATCH($A20,'E-Banker master'!$A$2:$A$186,0)),"")</f>
        <v/>
      </c>
      <c r="AJ20" s="488">
        <f>IFERROR(INDEX('E-Banker master'!$P$2:$P$186,MATCH($A20,'E-Banker master'!$A$2:$A$186,0)),"")</f>
        <v/>
      </c>
      <c r="AK20" s="488">
        <f>IF(OR(Q20="",AJ20=""),"",Q20-AJ20)</f>
        <v/>
      </c>
      <c r="AL20" t="n">
        <v>19</v>
      </c>
      <c r="AM20">
        <f>HYPERLINK("#'Amortisation and Repayments'!C1083","block 19")</f>
        <v/>
      </c>
      <c r="AN20">
        <f>'Mapping'!X20</f>
        <v/>
      </c>
      <c r="AO20" s="558" t="n"/>
      <c r="AP20" s="558" t="n"/>
      <c r="AQ20" s="558" t="n"/>
      <c r="AR20" s="559" t="n"/>
      <c r="AS20" s="560" t="n"/>
      <c r="AT20" s="560" t="n"/>
      <c r="AU20" s="561">
        <f>IF(COUNT(AO20:AQ20)=0,"",SUM(AO20:AQ20))</f>
        <v/>
      </c>
    </row>
    <row r="21">
      <c r="A21">
        <f>'Mapping'!J21</f>
        <v/>
      </c>
      <c r="B21">
        <f>'Mapping'!K21</f>
        <v/>
      </c>
      <c r="C21" t="n">
        <v>24</v>
      </c>
      <c r="D21">
        <f>'Loan Book'!E24</f>
        <v/>
      </c>
      <c r="E21">
        <f>'Loan Book'!F24</f>
        <v/>
      </c>
      <c r="F21" s="487">
        <f>'Loan Book'!G24</f>
        <v/>
      </c>
      <c r="G21" s="487">
        <f>'Loan Book'!H24</f>
        <v/>
      </c>
      <c r="H21">
        <f>'Loan Book'!I24</f>
        <v/>
      </c>
      <c r="I21">
        <f>'Loan Book'!J24</f>
        <v/>
      </c>
      <c r="J21">
        <f>IF('Loan Book'!K24="","",IF('Loan Book'!K24&lt;1,'Loan Book'!K24*100,'Loan Book'!K24))</f>
        <v/>
      </c>
      <c r="K21" s="488">
        <f>'Loan Book'!L24</f>
        <v/>
      </c>
      <c r="L21" s="488">
        <f>'Loan Book'!M24</f>
        <v/>
      </c>
      <c r="M21" s="488">
        <f>'Loan Book'!N24</f>
        <v/>
      </c>
      <c r="N21" s="488">
        <f>'Loan Book'!O24</f>
        <v/>
      </c>
      <c r="O21" s="488">
        <f>'Loan Book'!P24</f>
        <v/>
      </c>
      <c r="P21" s="488">
        <f>'Loan Book'!Q24</f>
        <v/>
      </c>
      <c r="Q21" s="488">
        <f>'Loan Book'!R24</f>
        <v/>
      </c>
      <c r="R21" s="488">
        <f>'Loan Book'!S24</f>
        <v/>
      </c>
      <c r="S21" s="488">
        <f>'Loan Book'!T24</f>
        <v/>
      </c>
      <c r="T21" s="488">
        <f>'Loan Book'!U24</f>
        <v/>
      </c>
      <c r="U21">
        <f>'Loan Book'!AC24</f>
        <v/>
      </c>
      <c r="V21">
        <f>'Loan Book'!AE24</f>
        <v/>
      </c>
      <c r="W21">
        <f>IFERROR(INDEX('E-Banker master'!$B$2:$B$186,MATCH($A21,'E-Banker master'!$A$2:$A$186,0)),"")</f>
        <v/>
      </c>
      <c r="X21">
        <f>IFERROR(INDEX('E-Banker master'!$C$2:$C$186,MATCH($A21,'E-Banker master'!$A$2:$A$186,0)),"")</f>
        <v/>
      </c>
      <c r="Y21">
        <f>IFERROR(INDEX('E-Banker master'!$D$2:$D$186,MATCH($A21,'E-Banker master'!$A$2:$A$186,0)),"")</f>
        <v/>
      </c>
      <c r="Z21">
        <f>IFERROR(INDEX('E-Banker master'!$E$2:$E$186,MATCH($A21,'E-Banker master'!$A$2:$A$186,0)),"")</f>
        <v/>
      </c>
      <c r="AA21">
        <f>IFERROR(INDEX('E-Banker master'!$F$2:$F$186,MATCH($A21,'E-Banker master'!$A$2:$A$186,0)),"")</f>
        <v/>
      </c>
      <c r="AB21">
        <f>IFERROR(INDEX('E-Banker master'!$G$2:$G$186,MATCH($A21,'E-Banker master'!$A$2:$A$186,0)),"")</f>
        <v/>
      </c>
      <c r="AC21" s="488">
        <f>IFERROR(INDEX('E-Banker master'!$I$2:$I$186,MATCH($A21,'E-Banker master'!$A$2:$A$186,0)),"")</f>
        <v/>
      </c>
      <c r="AD21" s="487">
        <f>IFERROR(INDEX('E-Banker master'!$J$2:$J$186,MATCH($A21,'E-Banker master'!$A$2:$A$186,0)),"")</f>
        <v/>
      </c>
      <c r="AE21" s="487">
        <f>IFERROR(INDEX('E-Banker master'!$K$2:$K$186,MATCH($A21,'E-Banker master'!$A$2:$A$186,0)),"")</f>
        <v/>
      </c>
      <c r="AF21">
        <f>IFERROR(INDEX('E-Banker master'!$L$2:$L$186,MATCH($A21,'E-Banker master'!$A$2:$A$186,0)),"")</f>
        <v/>
      </c>
      <c r="AG21">
        <f>IFERROR(INDEX('E-Banker master'!$M$2:$M$186,MATCH($A21,'E-Banker master'!$A$2:$A$186,0)),"")</f>
        <v/>
      </c>
      <c r="AH21" s="488">
        <f>IFERROR(INDEX('E-Banker master'!$N$2:$N$186,MATCH($A21,'E-Banker master'!$A$2:$A$186,0)),"")</f>
        <v/>
      </c>
      <c r="AI21" s="488">
        <f>IFERROR(INDEX('E-Banker master'!$O$2:$O$186,MATCH($A21,'E-Banker master'!$A$2:$A$186,0)),"")</f>
        <v/>
      </c>
      <c r="AJ21" s="488">
        <f>IFERROR(INDEX('E-Banker master'!$P$2:$P$186,MATCH($A21,'E-Banker master'!$A$2:$A$186,0)),"")</f>
        <v/>
      </c>
      <c r="AK21" s="488">
        <f>IF(OR(Q21="",AJ21=""),"",Q21-AJ21)</f>
        <v/>
      </c>
      <c r="AL21" t="n">
        <v>20</v>
      </c>
      <c r="AM21">
        <f>HYPERLINK("#'Amortisation and Repayments'!C1124","block 20")</f>
        <v/>
      </c>
      <c r="AN21">
        <f>'Mapping'!X21</f>
        <v/>
      </c>
      <c r="AO21" s="558" t="n"/>
      <c r="AP21" s="558" t="n"/>
      <c r="AQ21" s="558" t="n"/>
      <c r="AR21" s="559" t="n"/>
      <c r="AS21" s="560" t="n"/>
      <c r="AT21" s="560" t="n"/>
      <c r="AU21" s="561">
        <f>IF(COUNT(AO21:AQ21)=0,"",SUM(AO21:AQ21))</f>
        <v/>
      </c>
    </row>
    <row r="22">
      <c r="A22">
        <f>'Mapping'!J22</f>
        <v/>
      </c>
      <c r="B22">
        <f>'Mapping'!K22</f>
        <v/>
      </c>
      <c r="C22" t="n">
        <v>25</v>
      </c>
      <c r="D22">
        <f>'Loan Book'!E25</f>
        <v/>
      </c>
      <c r="E22">
        <f>'Loan Book'!F25</f>
        <v/>
      </c>
      <c r="F22" s="487">
        <f>'Loan Book'!G25</f>
        <v/>
      </c>
      <c r="G22" s="487">
        <f>'Loan Book'!H25</f>
        <v/>
      </c>
      <c r="H22">
        <f>'Loan Book'!I25</f>
        <v/>
      </c>
      <c r="I22">
        <f>'Loan Book'!J25</f>
        <v/>
      </c>
      <c r="J22">
        <f>IF('Loan Book'!K25="","",IF('Loan Book'!K25&lt;1,'Loan Book'!K25*100,'Loan Book'!K25))</f>
        <v/>
      </c>
      <c r="K22" s="488">
        <f>'Loan Book'!L25</f>
        <v/>
      </c>
      <c r="L22" s="488">
        <f>'Loan Book'!M25</f>
        <v/>
      </c>
      <c r="M22" s="488">
        <f>'Loan Book'!N25</f>
        <v/>
      </c>
      <c r="N22" s="488">
        <f>'Loan Book'!O25</f>
        <v/>
      </c>
      <c r="O22" s="488">
        <f>'Loan Book'!P25</f>
        <v/>
      </c>
      <c r="P22" s="488">
        <f>'Loan Book'!Q25</f>
        <v/>
      </c>
      <c r="Q22" s="488">
        <f>'Loan Book'!R25</f>
        <v/>
      </c>
      <c r="R22" s="488">
        <f>'Loan Book'!S25</f>
        <v/>
      </c>
      <c r="S22" s="488">
        <f>'Loan Book'!T25</f>
        <v/>
      </c>
      <c r="T22" s="488">
        <f>'Loan Book'!U25</f>
        <v/>
      </c>
      <c r="U22">
        <f>'Loan Book'!AC25</f>
        <v/>
      </c>
      <c r="V22">
        <f>'Loan Book'!AE25</f>
        <v/>
      </c>
      <c r="W22">
        <f>IFERROR(INDEX('E-Banker master'!$B$2:$B$186,MATCH($A22,'E-Banker master'!$A$2:$A$186,0)),"")</f>
        <v/>
      </c>
      <c r="X22">
        <f>IFERROR(INDEX('E-Banker master'!$C$2:$C$186,MATCH($A22,'E-Banker master'!$A$2:$A$186,0)),"")</f>
        <v/>
      </c>
      <c r="Y22">
        <f>IFERROR(INDEX('E-Banker master'!$D$2:$D$186,MATCH($A22,'E-Banker master'!$A$2:$A$186,0)),"")</f>
        <v/>
      </c>
      <c r="Z22">
        <f>IFERROR(INDEX('E-Banker master'!$E$2:$E$186,MATCH($A22,'E-Banker master'!$A$2:$A$186,0)),"")</f>
        <v/>
      </c>
      <c r="AA22">
        <f>IFERROR(INDEX('E-Banker master'!$F$2:$F$186,MATCH($A22,'E-Banker master'!$A$2:$A$186,0)),"")</f>
        <v/>
      </c>
      <c r="AB22">
        <f>IFERROR(INDEX('E-Banker master'!$G$2:$G$186,MATCH($A22,'E-Banker master'!$A$2:$A$186,0)),"")</f>
        <v/>
      </c>
      <c r="AC22" s="488">
        <f>IFERROR(INDEX('E-Banker master'!$I$2:$I$186,MATCH($A22,'E-Banker master'!$A$2:$A$186,0)),"")</f>
        <v/>
      </c>
      <c r="AD22" s="487">
        <f>IFERROR(INDEX('E-Banker master'!$J$2:$J$186,MATCH($A22,'E-Banker master'!$A$2:$A$186,0)),"")</f>
        <v/>
      </c>
      <c r="AE22" s="487">
        <f>IFERROR(INDEX('E-Banker master'!$K$2:$K$186,MATCH($A22,'E-Banker master'!$A$2:$A$186,0)),"")</f>
        <v/>
      </c>
      <c r="AF22">
        <f>IFERROR(INDEX('E-Banker master'!$L$2:$L$186,MATCH($A22,'E-Banker master'!$A$2:$A$186,0)),"")</f>
        <v/>
      </c>
      <c r="AG22">
        <f>IFERROR(INDEX('E-Banker master'!$M$2:$M$186,MATCH($A22,'E-Banker master'!$A$2:$A$186,0)),"")</f>
        <v/>
      </c>
      <c r="AH22" s="488">
        <f>IFERROR(INDEX('E-Banker master'!$N$2:$N$186,MATCH($A22,'E-Banker master'!$A$2:$A$186,0)),"")</f>
        <v/>
      </c>
      <c r="AI22" s="488">
        <f>IFERROR(INDEX('E-Banker master'!$O$2:$O$186,MATCH($A22,'E-Banker master'!$A$2:$A$186,0)),"")</f>
        <v/>
      </c>
      <c r="AJ22" s="488">
        <f>IFERROR(INDEX('E-Banker master'!$P$2:$P$186,MATCH($A22,'E-Banker master'!$A$2:$A$186,0)),"")</f>
        <v/>
      </c>
      <c r="AK22" s="488">
        <f>IF(OR(Q22="",AJ22=""),"",Q22-AJ22)</f>
        <v/>
      </c>
      <c r="AL22" t="n">
        <v>21</v>
      </c>
      <c r="AM22">
        <f>HYPERLINK("#'Amortisation and Repayments'!C1164","block 21")</f>
        <v/>
      </c>
      <c r="AN22">
        <f>'Mapping'!X22</f>
        <v/>
      </c>
      <c r="AO22" s="558" t="n"/>
      <c r="AP22" s="558" t="n"/>
      <c r="AQ22" s="558" t="n"/>
      <c r="AR22" s="559" t="n"/>
      <c r="AS22" s="560" t="n"/>
      <c r="AT22" s="560" t="n"/>
      <c r="AU22" s="561">
        <f>IF(COUNT(AO22:AQ22)=0,"",SUM(AO22:AQ22))</f>
        <v/>
      </c>
    </row>
    <row r="23">
      <c r="A23">
        <f>'Mapping'!J23</f>
        <v/>
      </c>
      <c r="B23">
        <f>'Mapping'!K23</f>
        <v/>
      </c>
      <c r="C23" t="n">
        <v>26</v>
      </c>
      <c r="D23">
        <f>'Loan Book'!E26</f>
        <v/>
      </c>
      <c r="E23">
        <f>'Loan Book'!F26</f>
        <v/>
      </c>
      <c r="F23" s="487">
        <f>'Loan Book'!G26</f>
        <v/>
      </c>
      <c r="G23" s="487">
        <f>'Loan Book'!H26</f>
        <v/>
      </c>
      <c r="H23">
        <f>'Loan Book'!I26</f>
        <v/>
      </c>
      <c r="I23">
        <f>'Loan Book'!J26</f>
        <v/>
      </c>
      <c r="J23">
        <f>IF('Loan Book'!K26="","",IF('Loan Book'!K26&lt;1,'Loan Book'!K26*100,'Loan Book'!K26))</f>
        <v/>
      </c>
      <c r="K23" s="488">
        <f>'Loan Book'!L26</f>
        <v/>
      </c>
      <c r="L23" s="488">
        <f>'Loan Book'!M26</f>
        <v/>
      </c>
      <c r="M23" s="488">
        <f>'Loan Book'!N26</f>
        <v/>
      </c>
      <c r="N23" s="488">
        <f>'Loan Book'!O26</f>
        <v/>
      </c>
      <c r="O23" s="488">
        <f>'Loan Book'!P26</f>
        <v/>
      </c>
      <c r="P23" s="488">
        <f>'Loan Book'!Q26</f>
        <v/>
      </c>
      <c r="Q23" s="488">
        <f>'Loan Book'!R26</f>
        <v/>
      </c>
      <c r="R23" s="488">
        <f>'Loan Book'!S26</f>
        <v/>
      </c>
      <c r="S23" s="488">
        <f>'Loan Book'!T26</f>
        <v/>
      </c>
      <c r="T23" s="488">
        <f>'Loan Book'!U26</f>
        <v/>
      </c>
      <c r="U23">
        <f>'Loan Book'!AC26</f>
        <v/>
      </c>
      <c r="V23">
        <f>'Loan Book'!AE26</f>
        <v/>
      </c>
      <c r="W23">
        <f>IFERROR(INDEX('E-Banker master'!$B$2:$B$186,MATCH($A23,'E-Banker master'!$A$2:$A$186,0)),"")</f>
        <v/>
      </c>
      <c r="X23">
        <f>IFERROR(INDEX('E-Banker master'!$C$2:$C$186,MATCH($A23,'E-Banker master'!$A$2:$A$186,0)),"")</f>
        <v/>
      </c>
      <c r="Y23">
        <f>IFERROR(INDEX('E-Banker master'!$D$2:$D$186,MATCH($A23,'E-Banker master'!$A$2:$A$186,0)),"")</f>
        <v/>
      </c>
      <c r="Z23">
        <f>IFERROR(INDEX('E-Banker master'!$E$2:$E$186,MATCH($A23,'E-Banker master'!$A$2:$A$186,0)),"")</f>
        <v/>
      </c>
      <c r="AA23">
        <f>IFERROR(INDEX('E-Banker master'!$F$2:$F$186,MATCH($A23,'E-Banker master'!$A$2:$A$186,0)),"")</f>
        <v/>
      </c>
      <c r="AB23">
        <f>IFERROR(INDEX('E-Banker master'!$G$2:$G$186,MATCH($A23,'E-Banker master'!$A$2:$A$186,0)),"")</f>
        <v/>
      </c>
      <c r="AC23" s="488">
        <f>IFERROR(INDEX('E-Banker master'!$I$2:$I$186,MATCH($A23,'E-Banker master'!$A$2:$A$186,0)),"")</f>
        <v/>
      </c>
      <c r="AD23" s="487">
        <f>IFERROR(INDEX('E-Banker master'!$J$2:$J$186,MATCH($A23,'E-Banker master'!$A$2:$A$186,0)),"")</f>
        <v/>
      </c>
      <c r="AE23" s="487">
        <f>IFERROR(INDEX('E-Banker master'!$K$2:$K$186,MATCH($A23,'E-Banker master'!$A$2:$A$186,0)),"")</f>
        <v/>
      </c>
      <c r="AF23">
        <f>IFERROR(INDEX('E-Banker master'!$L$2:$L$186,MATCH($A23,'E-Banker master'!$A$2:$A$186,0)),"")</f>
        <v/>
      </c>
      <c r="AG23">
        <f>IFERROR(INDEX('E-Banker master'!$M$2:$M$186,MATCH($A23,'E-Banker master'!$A$2:$A$186,0)),"")</f>
        <v/>
      </c>
      <c r="AH23" s="488">
        <f>IFERROR(INDEX('E-Banker master'!$N$2:$N$186,MATCH($A23,'E-Banker master'!$A$2:$A$186,0)),"")</f>
        <v/>
      </c>
      <c r="AI23" s="488">
        <f>IFERROR(INDEX('E-Banker master'!$O$2:$O$186,MATCH($A23,'E-Banker master'!$A$2:$A$186,0)),"")</f>
        <v/>
      </c>
      <c r="AJ23" s="488">
        <f>IFERROR(INDEX('E-Banker master'!$P$2:$P$186,MATCH($A23,'E-Banker master'!$A$2:$A$186,0)),"")</f>
        <v/>
      </c>
      <c r="AK23" s="488">
        <f>IF(OR(Q23="",AJ23=""),"",Q23-AJ23)</f>
        <v/>
      </c>
      <c r="AN23">
        <f>'Mapping'!X23</f>
        <v/>
      </c>
      <c r="AO23" s="558" t="n"/>
      <c r="AP23" s="558" t="n"/>
      <c r="AQ23" s="558" t="n"/>
      <c r="AR23" s="559" t="n"/>
      <c r="AS23" s="560" t="n"/>
      <c r="AT23" s="560" t="n"/>
      <c r="AU23" s="561">
        <f>IF(COUNT(AO23:AQ23)=0,"",SUM(AO23:AQ23))</f>
        <v/>
      </c>
    </row>
    <row r="24">
      <c r="A24">
        <f>'Mapping'!J24</f>
        <v/>
      </c>
      <c r="B24">
        <f>'Mapping'!K24</f>
        <v/>
      </c>
      <c r="C24" t="n">
        <v>27</v>
      </c>
      <c r="D24">
        <f>'Loan Book'!E27</f>
        <v/>
      </c>
      <c r="E24">
        <f>'Loan Book'!F27</f>
        <v/>
      </c>
      <c r="F24" s="487">
        <f>'Loan Book'!G27</f>
        <v/>
      </c>
      <c r="G24" s="487">
        <f>'Loan Book'!H27</f>
        <v/>
      </c>
      <c r="H24">
        <f>'Loan Book'!I27</f>
        <v/>
      </c>
      <c r="I24">
        <f>'Loan Book'!J27</f>
        <v/>
      </c>
      <c r="J24">
        <f>IF('Loan Book'!K27="","",IF('Loan Book'!K27&lt;1,'Loan Book'!K27*100,'Loan Book'!K27))</f>
        <v/>
      </c>
      <c r="K24" s="488">
        <f>'Loan Book'!L27</f>
        <v/>
      </c>
      <c r="L24" s="488">
        <f>'Loan Book'!M27</f>
        <v/>
      </c>
      <c r="M24" s="488">
        <f>'Loan Book'!N27</f>
        <v/>
      </c>
      <c r="N24" s="488">
        <f>'Loan Book'!O27</f>
        <v/>
      </c>
      <c r="O24" s="488">
        <f>'Loan Book'!P27</f>
        <v/>
      </c>
      <c r="P24" s="488">
        <f>'Loan Book'!Q27</f>
        <v/>
      </c>
      <c r="Q24" s="488">
        <f>'Loan Book'!R27</f>
        <v/>
      </c>
      <c r="R24" s="488">
        <f>'Loan Book'!S27</f>
        <v/>
      </c>
      <c r="S24" s="488">
        <f>'Loan Book'!T27</f>
        <v/>
      </c>
      <c r="T24" s="488">
        <f>'Loan Book'!U27</f>
        <v/>
      </c>
      <c r="U24">
        <f>'Loan Book'!AC27</f>
        <v/>
      </c>
      <c r="V24">
        <f>'Loan Book'!AE27</f>
        <v/>
      </c>
      <c r="W24">
        <f>IFERROR(INDEX('E-Banker master'!$B$2:$B$186,MATCH($A24,'E-Banker master'!$A$2:$A$186,0)),"")</f>
        <v/>
      </c>
      <c r="X24">
        <f>IFERROR(INDEX('E-Banker master'!$C$2:$C$186,MATCH($A24,'E-Banker master'!$A$2:$A$186,0)),"")</f>
        <v/>
      </c>
      <c r="Y24">
        <f>IFERROR(INDEX('E-Banker master'!$D$2:$D$186,MATCH($A24,'E-Banker master'!$A$2:$A$186,0)),"")</f>
        <v/>
      </c>
      <c r="Z24">
        <f>IFERROR(INDEX('E-Banker master'!$E$2:$E$186,MATCH($A24,'E-Banker master'!$A$2:$A$186,0)),"")</f>
        <v/>
      </c>
      <c r="AA24">
        <f>IFERROR(INDEX('E-Banker master'!$F$2:$F$186,MATCH($A24,'E-Banker master'!$A$2:$A$186,0)),"")</f>
        <v/>
      </c>
      <c r="AB24">
        <f>IFERROR(INDEX('E-Banker master'!$G$2:$G$186,MATCH($A24,'E-Banker master'!$A$2:$A$186,0)),"")</f>
        <v/>
      </c>
      <c r="AC24" s="488">
        <f>IFERROR(INDEX('E-Banker master'!$I$2:$I$186,MATCH($A24,'E-Banker master'!$A$2:$A$186,0)),"")</f>
        <v/>
      </c>
      <c r="AD24" s="487">
        <f>IFERROR(INDEX('E-Banker master'!$J$2:$J$186,MATCH($A24,'E-Banker master'!$A$2:$A$186,0)),"")</f>
        <v/>
      </c>
      <c r="AE24" s="487">
        <f>IFERROR(INDEX('E-Banker master'!$K$2:$K$186,MATCH($A24,'E-Banker master'!$A$2:$A$186,0)),"")</f>
        <v/>
      </c>
      <c r="AF24">
        <f>IFERROR(INDEX('E-Banker master'!$L$2:$L$186,MATCH($A24,'E-Banker master'!$A$2:$A$186,0)),"")</f>
        <v/>
      </c>
      <c r="AG24">
        <f>IFERROR(INDEX('E-Banker master'!$M$2:$M$186,MATCH($A24,'E-Banker master'!$A$2:$A$186,0)),"")</f>
        <v/>
      </c>
      <c r="AH24" s="488">
        <f>IFERROR(INDEX('E-Banker master'!$N$2:$N$186,MATCH($A24,'E-Banker master'!$A$2:$A$186,0)),"")</f>
        <v/>
      </c>
      <c r="AI24" s="488">
        <f>IFERROR(INDEX('E-Banker master'!$O$2:$O$186,MATCH($A24,'E-Banker master'!$A$2:$A$186,0)),"")</f>
        <v/>
      </c>
      <c r="AJ24" s="488">
        <f>IFERROR(INDEX('E-Banker master'!$P$2:$P$186,MATCH($A24,'E-Banker master'!$A$2:$A$186,0)),"")</f>
        <v/>
      </c>
      <c r="AK24" s="488">
        <f>IF(OR(Q24="",AJ24=""),"",Q24-AJ24)</f>
        <v/>
      </c>
      <c r="AL24" t="n">
        <v>22</v>
      </c>
      <c r="AM24">
        <f>HYPERLINK("#'Amortisation and Repayments'!C1237","block 22")</f>
        <v/>
      </c>
      <c r="AN24">
        <f>'Mapping'!X24</f>
        <v/>
      </c>
      <c r="AO24" s="558" t="n"/>
      <c r="AP24" s="558" t="n"/>
      <c r="AQ24" s="558" t="n"/>
      <c r="AR24" s="559" t="n"/>
      <c r="AS24" s="560" t="n"/>
      <c r="AT24" s="560" t="n"/>
      <c r="AU24" s="561">
        <f>IF(COUNT(AO24:AQ24)=0,"",SUM(AO24:AQ24))</f>
        <v/>
      </c>
    </row>
    <row r="25">
      <c r="A25">
        <f>'Mapping'!J25</f>
        <v/>
      </c>
      <c r="B25">
        <f>'Mapping'!K25</f>
        <v/>
      </c>
      <c r="C25" t="n">
        <v>28</v>
      </c>
      <c r="D25">
        <f>'Loan Book'!E28</f>
        <v/>
      </c>
      <c r="E25">
        <f>'Loan Book'!F28</f>
        <v/>
      </c>
      <c r="F25" s="487">
        <f>'Loan Book'!G28</f>
        <v/>
      </c>
      <c r="G25" s="487">
        <f>'Loan Book'!H28</f>
        <v/>
      </c>
      <c r="H25">
        <f>'Loan Book'!I28</f>
        <v/>
      </c>
      <c r="I25">
        <f>'Loan Book'!J28</f>
        <v/>
      </c>
      <c r="J25">
        <f>IF('Loan Book'!K28="","",IF('Loan Book'!K28&lt;1,'Loan Book'!K28*100,'Loan Book'!K28))</f>
        <v/>
      </c>
      <c r="K25" s="488">
        <f>'Loan Book'!L28</f>
        <v/>
      </c>
      <c r="L25" s="488">
        <f>'Loan Book'!M28</f>
        <v/>
      </c>
      <c r="M25" s="488">
        <f>'Loan Book'!N28</f>
        <v/>
      </c>
      <c r="N25" s="488">
        <f>'Loan Book'!O28</f>
        <v/>
      </c>
      <c r="O25" s="488">
        <f>'Loan Book'!P28</f>
        <v/>
      </c>
      <c r="P25" s="488">
        <f>'Loan Book'!Q28</f>
        <v/>
      </c>
      <c r="Q25" s="488">
        <f>'Loan Book'!R28</f>
        <v/>
      </c>
      <c r="R25" s="488">
        <f>'Loan Book'!S28</f>
        <v/>
      </c>
      <c r="S25" s="488">
        <f>'Loan Book'!T28</f>
        <v/>
      </c>
      <c r="T25" s="488">
        <f>'Loan Book'!U28</f>
        <v/>
      </c>
      <c r="U25">
        <f>'Loan Book'!AC28</f>
        <v/>
      </c>
      <c r="V25">
        <f>'Loan Book'!AE28</f>
        <v/>
      </c>
      <c r="W25">
        <f>IFERROR(INDEX('E-Banker master'!$B$2:$B$186,MATCH($A25,'E-Banker master'!$A$2:$A$186,0)),"")</f>
        <v/>
      </c>
      <c r="X25">
        <f>IFERROR(INDEX('E-Banker master'!$C$2:$C$186,MATCH($A25,'E-Banker master'!$A$2:$A$186,0)),"")</f>
        <v/>
      </c>
      <c r="Y25">
        <f>IFERROR(INDEX('E-Banker master'!$D$2:$D$186,MATCH($A25,'E-Banker master'!$A$2:$A$186,0)),"")</f>
        <v/>
      </c>
      <c r="Z25">
        <f>IFERROR(INDEX('E-Banker master'!$E$2:$E$186,MATCH($A25,'E-Banker master'!$A$2:$A$186,0)),"")</f>
        <v/>
      </c>
      <c r="AA25">
        <f>IFERROR(INDEX('E-Banker master'!$F$2:$F$186,MATCH($A25,'E-Banker master'!$A$2:$A$186,0)),"")</f>
        <v/>
      </c>
      <c r="AB25">
        <f>IFERROR(INDEX('E-Banker master'!$G$2:$G$186,MATCH($A25,'E-Banker master'!$A$2:$A$186,0)),"")</f>
        <v/>
      </c>
      <c r="AC25" s="488">
        <f>IFERROR(INDEX('E-Banker master'!$I$2:$I$186,MATCH($A25,'E-Banker master'!$A$2:$A$186,0)),"")</f>
        <v/>
      </c>
      <c r="AD25" s="487">
        <f>IFERROR(INDEX('E-Banker master'!$J$2:$J$186,MATCH($A25,'E-Banker master'!$A$2:$A$186,0)),"")</f>
        <v/>
      </c>
      <c r="AE25" s="487">
        <f>IFERROR(INDEX('E-Banker master'!$K$2:$K$186,MATCH($A25,'E-Banker master'!$A$2:$A$186,0)),"")</f>
        <v/>
      </c>
      <c r="AF25">
        <f>IFERROR(INDEX('E-Banker master'!$L$2:$L$186,MATCH($A25,'E-Banker master'!$A$2:$A$186,0)),"")</f>
        <v/>
      </c>
      <c r="AG25">
        <f>IFERROR(INDEX('E-Banker master'!$M$2:$M$186,MATCH($A25,'E-Banker master'!$A$2:$A$186,0)),"")</f>
        <v/>
      </c>
      <c r="AH25" s="488">
        <f>IFERROR(INDEX('E-Banker master'!$N$2:$N$186,MATCH($A25,'E-Banker master'!$A$2:$A$186,0)),"")</f>
        <v/>
      </c>
      <c r="AI25" s="488">
        <f>IFERROR(INDEX('E-Banker master'!$O$2:$O$186,MATCH($A25,'E-Banker master'!$A$2:$A$186,0)),"")</f>
        <v/>
      </c>
      <c r="AJ25" s="488">
        <f>IFERROR(INDEX('E-Banker master'!$P$2:$P$186,MATCH($A25,'E-Banker master'!$A$2:$A$186,0)),"")</f>
        <v/>
      </c>
      <c r="AK25" s="488">
        <f>IF(OR(Q25="",AJ25=""),"",Q25-AJ25)</f>
        <v/>
      </c>
      <c r="AN25">
        <f>'Mapping'!X25</f>
        <v/>
      </c>
      <c r="AO25" s="558" t="n"/>
      <c r="AP25" s="558" t="n"/>
      <c r="AQ25" s="558" t="n"/>
      <c r="AR25" s="559" t="n"/>
      <c r="AS25" s="560" t="n"/>
      <c r="AT25" s="560" t="n"/>
      <c r="AU25" s="561">
        <f>IF(COUNT(AO25:AQ25)=0,"",SUM(AO25:AQ25))</f>
        <v/>
      </c>
    </row>
    <row r="26">
      <c r="A26">
        <f>'Mapping'!J26</f>
        <v/>
      </c>
      <c r="B26">
        <f>'Mapping'!K26</f>
        <v/>
      </c>
      <c r="C26" t="n">
        <v>29</v>
      </c>
      <c r="D26">
        <f>'Loan Book'!E29</f>
        <v/>
      </c>
      <c r="E26">
        <f>'Loan Book'!F29</f>
        <v/>
      </c>
      <c r="F26" s="487">
        <f>'Loan Book'!G29</f>
        <v/>
      </c>
      <c r="G26" s="487">
        <f>'Loan Book'!H29</f>
        <v/>
      </c>
      <c r="H26">
        <f>'Loan Book'!I29</f>
        <v/>
      </c>
      <c r="I26">
        <f>'Loan Book'!J29</f>
        <v/>
      </c>
      <c r="J26">
        <f>IF('Loan Book'!K29="","",IF('Loan Book'!K29&lt;1,'Loan Book'!K29*100,'Loan Book'!K29))</f>
        <v/>
      </c>
      <c r="K26" s="488">
        <f>'Loan Book'!L29</f>
        <v/>
      </c>
      <c r="L26" s="488">
        <f>'Loan Book'!M29</f>
        <v/>
      </c>
      <c r="M26" s="488">
        <f>'Loan Book'!N29</f>
        <v/>
      </c>
      <c r="N26" s="488">
        <f>'Loan Book'!O29</f>
        <v/>
      </c>
      <c r="O26" s="488">
        <f>'Loan Book'!P29</f>
        <v/>
      </c>
      <c r="P26" s="488">
        <f>'Loan Book'!Q29</f>
        <v/>
      </c>
      <c r="Q26" s="488">
        <f>'Loan Book'!R29</f>
        <v/>
      </c>
      <c r="R26" s="488">
        <f>'Loan Book'!S29</f>
        <v/>
      </c>
      <c r="S26" s="488">
        <f>'Loan Book'!T29</f>
        <v/>
      </c>
      <c r="T26" s="488">
        <f>'Loan Book'!U29</f>
        <v/>
      </c>
      <c r="U26">
        <f>'Loan Book'!AC29</f>
        <v/>
      </c>
      <c r="V26">
        <f>'Loan Book'!AE29</f>
        <v/>
      </c>
      <c r="W26">
        <f>IFERROR(INDEX('E-Banker master'!$B$2:$B$186,MATCH($A26,'E-Banker master'!$A$2:$A$186,0)),"")</f>
        <v/>
      </c>
      <c r="X26">
        <f>IFERROR(INDEX('E-Banker master'!$C$2:$C$186,MATCH($A26,'E-Banker master'!$A$2:$A$186,0)),"")</f>
        <v/>
      </c>
      <c r="Y26">
        <f>IFERROR(INDEX('E-Banker master'!$D$2:$D$186,MATCH($A26,'E-Banker master'!$A$2:$A$186,0)),"")</f>
        <v/>
      </c>
      <c r="Z26">
        <f>IFERROR(INDEX('E-Banker master'!$E$2:$E$186,MATCH($A26,'E-Banker master'!$A$2:$A$186,0)),"")</f>
        <v/>
      </c>
      <c r="AA26">
        <f>IFERROR(INDEX('E-Banker master'!$F$2:$F$186,MATCH($A26,'E-Banker master'!$A$2:$A$186,0)),"")</f>
        <v/>
      </c>
      <c r="AB26">
        <f>IFERROR(INDEX('E-Banker master'!$G$2:$G$186,MATCH($A26,'E-Banker master'!$A$2:$A$186,0)),"")</f>
        <v/>
      </c>
      <c r="AC26" s="488">
        <f>IFERROR(INDEX('E-Banker master'!$I$2:$I$186,MATCH($A26,'E-Banker master'!$A$2:$A$186,0)),"")</f>
        <v/>
      </c>
      <c r="AD26" s="487">
        <f>IFERROR(INDEX('E-Banker master'!$J$2:$J$186,MATCH($A26,'E-Banker master'!$A$2:$A$186,0)),"")</f>
        <v/>
      </c>
      <c r="AE26" s="487">
        <f>IFERROR(INDEX('E-Banker master'!$K$2:$K$186,MATCH($A26,'E-Banker master'!$A$2:$A$186,0)),"")</f>
        <v/>
      </c>
      <c r="AF26">
        <f>IFERROR(INDEX('E-Banker master'!$L$2:$L$186,MATCH($A26,'E-Banker master'!$A$2:$A$186,0)),"")</f>
        <v/>
      </c>
      <c r="AG26">
        <f>IFERROR(INDEX('E-Banker master'!$M$2:$M$186,MATCH($A26,'E-Banker master'!$A$2:$A$186,0)),"")</f>
        <v/>
      </c>
      <c r="AH26" s="488">
        <f>IFERROR(INDEX('E-Banker master'!$N$2:$N$186,MATCH($A26,'E-Banker master'!$A$2:$A$186,0)),"")</f>
        <v/>
      </c>
      <c r="AI26" s="488">
        <f>IFERROR(INDEX('E-Banker master'!$O$2:$O$186,MATCH($A26,'E-Banker master'!$A$2:$A$186,0)),"")</f>
        <v/>
      </c>
      <c r="AJ26" s="488">
        <f>IFERROR(INDEX('E-Banker master'!$P$2:$P$186,MATCH($A26,'E-Banker master'!$A$2:$A$186,0)),"")</f>
        <v/>
      </c>
      <c r="AK26" s="488">
        <f>IF(OR(Q26="",AJ26=""),"",Q26-AJ26)</f>
        <v/>
      </c>
      <c r="AL26" t="n">
        <v>23</v>
      </c>
      <c r="AM26">
        <f>HYPERLINK("#'Amortisation and Repayments'!C1438","block 23")</f>
        <v/>
      </c>
      <c r="AN26">
        <f>'Mapping'!X26</f>
        <v/>
      </c>
      <c r="AO26" s="558" t="n"/>
      <c r="AP26" s="558" t="n"/>
      <c r="AQ26" s="558" t="n"/>
      <c r="AR26" s="559" t="n"/>
      <c r="AS26" s="560" t="n"/>
      <c r="AT26" s="560" t="n"/>
      <c r="AU26" s="561">
        <f>IF(COUNT(AO26:AQ26)=0,"",SUM(AO26:AQ26))</f>
        <v/>
      </c>
    </row>
    <row r="27">
      <c r="A27">
        <f>'Mapping'!J27</f>
        <v/>
      </c>
      <c r="B27">
        <f>'Mapping'!K27</f>
        <v/>
      </c>
      <c r="C27" t="n">
        <v>30</v>
      </c>
      <c r="D27">
        <f>'Loan Book'!E30</f>
        <v/>
      </c>
      <c r="E27">
        <f>'Loan Book'!F30</f>
        <v/>
      </c>
      <c r="F27" s="487">
        <f>'Loan Book'!G30</f>
        <v/>
      </c>
      <c r="G27" s="487">
        <f>'Loan Book'!H30</f>
        <v/>
      </c>
      <c r="H27">
        <f>'Loan Book'!I30</f>
        <v/>
      </c>
      <c r="I27">
        <f>'Loan Book'!J30</f>
        <v/>
      </c>
      <c r="J27">
        <f>IF('Loan Book'!K30="","",IF('Loan Book'!K30&lt;1,'Loan Book'!K30*100,'Loan Book'!K30))</f>
        <v/>
      </c>
      <c r="K27" s="488">
        <f>'Loan Book'!L30</f>
        <v/>
      </c>
      <c r="L27" s="488">
        <f>'Loan Book'!M30</f>
        <v/>
      </c>
      <c r="M27" s="488">
        <f>'Loan Book'!N30</f>
        <v/>
      </c>
      <c r="N27" s="488">
        <f>'Loan Book'!O30</f>
        <v/>
      </c>
      <c r="O27" s="488">
        <f>'Loan Book'!P30</f>
        <v/>
      </c>
      <c r="P27" s="488">
        <f>'Loan Book'!Q30</f>
        <v/>
      </c>
      <c r="Q27" s="488">
        <f>'Loan Book'!R30</f>
        <v/>
      </c>
      <c r="R27" s="488">
        <f>'Loan Book'!S30</f>
        <v/>
      </c>
      <c r="S27" s="488">
        <f>'Loan Book'!T30</f>
        <v/>
      </c>
      <c r="T27" s="488">
        <f>'Loan Book'!U30</f>
        <v/>
      </c>
      <c r="U27">
        <f>'Loan Book'!AC30</f>
        <v/>
      </c>
      <c r="V27">
        <f>'Loan Book'!AE30</f>
        <v/>
      </c>
      <c r="W27">
        <f>IFERROR(INDEX('E-Banker master'!$B$2:$B$186,MATCH($A27,'E-Banker master'!$A$2:$A$186,0)),"")</f>
        <v/>
      </c>
      <c r="X27">
        <f>IFERROR(INDEX('E-Banker master'!$C$2:$C$186,MATCH($A27,'E-Banker master'!$A$2:$A$186,0)),"")</f>
        <v/>
      </c>
      <c r="Y27">
        <f>IFERROR(INDEX('E-Banker master'!$D$2:$D$186,MATCH($A27,'E-Banker master'!$A$2:$A$186,0)),"")</f>
        <v/>
      </c>
      <c r="Z27">
        <f>IFERROR(INDEX('E-Banker master'!$E$2:$E$186,MATCH($A27,'E-Banker master'!$A$2:$A$186,0)),"")</f>
        <v/>
      </c>
      <c r="AA27">
        <f>IFERROR(INDEX('E-Banker master'!$F$2:$F$186,MATCH($A27,'E-Banker master'!$A$2:$A$186,0)),"")</f>
        <v/>
      </c>
      <c r="AB27">
        <f>IFERROR(INDEX('E-Banker master'!$G$2:$G$186,MATCH($A27,'E-Banker master'!$A$2:$A$186,0)),"")</f>
        <v/>
      </c>
      <c r="AC27" s="488">
        <f>IFERROR(INDEX('E-Banker master'!$I$2:$I$186,MATCH($A27,'E-Banker master'!$A$2:$A$186,0)),"")</f>
        <v/>
      </c>
      <c r="AD27" s="487">
        <f>IFERROR(INDEX('E-Banker master'!$J$2:$J$186,MATCH($A27,'E-Banker master'!$A$2:$A$186,0)),"")</f>
        <v/>
      </c>
      <c r="AE27" s="487">
        <f>IFERROR(INDEX('E-Banker master'!$K$2:$K$186,MATCH($A27,'E-Banker master'!$A$2:$A$186,0)),"")</f>
        <v/>
      </c>
      <c r="AF27">
        <f>IFERROR(INDEX('E-Banker master'!$L$2:$L$186,MATCH($A27,'E-Banker master'!$A$2:$A$186,0)),"")</f>
        <v/>
      </c>
      <c r="AG27">
        <f>IFERROR(INDEX('E-Banker master'!$M$2:$M$186,MATCH($A27,'E-Banker master'!$A$2:$A$186,0)),"")</f>
        <v/>
      </c>
      <c r="AH27" s="488">
        <f>IFERROR(INDEX('E-Banker master'!$N$2:$N$186,MATCH($A27,'E-Banker master'!$A$2:$A$186,0)),"")</f>
        <v/>
      </c>
      <c r="AI27" s="488">
        <f>IFERROR(INDEX('E-Banker master'!$O$2:$O$186,MATCH($A27,'E-Banker master'!$A$2:$A$186,0)),"")</f>
        <v/>
      </c>
      <c r="AJ27" s="488">
        <f>IFERROR(INDEX('E-Banker master'!$P$2:$P$186,MATCH($A27,'E-Banker master'!$A$2:$A$186,0)),"")</f>
        <v/>
      </c>
      <c r="AK27" s="488">
        <f>IF(OR(Q27="",AJ27=""),"",Q27-AJ27)</f>
        <v/>
      </c>
      <c r="AL27" t="n">
        <v>24</v>
      </c>
      <c r="AM27">
        <f>HYPERLINK("#'Amortisation and Repayments'!C1504","block 24")</f>
        <v/>
      </c>
      <c r="AN27">
        <f>'Mapping'!X27</f>
        <v/>
      </c>
      <c r="AO27" s="558" t="n"/>
      <c r="AP27" s="558" t="n"/>
      <c r="AQ27" s="558" t="n"/>
      <c r="AR27" s="559" t="n"/>
      <c r="AS27" s="560" t="n"/>
      <c r="AT27" s="560" t="n"/>
      <c r="AU27" s="561">
        <f>IF(COUNT(AO27:AQ27)=0,"",SUM(AO27:AQ27))</f>
        <v/>
      </c>
    </row>
    <row r="28">
      <c r="A28">
        <f>'Mapping'!J28</f>
        <v/>
      </c>
      <c r="B28">
        <f>'Mapping'!K28</f>
        <v/>
      </c>
      <c r="C28" t="n">
        <v>31</v>
      </c>
      <c r="D28">
        <f>'Loan Book'!E31</f>
        <v/>
      </c>
      <c r="E28">
        <f>'Loan Book'!F31</f>
        <v/>
      </c>
      <c r="F28" s="487">
        <f>'Loan Book'!G31</f>
        <v/>
      </c>
      <c r="G28" s="487">
        <f>'Loan Book'!H31</f>
        <v/>
      </c>
      <c r="H28">
        <f>'Loan Book'!I31</f>
        <v/>
      </c>
      <c r="I28">
        <f>'Loan Book'!J31</f>
        <v/>
      </c>
      <c r="J28">
        <f>IF('Loan Book'!K31="","",IF('Loan Book'!K31&lt;1,'Loan Book'!K31*100,'Loan Book'!K31))</f>
        <v/>
      </c>
      <c r="K28" s="488">
        <f>'Loan Book'!L31</f>
        <v/>
      </c>
      <c r="L28" s="488">
        <f>'Loan Book'!M31</f>
        <v/>
      </c>
      <c r="M28" s="488">
        <f>'Loan Book'!N31</f>
        <v/>
      </c>
      <c r="N28" s="488">
        <f>'Loan Book'!O31</f>
        <v/>
      </c>
      <c r="O28" s="488">
        <f>'Loan Book'!P31</f>
        <v/>
      </c>
      <c r="P28" s="488">
        <f>'Loan Book'!Q31</f>
        <v/>
      </c>
      <c r="Q28" s="488">
        <f>'Loan Book'!R31</f>
        <v/>
      </c>
      <c r="R28" s="488">
        <f>'Loan Book'!S31</f>
        <v/>
      </c>
      <c r="S28" s="488">
        <f>'Loan Book'!T31</f>
        <v/>
      </c>
      <c r="T28" s="488">
        <f>'Loan Book'!U31</f>
        <v/>
      </c>
      <c r="U28">
        <f>'Loan Book'!AC31</f>
        <v/>
      </c>
      <c r="V28">
        <f>'Loan Book'!AE31</f>
        <v/>
      </c>
      <c r="W28">
        <f>IFERROR(INDEX('E-Banker master'!$B$2:$B$186,MATCH($A28,'E-Banker master'!$A$2:$A$186,0)),"")</f>
        <v/>
      </c>
      <c r="X28">
        <f>IFERROR(INDEX('E-Banker master'!$C$2:$C$186,MATCH($A28,'E-Banker master'!$A$2:$A$186,0)),"")</f>
        <v/>
      </c>
      <c r="Y28">
        <f>IFERROR(INDEX('E-Banker master'!$D$2:$D$186,MATCH($A28,'E-Banker master'!$A$2:$A$186,0)),"")</f>
        <v/>
      </c>
      <c r="Z28">
        <f>IFERROR(INDEX('E-Banker master'!$E$2:$E$186,MATCH($A28,'E-Banker master'!$A$2:$A$186,0)),"")</f>
        <v/>
      </c>
      <c r="AA28">
        <f>IFERROR(INDEX('E-Banker master'!$F$2:$F$186,MATCH($A28,'E-Banker master'!$A$2:$A$186,0)),"")</f>
        <v/>
      </c>
      <c r="AB28">
        <f>IFERROR(INDEX('E-Banker master'!$G$2:$G$186,MATCH($A28,'E-Banker master'!$A$2:$A$186,0)),"")</f>
        <v/>
      </c>
      <c r="AC28" s="488">
        <f>IFERROR(INDEX('E-Banker master'!$I$2:$I$186,MATCH($A28,'E-Banker master'!$A$2:$A$186,0)),"")</f>
        <v/>
      </c>
      <c r="AD28" s="487">
        <f>IFERROR(INDEX('E-Banker master'!$J$2:$J$186,MATCH($A28,'E-Banker master'!$A$2:$A$186,0)),"")</f>
        <v/>
      </c>
      <c r="AE28" s="487">
        <f>IFERROR(INDEX('E-Banker master'!$K$2:$K$186,MATCH($A28,'E-Banker master'!$A$2:$A$186,0)),"")</f>
        <v/>
      </c>
      <c r="AF28">
        <f>IFERROR(INDEX('E-Banker master'!$L$2:$L$186,MATCH($A28,'E-Banker master'!$A$2:$A$186,0)),"")</f>
        <v/>
      </c>
      <c r="AG28">
        <f>IFERROR(INDEX('E-Banker master'!$M$2:$M$186,MATCH($A28,'E-Banker master'!$A$2:$A$186,0)),"")</f>
        <v/>
      </c>
      <c r="AH28" s="488">
        <f>IFERROR(INDEX('E-Banker master'!$N$2:$N$186,MATCH($A28,'E-Banker master'!$A$2:$A$186,0)),"")</f>
        <v/>
      </c>
      <c r="AI28" s="488">
        <f>IFERROR(INDEX('E-Banker master'!$O$2:$O$186,MATCH($A28,'E-Banker master'!$A$2:$A$186,0)),"")</f>
        <v/>
      </c>
      <c r="AJ28" s="488">
        <f>IFERROR(INDEX('E-Banker master'!$P$2:$P$186,MATCH($A28,'E-Banker master'!$A$2:$A$186,0)),"")</f>
        <v/>
      </c>
      <c r="AK28" s="488">
        <f>IF(OR(Q28="",AJ28=""),"",Q28-AJ28)</f>
        <v/>
      </c>
      <c r="AL28" t="n">
        <v>25</v>
      </c>
      <c r="AM28">
        <f>HYPERLINK("#'Amortisation and Repayments'!C1544","block 25")</f>
        <v/>
      </c>
      <c r="AN28">
        <f>'Mapping'!X28</f>
        <v/>
      </c>
      <c r="AO28" s="558" t="n"/>
      <c r="AP28" s="558" t="n"/>
      <c r="AQ28" s="558" t="n"/>
      <c r="AR28" s="559" t="n"/>
      <c r="AS28" s="560" t="n"/>
      <c r="AT28" s="560" t="n"/>
      <c r="AU28" s="561">
        <f>IF(COUNT(AO28:AQ28)=0,"",SUM(AO28:AQ28))</f>
        <v/>
      </c>
    </row>
    <row r="29">
      <c r="A29">
        <f>'Mapping'!J29</f>
        <v/>
      </c>
      <c r="B29">
        <f>'Mapping'!K29</f>
        <v/>
      </c>
      <c r="C29" t="n">
        <v>32</v>
      </c>
      <c r="D29">
        <f>'Loan Book'!E32</f>
        <v/>
      </c>
      <c r="E29">
        <f>'Loan Book'!F32</f>
        <v/>
      </c>
      <c r="F29" s="487">
        <f>'Loan Book'!G32</f>
        <v/>
      </c>
      <c r="G29" s="487">
        <f>'Loan Book'!H32</f>
        <v/>
      </c>
      <c r="H29">
        <f>'Loan Book'!I32</f>
        <v/>
      </c>
      <c r="I29">
        <f>'Loan Book'!J32</f>
        <v/>
      </c>
      <c r="J29">
        <f>IF('Loan Book'!K32="","",IF('Loan Book'!K32&lt;1,'Loan Book'!K32*100,'Loan Book'!K32))</f>
        <v/>
      </c>
      <c r="K29" s="488">
        <f>'Loan Book'!L32</f>
        <v/>
      </c>
      <c r="L29" s="488">
        <f>'Loan Book'!M32</f>
        <v/>
      </c>
      <c r="M29" s="488">
        <f>'Loan Book'!N32</f>
        <v/>
      </c>
      <c r="N29" s="488">
        <f>'Loan Book'!O32</f>
        <v/>
      </c>
      <c r="O29" s="488">
        <f>'Loan Book'!P32</f>
        <v/>
      </c>
      <c r="P29" s="488">
        <f>'Loan Book'!Q32</f>
        <v/>
      </c>
      <c r="Q29" s="488">
        <f>'Loan Book'!R32</f>
        <v/>
      </c>
      <c r="R29" s="488">
        <f>'Loan Book'!S32</f>
        <v/>
      </c>
      <c r="S29" s="488">
        <f>'Loan Book'!T32</f>
        <v/>
      </c>
      <c r="T29" s="488">
        <f>'Loan Book'!U32</f>
        <v/>
      </c>
      <c r="U29">
        <f>'Loan Book'!AC32</f>
        <v/>
      </c>
      <c r="V29">
        <f>'Loan Book'!AE32</f>
        <v/>
      </c>
      <c r="W29">
        <f>IFERROR(INDEX('E-Banker master'!$B$2:$B$186,MATCH($A29,'E-Banker master'!$A$2:$A$186,0)),"")</f>
        <v/>
      </c>
      <c r="X29">
        <f>IFERROR(INDEX('E-Banker master'!$C$2:$C$186,MATCH($A29,'E-Banker master'!$A$2:$A$186,0)),"")</f>
        <v/>
      </c>
      <c r="Y29">
        <f>IFERROR(INDEX('E-Banker master'!$D$2:$D$186,MATCH($A29,'E-Banker master'!$A$2:$A$186,0)),"")</f>
        <v/>
      </c>
      <c r="Z29">
        <f>IFERROR(INDEX('E-Banker master'!$E$2:$E$186,MATCH($A29,'E-Banker master'!$A$2:$A$186,0)),"")</f>
        <v/>
      </c>
      <c r="AA29">
        <f>IFERROR(INDEX('E-Banker master'!$F$2:$F$186,MATCH($A29,'E-Banker master'!$A$2:$A$186,0)),"")</f>
        <v/>
      </c>
      <c r="AB29">
        <f>IFERROR(INDEX('E-Banker master'!$G$2:$G$186,MATCH($A29,'E-Banker master'!$A$2:$A$186,0)),"")</f>
        <v/>
      </c>
      <c r="AC29" s="488">
        <f>IFERROR(INDEX('E-Banker master'!$I$2:$I$186,MATCH($A29,'E-Banker master'!$A$2:$A$186,0)),"")</f>
        <v/>
      </c>
      <c r="AD29" s="487">
        <f>IFERROR(INDEX('E-Banker master'!$J$2:$J$186,MATCH($A29,'E-Banker master'!$A$2:$A$186,0)),"")</f>
        <v/>
      </c>
      <c r="AE29" s="487">
        <f>IFERROR(INDEX('E-Banker master'!$K$2:$K$186,MATCH($A29,'E-Banker master'!$A$2:$A$186,0)),"")</f>
        <v/>
      </c>
      <c r="AF29">
        <f>IFERROR(INDEX('E-Banker master'!$L$2:$L$186,MATCH($A29,'E-Banker master'!$A$2:$A$186,0)),"")</f>
        <v/>
      </c>
      <c r="AG29">
        <f>IFERROR(INDEX('E-Banker master'!$M$2:$M$186,MATCH($A29,'E-Banker master'!$A$2:$A$186,0)),"")</f>
        <v/>
      </c>
      <c r="AH29" s="488">
        <f>IFERROR(INDEX('E-Banker master'!$N$2:$N$186,MATCH($A29,'E-Banker master'!$A$2:$A$186,0)),"")</f>
        <v/>
      </c>
      <c r="AI29" s="488">
        <f>IFERROR(INDEX('E-Banker master'!$O$2:$O$186,MATCH($A29,'E-Banker master'!$A$2:$A$186,0)),"")</f>
        <v/>
      </c>
      <c r="AJ29" s="488">
        <f>IFERROR(INDEX('E-Banker master'!$P$2:$P$186,MATCH($A29,'E-Banker master'!$A$2:$A$186,0)),"")</f>
        <v/>
      </c>
      <c r="AK29" s="488">
        <f>IF(OR(Q29="",AJ29=""),"",Q29-AJ29)</f>
        <v/>
      </c>
      <c r="AL29" t="n">
        <v>26</v>
      </c>
      <c r="AM29">
        <f>HYPERLINK("#'Amortisation and Repayments'!C1584","block 26")</f>
        <v/>
      </c>
      <c r="AN29">
        <f>'Mapping'!X29</f>
        <v/>
      </c>
      <c r="AO29" s="558" t="n"/>
      <c r="AP29" s="558" t="n"/>
      <c r="AQ29" s="558" t="n"/>
      <c r="AR29" s="559" t="n"/>
      <c r="AS29" s="560" t="n"/>
      <c r="AT29" s="560" t="n"/>
      <c r="AU29" s="561">
        <f>IF(COUNT(AO29:AQ29)=0,"",SUM(AO29:AQ29))</f>
        <v/>
      </c>
    </row>
    <row r="30">
      <c r="A30">
        <f>'Mapping'!J30</f>
        <v/>
      </c>
      <c r="B30">
        <f>'Mapping'!K30</f>
        <v/>
      </c>
      <c r="C30" t="n">
        <v>33</v>
      </c>
      <c r="D30">
        <f>'Loan Book'!E33</f>
        <v/>
      </c>
      <c r="E30">
        <f>'Loan Book'!F33</f>
        <v/>
      </c>
      <c r="F30" s="487">
        <f>'Loan Book'!G33</f>
        <v/>
      </c>
      <c r="G30" s="487">
        <f>'Loan Book'!H33</f>
        <v/>
      </c>
      <c r="H30">
        <f>'Loan Book'!I33</f>
        <v/>
      </c>
      <c r="I30">
        <f>'Loan Book'!J33</f>
        <v/>
      </c>
      <c r="J30">
        <f>IF('Loan Book'!K33="","",IF('Loan Book'!K33&lt;1,'Loan Book'!K33*100,'Loan Book'!K33))</f>
        <v/>
      </c>
      <c r="K30" s="488">
        <f>'Loan Book'!L33</f>
        <v/>
      </c>
      <c r="L30" s="488">
        <f>'Loan Book'!M33</f>
        <v/>
      </c>
      <c r="M30" s="488">
        <f>'Loan Book'!N33</f>
        <v/>
      </c>
      <c r="N30" s="488">
        <f>'Loan Book'!O33</f>
        <v/>
      </c>
      <c r="O30" s="488">
        <f>'Loan Book'!P33</f>
        <v/>
      </c>
      <c r="P30" s="488">
        <f>'Loan Book'!Q33</f>
        <v/>
      </c>
      <c r="Q30" s="488">
        <f>'Loan Book'!R33</f>
        <v/>
      </c>
      <c r="R30" s="488">
        <f>'Loan Book'!S33</f>
        <v/>
      </c>
      <c r="S30" s="488">
        <f>'Loan Book'!T33</f>
        <v/>
      </c>
      <c r="T30" s="488">
        <f>'Loan Book'!U33</f>
        <v/>
      </c>
      <c r="U30">
        <f>'Loan Book'!AC33</f>
        <v/>
      </c>
      <c r="V30">
        <f>'Loan Book'!AE33</f>
        <v/>
      </c>
      <c r="W30">
        <f>IFERROR(INDEX('E-Banker master'!$B$2:$B$186,MATCH($A30,'E-Banker master'!$A$2:$A$186,0)),"")</f>
        <v/>
      </c>
      <c r="X30">
        <f>IFERROR(INDEX('E-Banker master'!$C$2:$C$186,MATCH($A30,'E-Banker master'!$A$2:$A$186,0)),"")</f>
        <v/>
      </c>
      <c r="Y30">
        <f>IFERROR(INDEX('E-Banker master'!$D$2:$D$186,MATCH($A30,'E-Banker master'!$A$2:$A$186,0)),"")</f>
        <v/>
      </c>
      <c r="Z30">
        <f>IFERROR(INDEX('E-Banker master'!$E$2:$E$186,MATCH($A30,'E-Banker master'!$A$2:$A$186,0)),"")</f>
        <v/>
      </c>
      <c r="AA30">
        <f>IFERROR(INDEX('E-Banker master'!$F$2:$F$186,MATCH($A30,'E-Banker master'!$A$2:$A$186,0)),"")</f>
        <v/>
      </c>
      <c r="AB30">
        <f>IFERROR(INDEX('E-Banker master'!$G$2:$G$186,MATCH($A30,'E-Banker master'!$A$2:$A$186,0)),"")</f>
        <v/>
      </c>
      <c r="AC30" s="488">
        <f>IFERROR(INDEX('E-Banker master'!$I$2:$I$186,MATCH($A30,'E-Banker master'!$A$2:$A$186,0)),"")</f>
        <v/>
      </c>
      <c r="AD30" s="487">
        <f>IFERROR(INDEX('E-Banker master'!$J$2:$J$186,MATCH($A30,'E-Banker master'!$A$2:$A$186,0)),"")</f>
        <v/>
      </c>
      <c r="AE30" s="487">
        <f>IFERROR(INDEX('E-Banker master'!$K$2:$K$186,MATCH($A30,'E-Banker master'!$A$2:$A$186,0)),"")</f>
        <v/>
      </c>
      <c r="AF30">
        <f>IFERROR(INDEX('E-Banker master'!$L$2:$L$186,MATCH($A30,'E-Banker master'!$A$2:$A$186,0)),"")</f>
        <v/>
      </c>
      <c r="AG30">
        <f>IFERROR(INDEX('E-Banker master'!$M$2:$M$186,MATCH($A30,'E-Banker master'!$A$2:$A$186,0)),"")</f>
        <v/>
      </c>
      <c r="AH30" s="488">
        <f>IFERROR(INDEX('E-Banker master'!$N$2:$N$186,MATCH($A30,'E-Banker master'!$A$2:$A$186,0)),"")</f>
        <v/>
      </c>
      <c r="AI30" s="488">
        <f>IFERROR(INDEX('E-Banker master'!$O$2:$O$186,MATCH($A30,'E-Banker master'!$A$2:$A$186,0)),"")</f>
        <v/>
      </c>
      <c r="AJ30" s="488">
        <f>IFERROR(INDEX('E-Banker master'!$P$2:$P$186,MATCH($A30,'E-Banker master'!$A$2:$A$186,0)),"")</f>
        <v/>
      </c>
      <c r="AK30" s="488">
        <f>IF(OR(Q30="",AJ30=""),"",Q30-AJ30)</f>
        <v/>
      </c>
      <c r="AL30" t="n">
        <v>27</v>
      </c>
      <c r="AM30">
        <f>HYPERLINK("#'Amortisation and Repayments'!C1624","block 27")</f>
        <v/>
      </c>
      <c r="AN30">
        <f>'Mapping'!X30</f>
        <v/>
      </c>
      <c r="AO30" s="558" t="n"/>
      <c r="AP30" s="558" t="n"/>
      <c r="AQ30" s="558" t="n"/>
      <c r="AR30" s="559" t="n"/>
      <c r="AS30" s="560" t="n"/>
      <c r="AT30" s="560" t="n"/>
      <c r="AU30" s="561">
        <f>IF(COUNT(AO30:AQ30)=0,"",SUM(AO30:AQ30))</f>
        <v/>
      </c>
    </row>
    <row r="31">
      <c r="A31">
        <f>'Mapping'!J31</f>
        <v/>
      </c>
      <c r="B31">
        <f>'Mapping'!K31</f>
        <v/>
      </c>
      <c r="C31" t="n">
        <v>34</v>
      </c>
      <c r="D31">
        <f>'Loan Book'!E34</f>
        <v/>
      </c>
      <c r="E31">
        <f>'Loan Book'!F34</f>
        <v/>
      </c>
      <c r="F31" s="487">
        <f>'Loan Book'!G34</f>
        <v/>
      </c>
      <c r="G31" s="487">
        <f>'Loan Book'!H34</f>
        <v/>
      </c>
      <c r="H31">
        <f>'Loan Book'!I34</f>
        <v/>
      </c>
      <c r="I31">
        <f>'Loan Book'!J34</f>
        <v/>
      </c>
      <c r="J31">
        <f>IF('Loan Book'!K34="","",IF('Loan Book'!K34&lt;1,'Loan Book'!K34*100,'Loan Book'!K34))</f>
        <v/>
      </c>
      <c r="K31" s="488">
        <f>'Loan Book'!L34</f>
        <v/>
      </c>
      <c r="L31" s="488">
        <f>'Loan Book'!M34</f>
        <v/>
      </c>
      <c r="M31" s="488">
        <f>'Loan Book'!N34</f>
        <v/>
      </c>
      <c r="N31" s="488">
        <f>'Loan Book'!O34</f>
        <v/>
      </c>
      <c r="O31" s="488">
        <f>'Loan Book'!P34</f>
        <v/>
      </c>
      <c r="P31" s="488">
        <f>'Loan Book'!Q34</f>
        <v/>
      </c>
      <c r="Q31" s="488">
        <f>'Loan Book'!R34</f>
        <v/>
      </c>
      <c r="R31" s="488">
        <f>'Loan Book'!S34</f>
        <v/>
      </c>
      <c r="S31" s="488">
        <f>'Loan Book'!T34</f>
        <v/>
      </c>
      <c r="T31" s="488">
        <f>'Loan Book'!U34</f>
        <v/>
      </c>
      <c r="U31">
        <f>'Loan Book'!AC34</f>
        <v/>
      </c>
      <c r="V31">
        <f>'Loan Book'!AE34</f>
        <v/>
      </c>
      <c r="W31">
        <f>IFERROR(INDEX('E-Banker master'!$B$2:$B$186,MATCH($A31,'E-Banker master'!$A$2:$A$186,0)),"")</f>
        <v/>
      </c>
      <c r="X31">
        <f>IFERROR(INDEX('E-Banker master'!$C$2:$C$186,MATCH($A31,'E-Banker master'!$A$2:$A$186,0)),"")</f>
        <v/>
      </c>
      <c r="Y31">
        <f>IFERROR(INDEX('E-Banker master'!$D$2:$D$186,MATCH($A31,'E-Banker master'!$A$2:$A$186,0)),"")</f>
        <v/>
      </c>
      <c r="Z31">
        <f>IFERROR(INDEX('E-Banker master'!$E$2:$E$186,MATCH($A31,'E-Banker master'!$A$2:$A$186,0)),"")</f>
        <v/>
      </c>
      <c r="AA31">
        <f>IFERROR(INDEX('E-Banker master'!$F$2:$F$186,MATCH($A31,'E-Banker master'!$A$2:$A$186,0)),"")</f>
        <v/>
      </c>
      <c r="AB31">
        <f>IFERROR(INDEX('E-Banker master'!$G$2:$G$186,MATCH($A31,'E-Banker master'!$A$2:$A$186,0)),"")</f>
        <v/>
      </c>
      <c r="AC31" s="488">
        <f>IFERROR(INDEX('E-Banker master'!$I$2:$I$186,MATCH($A31,'E-Banker master'!$A$2:$A$186,0)),"")</f>
        <v/>
      </c>
      <c r="AD31" s="487">
        <f>IFERROR(INDEX('E-Banker master'!$J$2:$J$186,MATCH($A31,'E-Banker master'!$A$2:$A$186,0)),"")</f>
        <v/>
      </c>
      <c r="AE31" s="487">
        <f>IFERROR(INDEX('E-Banker master'!$K$2:$K$186,MATCH($A31,'E-Banker master'!$A$2:$A$186,0)),"")</f>
        <v/>
      </c>
      <c r="AF31">
        <f>IFERROR(INDEX('E-Banker master'!$L$2:$L$186,MATCH($A31,'E-Banker master'!$A$2:$A$186,0)),"")</f>
        <v/>
      </c>
      <c r="AG31">
        <f>IFERROR(INDEX('E-Banker master'!$M$2:$M$186,MATCH($A31,'E-Banker master'!$A$2:$A$186,0)),"")</f>
        <v/>
      </c>
      <c r="AH31" s="488">
        <f>IFERROR(INDEX('E-Banker master'!$N$2:$N$186,MATCH($A31,'E-Banker master'!$A$2:$A$186,0)),"")</f>
        <v/>
      </c>
      <c r="AI31" s="488">
        <f>IFERROR(INDEX('E-Banker master'!$O$2:$O$186,MATCH($A31,'E-Banker master'!$A$2:$A$186,0)),"")</f>
        <v/>
      </c>
      <c r="AJ31" s="488">
        <f>IFERROR(INDEX('E-Banker master'!$P$2:$P$186,MATCH($A31,'E-Banker master'!$A$2:$A$186,0)),"")</f>
        <v/>
      </c>
      <c r="AK31" s="488">
        <f>IF(OR(Q31="",AJ31=""),"",Q31-AJ31)</f>
        <v/>
      </c>
      <c r="AL31" t="n">
        <v>28</v>
      </c>
      <c r="AM31">
        <f>HYPERLINK("#'Amortisation and Repayments'!C1664","block 28")</f>
        <v/>
      </c>
      <c r="AN31">
        <f>'Mapping'!X31</f>
        <v/>
      </c>
      <c r="AO31" s="558" t="n"/>
      <c r="AP31" s="558" t="n"/>
      <c r="AQ31" s="558" t="n"/>
      <c r="AR31" s="559" t="n"/>
      <c r="AS31" s="560" t="n"/>
      <c r="AT31" s="560" t="n"/>
      <c r="AU31" s="561">
        <f>IF(COUNT(AO31:AQ31)=0,"",SUM(AO31:AQ31))</f>
        <v/>
      </c>
    </row>
    <row r="32">
      <c r="A32">
        <f>'Mapping'!J32</f>
        <v/>
      </c>
      <c r="B32">
        <f>'Mapping'!K32</f>
        <v/>
      </c>
      <c r="C32" t="n">
        <v>35</v>
      </c>
      <c r="D32">
        <f>'Loan Book'!E35</f>
        <v/>
      </c>
      <c r="E32">
        <f>'Loan Book'!F35</f>
        <v/>
      </c>
      <c r="F32" s="487">
        <f>'Loan Book'!G35</f>
        <v/>
      </c>
      <c r="G32" s="487">
        <f>'Loan Book'!H35</f>
        <v/>
      </c>
      <c r="H32">
        <f>'Loan Book'!I35</f>
        <v/>
      </c>
      <c r="I32">
        <f>'Loan Book'!J35</f>
        <v/>
      </c>
      <c r="J32">
        <f>IF('Loan Book'!K35="","",IF('Loan Book'!K35&lt;1,'Loan Book'!K35*100,'Loan Book'!K35))</f>
        <v/>
      </c>
      <c r="K32" s="488">
        <f>'Loan Book'!L35</f>
        <v/>
      </c>
      <c r="L32" s="488">
        <f>'Loan Book'!M35</f>
        <v/>
      </c>
      <c r="M32" s="488">
        <f>'Loan Book'!N35</f>
        <v/>
      </c>
      <c r="N32" s="488">
        <f>'Loan Book'!O35</f>
        <v/>
      </c>
      <c r="O32" s="488">
        <f>'Loan Book'!P35</f>
        <v/>
      </c>
      <c r="P32" s="488">
        <f>'Loan Book'!Q35</f>
        <v/>
      </c>
      <c r="Q32" s="488">
        <f>'Loan Book'!R35</f>
        <v/>
      </c>
      <c r="R32" s="488">
        <f>'Loan Book'!S35</f>
        <v/>
      </c>
      <c r="S32" s="488">
        <f>'Loan Book'!T35</f>
        <v/>
      </c>
      <c r="T32" s="488">
        <f>'Loan Book'!U35</f>
        <v/>
      </c>
      <c r="U32">
        <f>'Loan Book'!AC35</f>
        <v/>
      </c>
      <c r="V32">
        <f>'Loan Book'!AE35</f>
        <v/>
      </c>
      <c r="W32">
        <f>IFERROR(INDEX('E-Banker master'!$B$2:$B$186,MATCH($A32,'E-Banker master'!$A$2:$A$186,0)),"")</f>
        <v/>
      </c>
      <c r="X32">
        <f>IFERROR(INDEX('E-Banker master'!$C$2:$C$186,MATCH($A32,'E-Banker master'!$A$2:$A$186,0)),"")</f>
        <v/>
      </c>
      <c r="Y32">
        <f>IFERROR(INDEX('E-Banker master'!$D$2:$D$186,MATCH($A32,'E-Banker master'!$A$2:$A$186,0)),"")</f>
        <v/>
      </c>
      <c r="Z32">
        <f>IFERROR(INDEX('E-Banker master'!$E$2:$E$186,MATCH($A32,'E-Banker master'!$A$2:$A$186,0)),"")</f>
        <v/>
      </c>
      <c r="AA32">
        <f>IFERROR(INDEX('E-Banker master'!$F$2:$F$186,MATCH($A32,'E-Banker master'!$A$2:$A$186,0)),"")</f>
        <v/>
      </c>
      <c r="AB32">
        <f>IFERROR(INDEX('E-Banker master'!$G$2:$G$186,MATCH($A32,'E-Banker master'!$A$2:$A$186,0)),"")</f>
        <v/>
      </c>
      <c r="AC32" s="488">
        <f>IFERROR(INDEX('E-Banker master'!$I$2:$I$186,MATCH($A32,'E-Banker master'!$A$2:$A$186,0)),"")</f>
        <v/>
      </c>
      <c r="AD32" s="487">
        <f>IFERROR(INDEX('E-Banker master'!$J$2:$J$186,MATCH($A32,'E-Banker master'!$A$2:$A$186,0)),"")</f>
        <v/>
      </c>
      <c r="AE32" s="487">
        <f>IFERROR(INDEX('E-Banker master'!$K$2:$K$186,MATCH($A32,'E-Banker master'!$A$2:$A$186,0)),"")</f>
        <v/>
      </c>
      <c r="AF32">
        <f>IFERROR(INDEX('E-Banker master'!$L$2:$L$186,MATCH($A32,'E-Banker master'!$A$2:$A$186,0)),"")</f>
        <v/>
      </c>
      <c r="AG32">
        <f>IFERROR(INDEX('E-Banker master'!$M$2:$M$186,MATCH($A32,'E-Banker master'!$A$2:$A$186,0)),"")</f>
        <v/>
      </c>
      <c r="AH32" s="488">
        <f>IFERROR(INDEX('E-Banker master'!$N$2:$N$186,MATCH($A32,'E-Banker master'!$A$2:$A$186,0)),"")</f>
        <v/>
      </c>
      <c r="AI32" s="488">
        <f>IFERROR(INDEX('E-Banker master'!$O$2:$O$186,MATCH($A32,'E-Banker master'!$A$2:$A$186,0)),"")</f>
        <v/>
      </c>
      <c r="AJ32" s="488">
        <f>IFERROR(INDEX('E-Banker master'!$P$2:$P$186,MATCH($A32,'E-Banker master'!$A$2:$A$186,0)),"")</f>
        <v/>
      </c>
      <c r="AK32" s="488">
        <f>IF(OR(Q32="",AJ32=""),"",Q32-AJ32)</f>
        <v/>
      </c>
      <c r="AL32" t="n">
        <v>29</v>
      </c>
      <c r="AM32">
        <f>HYPERLINK("#'Amortisation and Repayments'!C1705","block 29")</f>
        <v/>
      </c>
      <c r="AN32">
        <f>'Mapping'!X32</f>
        <v/>
      </c>
      <c r="AO32" s="558" t="n"/>
      <c r="AP32" s="558" t="n"/>
      <c r="AQ32" s="558" t="n"/>
      <c r="AR32" s="559" t="n"/>
      <c r="AS32" s="560" t="n"/>
      <c r="AT32" s="560" t="n"/>
      <c r="AU32" s="561">
        <f>IF(COUNT(AO32:AQ32)=0,"",SUM(AO32:AQ32))</f>
        <v/>
      </c>
    </row>
    <row r="33">
      <c r="A33">
        <f>'Mapping'!J33</f>
        <v/>
      </c>
      <c r="B33">
        <f>'Mapping'!K33</f>
        <v/>
      </c>
      <c r="C33" t="n">
        <v>36</v>
      </c>
      <c r="D33">
        <f>'Loan Book'!E36</f>
        <v/>
      </c>
      <c r="E33">
        <f>'Loan Book'!F36</f>
        <v/>
      </c>
      <c r="F33" s="487">
        <f>'Loan Book'!G36</f>
        <v/>
      </c>
      <c r="G33" s="487">
        <f>'Loan Book'!H36</f>
        <v/>
      </c>
      <c r="H33">
        <f>'Loan Book'!I36</f>
        <v/>
      </c>
      <c r="I33">
        <f>'Loan Book'!J36</f>
        <v/>
      </c>
      <c r="J33">
        <f>IF('Loan Book'!K36="","",IF('Loan Book'!K36&lt;1,'Loan Book'!K36*100,'Loan Book'!K36))</f>
        <v/>
      </c>
      <c r="K33" s="488">
        <f>'Loan Book'!L36</f>
        <v/>
      </c>
      <c r="L33" s="488">
        <f>'Loan Book'!M36</f>
        <v/>
      </c>
      <c r="M33" s="488">
        <f>'Loan Book'!N36</f>
        <v/>
      </c>
      <c r="N33" s="488">
        <f>'Loan Book'!O36</f>
        <v/>
      </c>
      <c r="O33" s="488">
        <f>'Loan Book'!P36</f>
        <v/>
      </c>
      <c r="P33" s="488">
        <f>'Loan Book'!Q36</f>
        <v/>
      </c>
      <c r="Q33" s="488">
        <f>'Loan Book'!R36</f>
        <v/>
      </c>
      <c r="R33" s="488">
        <f>'Loan Book'!S36</f>
        <v/>
      </c>
      <c r="S33" s="488">
        <f>'Loan Book'!T36</f>
        <v/>
      </c>
      <c r="T33" s="488">
        <f>'Loan Book'!U36</f>
        <v/>
      </c>
      <c r="U33">
        <f>'Loan Book'!AC36</f>
        <v/>
      </c>
      <c r="V33">
        <f>'Loan Book'!AE36</f>
        <v/>
      </c>
      <c r="W33">
        <f>IFERROR(INDEX('E-Banker master'!$B$2:$B$186,MATCH($A33,'E-Banker master'!$A$2:$A$186,0)),"")</f>
        <v/>
      </c>
      <c r="X33">
        <f>IFERROR(INDEX('E-Banker master'!$C$2:$C$186,MATCH($A33,'E-Banker master'!$A$2:$A$186,0)),"")</f>
        <v/>
      </c>
      <c r="Y33">
        <f>IFERROR(INDEX('E-Banker master'!$D$2:$D$186,MATCH($A33,'E-Banker master'!$A$2:$A$186,0)),"")</f>
        <v/>
      </c>
      <c r="Z33">
        <f>IFERROR(INDEX('E-Banker master'!$E$2:$E$186,MATCH($A33,'E-Banker master'!$A$2:$A$186,0)),"")</f>
        <v/>
      </c>
      <c r="AA33">
        <f>IFERROR(INDEX('E-Banker master'!$F$2:$F$186,MATCH($A33,'E-Banker master'!$A$2:$A$186,0)),"")</f>
        <v/>
      </c>
      <c r="AB33">
        <f>IFERROR(INDEX('E-Banker master'!$G$2:$G$186,MATCH($A33,'E-Banker master'!$A$2:$A$186,0)),"")</f>
        <v/>
      </c>
      <c r="AC33" s="488">
        <f>IFERROR(INDEX('E-Banker master'!$I$2:$I$186,MATCH($A33,'E-Banker master'!$A$2:$A$186,0)),"")</f>
        <v/>
      </c>
      <c r="AD33" s="487">
        <f>IFERROR(INDEX('E-Banker master'!$J$2:$J$186,MATCH($A33,'E-Banker master'!$A$2:$A$186,0)),"")</f>
        <v/>
      </c>
      <c r="AE33" s="487">
        <f>IFERROR(INDEX('E-Banker master'!$K$2:$K$186,MATCH($A33,'E-Banker master'!$A$2:$A$186,0)),"")</f>
        <v/>
      </c>
      <c r="AF33">
        <f>IFERROR(INDEX('E-Banker master'!$L$2:$L$186,MATCH($A33,'E-Banker master'!$A$2:$A$186,0)),"")</f>
        <v/>
      </c>
      <c r="AG33">
        <f>IFERROR(INDEX('E-Banker master'!$M$2:$M$186,MATCH($A33,'E-Banker master'!$A$2:$A$186,0)),"")</f>
        <v/>
      </c>
      <c r="AH33" s="488">
        <f>IFERROR(INDEX('E-Banker master'!$N$2:$N$186,MATCH($A33,'E-Banker master'!$A$2:$A$186,0)),"")</f>
        <v/>
      </c>
      <c r="AI33" s="488">
        <f>IFERROR(INDEX('E-Banker master'!$O$2:$O$186,MATCH($A33,'E-Banker master'!$A$2:$A$186,0)),"")</f>
        <v/>
      </c>
      <c r="AJ33" s="488">
        <f>IFERROR(INDEX('E-Banker master'!$P$2:$P$186,MATCH($A33,'E-Banker master'!$A$2:$A$186,0)),"")</f>
        <v/>
      </c>
      <c r="AK33" s="488">
        <f>IF(OR(Q33="",AJ33=""),"",Q33-AJ33)</f>
        <v/>
      </c>
      <c r="AL33" t="n">
        <v>30</v>
      </c>
      <c r="AM33">
        <f>HYPERLINK("#'Amortisation and Repayments'!C1749","block 30")</f>
        <v/>
      </c>
      <c r="AN33">
        <f>'Mapping'!X33</f>
        <v/>
      </c>
      <c r="AO33" s="558" t="n"/>
      <c r="AP33" s="558" t="n"/>
      <c r="AQ33" s="558" t="n"/>
      <c r="AR33" s="559" t="n"/>
      <c r="AS33" s="560" t="n"/>
      <c r="AT33" s="560" t="n"/>
      <c r="AU33" s="561">
        <f>IF(COUNT(AO33:AQ33)=0,"",SUM(AO33:AQ33))</f>
        <v/>
      </c>
    </row>
    <row r="34">
      <c r="A34">
        <f>'Mapping'!J34</f>
        <v/>
      </c>
      <c r="B34">
        <f>'Mapping'!K34</f>
        <v/>
      </c>
      <c r="C34" t="n">
        <v>37</v>
      </c>
      <c r="D34">
        <f>'Loan Book'!E37</f>
        <v/>
      </c>
      <c r="E34">
        <f>'Loan Book'!F37</f>
        <v/>
      </c>
      <c r="F34" s="487">
        <f>'Loan Book'!G37</f>
        <v/>
      </c>
      <c r="G34" s="487">
        <f>'Loan Book'!H37</f>
        <v/>
      </c>
      <c r="H34">
        <f>'Loan Book'!I37</f>
        <v/>
      </c>
      <c r="I34">
        <f>'Loan Book'!J37</f>
        <v/>
      </c>
      <c r="J34">
        <f>IF('Loan Book'!K37="","",IF('Loan Book'!K37&lt;1,'Loan Book'!K37*100,'Loan Book'!K37))</f>
        <v/>
      </c>
      <c r="K34" s="488">
        <f>'Loan Book'!L37</f>
        <v/>
      </c>
      <c r="L34" s="488">
        <f>'Loan Book'!M37</f>
        <v/>
      </c>
      <c r="M34" s="488">
        <f>'Loan Book'!N37</f>
        <v/>
      </c>
      <c r="N34" s="488">
        <f>'Loan Book'!O37</f>
        <v/>
      </c>
      <c r="O34" s="488">
        <f>'Loan Book'!P37</f>
        <v/>
      </c>
      <c r="P34" s="488">
        <f>'Loan Book'!Q37</f>
        <v/>
      </c>
      <c r="Q34" s="488">
        <f>'Loan Book'!R37</f>
        <v/>
      </c>
      <c r="R34" s="488">
        <f>'Loan Book'!S37</f>
        <v/>
      </c>
      <c r="S34" s="488">
        <f>'Loan Book'!T37</f>
        <v/>
      </c>
      <c r="T34" s="488">
        <f>'Loan Book'!U37</f>
        <v/>
      </c>
      <c r="U34">
        <f>'Loan Book'!AC37</f>
        <v/>
      </c>
      <c r="V34">
        <f>'Loan Book'!AE37</f>
        <v/>
      </c>
      <c r="W34">
        <f>IFERROR(INDEX('E-Banker master'!$B$2:$B$186,MATCH($A34,'E-Banker master'!$A$2:$A$186,0)),"")</f>
        <v/>
      </c>
      <c r="X34">
        <f>IFERROR(INDEX('E-Banker master'!$C$2:$C$186,MATCH($A34,'E-Banker master'!$A$2:$A$186,0)),"")</f>
        <v/>
      </c>
      <c r="Y34">
        <f>IFERROR(INDEX('E-Banker master'!$D$2:$D$186,MATCH($A34,'E-Banker master'!$A$2:$A$186,0)),"")</f>
        <v/>
      </c>
      <c r="Z34">
        <f>IFERROR(INDEX('E-Banker master'!$E$2:$E$186,MATCH($A34,'E-Banker master'!$A$2:$A$186,0)),"")</f>
        <v/>
      </c>
      <c r="AA34">
        <f>IFERROR(INDEX('E-Banker master'!$F$2:$F$186,MATCH($A34,'E-Banker master'!$A$2:$A$186,0)),"")</f>
        <v/>
      </c>
      <c r="AB34">
        <f>IFERROR(INDEX('E-Banker master'!$G$2:$G$186,MATCH($A34,'E-Banker master'!$A$2:$A$186,0)),"")</f>
        <v/>
      </c>
      <c r="AC34" s="488">
        <f>IFERROR(INDEX('E-Banker master'!$I$2:$I$186,MATCH($A34,'E-Banker master'!$A$2:$A$186,0)),"")</f>
        <v/>
      </c>
      <c r="AD34" s="487">
        <f>IFERROR(INDEX('E-Banker master'!$J$2:$J$186,MATCH($A34,'E-Banker master'!$A$2:$A$186,0)),"")</f>
        <v/>
      </c>
      <c r="AE34" s="487">
        <f>IFERROR(INDEX('E-Banker master'!$K$2:$K$186,MATCH($A34,'E-Banker master'!$A$2:$A$186,0)),"")</f>
        <v/>
      </c>
      <c r="AF34">
        <f>IFERROR(INDEX('E-Banker master'!$L$2:$L$186,MATCH($A34,'E-Banker master'!$A$2:$A$186,0)),"")</f>
        <v/>
      </c>
      <c r="AG34">
        <f>IFERROR(INDEX('E-Banker master'!$M$2:$M$186,MATCH($A34,'E-Banker master'!$A$2:$A$186,0)),"")</f>
        <v/>
      </c>
      <c r="AH34" s="488">
        <f>IFERROR(INDEX('E-Banker master'!$N$2:$N$186,MATCH($A34,'E-Banker master'!$A$2:$A$186,0)),"")</f>
        <v/>
      </c>
      <c r="AI34" s="488">
        <f>IFERROR(INDEX('E-Banker master'!$O$2:$O$186,MATCH($A34,'E-Banker master'!$A$2:$A$186,0)),"")</f>
        <v/>
      </c>
      <c r="AJ34" s="488">
        <f>IFERROR(INDEX('E-Banker master'!$P$2:$P$186,MATCH($A34,'E-Banker master'!$A$2:$A$186,0)),"")</f>
        <v/>
      </c>
      <c r="AK34" s="488">
        <f>IF(OR(Q34="",AJ34=""),"",Q34-AJ34)</f>
        <v/>
      </c>
      <c r="AL34" t="n">
        <v>31</v>
      </c>
      <c r="AM34">
        <f>HYPERLINK("#'Amortisation and Repayments'!C1790","block 31")</f>
        <v/>
      </c>
      <c r="AN34">
        <f>'Mapping'!X34</f>
        <v/>
      </c>
      <c r="AO34" s="558" t="n"/>
      <c r="AP34" s="558" t="n"/>
      <c r="AQ34" s="558" t="n"/>
      <c r="AR34" s="559" t="n"/>
      <c r="AS34" s="560" t="n"/>
      <c r="AT34" s="560" t="n"/>
      <c r="AU34" s="561">
        <f>IF(COUNT(AO34:AQ34)=0,"",SUM(AO34:AQ34))</f>
        <v/>
      </c>
    </row>
    <row r="35">
      <c r="A35">
        <f>'Mapping'!J35</f>
        <v/>
      </c>
      <c r="B35">
        <f>'Mapping'!K35</f>
        <v/>
      </c>
      <c r="C35" t="n">
        <v>38</v>
      </c>
      <c r="D35">
        <f>'Loan Book'!E38</f>
        <v/>
      </c>
      <c r="E35">
        <f>'Loan Book'!F38</f>
        <v/>
      </c>
      <c r="F35" s="487">
        <f>'Loan Book'!G38</f>
        <v/>
      </c>
      <c r="G35" s="487">
        <f>'Loan Book'!H38</f>
        <v/>
      </c>
      <c r="H35">
        <f>'Loan Book'!I38</f>
        <v/>
      </c>
      <c r="I35">
        <f>'Loan Book'!J38</f>
        <v/>
      </c>
      <c r="J35">
        <f>IF('Loan Book'!K38="","",IF('Loan Book'!K38&lt;1,'Loan Book'!K38*100,'Loan Book'!K38))</f>
        <v/>
      </c>
      <c r="K35" s="488">
        <f>'Loan Book'!L38</f>
        <v/>
      </c>
      <c r="L35" s="488">
        <f>'Loan Book'!M38</f>
        <v/>
      </c>
      <c r="M35" s="488">
        <f>'Loan Book'!N38</f>
        <v/>
      </c>
      <c r="N35" s="488">
        <f>'Loan Book'!O38</f>
        <v/>
      </c>
      <c r="O35" s="488">
        <f>'Loan Book'!P38</f>
        <v/>
      </c>
      <c r="P35" s="488">
        <f>'Loan Book'!Q38</f>
        <v/>
      </c>
      <c r="Q35" s="488">
        <f>'Loan Book'!R38</f>
        <v/>
      </c>
      <c r="R35" s="488">
        <f>'Loan Book'!S38</f>
        <v/>
      </c>
      <c r="S35" s="488">
        <f>'Loan Book'!T38</f>
        <v/>
      </c>
      <c r="T35" s="488">
        <f>'Loan Book'!U38</f>
        <v/>
      </c>
      <c r="U35">
        <f>'Loan Book'!AC38</f>
        <v/>
      </c>
      <c r="V35">
        <f>'Loan Book'!AE38</f>
        <v/>
      </c>
      <c r="W35">
        <f>IFERROR(INDEX('E-Banker master'!$B$2:$B$186,MATCH($A35,'E-Banker master'!$A$2:$A$186,0)),"")</f>
        <v/>
      </c>
      <c r="X35">
        <f>IFERROR(INDEX('E-Banker master'!$C$2:$C$186,MATCH($A35,'E-Banker master'!$A$2:$A$186,0)),"")</f>
        <v/>
      </c>
      <c r="Y35">
        <f>IFERROR(INDEX('E-Banker master'!$D$2:$D$186,MATCH($A35,'E-Banker master'!$A$2:$A$186,0)),"")</f>
        <v/>
      </c>
      <c r="Z35">
        <f>IFERROR(INDEX('E-Banker master'!$E$2:$E$186,MATCH($A35,'E-Banker master'!$A$2:$A$186,0)),"")</f>
        <v/>
      </c>
      <c r="AA35">
        <f>IFERROR(INDEX('E-Banker master'!$F$2:$F$186,MATCH($A35,'E-Banker master'!$A$2:$A$186,0)),"")</f>
        <v/>
      </c>
      <c r="AB35">
        <f>IFERROR(INDEX('E-Banker master'!$G$2:$G$186,MATCH($A35,'E-Banker master'!$A$2:$A$186,0)),"")</f>
        <v/>
      </c>
      <c r="AC35" s="488">
        <f>IFERROR(INDEX('E-Banker master'!$I$2:$I$186,MATCH($A35,'E-Banker master'!$A$2:$A$186,0)),"")</f>
        <v/>
      </c>
      <c r="AD35" s="487">
        <f>IFERROR(INDEX('E-Banker master'!$J$2:$J$186,MATCH($A35,'E-Banker master'!$A$2:$A$186,0)),"")</f>
        <v/>
      </c>
      <c r="AE35" s="487">
        <f>IFERROR(INDEX('E-Banker master'!$K$2:$K$186,MATCH($A35,'E-Banker master'!$A$2:$A$186,0)),"")</f>
        <v/>
      </c>
      <c r="AF35">
        <f>IFERROR(INDEX('E-Banker master'!$L$2:$L$186,MATCH($A35,'E-Banker master'!$A$2:$A$186,0)),"")</f>
        <v/>
      </c>
      <c r="AG35">
        <f>IFERROR(INDEX('E-Banker master'!$M$2:$M$186,MATCH($A35,'E-Banker master'!$A$2:$A$186,0)),"")</f>
        <v/>
      </c>
      <c r="AH35" s="488">
        <f>IFERROR(INDEX('E-Banker master'!$N$2:$N$186,MATCH($A35,'E-Banker master'!$A$2:$A$186,0)),"")</f>
        <v/>
      </c>
      <c r="AI35" s="488">
        <f>IFERROR(INDEX('E-Banker master'!$O$2:$O$186,MATCH($A35,'E-Banker master'!$A$2:$A$186,0)),"")</f>
        <v/>
      </c>
      <c r="AJ35" s="488">
        <f>IFERROR(INDEX('E-Banker master'!$P$2:$P$186,MATCH($A35,'E-Banker master'!$A$2:$A$186,0)),"")</f>
        <v/>
      </c>
      <c r="AK35" s="488">
        <f>IF(OR(Q35="",AJ35=""),"",Q35-AJ35)</f>
        <v/>
      </c>
      <c r="AN35">
        <f>'Mapping'!X35</f>
        <v/>
      </c>
      <c r="AO35" s="558" t="n"/>
      <c r="AP35" s="558" t="n"/>
      <c r="AQ35" s="558" t="n"/>
      <c r="AR35" s="559" t="n"/>
      <c r="AS35" s="560" t="n"/>
      <c r="AT35" s="560" t="n"/>
      <c r="AU35" s="561">
        <f>IF(COUNT(AO35:AQ35)=0,"",SUM(AO35:AQ35))</f>
        <v/>
      </c>
    </row>
    <row r="36">
      <c r="A36">
        <f>'Mapping'!J36</f>
        <v/>
      </c>
      <c r="B36">
        <f>'Mapping'!K36</f>
        <v/>
      </c>
      <c r="C36" t="n">
        <v>39</v>
      </c>
      <c r="D36">
        <f>'Loan Book'!E39</f>
        <v/>
      </c>
      <c r="E36">
        <f>'Loan Book'!F39</f>
        <v/>
      </c>
      <c r="F36" s="487">
        <f>'Loan Book'!G39</f>
        <v/>
      </c>
      <c r="G36" s="487">
        <f>'Loan Book'!H39</f>
        <v/>
      </c>
      <c r="H36">
        <f>'Loan Book'!I39</f>
        <v/>
      </c>
      <c r="I36">
        <f>'Loan Book'!J39</f>
        <v/>
      </c>
      <c r="J36">
        <f>IF('Loan Book'!K39="","",IF('Loan Book'!K39&lt;1,'Loan Book'!K39*100,'Loan Book'!K39))</f>
        <v/>
      </c>
      <c r="K36" s="488">
        <f>'Loan Book'!L39</f>
        <v/>
      </c>
      <c r="L36" s="488">
        <f>'Loan Book'!M39</f>
        <v/>
      </c>
      <c r="M36" s="488">
        <f>'Loan Book'!N39</f>
        <v/>
      </c>
      <c r="N36" s="488">
        <f>'Loan Book'!O39</f>
        <v/>
      </c>
      <c r="O36" s="488">
        <f>'Loan Book'!P39</f>
        <v/>
      </c>
      <c r="P36" s="488">
        <f>'Loan Book'!Q39</f>
        <v/>
      </c>
      <c r="Q36" s="488">
        <f>'Loan Book'!R39</f>
        <v/>
      </c>
      <c r="R36" s="488">
        <f>'Loan Book'!S39</f>
        <v/>
      </c>
      <c r="S36" s="488">
        <f>'Loan Book'!T39</f>
        <v/>
      </c>
      <c r="T36" s="488">
        <f>'Loan Book'!U39</f>
        <v/>
      </c>
      <c r="U36">
        <f>'Loan Book'!AC39</f>
        <v/>
      </c>
      <c r="V36">
        <f>'Loan Book'!AE39</f>
        <v/>
      </c>
      <c r="W36">
        <f>IFERROR(INDEX('E-Banker master'!$B$2:$B$186,MATCH($A36,'E-Banker master'!$A$2:$A$186,0)),"")</f>
        <v/>
      </c>
      <c r="X36">
        <f>IFERROR(INDEX('E-Banker master'!$C$2:$C$186,MATCH($A36,'E-Banker master'!$A$2:$A$186,0)),"")</f>
        <v/>
      </c>
      <c r="Y36">
        <f>IFERROR(INDEX('E-Banker master'!$D$2:$D$186,MATCH($A36,'E-Banker master'!$A$2:$A$186,0)),"")</f>
        <v/>
      </c>
      <c r="Z36">
        <f>IFERROR(INDEX('E-Banker master'!$E$2:$E$186,MATCH($A36,'E-Banker master'!$A$2:$A$186,0)),"")</f>
        <v/>
      </c>
      <c r="AA36">
        <f>IFERROR(INDEX('E-Banker master'!$F$2:$F$186,MATCH($A36,'E-Banker master'!$A$2:$A$186,0)),"")</f>
        <v/>
      </c>
      <c r="AB36">
        <f>IFERROR(INDEX('E-Banker master'!$G$2:$G$186,MATCH($A36,'E-Banker master'!$A$2:$A$186,0)),"")</f>
        <v/>
      </c>
      <c r="AC36" s="488">
        <f>IFERROR(INDEX('E-Banker master'!$I$2:$I$186,MATCH($A36,'E-Banker master'!$A$2:$A$186,0)),"")</f>
        <v/>
      </c>
      <c r="AD36" s="487">
        <f>IFERROR(INDEX('E-Banker master'!$J$2:$J$186,MATCH($A36,'E-Banker master'!$A$2:$A$186,0)),"")</f>
        <v/>
      </c>
      <c r="AE36" s="487">
        <f>IFERROR(INDEX('E-Banker master'!$K$2:$K$186,MATCH($A36,'E-Banker master'!$A$2:$A$186,0)),"")</f>
        <v/>
      </c>
      <c r="AF36">
        <f>IFERROR(INDEX('E-Banker master'!$L$2:$L$186,MATCH($A36,'E-Banker master'!$A$2:$A$186,0)),"")</f>
        <v/>
      </c>
      <c r="AG36">
        <f>IFERROR(INDEX('E-Banker master'!$M$2:$M$186,MATCH($A36,'E-Banker master'!$A$2:$A$186,0)),"")</f>
        <v/>
      </c>
      <c r="AH36" s="488">
        <f>IFERROR(INDEX('E-Banker master'!$N$2:$N$186,MATCH($A36,'E-Banker master'!$A$2:$A$186,0)),"")</f>
        <v/>
      </c>
      <c r="AI36" s="488">
        <f>IFERROR(INDEX('E-Banker master'!$O$2:$O$186,MATCH($A36,'E-Banker master'!$A$2:$A$186,0)),"")</f>
        <v/>
      </c>
      <c r="AJ36" s="488">
        <f>IFERROR(INDEX('E-Banker master'!$P$2:$P$186,MATCH($A36,'E-Banker master'!$A$2:$A$186,0)),"")</f>
        <v/>
      </c>
      <c r="AK36" s="488">
        <f>IF(OR(Q36="",AJ36=""),"",Q36-AJ36)</f>
        <v/>
      </c>
      <c r="AL36" t="n">
        <v>32</v>
      </c>
      <c r="AM36">
        <f>HYPERLINK("#'Amortisation and Repayments'!C1868","block 32")</f>
        <v/>
      </c>
      <c r="AN36">
        <f>'Mapping'!X36</f>
        <v/>
      </c>
      <c r="AO36" s="558" t="n"/>
      <c r="AP36" s="558" t="n"/>
      <c r="AQ36" s="558" t="n"/>
      <c r="AR36" s="559" t="n"/>
      <c r="AS36" s="560" t="n"/>
      <c r="AT36" s="560" t="n"/>
      <c r="AU36" s="561">
        <f>IF(COUNT(AO36:AQ36)=0,"",SUM(AO36:AQ36))</f>
        <v/>
      </c>
    </row>
    <row r="37">
      <c r="A37">
        <f>'Mapping'!J37</f>
        <v/>
      </c>
      <c r="B37">
        <f>'Mapping'!K37</f>
        <v/>
      </c>
      <c r="C37" t="n">
        <v>40</v>
      </c>
      <c r="D37">
        <f>'Loan Book'!E40</f>
        <v/>
      </c>
      <c r="E37">
        <f>'Loan Book'!F40</f>
        <v/>
      </c>
      <c r="F37" s="487">
        <f>'Loan Book'!G40</f>
        <v/>
      </c>
      <c r="G37" s="487">
        <f>'Loan Book'!H40</f>
        <v/>
      </c>
      <c r="H37">
        <f>'Loan Book'!I40</f>
        <v/>
      </c>
      <c r="I37">
        <f>'Loan Book'!J40</f>
        <v/>
      </c>
      <c r="J37">
        <f>IF('Loan Book'!K40="","",IF('Loan Book'!K40&lt;1,'Loan Book'!K40*100,'Loan Book'!K40))</f>
        <v/>
      </c>
      <c r="K37" s="488">
        <f>'Loan Book'!L40</f>
        <v/>
      </c>
      <c r="L37" s="488">
        <f>'Loan Book'!M40</f>
        <v/>
      </c>
      <c r="M37" s="488">
        <f>'Loan Book'!N40</f>
        <v/>
      </c>
      <c r="N37" s="488">
        <f>'Loan Book'!O40</f>
        <v/>
      </c>
      <c r="O37" s="488">
        <f>'Loan Book'!P40</f>
        <v/>
      </c>
      <c r="P37" s="488">
        <f>'Loan Book'!Q40</f>
        <v/>
      </c>
      <c r="Q37" s="488">
        <f>'Loan Book'!R40</f>
        <v/>
      </c>
      <c r="R37" s="488">
        <f>'Loan Book'!S40</f>
        <v/>
      </c>
      <c r="S37" s="488">
        <f>'Loan Book'!T40</f>
        <v/>
      </c>
      <c r="T37" s="488">
        <f>'Loan Book'!U40</f>
        <v/>
      </c>
      <c r="U37">
        <f>'Loan Book'!AC40</f>
        <v/>
      </c>
      <c r="V37">
        <f>'Loan Book'!AE40</f>
        <v/>
      </c>
      <c r="W37">
        <f>IFERROR(INDEX('E-Banker master'!$B$2:$B$186,MATCH($A37,'E-Banker master'!$A$2:$A$186,0)),"")</f>
        <v/>
      </c>
      <c r="X37">
        <f>IFERROR(INDEX('E-Banker master'!$C$2:$C$186,MATCH($A37,'E-Banker master'!$A$2:$A$186,0)),"")</f>
        <v/>
      </c>
      <c r="Y37">
        <f>IFERROR(INDEX('E-Banker master'!$D$2:$D$186,MATCH($A37,'E-Banker master'!$A$2:$A$186,0)),"")</f>
        <v/>
      </c>
      <c r="Z37">
        <f>IFERROR(INDEX('E-Banker master'!$E$2:$E$186,MATCH($A37,'E-Banker master'!$A$2:$A$186,0)),"")</f>
        <v/>
      </c>
      <c r="AA37">
        <f>IFERROR(INDEX('E-Banker master'!$F$2:$F$186,MATCH($A37,'E-Banker master'!$A$2:$A$186,0)),"")</f>
        <v/>
      </c>
      <c r="AB37">
        <f>IFERROR(INDEX('E-Banker master'!$G$2:$G$186,MATCH($A37,'E-Banker master'!$A$2:$A$186,0)),"")</f>
        <v/>
      </c>
      <c r="AC37" s="488">
        <f>IFERROR(INDEX('E-Banker master'!$I$2:$I$186,MATCH($A37,'E-Banker master'!$A$2:$A$186,0)),"")</f>
        <v/>
      </c>
      <c r="AD37" s="487">
        <f>IFERROR(INDEX('E-Banker master'!$J$2:$J$186,MATCH($A37,'E-Banker master'!$A$2:$A$186,0)),"")</f>
        <v/>
      </c>
      <c r="AE37" s="487">
        <f>IFERROR(INDEX('E-Banker master'!$K$2:$K$186,MATCH($A37,'E-Banker master'!$A$2:$A$186,0)),"")</f>
        <v/>
      </c>
      <c r="AF37">
        <f>IFERROR(INDEX('E-Banker master'!$L$2:$L$186,MATCH($A37,'E-Banker master'!$A$2:$A$186,0)),"")</f>
        <v/>
      </c>
      <c r="AG37">
        <f>IFERROR(INDEX('E-Banker master'!$M$2:$M$186,MATCH($A37,'E-Banker master'!$A$2:$A$186,0)),"")</f>
        <v/>
      </c>
      <c r="AH37" s="488">
        <f>IFERROR(INDEX('E-Banker master'!$N$2:$N$186,MATCH($A37,'E-Banker master'!$A$2:$A$186,0)),"")</f>
        <v/>
      </c>
      <c r="AI37" s="488">
        <f>IFERROR(INDEX('E-Banker master'!$O$2:$O$186,MATCH($A37,'E-Banker master'!$A$2:$A$186,0)),"")</f>
        <v/>
      </c>
      <c r="AJ37" s="488">
        <f>IFERROR(INDEX('E-Banker master'!$P$2:$P$186,MATCH($A37,'E-Banker master'!$A$2:$A$186,0)),"")</f>
        <v/>
      </c>
      <c r="AK37" s="488">
        <f>IF(OR(Q37="",AJ37=""),"",Q37-AJ37)</f>
        <v/>
      </c>
      <c r="AL37" t="n">
        <v>33</v>
      </c>
      <c r="AM37">
        <f>HYPERLINK("#'Amortisation and Repayments'!C1915","block 33")</f>
        <v/>
      </c>
      <c r="AN37">
        <f>'Mapping'!X37</f>
        <v/>
      </c>
      <c r="AO37" s="558" t="n"/>
      <c r="AP37" s="558" t="n"/>
      <c r="AQ37" s="558" t="n"/>
      <c r="AR37" s="559" t="n"/>
      <c r="AS37" s="560" t="n"/>
      <c r="AT37" s="560" t="n"/>
      <c r="AU37" s="561">
        <f>IF(COUNT(AO37:AQ37)=0,"",SUM(AO37:AQ37))</f>
        <v/>
      </c>
    </row>
    <row r="38">
      <c r="A38">
        <f>'Mapping'!J38</f>
        <v/>
      </c>
      <c r="B38">
        <f>'Mapping'!K38</f>
        <v/>
      </c>
      <c r="C38" t="n">
        <v>41</v>
      </c>
      <c r="D38">
        <f>'Loan Book'!E41</f>
        <v/>
      </c>
      <c r="E38">
        <f>'Loan Book'!F41</f>
        <v/>
      </c>
      <c r="F38" s="487">
        <f>'Loan Book'!G41</f>
        <v/>
      </c>
      <c r="G38" s="487">
        <f>'Loan Book'!H41</f>
        <v/>
      </c>
      <c r="H38">
        <f>'Loan Book'!I41</f>
        <v/>
      </c>
      <c r="I38">
        <f>'Loan Book'!J41</f>
        <v/>
      </c>
      <c r="J38">
        <f>IF('Loan Book'!K41="","",IF('Loan Book'!K41&lt;1,'Loan Book'!K41*100,'Loan Book'!K41))</f>
        <v/>
      </c>
      <c r="K38" s="488">
        <f>'Loan Book'!L41</f>
        <v/>
      </c>
      <c r="L38" s="488">
        <f>'Loan Book'!M41</f>
        <v/>
      </c>
      <c r="M38" s="488">
        <f>'Loan Book'!N41</f>
        <v/>
      </c>
      <c r="N38" s="488">
        <f>'Loan Book'!O41</f>
        <v/>
      </c>
      <c r="O38" s="488">
        <f>'Loan Book'!P41</f>
        <v/>
      </c>
      <c r="P38" s="488">
        <f>'Loan Book'!Q41</f>
        <v/>
      </c>
      <c r="Q38" s="488">
        <f>'Loan Book'!R41</f>
        <v/>
      </c>
      <c r="R38" s="488">
        <f>'Loan Book'!S41</f>
        <v/>
      </c>
      <c r="S38" s="488">
        <f>'Loan Book'!T41</f>
        <v/>
      </c>
      <c r="T38" s="488">
        <f>'Loan Book'!U41</f>
        <v/>
      </c>
      <c r="U38">
        <f>'Loan Book'!AC41</f>
        <v/>
      </c>
      <c r="V38">
        <f>'Loan Book'!AE41</f>
        <v/>
      </c>
      <c r="W38">
        <f>IFERROR(INDEX('E-Banker master'!$B$2:$B$186,MATCH($A38,'E-Banker master'!$A$2:$A$186,0)),"")</f>
        <v/>
      </c>
      <c r="X38">
        <f>IFERROR(INDEX('E-Banker master'!$C$2:$C$186,MATCH($A38,'E-Banker master'!$A$2:$A$186,0)),"")</f>
        <v/>
      </c>
      <c r="Y38">
        <f>IFERROR(INDEX('E-Banker master'!$D$2:$D$186,MATCH($A38,'E-Banker master'!$A$2:$A$186,0)),"")</f>
        <v/>
      </c>
      <c r="Z38">
        <f>IFERROR(INDEX('E-Banker master'!$E$2:$E$186,MATCH($A38,'E-Banker master'!$A$2:$A$186,0)),"")</f>
        <v/>
      </c>
      <c r="AA38">
        <f>IFERROR(INDEX('E-Banker master'!$F$2:$F$186,MATCH($A38,'E-Banker master'!$A$2:$A$186,0)),"")</f>
        <v/>
      </c>
      <c r="AB38">
        <f>IFERROR(INDEX('E-Banker master'!$G$2:$G$186,MATCH($A38,'E-Banker master'!$A$2:$A$186,0)),"")</f>
        <v/>
      </c>
      <c r="AC38" s="488">
        <f>IFERROR(INDEX('E-Banker master'!$I$2:$I$186,MATCH($A38,'E-Banker master'!$A$2:$A$186,0)),"")</f>
        <v/>
      </c>
      <c r="AD38" s="487">
        <f>IFERROR(INDEX('E-Banker master'!$J$2:$J$186,MATCH($A38,'E-Banker master'!$A$2:$A$186,0)),"")</f>
        <v/>
      </c>
      <c r="AE38" s="487">
        <f>IFERROR(INDEX('E-Banker master'!$K$2:$K$186,MATCH($A38,'E-Banker master'!$A$2:$A$186,0)),"")</f>
        <v/>
      </c>
      <c r="AF38">
        <f>IFERROR(INDEX('E-Banker master'!$L$2:$L$186,MATCH($A38,'E-Banker master'!$A$2:$A$186,0)),"")</f>
        <v/>
      </c>
      <c r="AG38">
        <f>IFERROR(INDEX('E-Banker master'!$M$2:$M$186,MATCH($A38,'E-Banker master'!$A$2:$A$186,0)),"")</f>
        <v/>
      </c>
      <c r="AH38" s="488">
        <f>IFERROR(INDEX('E-Banker master'!$N$2:$N$186,MATCH($A38,'E-Banker master'!$A$2:$A$186,0)),"")</f>
        <v/>
      </c>
      <c r="AI38" s="488">
        <f>IFERROR(INDEX('E-Banker master'!$O$2:$O$186,MATCH($A38,'E-Banker master'!$A$2:$A$186,0)),"")</f>
        <v/>
      </c>
      <c r="AJ38" s="488">
        <f>IFERROR(INDEX('E-Banker master'!$P$2:$P$186,MATCH($A38,'E-Banker master'!$A$2:$A$186,0)),"")</f>
        <v/>
      </c>
      <c r="AK38" s="488">
        <f>IF(OR(Q38="",AJ38=""),"",Q38-AJ38)</f>
        <v/>
      </c>
      <c r="AL38" t="n">
        <v>55</v>
      </c>
      <c r="AM38">
        <f>HYPERLINK("#'Amortisation and Repayments'!C2982","block 55")</f>
        <v/>
      </c>
      <c r="AN38">
        <f>'Mapping'!X38</f>
        <v/>
      </c>
      <c r="AO38" s="558" t="n"/>
      <c r="AP38" s="558" t="n"/>
      <c r="AQ38" s="558" t="n"/>
      <c r="AR38" s="559" t="n"/>
      <c r="AS38" s="560" t="n"/>
      <c r="AT38" s="560" t="n"/>
      <c r="AU38" s="561">
        <f>IF(COUNT(AO38:AQ38)=0,"",SUM(AO38:AQ38))</f>
        <v/>
      </c>
    </row>
    <row r="39">
      <c r="A39">
        <f>'Mapping'!J39</f>
        <v/>
      </c>
      <c r="B39">
        <f>'Mapping'!K39</f>
        <v/>
      </c>
      <c r="C39" t="n">
        <v>42</v>
      </c>
      <c r="D39">
        <f>'Loan Book'!E42</f>
        <v/>
      </c>
      <c r="E39">
        <f>'Loan Book'!F42</f>
        <v/>
      </c>
      <c r="F39" s="487">
        <f>'Loan Book'!G42</f>
        <v/>
      </c>
      <c r="G39" s="487">
        <f>'Loan Book'!H42</f>
        <v/>
      </c>
      <c r="H39">
        <f>'Loan Book'!I42</f>
        <v/>
      </c>
      <c r="I39">
        <f>'Loan Book'!J42</f>
        <v/>
      </c>
      <c r="J39">
        <f>IF('Loan Book'!K42="","",IF('Loan Book'!K42&lt;1,'Loan Book'!K42*100,'Loan Book'!K42))</f>
        <v/>
      </c>
      <c r="K39" s="488">
        <f>'Loan Book'!L42</f>
        <v/>
      </c>
      <c r="L39" s="488">
        <f>'Loan Book'!M42</f>
        <v/>
      </c>
      <c r="M39" s="488">
        <f>'Loan Book'!N42</f>
        <v/>
      </c>
      <c r="N39" s="488">
        <f>'Loan Book'!O42</f>
        <v/>
      </c>
      <c r="O39" s="488">
        <f>'Loan Book'!P42</f>
        <v/>
      </c>
      <c r="P39" s="488">
        <f>'Loan Book'!Q42</f>
        <v/>
      </c>
      <c r="Q39" s="488">
        <f>'Loan Book'!R42</f>
        <v/>
      </c>
      <c r="R39" s="488">
        <f>'Loan Book'!S42</f>
        <v/>
      </c>
      <c r="S39" s="488">
        <f>'Loan Book'!T42</f>
        <v/>
      </c>
      <c r="T39" s="488">
        <f>'Loan Book'!U42</f>
        <v/>
      </c>
      <c r="U39">
        <f>'Loan Book'!AC42</f>
        <v/>
      </c>
      <c r="V39">
        <f>'Loan Book'!AE42</f>
        <v/>
      </c>
      <c r="W39">
        <f>IFERROR(INDEX('E-Banker master'!$B$2:$B$186,MATCH($A39,'E-Banker master'!$A$2:$A$186,0)),"")</f>
        <v/>
      </c>
      <c r="X39">
        <f>IFERROR(INDEX('E-Banker master'!$C$2:$C$186,MATCH($A39,'E-Banker master'!$A$2:$A$186,0)),"")</f>
        <v/>
      </c>
      <c r="Y39">
        <f>IFERROR(INDEX('E-Banker master'!$D$2:$D$186,MATCH($A39,'E-Banker master'!$A$2:$A$186,0)),"")</f>
        <v/>
      </c>
      <c r="Z39">
        <f>IFERROR(INDEX('E-Banker master'!$E$2:$E$186,MATCH($A39,'E-Banker master'!$A$2:$A$186,0)),"")</f>
        <v/>
      </c>
      <c r="AA39">
        <f>IFERROR(INDEX('E-Banker master'!$F$2:$F$186,MATCH($A39,'E-Banker master'!$A$2:$A$186,0)),"")</f>
        <v/>
      </c>
      <c r="AB39">
        <f>IFERROR(INDEX('E-Banker master'!$G$2:$G$186,MATCH($A39,'E-Banker master'!$A$2:$A$186,0)),"")</f>
        <v/>
      </c>
      <c r="AC39" s="488">
        <f>IFERROR(INDEX('E-Banker master'!$I$2:$I$186,MATCH($A39,'E-Banker master'!$A$2:$A$186,0)),"")</f>
        <v/>
      </c>
      <c r="AD39" s="487">
        <f>IFERROR(INDEX('E-Banker master'!$J$2:$J$186,MATCH($A39,'E-Banker master'!$A$2:$A$186,0)),"")</f>
        <v/>
      </c>
      <c r="AE39" s="487">
        <f>IFERROR(INDEX('E-Banker master'!$K$2:$K$186,MATCH($A39,'E-Banker master'!$A$2:$A$186,0)),"")</f>
        <v/>
      </c>
      <c r="AF39">
        <f>IFERROR(INDEX('E-Banker master'!$L$2:$L$186,MATCH($A39,'E-Banker master'!$A$2:$A$186,0)),"")</f>
        <v/>
      </c>
      <c r="AG39">
        <f>IFERROR(INDEX('E-Banker master'!$M$2:$M$186,MATCH($A39,'E-Banker master'!$A$2:$A$186,0)),"")</f>
        <v/>
      </c>
      <c r="AH39" s="488">
        <f>IFERROR(INDEX('E-Banker master'!$N$2:$N$186,MATCH($A39,'E-Banker master'!$A$2:$A$186,0)),"")</f>
        <v/>
      </c>
      <c r="AI39" s="488">
        <f>IFERROR(INDEX('E-Banker master'!$O$2:$O$186,MATCH($A39,'E-Banker master'!$A$2:$A$186,0)),"")</f>
        <v/>
      </c>
      <c r="AJ39" s="488">
        <f>IFERROR(INDEX('E-Banker master'!$P$2:$P$186,MATCH($A39,'E-Banker master'!$A$2:$A$186,0)),"")</f>
        <v/>
      </c>
      <c r="AK39" s="488">
        <f>IF(OR(Q39="",AJ39=""),"",Q39-AJ39)</f>
        <v/>
      </c>
      <c r="AL39" t="n">
        <v>35</v>
      </c>
      <c r="AM39">
        <f>HYPERLINK("#'Amortisation and Repayments'!C2002","block 35")</f>
        <v/>
      </c>
      <c r="AN39">
        <f>'Mapping'!X39</f>
        <v/>
      </c>
      <c r="AO39" s="558" t="n"/>
      <c r="AP39" s="558" t="n"/>
      <c r="AQ39" s="558" t="n"/>
      <c r="AR39" s="559" t="n"/>
      <c r="AS39" s="560" t="n"/>
      <c r="AT39" s="560" t="n"/>
      <c r="AU39" s="561">
        <f>IF(COUNT(AO39:AQ39)=0,"",SUM(AO39:AQ39))</f>
        <v/>
      </c>
    </row>
    <row r="40">
      <c r="A40">
        <f>'Mapping'!J40</f>
        <v/>
      </c>
      <c r="B40">
        <f>'Mapping'!K40</f>
        <v/>
      </c>
      <c r="C40" t="n">
        <v>43</v>
      </c>
      <c r="D40">
        <f>'Loan Book'!E43</f>
        <v/>
      </c>
      <c r="E40">
        <f>'Loan Book'!F43</f>
        <v/>
      </c>
      <c r="F40" s="487">
        <f>'Loan Book'!G43</f>
        <v/>
      </c>
      <c r="G40" s="487">
        <f>'Loan Book'!H43</f>
        <v/>
      </c>
      <c r="H40">
        <f>'Loan Book'!I43</f>
        <v/>
      </c>
      <c r="I40">
        <f>'Loan Book'!J43</f>
        <v/>
      </c>
      <c r="J40">
        <f>IF('Loan Book'!K43="","",IF('Loan Book'!K43&lt;1,'Loan Book'!K43*100,'Loan Book'!K43))</f>
        <v/>
      </c>
      <c r="K40" s="488">
        <f>'Loan Book'!L43</f>
        <v/>
      </c>
      <c r="L40" s="488">
        <f>'Loan Book'!M43</f>
        <v/>
      </c>
      <c r="M40" s="488">
        <f>'Loan Book'!N43</f>
        <v/>
      </c>
      <c r="N40" s="488">
        <f>'Loan Book'!O43</f>
        <v/>
      </c>
      <c r="O40" s="488">
        <f>'Loan Book'!P43</f>
        <v/>
      </c>
      <c r="P40" s="488">
        <f>'Loan Book'!Q43</f>
        <v/>
      </c>
      <c r="Q40" s="488">
        <f>'Loan Book'!R43</f>
        <v/>
      </c>
      <c r="R40" s="488">
        <f>'Loan Book'!S43</f>
        <v/>
      </c>
      <c r="S40" s="488">
        <f>'Loan Book'!T43</f>
        <v/>
      </c>
      <c r="T40" s="488">
        <f>'Loan Book'!U43</f>
        <v/>
      </c>
      <c r="U40">
        <f>'Loan Book'!AC43</f>
        <v/>
      </c>
      <c r="V40">
        <f>'Loan Book'!AE43</f>
        <v/>
      </c>
      <c r="W40">
        <f>IFERROR(INDEX('E-Banker master'!$B$2:$B$186,MATCH($A40,'E-Banker master'!$A$2:$A$186,0)),"")</f>
        <v/>
      </c>
      <c r="X40">
        <f>IFERROR(INDEX('E-Banker master'!$C$2:$C$186,MATCH($A40,'E-Banker master'!$A$2:$A$186,0)),"")</f>
        <v/>
      </c>
      <c r="Y40">
        <f>IFERROR(INDEX('E-Banker master'!$D$2:$D$186,MATCH($A40,'E-Banker master'!$A$2:$A$186,0)),"")</f>
        <v/>
      </c>
      <c r="Z40">
        <f>IFERROR(INDEX('E-Banker master'!$E$2:$E$186,MATCH($A40,'E-Banker master'!$A$2:$A$186,0)),"")</f>
        <v/>
      </c>
      <c r="AA40">
        <f>IFERROR(INDEX('E-Banker master'!$F$2:$F$186,MATCH($A40,'E-Banker master'!$A$2:$A$186,0)),"")</f>
        <v/>
      </c>
      <c r="AB40">
        <f>IFERROR(INDEX('E-Banker master'!$G$2:$G$186,MATCH($A40,'E-Banker master'!$A$2:$A$186,0)),"")</f>
        <v/>
      </c>
      <c r="AC40" s="488">
        <f>IFERROR(INDEX('E-Banker master'!$I$2:$I$186,MATCH($A40,'E-Banker master'!$A$2:$A$186,0)),"")</f>
        <v/>
      </c>
      <c r="AD40" s="487">
        <f>IFERROR(INDEX('E-Banker master'!$J$2:$J$186,MATCH($A40,'E-Banker master'!$A$2:$A$186,0)),"")</f>
        <v/>
      </c>
      <c r="AE40" s="487">
        <f>IFERROR(INDEX('E-Banker master'!$K$2:$K$186,MATCH($A40,'E-Banker master'!$A$2:$A$186,0)),"")</f>
        <v/>
      </c>
      <c r="AF40">
        <f>IFERROR(INDEX('E-Banker master'!$L$2:$L$186,MATCH($A40,'E-Banker master'!$A$2:$A$186,0)),"")</f>
        <v/>
      </c>
      <c r="AG40">
        <f>IFERROR(INDEX('E-Banker master'!$M$2:$M$186,MATCH($A40,'E-Banker master'!$A$2:$A$186,0)),"")</f>
        <v/>
      </c>
      <c r="AH40" s="488">
        <f>IFERROR(INDEX('E-Banker master'!$N$2:$N$186,MATCH($A40,'E-Banker master'!$A$2:$A$186,0)),"")</f>
        <v/>
      </c>
      <c r="AI40" s="488">
        <f>IFERROR(INDEX('E-Banker master'!$O$2:$O$186,MATCH($A40,'E-Banker master'!$A$2:$A$186,0)),"")</f>
        <v/>
      </c>
      <c r="AJ40" s="488">
        <f>IFERROR(INDEX('E-Banker master'!$P$2:$P$186,MATCH($A40,'E-Banker master'!$A$2:$A$186,0)),"")</f>
        <v/>
      </c>
      <c r="AK40" s="488">
        <f>IF(OR(Q40="",AJ40=""),"",Q40-AJ40)</f>
        <v/>
      </c>
      <c r="AL40" t="n">
        <v>36</v>
      </c>
      <c r="AM40">
        <f>HYPERLINK("#'Amortisation and Repayments'!C2043","block 36")</f>
        <v/>
      </c>
      <c r="AN40">
        <f>'Mapping'!X40</f>
        <v/>
      </c>
      <c r="AO40" s="558" t="n"/>
      <c r="AP40" s="558" t="n"/>
      <c r="AQ40" s="558" t="n"/>
      <c r="AR40" s="559" t="n"/>
      <c r="AS40" s="560" t="n"/>
      <c r="AT40" s="560" t="n"/>
      <c r="AU40" s="561">
        <f>IF(COUNT(AO40:AQ40)=0,"",SUM(AO40:AQ40))</f>
        <v/>
      </c>
    </row>
    <row r="41">
      <c r="A41">
        <f>'Mapping'!J41</f>
        <v/>
      </c>
      <c r="B41">
        <f>'Mapping'!K41</f>
        <v/>
      </c>
      <c r="C41" t="n">
        <v>44</v>
      </c>
      <c r="D41">
        <f>'Loan Book'!E44</f>
        <v/>
      </c>
      <c r="E41">
        <f>'Loan Book'!F44</f>
        <v/>
      </c>
      <c r="F41" s="487">
        <f>'Loan Book'!G44</f>
        <v/>
      </c>
      <c r="G41" s="487">
        <f>'Loan Book'!H44</f>
        <v/>
      </c>
      <c r="H41">
        <f>'Loan Book'!I44</f>
        <v/>
      </c>
      <c r="I41">
        <f>'Loan Book'!J44</f>
        <v/>
      </c>
      <c r="J41">
        <f>IF('Loan Book'!K44="","",IF('Loan Book'!K44&lt;1,'Loan Book'!K44*100,'Loan Book'!K44))</f>
        <v/>
      </c>
      <c r="K41" s="488">
        <f>'Loan Book'!L44</f>
        <v/>
      </c>
      <c r="L41" s="488">
        <f>'Loan Book'!M44</f>
        <v/>
      </c>
      <c r="M41" s="488">
        <f>'Loan Book'!N44</f>
        <v/>
      </c>
      <c r="N41" s="488">
        <f>'Loan Book'!O44</f>
        <v/>
      </c>
      <c r="O41" s="488">
        <f>'Loan Book'!P44</f>
        <v/>
      </c>
      <c r="P41" s="488">
        <f>'Loan Book'!Q44</f>
        <v/>
      </c>
      <c r="Q41" s="488">
        <f>'Loan Book'!R44</f>
        <v/>
      </c>
      <c r="R41" s="488">
        <f>'Loan Book'!S44</f>
        <v/>
      </c>
      <c r="S41" s="488">
        <f>'Loan Book'!T44</f>
        <v/>
      </c>
      <c r="T41" s="488">
        <f>'Loan Book'!U44</f>
        <v/>
      </c>
      <c r="U41">
        <f>'Loan Book'!AC44</f>
        <v/>
      </c>
      <c r="V41">
        <f>'Loan Book'!AE44</f>
        <v/>
      </c>
      <c r="W41">
        <f>IFERROR(INDEX('E-Banker master'!$B$2:$B$186,MATCH($A41,'E-Banker master'!$A$2:$A$186,0)),"")</f>
        <v/>
      </c>
      <c r="X41">
        <f>IFERROR(INDEX('E-Banker master'!$C$2:$C$186,MATCH($A41,'E-Banker master'!$A$2:$A$186,0)),"")</f>
        <v/>
      </c>
      <c r="Y41">
        <f>IFERROR(INDEX('E-Banker master'!$D$2:$D$186,MATCH($A41,'E-Banker master'!$A$2:$A$186,0)),"")</f>
        <v/>
      </c>
      <c r="Z41">
        <f>IFERROR(INDEX('E-Banker master'!$E$2:$E$186,MATCH($A41,'E-Banker master'!$A$2:$A$186,0)),"")</f>
        <v/>
      </c>
      <c r="AA41">
        <f>IFERROR(INDEX('E-Banker master'!$F$2:$F$186,MATCH($A41,'E-Banker master'!$A$2:$A$186,0)),"")</f>
        <v/>
      </c>
      <c r="AB41">
        <f>IFERROR(INDEX('E-Banker master'!$G$2:$G$186,MATCH($A41,'E-Banker master'!$A$2:$A$186,0)),"")</f>
        <v/>
      </c>
      <c r="AC41" s="488">
        <f>IFERROR(INDEX('E-Banker master'!$I$2:$I$186,MATCH($A41,'E-Banker master'!$A$2:$A$186,0)),"")</f>
        <v/>
      </c>
      <c r="AD41" s="487">
        <f>IFERROR(INDEX('E-Banker master'!$J$2:$J$186,MATCH($A41,'E-Banker master'!$A$2:$A$186,0)),"")</f>
        <v/>
      </c>
      <c r="AE41" s="487">
        <f>IFERROR(INDEX('E-Banker master'!$K$2:$K$186,MATCH($A41,'E-Banker master'!$A$2:$A$186,0)),"")</f>
        <v/>
      </c>
      <c r="AF41">
        <f>IFERROR(INDEX('E-Banker master'!$L$2:$L$186,MATCH($A41,'E-Banker master'!$A$2:$A$186,0)),"")</f>
        <v/>
      </c>
      <c r="AG41">
        <f>IFERROR(INDEX('E-Banker master'!$M$2:$M$186,MATCH($A41,'E-Banker master'!$A$2:$A$186,0)),"")</f>
        <v/>
      </c>
      <c r="AH41" s="488">
        <f>IFERROR(INDEX('E-Banker master'!$N$2:$N$186,MATCH($A41,'E-Banker master'!$A$2:$A$186,0)),"")</f>
        <v/>
      </c>
      <c r="AI41" s="488">
        <f>IFERROR(INDEX('E-Banker master'!$O$2:$O$186,MATCH($A41,'E-Banker master'!$A$2:$A$186,0)),"")</f>
        <v/>
      </c>
      <c r="AJ41" s="488">
        <f>IFERROR(INDEX('E-Banker master'!$P$2:$P$186,MATCH($A41,'E-Banker master'!$A$2:$A$186,0)),"")</f>
        <v/>
      </c>
      <c r="AK41" s="488">
        <f>IF(OR(Q41="",AJ41=""),"",Q41-AJ41)</f>
        <v/>
      </c>
      <c r="AL41" t="n">
        <v>37</v>
      </c>
      <c r="AM41">
        <f>HYPERLINK("#'Amortisation and Repayments'!C2091","block 37")</f>
        <v/>
      </c>
      <c r="AN41">
        <f>'Mapping'!X41</f>
        <v/>
      </c>
      <c r="AO41" s="558" t="n"/>
      <c r="AP41" s="558" t="n"/>
      <c r="AQ41" s="558" t="n"/>
      <c r="AR41" s="559" t="n"/>
      <c r="AS41" s="560" t="n"/>
      <c r="AT41" s="560" t="n"/>
      <c r="AU41" s="561">
        <f>IF(COUNT(AO41:AQ41)=0,"",SUM(AO41:AQ41))</f>
        <v/>
      </c>
    </row>
    <row r="42">
      <c r="A42">
        <f>'Mapping'!J42</f>
        <v/>
      </c>
      <c r="B42">
        <f>'Mapping'!K42</f>
        <v/>
      </c>
      <c r="C42" t="n">
        <v>45</v>
      </c>
      <c r="D42">
        <f>'Loan Book'!E45</f>
        <v/>
      </c>
      <c r="E42">
        <f>'Loan Book'!F45</f>
        <v/>
      </c>
      <c r="F42" s="487">
        <f>'Loan Book'!G45</f>
        <v/>
      </c>
      <c r="G42" s="487">
        <f>'Loan Book'!H45</f>
        <v/>
      </c>
      <c r="H42">
        <f>'Loan Book'!I45</f>
        <v/>
      </c>
      <c r="I42">
        <f>'Loan Book'!J45</f>
        <v/>
      </c>
      <c r="J42">
        <f>IF('Loan Book'!K45="","",IF('Loan Book'!K45&lt;1,'Loan Book'!K45*100,'Loan Book'!K45))</f>
        <v/>
      </c>
      <c r="K42" s="488">
        <f>'Loan Book'!L45</f>
        <v/>
      </c>
      <c r="L42" s="488">
        <f>'Loan Book'!M45</f>
        <v/>
      </c>
      <c r="M42" s="488">
        <f>'Loan Book'!N45</f>
        <v/>
      </c>
      <c r="N42" s="488">
        <f>'Loan Book'!O45</f>
        <v/>
      </c>
      <c r="O42" s="488">
        <f>'Loan Book'!P45</f>
        <v/>
      </c>
      <c r="P42" s="488">
        <f>'Loan Book'!Q45</f>
        <v/>
      </c>
      <c r="Q42" s="488">
        <f>'Loan Book'!R45</f>
        <v/>
      </c>
      <c r="R42" s="488">
        <f>'Loan Book'!S45</f>
        <v/>
      </c>
      <c r="S42" s="488">
        <f>'Loan Book'!T45</f>
        <v/>
      </c>
      <c r="T42" s="488">
        <f>'Loan Book'!U45</f>
        <v/>
      </c>
      <c r="U42">
        <f>'Loan Book'!AC45</f>
        <v/>
      </c>
      <c r="V42">
        <f>'Loan Book'!AE45</f>
        <v/>
      </c>
      <c r="W42">
        <f>IFERROR(INDEX('E-Banker master'!$B$2:$B$186,MATCH($A42,'E-Banker master'!$A$2:$A$186,0)),"")</f>
        <v/>
      </c>
      <c r="X42">
        <f>IFERROR(INDEX('E-Banker master'!$C$2:$C$186,MATCH($A42,'E-Banker master'!$A$2:$A$186,0)),"")</f>
        <v/>
      </c>
      <c r="Y42">
        <f>IFERROR(INDEX('E-Banker master'!$D$2:$D$186,MATCH($A42,'E-Banker master'!$A$2:$A$186,0)),"")</f>
        <v/>
      </c>
      <c r="Z42">
        <f>IFERROR(INDEX('E-Banker master'!$E$2:$E$186,MATCH($A42,'E-Banker master'!$A$2:$A$186,0)),"")</f>
        <v/>
      </c>
      <c r="AA42">
        <f>IFERROR(INDEX('E-Banker master'!$F$2:$F$186,MATCH($A42,'E-Banker master'!$A$2:$A$186,0)),"")</f>
        <v/>
      </c>
      <c r="AB42">
        <f>IFERROR(INDEX('E-Banker master'!$G$2:$G$186,MATCH($A42,'E-Banker master'!$A$2:$A$186,0)),"")</f>
        <v/>
      </c>
      <c r="AC42" s="488">
        <f>IFERROR(INDEX('E-Banker master'!$I$2:$I$186,MATCH($A42,'E-Banker master'!$A$2:$A$186,0)),"")</f>
        <v/>
      </c>
      <c r="AD42" s="487">
        <f>IFERROR(INDEX('E-Banker master'!$J$2:$J$186,MATCH($A42,'E-Banker master'!$A$2:$A$186,0)),"")</f>
        <v/>
      </c>
      <c r="AE42" s="487">
        <f>IFERROR(INDEX('E-Banker master'!$K$2:$K$186,MATCH($A42,'E-Banker master'!$A$2:$A$186,0)),"")</f>
        <v/>
      </c>
      <c r="AF42">
        <f>IFERROR(INDEX('E-Banker master'!$L$2:$L$186,MATCH($A42,'E-Banker master'!$A$2:$A$186,0)),"")</f>
        <v/>
      </c>
      <c r="AG42">
        <f>IFERROR(INDEX('E-Banker master'!$M$2:$M$186,MATCH($A42,'E-Banker master'!$A$2:$A$186,0)),"")</f>
        <v/>
      </c>
      <c r="AH42" s="488">
        <f>IFERROR(INDEX('E-Banker master'!$N$2:$N$186,MATCH($A42,'E-Banker master'!$A$2:$A$186,0)),"")</f>
        <v/>
      </c>
      <c r="AI42" s="488">
        <f>IFERROR(INDEX('E-Banker master'!$O$2:$O$186,MATCH($A42,'E-Banker master'!$A$2:$A$186,0)),"")</f>
        <v/>
      </c>
      <c r="AJ42" s="488">
        <f>IFERROR(INDEX('E-Banker master'!$P$2:$P$186,MATCH($A42,'E-Banker master'!$A$2:$A$186,0)),"")</f>
        <v/>
      </c>
      <c r="AK42" s="488">
        <f>IF(OR(Q42="",AJ42=""),"",Q42-AJ42)</f>
        <v/>
      </c>
      <c r="AL42" t="n">
        <v>38</v>
      </c>
      <c r="AM42">
        <f>HYPERLINK("#'Amortisation and Repayments'!C2133","block 38")</f>
        <v/>
      </c>
      <c r="AN42">
        <f>'Mapping'!X42</f>
        <v/>
      </c>
      <c r="AO42" s="558" t="n"/>
      <c r="AP42" s="558" t="n"/>
      <c r="AQ42" s="558" t="n"/>
      <c r="AR42" s="559" t="n"/>
      <c r="AS42" s="560" t="n"/>
      <c r="AT42" s="560" t="n"/>
      <c r="AU42" s="561">
        <f>IF(COUNT(AO42:AQ42)=0,"",SUM(AO42:AQ42))</f>
        <v/>
      </c>
    </row>
    <row r="43">
      <c r="A43">
        <f>'Mapping'!J43</f>
        <v/>
      </c>
      <c r="B43">
        <f>'Mapping'!K43</f>
        <v/>
      </c>
      <c r="C43" t="n">
        <v>46</v>
      </c>
      <c r="D43">
        <f>'Loan Book'!E46</f>
        <v/>
      </c>
      <c r="E43">
        <f>'Loan Book'!F46</f>
        <v/>
      </c>
      <c r="F43" s="487">
        <f>'Loan Book'!G46</f>
        <v/>
      </c>
      <c r="G43" s="487">
        <f>'Loan Book'!H46</f>
        <v/>
      </c>
      <c r="H43">
        <f>'Loan Book'!I46</f>
        <v/>
      </c>
      <c r="I43">
        <f>'Loan Book'!J46</f>
        <v/>
      </c>
      <c r="J43">
        <f>IF('Loan Book'!K46="","",IF('Loan Book'!K46&lt;1,'Loan Book'!K46*100,'Loan Book'!K46))</f>
        <v/>
      </c>
      <c r="K43" s="488">
        <f>'Loan Book'!L46</f>
        <v/>
      </c>
      <c r="L43" s="488">
        <f>'Loan Book'!M46</f>
        <v/>
      </c>
      <c r="M43" s="488">
        <f>'Loan Book'!N46</f>
        <v/>
      </c>
      <c r="N43" s="488">
        <f>'Loan Book'!O46</f>
        <v/>
      </c>
      <c r="O43" s="488">
        <f>'Loan Book'!P46</f>
        <v/>
      </c>
      <c r="P43" s="488">
        <f>'Loan Book'!Q46</f>
        <v/>
      </c>
      <c r="Q43" s="488">
        <f>'Loan Book'!R46</f>
        <v/>
      </c>
      <c r="R43" s="488">
        <f>'Loan Book'!S46</f>
        <v/>
      </c>
      <c r="S43" s="488">
        <f>'Loan Book'!T46</f>
        <v/>
      </c>
      <c r="T43" s="488">
        <f>'Loan Book'!U46</f>
        <v/>
      </c>
      <c r="U43">
        <f>'Loan Book'!AC46</f>
        <v/>
      </c>
      <c r="V43">
        <f>'Loan Book'!AE46</f>
        <v/>
      </c>
      <c r="W43">
        <f>IFERROR(INDEX('E-Banker master'!$B$2:$B$186,MATCH($A43,'E-Banker master'!$A$2:$A$186,0)),"")</f>
        <v/>
      </c>
      <c r="X43">
        <f>IFERROR(INDEX('E-Banker master'!$C$2:$C$186,MATCH($A43,'E-Banker master'!$A$2:$A$186,0)),"")</f>
        <v/>
      </c>
      <c r="Y43">
        <f>IFERROR(INDEX('E-Banker master'!$D$2:$D$186,MATCH($A43,'E-Banker master'!$A$2:$A$186,0)),"")</f>
        <v/>
      </c>
      <c r="Z43">
        <f>IFERROR(INDEX('E-Banker master'!$E$2:$E$186,MATCH($A43,'E-Banker master'!$A$2:$A$186,0)),"")</f>
        <v/>
      </c>
      <c r="AA43">
        <f>IFERROR(INDEX('E-Banker master'!$F$2:$F$186,MATCH($A43,'E-Banker master'!$A$2:$A$186,0)),"")</f>
        <v/>
      </c>
      <c r="AB43">
        <f>IFERROR(INDEX('E-Banker master'!$G$2:$G$186,MATCH($A43,'E-Banker master'!$A$2:$A$186,0)),"")</f>
        <v/>
      </c>
      <c r="AC43" s="488">
        <f>IFERROR(INDEX('E-Banker master'!$I$2:$I$186,MATCH($A43,'E-Banker master'!$A$2:$A$186,0)),"")</f>
        <v/>
      </c>
      <c r="AD43" s="487">
        <f>IFERROR(INDEX('E-Banker master'!$J$2:$J$186,MATCH($A43,'E-Banker master'!$A$2:$A$186,0)),"")</f>
        <v/>
      </c>
      <c r="AE43" s="487">
        <f>IFERROR(INDEX('E-Banker master'!$K$2:$K$186,MATCH($A43,'E-Banker master'!$A$2:$A$186,0)),"")</f>
        <v/>
      </c>
      <c r="AF43">
        <f>IFERROR(INDEX('E-Banker master'!$L$2:$L$186,MATCH($A43,'E-Banker master'!$A$2:$A$186,0)),"")</f>
        <v/>
      </c>
      <c r="AG43">
        <f>IFERROR(INDEX('E-Banker master'!$M$2:$M$186,MATCH($A43,'E-Banker master'!$A$2:$A$186,0)),"")</f>
        <v/>
      </c>
      <c r="AH43" s="488">
        <f>IFERROR(INDEX('E-Banker master'!$N$2:$N$186,MATCH($A43,'E-Banker master'!$A$2:$A$186,0)),"")</f>
        <v/>
      </c>
      <c r="AI43" s="488">
        <f>IFERROR(INDEX('E-Banker master'!$O$2:$O$186,MATCH($A43,'E-Banker master'!$A$2:$A$186,0)),"")</f>
        <v/>
      </c>
      <c r="AJ43" s="488">
        <f>IFERROR(INDEX('E-Banker master'!$P$2:$P$186,MATCH($A43,'E-Banker master'!$A$2:$A$186,0)),"")</f>
        <v/>
      </c>
      <c r="AK43" s="488">
        <f>IF(OR(Q43="",AJ43=""),"",Q43-AJ43)</f>
        <v/>
      </c>
      <c r="AN43">
        <f>'Mapping'!X43</f>
        <v/>
      </c>
      <c r="AO43" s="558" t="n"/>
      <c r="AP43" s="558" t="n"/>
      <c r="AQ43" s="558" t="n"/>
      <c r="AR43" s="559" t="n"/>
      <c r="AS43" s="560" t="n"/>
      <c r="AT43" s="560" t="n"/>
      <c r="AU43" s="561">
        <f>IF(COUNT(AO43:AQ43)=0,"",SUM(AO43:AQ43))</f>
        <v/>
      </c>
    </row>
    <row r="44">
      <c r="A44">
        <f>'Mapping'!J44</f>
        <v/>
      </c>
      <c r="B44">
        <f>'Mapping'!K44</f>
        <v/>
      </c>
      <c r="C44" t="n">
        <v>47</v>
      </c>
      <c r="D44">
        <f>'Loan Book'!E47</f>
        <v/>
      </c>
      <c r="E44">
        <f>'Loan Book'!F47</f>
        <v/>
      </c>
      <c r="F44" s="487">
        <f>'Loan Book'!G47</f>
        <v/>
      </c>
      <c r="G44" s="487">
        <f>'Loan Book'!H47</f>
        <v/>
      </c>
      <c r="H44">
        <f>'Loan Book'!I47</f>
        <v/>
      </c>
      <c r="I44">
        <f>'Loan Book'!J47</f>
        <v/>
      </c>
      <c r="J44">
        <f>IF('Loan Book'!K47="","",IF('Loan Book'!K47&lt;1,'Loan Book'!K47*100,'Loan Book'!K47))</f>
        <v/>
      </c>
      <c r="K44" s="488">
        <f>'Loan Book'!L47</f>
        <v/>
      </c>
      <c r="L44" s="488">
        <f>'Loan Book'!M47</f>
        <v/>
      </c>
      <c r="M44" s="488">
        <f>'Loan Book'!N47</f>
        <v/>
      </c>
      <c r="N44" s="488">
        <f>'Loan Book'!O47</f>
        <v/>
      </c>
      <c r="O44" s="488">
        <f>'Loan Book'!P47</f>
        <v/>
      </c>
      <c r="P44" s="488">
        <f>'Loan Book'!Q47</f>
        <v/>
      </c>
      <c r="Q44" s="488">
        <f>'Loan Book'!R47</f>
        <v/>
      </c>
      <c r="R44" s="488">
        <f>'Loan Book'!S47</f>
        <v/>
      </c>
      <c r="S44" s="488">
        <f>'Loan Book'!T47</f>
        <v/>
      </c>
      <c r="T44" s="488">
        <f>'Loan Book'!U47</f>
        <v/>
      </c>
      <c r="U44">
        <f>'Loan Book'!AC47</f>
        <v/>
      </c>
      <c r="V44">
        <f>'Loan Book'!AE47</f>
        <v/>
      </c>
      <c r="W44">
        <f>IFERROR(INDEX('E-Banker master'!$B$2:$B$186,MATCH($A44,'E-Banker master'!$A$2:$A$186,0)),"")</f>
        <v/>
      </c>
      <c r="X44">
        <f>IFERROR(INDEX('E-Banker master'!$C$2:$C$186,MATCH($A44,'E-Banker master'!$A$2:$A$186,0)),"")</f>
        <v/>
      </c>
      <c r="Y44">
        <f>IFERROR(INDEX('E-Banker master'!$D$2:$D$186,MATCH($A44,'E-Banker master'!$A$2:$A$186,0)),"")</f>
        <v/>
      </c>
      <c r="Z44">
        <f>IFERROR(INDEX('E-Banker master'!$E$2:$E$186,MATCH($A44,'E-Banker master'!$A$2:$A$186,0)),"")</f>
        <v/>
      </c>
      <c r="AA44">
        <f>IFERROR(INDEX('E-Banker master'!$F$2:$F$186,MATCH($A44,'E-Banker master'!$A$2:$A$186,0)),"")</f>
        <v/>
      </c>
      <c r="AB44">
        <f>IFERROR(INDEX('E-Banker master'!$G$2:$G$186,MATCH($A44,'E-Banker master'!$A$2:$A$186,0)),"")</f>
        <v/>
      </c>
      <c r="AC44" s="488">
        <f>IFERROR(INDEX('E-Banker master'!$I$2:$I$186,MATCH($A44,'E-Banker master'!$A$2:$A$186,0)),"")</f>
        <v/>
      </c>
      <c r="AD44" s="487">
        <f>IFERROR(INDEX('E-Banker master'!$J$2:$J$186,MATCH($A44,'E-Banker master'!$A$2:$A$186,0)),"")</f>
        <v/>
      </c>
      <c r="AE44" s="487">
        <f>IFERROR(INDEX('E-Banker master'!$K$2:$K$186,MATCH($A44,'E-Banker master'!$A$2:$A$186,0)),"")</f>
        <v/>
      </c>
      <c r="AF44">
        <f>IFERROR(INDEX('E-Banker master'!$L$2:$L$186,MATCH($A44,'E-Banker master'!$A$2:$A$186,0)),"")</f>
        <v/>
      </c>
      <c r="AG44">
        <f>IFERROR(INDEX('E-Banker master'!$M$2:$M$186,MATCH($A44,'E-Banker master'!$A$2:$A$186,0)),"")</f>
        <v/>
      </c>
      <c r="AH44" s="488">
        <f>IFERROR(INDEX('E-Banker master'!$N$2:$N$186,MATCH($A44,'E-Banker master'!$A$2:$A$186,0)),"")</f>
        <v/>
      </c>
      <c r="AI44" s="488">
        <f>IFERROR(INDEX('E-Banker master'!$O$2:$O$186,MATCH($A44,'E-Banker master'!$A$2:$A$186,0)),"")</f>
        <v/>
      </c>
      <c r="AJ44" s="488">
        <f>IFERROR(INDEX('E-Banker master'!$P$2:$P$186,MATCH($A44,'E-Banker master'!$A$2:$A$186,0)),"")</f>
        <v/>
      </c>
      <c r="AK44" s="488">
        <f>IF(OR(Q44="",AJ44=""),"",Q44-AJ44)</f>
        <v/>
      </c>
      <c r="AL44" t="n">
        <v>41</v>
      </c>
      <c r="AM44">
        <f>HYPERLINK("#'Amortisation and Repayments'!C2279","block 41")</f>
        <v/>
      </c>
      <c r="AN44">
        <f>'Mapping'!X44</f>
        <v/>
      </c>
      <c r="AO44" s="558" t="n"/>
      <c r="AP44" s="558" t="n"/>
      <c r="AQ44" s="558" t="n"/>
      <c r="AR44" s="559" t="n"/>
      <c r="AS44" s="560" t="n"/>
      <c r="AT44" s="560" t="n"/>
      <c r="AU44" s="561">
        <f>IF(COUNT(AO44:AQ44)=0,"",SUM(AO44:AQ44))</f>
        <v/>
      </c>
    </row>
    <row r="45">
      <c r="A45">
        <f>'Mapping'!J45</f>
        <v/>
      </c>
      <c r="B45">
        <f>'Mapping'!K45</f>
        <v/>
      </c>
      <c r="C45" t="n">
        <v>48</v>
      </c>
      <c r="D45">
        <f>'Loan Book'!E48</f>
        <v/>
      </c>
      <c r="E45">
        <f>'Loan Book'!F48</f>
        <v/>
      </c>
      <c r="F45" s="487">
        <f>'Loan Book'!G48</f>
        <v/>
      </c>
      <c r="G45" s="487">
        <f>'Loan Book'!H48</f>
        <v/>
      </c>
      <c r="H45">
        <f>'Loan Book'!I48</f>
        <v/>
      </c>
      <c r="I45">
        <f>'Loan Book'!J48</f>
        <v/>
      </c>
      <c r="J45">
        <f>IF('Loan Book'!K48="","",IF('Loan Book'!K48&lt;1,'Loan Book'!K48*100,'Loan Book'!K48))</f>
        <v/>
      </c>
      <c r="K45" s="488">
        <f>'Loan Book'!L48</f>
        <v/>
      </c>
      <c r="L45" s="488">
        <f>'Loan Book'!M48</f>
        <v/>
      </c>
      <c r="M45" s="488">
        <f>'Loan Book'!N48</f>
        <v/>
      </c>
      <c r="N45" s="488">
        <f>'Loan Book'!O48</f>
        <v/>
      </c>
      <c r="O45" s="488">
        <f>'Loan Book'!P48</f>
        <v/>
      </c>
      <c r="P45" s="488">
        <f>'Loan Book'!Q48</f>
        <v/>
      </c>
      <c r="Q45" s="488">
        <f>'Loan Book'!R48</f>
        <v/>
      </c>
      <c r="R45" s="488">
        <f>'Loan Book'!S48</f>
        <v/>
      </c>
      <c r="S45" s="488">
        <f>'Loan Book'!T48</f>
        <v/>
      </c>
      <c r="T45" s="488">
        <f>'Loan Book'!U48</f>
        <v/>
      </c>
      <c r="U45">
        <f>'Loan Book'!AC48</f>
        <v/>
      </c>
      <c r="V45">
        <f>'Loan Book'!AE48</f>
        <v/>
      </c>
      <c r="W45">
        <f>IFERROR(INDEX('E-Banker master'!$B$2:$B$186,MATCH($A45,'E-Banker master'!$A$2:$A$186,0)),"")</f>
        <v/>
      </c>
      <c r="X45">
        <f>IFERROR(INDEX('E-Banker master'!$C$2:$C$186,MATCH($A45,'E-Banker master'!$A$2:$A$186,0)),"")</f>
        <v/>
      </c>
      <c r="Y45">
        <f>IFERROR(INDEX('E-Banker master'!$D$2:$D$186,MATCH($A45,'E-Banker master'!$A$2:$A$186,0)),"")</f>
        <v/>
      </c>
      <c r="Z45">
        <f>IFERROR(INDEX('E-Banker master'!$E$2:$E$186,MATCH($A45,'E-Banker master'!$A$2:$A$186,0)),"")</f>
        <v/>
      </c>
      <c r="AA45">
        <f>IFERROR(INDEX('E-Banker master'!$F$2:$F$186,MATCH($A45,'E-Banker master'!$A$2:$A$186,0)),"")</f>
        <v/>
      </c>
      <c r="AB45">
        <f>IFERROR(INDEX('E-Banker master'!$G$2:$G$186,MATCH($A45,'E-Banker master'!$A$2:$A$186,0)),"")</f>
        <v/>
      </c>
      <c r="AC45" s="488">
        <f>IFERROR(INDEX('E-Banker master'!$I$2:$I$186,MATCH($A45,'E-Banker master'!$A$2:$A$186,0)),"")</f>
        <v/>
      </c>
      <c r="AD45" s="487">
        <f>IFERROR(INDEX('E-Banker master'!$J$2:$J$186,MATCH($A45,'E-Banker master'!$A$2:$A$186,0)),"")</f>
        <v/>
      </c>
      <c r="AE45" s="487">
        <f>IFERROR(INDEX('E-Banker master'!$K$2:$K$186,MATCH($A45,'E-Banker master'!$A$2:$A$186,0)),"")</f>
        <v/>
      </c>
      <c r="AF45">
        <f>IFERROR(INDEX('E-Banker master'!$L$2:$L$186,MATCH($A45,'E-Banker master'!$A$2:$A$186,0)),"")</f>
        <v/>
      </c>
      <c r="AG45">
        <f>IFERROR(INDEX('E-Banker master'!$M$2:$M$186,MATCH($A45,'E-Banker master'!$A$2:$A$186,0)),"")</f>
        <v/>
      </c>
      <c r="AH45" s="488">
        <f>IFERROR(INDEX('E-Banker master'!$N$2:$N$186,MATCH($A45,'E-Banker master'!$A$2:$A$186,0)),"")</f>
        <v/>
      </c>
      <c r="AI45" s="488">
        <f>IFERROR(INDEX('E-Banker master'!$O$2:$O$186,MATCH($A45,'E-Banker master'!$A$2:$A$186,0)),"")</f>
        <v/>
      </c>
      <c r="AJ45" s="488">
        <f>IFERROR(INDEX('E-Banker master'!$P$2:$P$186,MATCH($A45,'E-Banker master'!$A$2:$A$186,0)),"")</f>
        <v/>
      </c>
      <c r="AK45" s="488">
        <f>IF(OR(Q45="",AJ45=""),"",Q45-AJ45)</f>
        <v/>
      </c>
      <c r="AL45" t="n">
        <v>42</v>
      </c>
      <c r="AM45">
        <f>HYPERLINK("#'Amortisation and Repayments'!C2318","block 42")</f>
        <v/>
      </c>
      <c r="AN45">
        <f>'Mapping'!X45</f>
        <v/>
      </c>
      <c r="AO45" s="558" t="n"/>
      <c r="AP45" s="558" t="n"/>
      <c r="AQ45" s="558" t="n"/>
      <c r="AR45" s="559" t="n"/>
      <c r="AS45" s="560" t="n"/>
      <c r="AT45" s="560" t="n"/>
      <c r="AU45" s="561">
        <f>IF(COUNT(AO45:AQ45)=0,"",SUM(AO45:AQ45))</f>
        <v/>
      </c>
    </row>
    <row r="46">
      <c r="A46">
        <f>'Mapping'!J46</f>
        <v/>
      </c>
      <c r="B46">
        <f>'Mapping'!K46</f>
        <v/>
      </c>
      <c r="C46" t="n">
        <v>49</v>
      </c>
      <c r="D46">
        <f>'Loan Book'!E49</f>
        <v/>
      </c>
      <c r="E46">
        <f>'Loan Book'!F49</f>
        <v/>
      </c>
      <c r="F46" s="487">
        <f>'Loan Book'!G49</f>
        <v/>
      </c>
      <c r="G46" s="487">
        <f>'Loan Book'!H49</f>
        <v/>
      </c>
      <c r="H46">
        <f>'Loan Book'!I49</f>
        <v/>
      </c>
      <c r="I46">
        <f>'Loan Book'!J49</f>
        <v/>
      </c>
      <c r="J46">
        <f>IF('Loan Book'!K49="","",IF('Loan Book'!K49&lt;1,'Loan Book'!K49*100,'Loan Book'!K49))</f>
        <v/>
      </c>
      <c r="K46" s="488">
        <f>'Loan Book'!L49</f>
        <v/>
      </c>
      <c r="L46" s="488">
        <f>'Loan Book'!M49</f>
        <v/>
      </c>
      <c r="M46" s="488">
        <f>'Loan Book'!N49</f>
        <v/>
      </c>
      <c r="N46" s="488">
        <f>'Loan Book'!O49</f>
        <v/>
      </c>
      <c r="O46" s="488">
        <f>'Loan Book'!P49</f>
        <v/>
      </c>
      <c r="P46" s="488">
        <f>'Loan Book'!Q49</f>
        <v/>
      </c>
      <c r="Q46" s="488">
        <f>'Loan Book'!R49</f>
        <v/>
      </c>
      <c r="R46" s="488">
        <f>'Loan Book'!S49</f>
        <v/>
      </c>
      <c r="S46" s="488">
        <f>'Loan Book'!T49</f>
        <v/>
      </c>
      <c r="T46" s="488">
        <f>'Loan Book'!U49</f>
        <v/>
      </c>
      <c r="U46">
        <f>'Loan Book'!AC49</f>
        <v/>
      </c>
      <c r="V46">
        <f>'Loan Book'!AE49</f>
        <v/>
      </c>
      <c r="W46">
        <f>IFERROR(INDEX('E-Banker master'!$B$2:$B$186,MATCH($A46,'E-Banker master'!$A$2:$A$186,0)),"")</f>
        <v/>
      </c>
      <c r="X46">
        <f>IFERROR(INDEX('E-Banker master'!$C$2:$C$186,MATCH($A46,'E-Banker master'!$A$2:$A$186,0)),"")</f>
        <v/>
      </c>
      <c r="Y46">
        <f>IFERROR(INDEX('E-Banker master'!$D$2:$D$186,MATCH($A46,'E-Banker master'!$A$2:$A$186,0)),"")</f>
        <v/>
      </c>
      <c r="Z46">
        <f>IFERROR(INDEX('E-Banker master'!$E$2:$E$186,MATCH($A46,'E-Banker master'!$A$2:$A$186,0)),"")</f>
        <v/>
      </c>
      <c r="AA46">
        <f>IFERROR(INDEX('E-Banker master'!$F$2:$F$186,MATCH($A46,'E-Banker master'!$A$2:$A$186,0)),"")</f>
        <v/>
      </c>
      <c r="AB46">
        <f>IFERROR(INDEX('E-Banker master'!$G$2:$G$186,MATCH($A46,'E-Banker master'!$A$2:$A$186,0)),"")</f>
        <v/>
      </c>
      <c r="AC46" s="488">
        <f>IFERROR(INDEX('E-Banker master'!$I$2:$I$186,MATCH($A46,'E-Banker master'!$A$2:$A$186,0)),"")</f>
        <v/>
      </c>
      <c r="AD46" s="487">
        <f>IFERROR(INDEX('E-Banker master'!$J$2:$J$186,MATCH($A46,'E-Banker master'!$A$2:$A$186,0)),"")</f>
        <v/>
      </c>
      <c r="AE46" s="487">
        <f>IFERROR(INDEX('E-Banker master'!$K$2:$K$186,MATCH($A46,'E-Banker master'!$A$2:$A$186,0)),"")</f>
        <v/>
      </c>
      <c r="AF46">
        <f>IFERROR(INDEX('E-Banker master'!$L$2:$L$186,MATCH($A46,'E-Banker master'!$A$2:$A$186,0)),"")</f>
        <v/>
      </c>
      <c r="AG46">
        <f>IFERROR(INDEX('E-Banker master'!$M$2:$M$186,MATCH($A46,'E-Banker master'!$A$2:$A$186,0)),"")</f>
        <v/>
      </c>
      <c r="AH46" s="488">
        <f>IFERROR(INDEX('E-Banker master'!$N$2:$N$186,MATCH($A46,'E-Banker master'!$A$2:$A$186,0)),"")</f>
        <v/>
      </c>
      <c r="AI46" s="488">
        <f>IFERROR(INDEX('E-Banker master'!$O$2:$O$186,MATCH($A46,'E-Banker master'!$A$2:$A$186,0)),"")</f>
        <v/>
      </c>
      <c r="AJ46" s="488">
        <f>IFERROR(INDEX('E-Banker master'!$P$2:$P$186,MATCH($A46,'E-Banker master'!$A$2:$A$186,0)),"")</f>
        <v/>
      </c>
      <c r="AK46" s="488">
        <f>IF(OR(Q46="",AJ46=""),"",Q46-AJ46)</f>
        <v/>
      </c>
      <c r="AL46" t="n">
        <v>43</v>
      </c>
      <c r="AM46">
        <f>HYPERLINK("#'Amortisation and Repayments'!C2384","block 43")</f>
        <v/>
      </c>
      <c r="AN46">
        <f>'Mapping'!X46</f>
        <v/>
      </c>
      <c r="AO46" s="558" t="n"/>
      <c r="AP46" s="558" t="n"/>
      <c r="AQ46" s="558" t="n"/>
      <c r="AR46" s="559" t="n"/>
      <c r="AS46" s="560" t="n"/>
      <c r="AT46" s="560" t="n"/>
      <c r="AU46" s="561">
        <f>IF(COUNT(AO46:AQ46)=0,"",SUM(AO46:AQ46))</f>
        <v/>
      </c>
    </row>
    <row r="47">
      <c r="A47">
        <f>'Mapping'!J47</f>
        <v/>
      </c>
      <c r="B47">
        <f>'Mapping'!K47</f>
        <v/>
      </c>
      <c r="C47" t="n">
        <v>50</v>
      </c>
      <c r="D47">
        <f>'Loan Book'!E50</f>
        <v/>
      </c>
      <c r="E47">
        <f>'Loan Book'!F50</f>
        <v/>
      </c>
      <c r="F47" s="487">
        <f>'Loan Book'!G50</f>
        <v/>
      </c>
      <c r="G47" s="487">
        <f>'Loan Book'!H50</f>
        <v/>
      </c>
      <c r="H47">
        <f>'Loan Book'!I50</f>
        <v/>
      </c>
      <c r="I47">
        <f>'Loan Book'!J50</f>
        <v/>
      </c>
      <c r="J47">
        <f>IF('Loan Book'!K50="","",IF('Loan Book'!K50&lt;1,'Loan Book'!K50*100,'Loan Book'!K50))</f>
        <v/>
      </c>
      <c r="K47" s="488">
        <f>'Loan Book'!L50</f>
        <v/>
      </c>
      <c r="L47" s="488">
        <f>'Loan Book'!M50</f>
        <v/>
      </c>
      <c r="M47" s="488">
        <f>'Loan Book'!N50</f>
        <v/>
      </c>
      <c r="N47" s="488">
        <f>'Loan Book'!O50</f>
        <v/>
      </c>
      <c r="O47" s="488">
        <f>'Loan Book'!P50</f>
        <v/>
      </c>
      <c r="P47" s="488">
        <f>'Loan Book'!Q50</f>
        <v/>
      </c>
      <c r="Q47" s="488">
        <f>'Loan Book'!R50</f>
        <v/>
      </c>
      <c r="R47" s="488">
        <f>'Loan Book'!S50</f>
        <v/>
      </c>
      <c r="S47" s="488">
        <f>'Loan Book'!T50</f>
        <v/>
      </c>
      <c r="T47" s="488">
        <f>'Loan Book'!U50</f>
        <v/>
      </c>
      <c r="U47">
        <f>'Loan Book'!AC50</f>
        <v/>
      </c>
      <c r="V47">
        <f>'Loan Book'!AE50</f>
        <v/>
      </c>
      <c r="W47">
        <f>IFERROR(INDEX('E-Banker master'!$B$2:$B$186,MATCH($A47,'E-Banker master'!$A$2:$A$186,0)),"")</f>
        <v/>
      </c>
      <c r="X47">
        <f>IFERROR(INDEX('E-Banker master'!$C$2:$C$186,MATCH($A47,'E-Banker master'!$A$2:$A$186,0)),"")</f>
        <v/>
      </c>
      <c r="Y47">
        <f>IFERROR(INDEX('E-Banker master'!$D$2:$D$186,MATCH($A47,'E-Banker master'!$A$2:$A$186,0)),"")</f>
        <v/>
      </c>
      <c r="Z47">
        <f>IFERROR(INDEX('E-Banker master'!$E$2:$E$186,MATCH($A47,'E-Banker master'!$A$2:$A$186,0)),"")</f>
        <v/>
      </c>
      <c r="AA47">
        <f>IFERROR(INDEX('E-Banker master'!$F$2:$F$186,MATCH($A47,'E-Banker master'!$A$2:$A$186,0)),"")</f>
        <v/>
      </c>
      <c r="AB47">
        <f>IFERROR(INDEX('E-Banker master'!$G$2:$G$186,MATCH($A47,'E-Banker master'!$A$2:$A$186,0)),"")</f>
        <v/>
      </c>
      <c r="AC47" s="488">
        <f>IFERROR(INDEX('E-Banker master'!$I$2:$I$186,MATCH($A47,'E-Banker master'!$A$2:$A$186,0)),"")</f>
        <v/>
      </c>
      <c r="AD47" s="487">
        <f>IFERROR(INDEX('E-Banker master'!$J$2:$J$186,MATCH($A47,'E-Banker master'!$A$2:$A$186,0)),"")</f>
        <v/>
      </c>
      <c r="AE47" s="487">
        <f>IFERROR(INDEX('E-Banker master'!$K$2:$K$186,MATCH($A47,'E-Banker master'!$A$2:$A$186,0)),"")</f>
        <v/>
      </c>
      <c r="AF47">
        <f>IFERROR(INDEX('E-Banker master'!$L$2:$L$186,MATCH($A47,'E-Banker master'!$A$2:$A$186,0)),"")</f>
        <v/>
      </c>
      <c r="AG47">
        <f>IFERROR(INDEX('E-Banker master'!$M$2:$M$186,MATCH($A47,'E-Banker master'!$A$2:$A$186,0)),"")</f>
        <v/>
      </c>
      <c r="AH47" s="488">
        <f>IFERROR(INDEX('E-Banker master'!$N$2:$N$186,MATCH($A47,'E-Banker master'!$A$2:$A$186,0)),"")</f>
        <v/>
      </c>
      <c r="AI47" s="488">
        <f>IFERROR(INDEX('E-Banker master'!$O$2:$O$186,MATCH($A47,'E-Banker master'!$A$2:$A$186,0)),"")</f>
        <v/>
      </c>
      <c r="AJ47" s="488">
        <f>IFERROR(INDEX('E-Banker master'!$P$2:$P$186,MATCH($A47,'E-Banker master'!$A$2:$A$186,0)),"")</f>
        <v/>
      </c>
      <c r="AK47" s="488">
        <f>IF(OR(Q47="",AJ47=""),"",Q47-AJ47)</f>
        <v/>
      </c>
      <c r="AL47" t="n">
        <v>44</v>
      </c>
      <c r="AM47">
        <f>HYPERLINK("#'Amortisation and Repayments'!C2437","block 44")</f>
        <v/>
      </c>
      <c r="AN47">
        <f>'Mapping'!X47</f>
        <v/>
      </c>
      <c r="AO47" s="558" t="n"/>
      <c r="AP47" s="558" t="n"/>
      <c r="AQ47" s="558" t="n"/>
      <c r="AR47" s="559" t="n"/>
      <c r="AS47" s="560" t="n"/>
      <c r="AT47" s="560" t="n"/>
      <c r="AU47" s="561">
        <f>IF(COUNT(AO47:AQ47)=0,"",SUM(AO47:AQ47))</f>
        <v/>
      </c>
    </row>
    <row r="48">
      <c r="A48">
        <f>'Mapping'!J48</f>
        <v/>
      </c>
      <c r="B48">
        <f>'Mapping'!K48</f>
        <v/>
      </c>
      <c r="C48" t="n">
        <v>51</v>
      </c>
      <c r="D48">
        <f>'Loan Book'!E51</f>
        <v/>
      </c>
      <c r="E48">
        <f>'Loan Book'!F51</f>
        <v/>
      </c>
      <c r="F48" s="487">
        <f>'Loan Book'!G51</f>
        <v/>
      </c>
      <c r="G48" s="487">
        <f>'Loan Book'!H51</f>
        <v/>
      </c>
      <c r="H48">
        <f>'Loan Book'!I51</f>
        <v/>
      </c>
      <c r="I48">
        <f>'Loan Book'!J51</f>
        <v/>
      </c>
      <c r="J48">
        <f>IF('Loan Book'!K51="","",IF('Loan Book'!K51&lt;1,'Loan Book'!K51*100,'Loan Book'!K51))</f>
        <v/>
      </c>
      <c r="K48" s="488">
        <f>'Loan Book'!L51</f>
        <v/>
      </c>
      <c r="L48" s="488">
        <f>'Loan Book'!M51</f>
        <v/>
      </c>
      <c r="M48" s="488">
        <f>'Loan Book'!N51</f>
        <v/>
      </c>
      <c r="N48" s="488">
        <f>'Loan Book'!O51</f>
        <v/>
      </c>
      <c r="O48" s="488">
        <f>'Loan Book'!P51</f>
        <v/>
      </c>
      <c r="P48" s="488">
        <f>'Loan Book'!Q51</f>
        <v/>
      </c>
      <c r="Q48" s="488">
        <f>'Loan Book'!R51</f>
        <v/>
      </c>
      <c r="R48" s="488">
        <f>'Loan Book'!S51</f>
        <v/>
      </c>
      <c r="S48" s="488">
        <f>'Loan Book'!T51</f>
        <v/>
      </c>
      <c r="T48" s="488">
        <f>'Loan Book'!U51</f>
        <v/>
      </c>
      <c r="U48">
        <f>'Loan Book'!AC51</f>
        <v/>
      </c>
      <c r="V48">
        <f>'Loan Book'!AE51</f>
        <v/>
      </c>
      <c r="W48">
        <f>IFERROR(INDEX('E-Banker master'!$B$2:$B$186,MATCH($A48,'E-Banker master'!$A$2:$A$186,0)),"")</f>
        <v/>
      </c>
      <c r="X48">
        <f>IFERROR(INDEX('E-Banker master'!$C$2:$C$186,MATCH($A48,'E-Banker master'!$A$2:$A$186,0)),"")</f>
        <v/>
      </c>
      <c r="Y48">
        <f>IFERROR(INDEX('E-Banker master'!$D$2:$D$186,MATCH($A48,'E-Banker master'!$A$2:$A$186,0)),"")</f>
        <v/>
      </c>
      <c r="Z48">
        <f>IFERROR(INDEX('E-Banker master'!$E$2:$E$186,MATCH($A48,'E-Banker master'!$A$2:$A$186,0)),"")</f>
        <v/>
      </c>
      <c r="AA48">
        <f>IFERROR(INDEX('E-Banker master'!$F$2:$F$186,MATCH($A48,'E-Banker master'!$A$2:$A$186,0)),"")</f>
        <v/>
      </c>
      <c r="AB48">
        <f>IFERROR(INDEX('E-Banker master'!$G$2:$G$186,MATCH($A48,'E-Banker master'!$A$2:$A$186,0)),"")</f>
        <v/>
      </c>
      <c r="AC48" s="488">
        <f>IFERROR(INDEX('E-Banker master'!$I$2:$I$186,MATCH($A48,'E-Banker master'!$A$2:$A$186,0)),"")</f>
        <v/>
      </c>
      <c r="AD48" s="487">
        <f>IFERROR(INDEX('E-Banker master'!$J$2:$J$186,MATCH($A48,'E-Banker master'!$A$2:$A$186,0)),"")</f>
        <v/>
      </c>
      <c r="AE48" s="487">
        <f>IFERROR(INDEX('E-Banker master'!$K$2:$K$186,MATCH($A48,'E-Banker master'!$A$2:$A$186,0)),"")</f>
        <v/>
      </c>
      <c r="AF48">
        <f>IFERROR(INDEX('E-Banker master'!$L$2:$L$186,MATCH($A48,'E-Banker master'!$A$2:$A$186,0)),"")</f>
        <v/>
      </c>
      <c r="AG48">
        <f>IFERROR(INDEX('E-Banker master'!$M$2:$M$186,MATCH($A48,'E-Banker master'!$A$2:$A$186,0)),"")</f>
        <v/>
      </c>
      <c r="AH48" s="488">
        <f>IFERROR(INDEX('E-Banker master'!$N$2:$N$186,MATCH($A48,'E-Banker master'!$A$2:$A$186,0)),"")</f>
        <v/>
      </c>
      <c r="AI48" s="488">
        <f>IFERROR(INDEX('E-Banker master'!$O$2:$O$186,MATCH($A48,'E-Banker master'!$A$2:$A$186,0)),"")</f>
        <v/>
      </c>
      <c r="AJ48" s="488">
        <f>IFERROR(INDEX('E-Banker master'!$P$2:$P$186,MATCH($A48,'E-Banker master'!$A$2:$A$186,0)),"")</f>
        <v/>
      </c>
      <c r="AK48" s="488">
        <f>IF(OR(Q48="",AJ48=""),"",Q48-AJ48)</f>
        <v/>
      </c>
      <c r="AL48" t="n">
        <v>45</v>
      </c>
      <c r="AM48">
        <f>HYPERLINK("#'Amortisation and Repayments'!C2478","block 45")</f>
        <v/>
      </c>
      <c r="AN48">
        <f>'Mapping'!X48</f>
        <v/>
      </c>
      <c r="AO48" s="558" t="n"/>
      <c r="AP48" s="558" t="n"/>
      <c r="AQ48" s="558" t="n"/>
      <c r="AR48" s="559" t="n"/>
      <c r="AS48" s="560" t="n"/>
      <c r="AT48" s="560" t="n"/>
      <c r="AU48" s="561">
        <f>IF(COUNT(AO48:AQ48)=0,"",SUM(AO48:AQ48))</f>
        <v/>
      </c>
    </row>
    <row r="49">
      <c r="A49">
        <f>'Mapping'!J49</f>
        <v/>
      </c>
      <c r="B49">
        <f>'Mapping'!K49</f>
        <v/>
      </c>
      <c r="C49" t="n">
        <v>52</v>
      </c>
      <c r="D49">
        <f>'Loan Book'!E52</f>
        <v/>
      </c>
      <c r="E49">
        <f>'Loan Book'!F52</f>
        <v/>
      </c>
      <c r="F49" s="487">
        <f>'Loan Book'!G52</f>
        <v/>
      </c>
      <c r="G49" s="487">
        <f>'Loan Book'!H52</f>
        <v/>
      </c>
      <c r="H49">
        <f>'Loan Book'!I52</f>
        <v/>
      </c>
      <c r="I49">
        <f>'Loan Book'!J52</f>
        <v/>
      </c>
      <c r="J49">
        <f>IF('Loan Book'!K52="","",IF('Loan Book'!K52&lt;1,'Loan Book'!K52*100,'Loan Book'!K52))</f>
        <v/>
      </c>
      <c r="K49" s="488">
        <f>'Loan Book'!L52</f>
        <v/>
      </c>
      <c r="L49" s="488">
        <f>'Loan Book'!M52</f>
        <v/>
      </c>
      <c r="M49" s="488">
        <f>'Loan Book'!N52</f>
        <v/>
      </c>
      <c r="N49" s="488">
        <f>'Loan Book'!O52</f>
        <v/>
      </c>
      <c r="O49" s="488">
        <f>'Loan Book'!P52</f>
        <v/>
      </c>
      <c r="P49" s="488">
        <f>'Loan Book'!Q52</f>
        <v/>
      </c>
      <c r="Q49" s="488">
        <f>'Loan Book'!R52</f>
        <v/>
      </c>
      <c r="R49" s="488">
        <f>'Loan Book'!S52</f>
        <v/>
      </c>
      <c r="S49" s="488">
        <f>'Loan Book'!T52</f>
        <v/>
      </c>
      <c r="T49" s="488">
        <f>'Loan Book'!U52</f>
        <v/>
      </c>
      <c r="U49">
        <f>'Loan Book'!AC52</f>
        <v/>
      </c>
      <c r="V49">
        <f>'Loan Book'!AE52</f>
        <v/>
      </c>
      <c r="W49">
        <f>IFERROR(INDEX('E-Banker master'!$B$2:$B$186,MATCH($A49,'E-Banker master'!$A$2:$A$186,0)),"")</f>
        <v/>
      </c>
      <c r="X49">
        <f>IFERROR(INDEX('E-Banker master'!$C$2:$C$186,MATCH($A49,'E-Banker master'!$A$2:$A$186,0)),"")</f>
        <v/>
      </c>
      <c r="Y49">
        <f>IFERROR(INDEX('E-Banker master'!$D$2:$D$186,MATCH($A49,'E-Banker master'!$A$2:$A$186,0)),"")</f>
        <v/>
      </c>
      <c r="Z49">
        <f>IFERROR(INDEX('E-Banker master'!$E$2:$E$186,MATCH($A49,'E-Banker master'!$A$2:$A$186,0)),"")</f>
        <v/>
      </c>
      <c r="AA49">
        <f>IFERROR(INDEX('E-Banker master'!$F$2:$F$186,MATCH($A49,'E-Banker master'!$A$2:$A$186,0)),"")</f>
        <v/>
      </c>
      <c r="AB49">
        <f>IFERROR(INDEX('E-Banker master'!$G$2:$G$186,MATCH($A49,'E-Banker master'!$A$2:$A$186,0)),"")</f>
        <v/>
      </c>
      <c r="AC49" s="488">
        <f>IFERROR(INDEX('E-Banker master'!$I$2:$I$186,MATCH($A49,'E-Banker master'!$A$2:$A$186,0)),"")</f>
        <v/>
      </c>
      <c r="AD49" s="487">
        <f>IFERROR(INDEX('E-Banker master'!$J$2:$J$186,MATCH($A49,'E-Banker master'!$A$2:$A$186,0)),"")</f>
        <v/>
      </c>
      <c r="AE49" s="487">
        <f>IFERROR(INDEX('E-Banker master'!$K$2:$K$186,MATCH($A49,'E-Banker master'!$A$2:$A$186,0)),"")</f>
        <v/>
      </c>
      <c r="AF49">
        <f>IFERROR(INDEX('E-Banker master'!$L$2:$L$186,MATCH($A49,'E-Banker master'!$A$2:$A$186,0)),"")</f>
        <v/>
      </c>
      <c r="AG49">
        <f>IFERROR(INDEX('E-Banker master'!$M$2:$M$186,MATCH($A49,'E-Banker master'!$A$2:$A$186,0)),"")</f>
        <v/>
      </c>
      <c r="AH49" s="488">
        <f>IFERROR(INDEX('E-Banker master'!$N$2:$N$186,MATCH($A49,'E-Banker master'!$A$2:$A$186,0)),"")</f>
        <v/>
      </c>
      <c r="AI49" s="488">
        <f>IFERROR(INDEX('E-Banker master'!$O$2:$O$186,MATCH($A49,'E-Banker master'!$A$2:$A$186,0)),"")</f>
        <v/>
      </c>
      <c r="AJ49" s="488">
        <f>IFERROR(INDEX('E-Banker master'!$P$2:$P$186,MATCH($A49,'E-Banker master'!$A$2:$A$186,0)),"")</f>
        <v/>
      </c>
      <c r="AK49" s="488">
        <f>IF(OR(Q49="",AJ49=""),"",Q49-AJ49)</f>
        <v/>
      </c>
      <c r="AL49" t="n">
        <v>46</v>
      </c>
      <c r="AM49">
        <f>HYPERLINK("#'Amortisation and Repayments'!C2519","block 46")</f>
        <v/>
      </c>
      <c r="AN49">
        <f>'Mapping'!X49</f>
        <v/>
      </c>
      <c r="AO49" s="558" t="n"/>
      <c r="AP49" s="558" t="n"/>
      <c r="AQ49" s="558" t="n"/>
      <c r="AR49" s="559" t="n"/>
      <c r="AS49" s="560" t="n"/>
      <c r="AT49" s="560" t="n"/>
      <c r="AU49" s="561">
        <f>IF(COUNT(AO49:AQ49)=0,"",SUM(AO49:AQ49))</f>
        <v/>
      </c>
    </row>
    <row r="50">
      <c r="A50">
        <f>'Mapping'!J50</f>
        <v/>
      </c>
      <c r="B50">
        <f>'Mapping'!K50</f>
        <v/>
      </c>
      <c r="C50" t="n">
        <v>53</v>
      </c>
      <c r="D50">
        <f>'Loan Book'!E53</f>
        <v/>
      </c>
      <c r="E50">
        <f>'Loan Book'!F53</f>
        <v/>
      </c>
      <c r="F50" s="487">
        <f>'Loan Book'!G53</f>
        <v/>
      </c>
      <c r="G50" s="487">
        <f>'Loan Book'!H53</f>
        <v/>
      </c>
      <c r="H50">
        <f>'Loan Book'!I53</f>
        <v/>
      </c>
      <c r="I50">
        <f>'Loan Book'!J53</f>
        <v/>
      </c>
      <c r="J50">
        <f>IF('Loan Book'!K53="","",IF('Loan Book'!K53&lt;1,'Loan Book'!K53*100,'Loan Book'!K53))</f>
        <v/>
      </c>
      <c r="K50" s="488">
        <f>'Loan Book'!L53</f>
        <v/>
      </c>
      <c r="L50" s="488">
        <f>'Loan Book'!M53</f>
        <v/>
      </c>
      <c r="M50" s="488">
        <f>'Loan Book'!N53</f>
        <v/>
      </c>
      <c r="N50" s="488">
        <f>'Loan Book'!O53</f>
        <v/>
      </c>
      <c r="O50" s="488">
        <f>'Loan Book'!P53</f>
        <v/>
      </c>
      <c r="P50" s="488">
        <f>'Loan Book'!Q53</f>
        <v/>
      </c>
      <c r="Q50" s="488">
        <f>'Loan Book'!R53</f>
        <v/>
      </c>
      <c r="R50" s="488">
        <f>'Loan Book'!S53</f>
        <v/>
      </c>
      <c r="S50" s="488">
        <f>'Loan Book'!T53</f>
        <v/>
      </c>
      <c r="T50" s="488">
        <f>'Loan Book'!U53</f>
        <v/>
      </c>
      <c r="U50">
        <f>'Loan Book'!AC53</f>
        <v/>
      </c>
      <c r="V50">
        <f>'Loan Book'!AE53</f>
        <v/>
      </c>
      <c r="W50">
        <f>IFERROR(INDEX('E-Banker master'!$B$2:$B$186,MATCH($A50,'E-Banker master'!$A$2:$A$186,0)),"")</f>
        <v/>
      </c>
      <c r="X50">
        <f>IFERROR(INDEX('E-Banker master'!$C$2:$C$186,MATCH($A50,'E-Banker master'!$A$2:$A$186,0)),"")</f>
        <v/>
      </c>
      <c r="Y50">
        <f>IFERROR(INDEX('E-Banker master'!$D$2:$D$186,MATCH($A50,'E-Banker master'!$A$2:$A$186,0)),"")</f>
        <v/>
      </c>
      <c r="Z50">
        <f>IFERROR(INDEX('E-Banker master'!$E$2:$E$186,MATCH($A50,'E-Banker master'!$A$2:$A$186,0)),"")</f>
        <v/>
      </c>
      <c r="AA50">
        <f>IFERROR(INDEX('E-Banker master'!$F$2:$F$186,MATCH($A50,'E-Banker master'!$A$2:$A$186,0)),"")</f>
        <v/>
      </c>
      <c r="AB50">
        <f>IFERROR(INDEX('E-Banker master'!$G$2:$G$186,MATCH($A50,'E-Banker master'!$A$2:$A$186,0)),"")</f>
        <v/>
      </c>
      <c r="AC50" s="488">
        <f>IFERROR(INDEX('E-Banker master'!$I$2:$I$186,MATCH($A50,'E-Banker master'!$A$2:$A$186,0)),"")</f>
        <v/>
      </c>
      <c r="AD50" s="487">
        <f>IFERROR(INDEX('E-Banker master'!$J$2:$J$186,MATCH($A50,'E-Banker master'!$A$2:$A$186,0)),"")</f>
        <v/>
      </c>
      <c r="AE50" s="487">
        <f>IFERROR(INDEX('E-Banker master'!$K$2:$K$186,MATCH($A50,'E-Banker master'!$A$2:$A$186,0)),"")</f>
        <v/>
      </c>
      <c r="AF50">
        <f>IFERROR(INDEX('E-Banker master'!$L$2:$L$186,MATCH($A50,'E-Banker master'!$A$2:$A$186,0)),"")</f>
        <v/>
      </c>
      <c r="AG50">
        <f>IFERROR(INDEX('E-Banker master'!$M$2:$M$186,MATCH($A50,'E-Banker master'!$A$2:$A$186,0)),"")</f>
        <v/>
      </c>
      <c r="AH50" s="488">
        <f>IFERROR(INDEX('E-Banker master'!$N$2:$N$186,MATCH($A50,'E-Banker master'!$A$2:$A$186,0)),"")</f>
        <v/>
      </c>
      <c r="AI50" s="488">
        <f>IFERROR(INDEX('E-Banker master'!$O$2:$O$186,MATCH($A50,'E-Banker master'!$A$2:$A$186,0)),"")</f>
        <v/>
      </c>
      <c r="AJ50" s="488">
        <f>IFERROR(INDEX('E-Banker master'!$P$2:$P$186,MATCH($A50,'E-Banker master'!$A$2:$A$186,0)),"")</f>
        <v/>
      </c>
      <c r="AK50" s="488">
        <f>IF(OR(Q50="",AJ50=""),"",Q50-AJ50)</f>
        <v/>
      </c>
      <c r="AL50" t="n">
        <v>47</v>
      </c>
      <c r="AM50">
        <f>HYPERLINK("#'Amortisation and Repayments'!C2561","block 47")</f>
        <v/>
      </c>
      <c r="AN50">
        <f>'Mapping'!X50</f>
        <v/>
      </c>
      <c r="AO50" s="558" t="n"/>
      <c r="AP50" s="558" t="n"/>
      <c r="AQ50" s="558" t="n"/>
      <c r="AR50" s="559" t="n"/>
      <c r="AS50" s="560" t="n"/>
      <c r="AT50" s="560" t="n"/>
      <c r="AU50" s="561">
        <f>IF(COUNT(AO50:AQ50)=0,"",SUM(AO50:AQ50))</f>
        <v/>
      </c>
    </row>
    <row r="51">
      <c r="A51">
        <f>'Mapping'!J51</f>
        <v/>
      </c>
      <c r="B51">
        <f>'Mapping'!K51</f>
        <v/>
      </c>
      <c r="C51" t="n">
        <v>54</v>
      </c>
      <c r="D51">
        <f>'Loan Book'!E54</f>
        <v/>
      </c>
      <c r="E51">
        <f>'Loan Book'!F54</f>
        <v/>
      </c>
      <c r="F51" s="487">
        <f>'Loan Book'!G54</f>
        <v/>
      </c>
      <c r="G51" s="487">
        <f>'Loan Book'!H54</f>
        <v/>
      </c>
      <c r="H51">
        <f>'Loan Book'!I54</f>
        <v/>
      </c>
      <c r="I51">
        <f>'Loan Book'!J54</f>
        <v/>
      </c>
      <c r="J51">
        <f>IF('Loan Book'!K54="","",IF('Loan Book'!K54&lt;1,'Loan Book'!K54*100,'Loan Book'!K54))</f>
        <v/>
      </c>
      <c r="K51" s="488">
        <f>'Loan Book'!L54</f>
        <v/>
      </c>
      <c r="L51" s="488">
        <f>'Loan Book'!M54</f>
        <v/>
      </c>
      <c r="M51" s="488">
        <f>'Loan Book'!N54</f>
        <v/>
      </c>
      <c r="N51" s="488">
        <f>'Loan Book'!O54</f>
        <v/>
      </c>
      <c r="O51" s="488">
        <f>'Loan Book'!P54</f>
        <v/>
      </c>
      <c r="P51" s="488">
        <f>'Loan Book'!Q54</f>
        <v/>
      </c>
      <c r="Q51" s="488">
        <f>'Loan Book'!R54</f>
        <v/>
      </c>
      <c r="R51" s="488">
        <f>'Loan Book'!S54</f>
        <v/>
      </c>
      <c r="S51" s="488">
        <f>'Loan Book'!T54</f>
        <v/>
      </c>
      <c r="T51" s="488">
        <f>'Loan Book'!U54</f>
        <v/>
      </c>
      <c r="U51">
        <f>'Loan Book'!AC54</f>
        <v/>
      </c>
      <c r="V51">
        <f>'Loan Book'!AE54</f>
        <v/>
      </c>
      <c r="W51">
        <f>IFERROR(INDEX('E-Banker master'!$B$2:$B$186,MATCH($A51,'E-Banker master'!$A$2:$A$186,0)),"")</f>
        <v/>
      </c>
      <c r="X51">
        <f>IFERROR(INDEX('E-Banker master'!$C$2:$C$186,MATCH($A51,'E-Banker master'!$A$2:$A$186,0)),"")</f>
        <v/>
      </c>
      <c r="Y51">
        <f>IFERROR(INDEX('E-Banker master'!$D$2:$D$186,MATCH($A51,'E-Banker master'!$A$2:$A$186,0)),"")</f>
        <v/>
      </c>
      <c r="Z51">
        <f>IFERROR(INDEX('E-Banker master'!$E$2:$E$186,MATCH($A51,'E-Banker master'!$A$2:$A$186,0)),"")</f>
        <v/>
      </c>
      <c r="AA51">
        <f>IFERROR(INDEX('E-Banker master'!$F$2:$F$186,MATCH($A51,'E-Banker master'!$A$2:$A$186,0)),"")</f>
        <v/>
      </c>
      <c r="AB51">
        <f>IFERROR(INDEX('E-Banker master'!$G$2:$G$186,MATCH($A51,'E-Banker master'!$A$2:$A$186,0)),"")</f>
        <v/>
      </c>
      <c r="AC51" s="488">
        <f>IFERROR(INDEX('E-Banker master'!$I$2:$I$186,MATCH($A51,'E-Banker master'!$A$2:$A$186,0)),"")</f>
        <v/>
      </c>
      <c r="AD51" s="487">
        <f>IFERROR(INDEX('E-Banker master'!$J$2:$J$186,MATCH($A51,'E-Banker master'!$A$2:$A$186,0)),"")</f>
        <v/>
      </c>
      <c r="AE51" s="487">
        <f>IFERROR(INDEX('E-Banker master'!$K$2:$K$186,MATCH($A51,'E-Banker master'!$A$2:$A$186,0)),"")</f>
        <v/>
      </c>
      <c r="AF51">
        <f>IFERROR(INDEX('E-Banker master'!$L$2:$L$186,MATCH($A51,'E-Banker master'!$A$2:$A$186,0)),"")</f>
        <v/>
      </c>
      <c r="AG51">
        <f>IFERROR(INDEX('E-Banker master'!$M$2:$M$186,MATCH($A51,'E-Banker master'!$A$2:$A$186,0)),"")</f>
        <v/>
      </c>
      <c r="AH51" s="488">
        <f>IFERROR(INDEX('E-Banker master'!$N$2:$N$186,MATCH($A51,'E-Banker master'!$A$2:$A$186,0)),"")</f>
        <v/>
      </c>
      <c r="AI51" s="488">
        <f>IFERROR(INDEX('E-Banker master'!$O$2:$O$186,MATCH($A51,'E-Banker master'!$A$2:$A$186,0)),"")</f>
        <v/>
      </c>
      <c r="AJ51" s="488">
        <f>IFERROR(INDEX('E-Banker master'!$P$2:$P$186,MATCH($A51,'E-Banker master'!$A$2:$A$186,0)),"")</f>
        <v/>
      </c>
      <c r="AK51" s="488">
        <f>IF(OR(Q51="",AJ51=""),"",Q51-AJ51)</f>
        <v/>
      </c>
      <c r="AL51" t="n">
        <v>48</v>
      </c>
      <c r="AM51">
        <f>HYPERLINK("#'Amortisation and Repayments'!C2605","block 48")</f>
        <v/>
      </c>
      <c r="AN51">
        <f>'Mapping'!X51</f>
        <v/>
      </c>
      <c r="AO51" s="558" t="n"/>
      <c r="AP51" s="558" t="n"/>
      <c r="AQ51" s="558" t="n"/>
      <c r="AR51" s="559" t="n"/>
      <c r="AS51" s="560" t="n"/>
      <c r="AT51" s="560" t="n"/>
      <c r="AU51" s="561">
        <f>IF(COUNT(AO51:AQ51)=0,"",SUM(AO51:AQ51))</f>
        <v/>
      </c>
    </row>
    <row r="52">
      <c r="A52">
        <f>'Mapping'!J52</f>
        <v/>
      </c>
      <c r="B52">
        <f>'Mapping'!K52</f>
        <v/>
      </c>
      <c r="C52" t="n">
        <v>55</v>
      </c>
      <c r="D52">
        <f>'Loan Book'!E55</f>
        <v/>
      </c>
      <c r="E52">
        <f>'Loan Book'!F55</f>
        <v/>
      </c>
      <c r="F52" s="487">
        <f>'Loan Book'!G55</f>
        <v/>
      </c>
      <c r="G52" s="487">
        <f>'Loan Book'!H55</f>
        <v/>
      </c>
      <c r="H52">
        <f>'Loan Book'!I55</f>
        <v/>
      </c>
      <c r="I52">
        <f>'Loan Book'!J55</f>
        <v/>
      </c>
      <c r="J52">
        <f>IF('Loan Book'!K55="","",IF('Loan Book'!K55&lt;1,'Loan Book'!K55*100,'Loan Book'!K55))</f>
        <v/>
      </c>
      <c r="K52" s="488">
        <f>'Loan Book'!L55</f>
        <v/>
      </c>
      <c r="L52" s="488">
        <f>'Loan Book'!M55</f>
        <v/>
      </c>
      <c r="M52" s="488">
        <f>'Loan Book'!N55</f>
        <v/>
      </c>
      <c r="N52" s="488">
        <f>'Loan Book'!O55</f>
        <v/>
      </c>
      <c r="O52" s="488">
        <f>'Loan Book'!P55</f>
        <v/>
      </c>
      <c r="P52" s="488">
        <f>'Loan Book'!Q55</f>
        <v/>
      </c>
      <c r="Q52" s="488">
        <f>'Loan Book'!R55</f>
        <v/>
      </c>
      <c r="R52" s="488">
        <f>'Loan Book'!S55</f>
        <v/>
      </c>
      <c r="S52" s="488">
        <f>'Loan Book'!T55</f>
        <v/>
      </c>
      <c r="T52" s="488">
        <f>'Loan Book'!U55</f>
        <v/>
      </c>
      <c r="U52">
        <f>'Loan Book'!AC55</f>
        <v/>
      </c>
      <c r="V52">
        <f>'Loan Book'!AE55</f>
        <v/>
      </c>
      <c r="W52">
        <f>IFERROR(INDEX('E-Banker master'!$B$2:$B$186,MATCH($A52,'E-Banker master'!$A$2:$A$186,0)),"")</f>
        <v/>
      </c>
      <c r="X52">
        <f>IFERROR(INDEX('E-Banker master'!$C$2:$C$186,MATCH($A52,'E-Banker master'!$A$2:$A$186,0)),"")</f>
        <v/>
      </c>
      <c r="Y52">
        <f>IFERROR(INDEX('E-Banker master'!$D$2:$D$186,MATCH($A52,'E-Banker master'!$A$2:$A$186,0)),"")</f>
        <v/>
      </c>
      <c r="Z52">
        <f>IFERROR(INDEX('E-Banker master'!$E$2:$E$186,MATCH($A52,'E-Banker master'!$A$2:$A$186,0)),"")</f>
        <v/>
      </c>
      <c r="AA52">
        <f>IFERROR(INDEX('E-Banker master'!$F$2:$F$186,MATCH($A52,'E-Banker master'!$A$2:$A$186,0)),"")</f>
        <v/>
      </c>
      <c r="AB52">
        <f>IFERROR(INDEX('E-Banker master'!$G$2:$G$186,MATCH($A52,'E-Banker master'!$A$2:$A$186,0)),"")</f>
        <v/>
      </c>
      <c r="AC52" s="488">
        <f>IFERROR(INDEX('E-Banker master'!$I$2:$I$186,MATCH($A52,'E-Banker master'!$A$2:$A$186,0)),"")</f>
        <v/>
      </c>
      <c r="AD52" s="487">
        <f>IFERROR(INDEX('E-Banker master'!$J$2:$J$186,MATCH($A52,'E-Banker master'!$A$2:$A$186,0)),"")</f>
        <v/>
      </c>
      <c r="AE52" s="487">
        <f>IFERROR(INDEX('E-Banker master'!$K$2:$K$186,MATCH($A52,'E-Banker master'!$A$2:$A$186,0)),"")</f>
        <v/>
      </c>
      <c r="AF52">
        <f>IFERROR(INDEX('E-Banker master'!$L$2:$L$186,MATCH($A52,'E-Banker master'!$A$2:$A$186,0)),"")</f>
        <v/>
      </c>
      <c r="AG52">
        <f>IFERROR(INDEX('E-Banker master'!$M$2:$M$186,MATCH($A52,'E-Banker master'!$A$2:$A$186,0)),"")</f>
        <v/>
      </c>
      <c r="AH52" s="488">
        <f>IFERROR(INDEX('E-Banker master'!$N$2:$N$186,MATCH($A52,'E-Banker master'!$A$2:$A$186,0)),"")</f>
        <v/>
      </c>
      <c r="AI52" s="488">
        <f>IFERROR(INDEX('E-Banker master'!$O$2:$O$186,MATCH($A52,'E-Banker master'!$A$2:$A$186,0)),"")</f>
        <v/>
      </c>
      <c r="AJ52" s="488">
        <f>IFERROR(INDEX('E-Banker master'!$P$2:$P$186,MATCH($A52,'E-Banker master'!$A$2:$A$186,0)),"")</f>
        <v/>
      </c>
      <c r="AK52" s="488">
        <f>IF(OR(Q52="",AJ52=""),"",Q52-AJ52)</f>
        <v/>
      </c>
      <c r="AL52" t="n">
        <v>49</v>
      </c>
      <c r="AM52">
        <f>HYPERLINK("#'Amortisation and Repayments'!C2647","block 49")</f>
        <v/>
      </c>
      <c r="AN52">
        <f>'Mapping'!X52</f>
        <v/>
      </c>
      <c r="AO52" s="558" t="n"/>
      <c r="AP52" s="558" t="n"/>
      <c r="AQ52" s="558" t="n"/>
      <c r="AR52" s="559" t="n"/>
      <c r="AS52" s="560" t="n"/>
      <c r="AT52" s="560" t="n"/>
      <c r="AU52" s="561">
        <f>IF(COUNT(AO52:AQ52)=0,"",SUM(AO52:AQ52))</f>
        <v/>
      </c>
    </row>
    <row r="53">
      <c r="A53">
        <f>'Mapping'!J53</f>
        <v/>
      </c>
      <c r="B53">
        <f>'Mapping'!K53</f>
        <v/>
      </c>
      <c r="C53" t="n">
        <v>56</v>
      </c>
      <c r="D53">
        <f>'Loan Book'!E56</f>
        <v/>
      </c>
      <c r="E53">
        <f>'Loan Book'!F56</f>
        <v/>
      </c>
      <c r="F53" s="487">
        <f>'Loan Book'!G56</f>
        <v/>
      </c>
      <c r="G53" s="487">
        <f>'Loan Book'!H56</f>
        <v/>
      </c>
      <c r="H53">
        <f>'Loan Book'!I56</f>
        <v/>
      </c>
      <c r="I53">
        <f>'Loan Book'!J56</f>
        <v/>
      </c>
      <c r="J53">
        <f>IF('Loan Book'!K56="","",IF('Loan Book'!K56&lt;1,'Loan Book'!K56*100,'Loan Book'!K56))</f>
        <v/>
      </c>
      <c r="K53" s="488">
        <f>'Loan Book'!L56</f>
        <v/>
      </c>
      <c r="L53" s="488">
        <f>'Loan Book'!M56</f>
        <v/>
      </c>
      <c r="M53" s="488">
        <f>'Loan Book'!N56</f>
        <v/>
      </c>
      <c r="N53" s="488">
        <f>'Loan Book'!O56</f>
        <v/>
      </c>
      <c r="O53" s="488">
        <f>'Loan Book'!P56</f>
        <v/>
      </c>
      <c r="P53" s="488">
        <f>'Loan Book'!Q56</f>
        <v/>
      </c>
      <c r="Q53" s="488">
        <f>'Loan Book'!R56</f>
        <v/>
      </c>
      <c r="R53" s="488">
        <f>'Loan Book'!S56</f>
        <v/>
      </c>
      <c r="S53" s="488">
        <f>'Loan Book'!T56</f>
        <v/>
      </c>
      <c r="T53" s="488">
        <f>'Loan Book'!U56</f>
        <v/>
      </c>
      <c r="U53">
        <f>'Loan Book'!AC56</f>
        <v/>
      </c>
      <c r="V53">
        <f>'Loan Book'!AE56</f>
        <v/>
      </c>
      <c r="W53">
        <f>IFERROR(INDEX('E-Banker master'!$B$2:$B$186,MATCH($A53,'E-Banker master'!$A$2:$A$186,0)),"")</f>
        <v/>
      </c>
      <c r="X53">
        <f>IFERROR(INDEX('E-Banker master'!$C$2:$C$186,MATCH($A53,'E-Banker master'!$A$2:$A$186,0)),"")</f>
        <v/>
      </c>
      <c r="Y53">
        <f>IFERROR(INDEX('E-Banker master'!$D$2:$D$186,MATCH($A53,'E-Banker master'!$A$2:$A$186,0)),"")</f>
        <v/>
      </c>
      <c r="Z53">
        <f>IFERROR(INDEX('E-Banker master'!$E$2:$E$186,MATCH($A53,'E-Banker master'!$A$2:$A$186,0)),"")</f>
        <v/>
      </c>
      <c r="AA53">
        <f>IFERROR(INDEX('E-Banker master'!$F$2:$F$186,MATCH($A53,'E-Banker master'!$A$2:$A$186,0)),"")</f>
        <v/>
      </c>
      <c r="AB53">
        <f>IFERROR(INDEX('E-Banker master'!$G$2:$G$186,MATCH($A53,'E-Banker master'!$A$2:$A$186,0)),"")</f>
        <v/>
      </c>
      <c r="AC53" s="488">
        <f>IFERROR(INDEX('E-Banker master'!$I$2:$I$186,MATCH($A53,'E-Banker master'!$A$2:$A$186,0)),"")</f>
        <v/>
      </c>
      <c r="AD53" s="487">
        <f>IFERROR(INDEX('E-Banker master'!$J$2:$J$186,MATCH($A53,'E-Banker master'!$A$2:$A$186,0)),"")</f>
        <v/>
      </c>
      <c r="AE53" s="487">
        <f>IFERROR(INDEX('E-Banker master'!$K$2:$K$186,MATCH($A53,'E-Banker master'!$A$2:$A$186,0)),"")</f>
        <v/>
      </c>
      <c r="AF53">
        <f>IFERROR(INDEX('E-Banker master'!$L$2:$L$186,MATCH($A53,'E-Banker master'!$A$2:$A$186,0)),"")</f>
        <v/>
      </c>
      <c r="AG53">
        <f>IFERROR(INDEX('E-Banker master'!$M$2:$M$186,MATCH($A53,'E-Banker master'!$A$2:$A$186,0)),"")</f>
        <v/>
      </c>
      <c r="AH53" s="488">
        <f>IFERROR(INDEX('E-Banker master'!$N$2:$N$186,MATCH($A53,'E-Banker master'!$A$2:$A$186,0)),"")</f>
        <v/>
      </c>
      <c r="AI53" s="488">
        <f>IFERROR(INDEX('E-Banker master'!$O$2:$O$186,MATCH($A53,'E-Banker master'!$A$2:$A$186,0)),"")</f>
        <v/>
      </c>
      <c r="AJ53" s="488">
        <f>IFERROR(INDEX('E-Banker master'!$P$2:$P$186,MATCH($A53,'E-Banker master'!$A$2:$A$186,0)),"")</f>
        <v/>
      </c>
      <c r="AK53" s="488">
        <f>IF(OR(Q53="",AJ53=""),"",Q53-AJ53)</f>
        <v/>
      </c>
      <c r="AL53" t="n">
        <v>50</v>
      </c>
      <c r="AM53">
        <f>HYPERLINK("#'Amortisation and Repayments'!C2692","block 50")</f>
        <v/>
      </c>
      <c r="AN53">
        <f>'Mapping'!X53</f>
        <v/>
      </c>
      <c r="AO53" s="558" t="n"/>
      <c r="AP53" s="558" t="n"/>
      <c r="AQ53" s="558" t="n"/>
      <c r="AR53" s="559" t="n"/>
      <c r="AS53" s="560" t="n"/>
      <c r="AT53" s="560" t="n"/>
      <c r="AU53" s="561">
        <f>IF(COUNT(AO53:AQ53)=0,"",SUM(AO53:AQ53))</f>
        <v/>
      </c>
    </row>
    <row r="54">
      <c r="A54">
        <f>'Mapping'!J54</f>
        <v/>
      </c>
      <c r="B54">
        <f>'Mapping'!K54</f>
        <v/>
      </c>
      <c r="C54" t="n">
        <v>57</v>
      </c>
      <c r="D54">
        <f>'Loan Book'!E57</f>
        <v/>
      </c>
      <c r="E54">
        <f>'Loan Book'!F57</f>
        <v/>
      </c>
      <c r="F54" s="487">
        <f>'Loan Book'!G57</f>
        <v/>
      </c>
      <c r="G54" s="487">
        <f>'Loan Book'!H57</f>
        <v/>
      </c>
      <c r="H54">
        <f>'Loan Book'!I57</f>
        <v/>
      </c>
      <c r="I54">
        <f>'Loan Book'!J57</f>
        <v/>
      </c>
      <c r="J54">
        <f>IF('Loan Book'!K57="","",IF('Loan Book'!K57&lt;1,'Loan Book'!K57*100,'Loan Book'!K57))</f>
        <v/>
      </c>
      <c r="K54" s="488">
        <f>'Loan Book'!L57</f>
        <v/>
      </c>
      <c r="L54" s="488">
        <f>'Loan Book'!M57</f>
        <v/>
      </c>
      <c r="M54" s="488">
        <f>'Loan Book'!N57</f>
        <v/>
      </c>
      <c r="N54" s="488">
        <f>'Loan Book'!O57</f>
        <v/>
      </c>
      <c r="O54" s="488">
        <f>'Loan Book'!P57</f>
        <v/>
      </c>
      <c r="P54" s="488">
        <f>'Loan Book'!Q57</f>
        <v/>
      </c>
      <c r="Q54" s="488">
        <f>'Loan Book'!R57</f>
        <v/>
      </c>
      <c r="R54" s="488">
        <f>'Loan Book'!S57</f>
        <v/>
      </c>
      <c r="S54" s="488">
        <f>'Loan Book'!T57</f>
        <v/>
      </c>
      <c r="T54" s="488">
        <f>'Loan Book'!U57</f>
        <v/>
      </c>
      <c r="U54">
        <f>'Loan Book'!AC57</f>
        <v/>
      </c>
      <c r="V54">
        <f>'Loan Book'!AE57</f>
        <v/>
      </c>
      <c r="W54">
        <f>IFERROR(INDEX('E-Banker master'!$B$2:$B$186,MATCH($A54,'E-Banker master'!$A$2:$A$186,0)),"")</f>
        <v/>
      </c>
      <c r="X54">
        <f>IFERROR(INDEX('E-Banker master'!$C$2:$C$186,MATCH($A54,'E-Banker master'!$A$2:$A$186,0)),"")</f>
        <v/>
      </c>
      <c r="Y54">
        <f>IFERROR(INDEX('E-Banker master'!$D$2:$D$186,MATCH($A54,'E-Banker master'!$A$2:$A$186,0)),"")</f>
        <v/>
      </c>
      <c r="Z54">
        <f>IFERROR(INDEX('E-Banker master'!$E$2:$E$186,MATCH($A54,'E-Banker master'!$A$2:$A$186,0)),"")</f>
        <v/>
      </c>
      <c r="AA54">
        <f>IFERROR(INDEX('E-Banker master'!$F$2:$F$186,MATCH($A54,'E-Banker master'!$A$2:$A$186,0)),"")</f>
        <v/>
      </c>
      <c r="AB54">
        <f>IFERROR(INDEX('E-Banker master'!$G$2:$G$186,MATCH($A54,'E-Banker master'!$A$2:$A$186,0)),"")</f>
        <v/>
      </c>
      <c r="AC54" s="488">
        <f>IFERROR(INDEX('E-Banker master'!$I$2:$I$186,MATCH($A54,'E-Banker master'!$A$2:$A$186,0)),"")</f>
        <v/>
      </c>
      <c r="AD54" s="487">
        <f>IFERROR(INDEX('E-Banker master'!$J$2:$J$186,MATCH($A54,'E-Banker master'!$A$2:$A$186,0)),"")</f>
        <v/>
      </c>
      <c r="AE54" s="487">
        <f>IFERROR(INDEX('E-Banker master'!$K$2:$K$186,MATCH($A54,'E-Banker master'!$A$2:$A$186,0)),"")</f>
        <v/>
      </c>
      <c r="AF54">
        <f>IFERROR(INDEX('E-Banker master'!$L$2:$L$186,MATCH($A54,'E-Banker master'!$A$2:$A$186,0)),"")</f>
        <v/>
      </c>
      <c r="AG54">
        <f>IFERROR(INDEX('E-Banker master'!$M$2:$M$186,MATCH($A54,'E-Banker master'!$A$2:$A$186,0)),"")</f>
        <v/>
      </c>
      <c r="AH54" s="488">
        <f>IFERROR(INDEX('E-Banker master'!$N$2:$N$186,MATCH($A54,'E-Banker master'!$A$2:$A$186,0)),"")</f>
        <v/>
      </c>
      <c r="AI54" s="488">
        <f>IFERROR(INDEX('E-Banker master'!$O$2:$O$186,MATCH($A54,'E-Banker master'!$A$2:$A$186,0)),"")</f>
        <v/>
      </c>
      <c r="AJ54" s="488">
        <f>IFERROR(INDEX('E-Banker master'!$P$2:$P$186,MATCH($A54,'E-Banker master'!$A$2:$A$186,0)),"")</f>
        <v/>
      </c>
      <c r="AK54" s="488">
        <f>IF(OR(Q54="",AJ54=""),"",Q54-AJ54)</f>
        <v/>
      </c>
      <c r="AL54" t="n">
        <v>51</v>
      </c>
      <c r="AM54">
        <f>HYPERLINK("#'Amortisation and Repayments'!C2739","block 51")</f>
        <v/>
      </c>
      <c r="AN54">
        <f>'Mapping'!X54</f>
        <v/>
      </c>
      <c r="AO54" s="558" t="n"/>
      <c r="AP54" s="558" t="n"/>
      <c r="AQ54" s="558" t="n"/>
      <c r="AR54" s="559" t="n"/>
      <c r="AS54" s="560" t="n"/>
      <c r="AT54" s="560" t="n"/>
      <c r="AU54" s="561">
        <f>IF(COUNT(AO54:AQ54)=0,"",SUM(AO54:AQ54))</f>
        <v/>
      </c>
    </row>
    <row r="55">
      <c r="A55">
        <f>'Mapping'!J55</f>
        <v/>
      </c>
      <c r="B55">
        <f>'Mapping'!K55</f>
        <v/>
      </c>
      <c r="C55" t="n">
        <v>58</v>
      </c>
      <c r="D55">
        <f>'Loan Book'!E58</f>
        <v/>
      </c>
      <c r="E55">
        <f>'Loan Book'!F58</f>
        <v/>
      </c>
      <c r="F55" s="487">
        <f>'Loan Book'!G58</f>
        <v/>
      </c>
      <c r="G55" s="487">
        <f>'Loan Book'!H58</f>
        <v/>
      </c>
      <c r="H55">
        <f>'Loan Book'!I58</f>
        <v/>
      </c>
      <c r="I55">
        <f>'Loan Book'!J58</f>
        <v/>
      </c>
      <c r="J55">
        <f>IF('Loan Book'!K58="","",IF('Loan Book'!K58&lt;1,'Loan Book'!K58*100,'Loan Book'!K58))</f>
        <v/>
      </c>
      <c r="K55" s="488">
        <f>'Loan Book'!L58</f>
        <v/>
      </c>
      <c r="L55" s="488">
        <f>'Loan Book'!M58</f>
        <v/>
      </c>
      <c r="M55" s="488">
        <f>'Loan Book'!N58</f>
        <v/>
      </c>
      <c r="N55" s="488">
        <f>'Loan Book'!O58</f>
        <v/>
      </c>
      <c r="O55" s="488">
        <f>'Loan Book'!P58</f>
        <v/>
      </c>
      <c r="P55" s="488">
        <f>'Loan Book'!Q58</f>
        <v/>
      </c>
      <c r="Q55" s="488">
        <f>'Loan Book'!R58</f>
        <v/>
      </c>
      <c r="R55" s="488">
        <f>'Loan Book'!S58</f>
        <v/>
      </c>
      <c r="S55" s="488">
        <f>'Loan Book'!T58</f>
        <v/>
      </c>
      <c r="T55" s="488">
        <f>'Loan Book'!U58</f>
        <v/>
      </c>
      <c r="U55">
        <f>'Loan Book'!AC58</f>
        <v/>
      </c>
      <c r="V55">
        <f>'Loan Book'!AE58</f>
        <v/>
      </c>
      <c r="W55">
        <f>IFERROR(INDEX('E-Banker master'!$B$2:$B$186,MATCH($A55,'E-Banker master'!$A$2:$A$186,0)),"")</f>
        <v/>
      </c>
      <c r="X55">
        <f>IFERROR(INDEX('E-Banker master'!$C$2:$C$186,MATCH($A55,'E-Banker master'!$A$2:$A$186,0)),"")</f>
        <v/>
      </c>
      <c r="Y55">
        <f>IFERROR(INDEX('E-Banker master'!$D$2:$D$186,MATCH($A55,'E-Banker master'!$A$2:$A$186,0)),"")</f>
        <v/>
      </c>
      <c r="Z55">
        <f>IFERROR(INDEX('E-Banker master'!$E$2:$E$186,MATCH($A55,'E-Banker master'!$A$2:$A$186,0)),"")</f>
        <v/>
      </c>
      <c r="AA55">
        <f>IFERROR(INDEX('E-Banker master'!$F$2:$F$186,MATCH($A55,'E-Banker master'!$A$2:$A$186,0)),"")</f>
        <v/>
      </c>
      <c r="AB55">
        <f>IFERROR(INDEX('E-Banker master'!$G$2:$G$186,MATCH($A55,'E-Banker master'!$A$2:$A$186,0)),"")</f>
        <v/>
      </c>
      <c r="AC55" s="488">
        <f>IFERROR(INDEX('E-Banker master'!$I$2:$I$186,MATCH($A55,'E-Banker master'!$A$2:$A$186,0)),"")</f>
        <v/>
      </c>
      <c r="AD55" s="487">
        <f>IFERROR(INDEX('E-Banker master'!$J$2:$J$186,MATCH($A55,'E-Banker master'!$A$2:$A$186,0)),"")</f>
        <v/>
      </c>
      <c r="AE55" s="487">
        <f>IFERROR(INDEX('E-Banker master'!$K$2:$K$186,MATCH($A55,'E-Banker master'!$A$2:$A$186,0)),"")</f>
        <v/>
      </c>
      <c r="AF55">
        <f>IFERROR(INDEX('E-Banker master'!$L$2:$L$186,MATCH($A55,'E-Banker master'!$A$2:$A$186,0)),"")</f>
        <v/>
      </c>
      <c r="AG55">
        <f>IFERROR(INDEX('E-Banker master'!$M$2:$M$186,MATCH($A55,'E-Banker master'!$A$2:$A$186,0)),"")</f>
        <v/>
      </c>
      <c r="AH55" s="488">
        <f>IFERROR(INDEX('E-Banker master'!$N$2:$N$186,MATCH($A55,'E-Banker master'!$A$2:$A$186,0)),"")</f>
        <v/>
      </c>
      <c r="AI55" s="488">
        <f>IFERROR(INDEX('E-Banker master'!$O$2:$O$186,MATCH($A55,'E-Banker master'!$A$2:$A$186,0)),"")</f>
        <v/>
      </c>
      <c r="AJ55" s="488">
        <f>IFERROR(INDEX('E-Banker master'!$P$2:$P$186,MATCH($A55,'E-Banker master'!$A$2:$A$186,0)),"")</f>
        <v/>
      </c>
      <c r="AK55" s="488">
        <f>IF(OR(Q55="",AJ55=""),"",Q55-AJ55)</f>
        <v/>
      </c>
      <c r="AL55" t="n">
        <v>52</v>
      </c>
      <c r="AM55">
        <f>HYPERLINK("#'Amortisation and Repayments'!C2809","block 52")</f>
        <v/>
      </c>
      <c r="AN55">
        <f>'Mapping'!X55</f>
        <v/>
      </c>
      <c r="AO55" s="558" t="n"/>
      <c r="AP55" s="558" t="n"/>
      <c r="AQ55" s="558" t="n"/>
      <c r="AR55" s="559" t="n"/>
      <c r="AS55" s="560" t="n"/>
      <c r="AT55" s="560" t="n"/>
      <c r="AU55" s="561">
        <f>IF(COUNT(AO55:AQ55)=0,"",SUM(AO55:AQ55))</f>
        <v/>
      </c>
    </row>
    <row r="56">
      <c r="A56">
        <f>'Mapping'!J56</f>
        <v/>
      </c>
      <c r="B56">
        <f>'Mapping'!K56</f>
        <v/>
      </c>
      <c r="C56" t="n">
        <v>59</v>
      </c>
      <c r="D56">
        <f>'Loan Book'!E59</f>
        <v/>
      </c>
      <c r="E56">
        <f>'Loan Book'!F59</f>
        <v/>
      </c>
      <c r="F56" s="487">
        <f>'Loan Book'!G59</f>
        <v/>
      </c>
      <c r="G56" s="487">
        <f>'Loan Book'!H59</f>
        <v/>
      </c>
      <c r="H56">
        <f>'Loan Book'!I59</f>
        <v/>
      </c>
      <c r="I56">
        <f>'Loan Book'!J59</f>
        <v/>
      </c>
      <c r="J56">
        <f>IF('Loan Book'!K59="","",IF('Loan Book'!K59&lt;1,'Loan Book'!K59*100,'Loan Book'!K59))</f>
        <v/>
      </c>
      <c r="K56" s="488">
        <f>'Loan Book'!L59</f>
        <v/>
      </c>
      <c r="L56" s="488">
        <f>'Loan Book'!M59</f>
        <v/>
      </c>
      <c r="M56" s="488">
        <f>'Loan Book'!N59</f>
        <v/>
      </c>
      <c r="N56" s="488">
        <f>'Loan Book'!O59</f>
        <v/>
      </c>
      <c r="O56" s="488">
        <f>'Loan Book'!P59</f>
        <v/>
      </c>
      <c r="P56" s="488">
        <f>'Loan Book'!Q59</f>
        <v/>
      </c>
      <c r="Q56" s="488">
        <f>'Loan Book'!R59</f>
        <v/>
      </c>
      <c r="R56" s="488">
        <f>'Loan Book'!S59</f>
        <v/>
      </c>
      <c r="S56" s="488">
        <f>'Loan Book'!T59</f>
        <v/>
      </c>
      <c r="T56" s="488">
        <f>'Loan Book'!U59</f>
        <v/>
      </c>
      <c r="U56">
        <f>'Loan Book'!AC59</f>
        <v/>
      </c>
      <c r="V56">
        <f>'Loan Book'!AE59</f>
        <v/>
      </c>
      <c r="W56">
        <f>IFERROR(INDEX('E-Banker master'!$B$2:$B$186,MATCH($A56,'E-Banker master'!$A$2:$A$186,0)),"")</f>
        <v/>
      </c>
      <c r="X56">
        <f>IFERROR(INDEX('E-Banker master'!$C$2:$C$186,MATCH($A56,'E-Banker master'!$A$2:$A$186,0)),"")</f>
        <v/>
      </c>
      <c r="Y56">
        <f>IFERROR(INDEX('E-Banker master'!$D$2:$D$186,MATCH($A56,'E-Banker master'!$A$2:$A$186,0)),"")</f>
        <v/>
      </c>
      <c r="Z56">
        <f>IFERROR(INDEX('E-Banker master'!$E$2:$E$186,MATCH($A56,'E-Banker master'!$A$2:$A$186,0)),"")</f>
        <v/>
      </c>
      <c r="AA56">
        <f>IFERROR(INDEX('E-Banker master'!$F$2:$F$186,MATCH($A56,'E-Banker master'!$A$2:$A$186,0)),"")</f>
        <v/>
      </c>
      <c r="AB56">
        <f>IFERROR(INDEX('E-Banker master'!$G$2:$G$186,MATCH($A56,'E-Banker master'!$A$2:$A$186,0)),"")</f>
        <v/>
      </c>
      <c r="AC56" s="488">
        <f>IFERROR(INDEX('E-Banker master'!$I$2:$I$186,MATCH($A56,'E-Banker master'!$A$2:$A$186,0)),"")</f>
        <v/>
      </c>
      <c r="AD56" s="487">
        <f>IFERROR(INDEX('E-Banker master'!$J$2:$J$186,MATCH($A56,'E-Banker master'!$A$2:$A$186,0)),"")</f>
        <v/>
      </c>
      <c r="AE56" s="487">
        <f>IFERROR(INDEX('E-Banker master'!$K$2:$K$186,MATCH($A56,'E-Banker master'!$A$2:$A$186,0)),"")</f>
        <v/>
      </c>
      <c r="AF56">
        <f>IFERROR(INDEX('E-Banker master'!$L$2:$L$186,MATCH($A56,'E-Banker master'!$A$2:$A$186,0)),"")</f>
        <v/>
      </c>
      <c r="AG56">
        <f>IFERROR(INDEX('E-Banker master'!$M$2:$M$186,MATCH($A56,'E-Banker master'!$A$2:$A$186,0)),"")</f>
        <v/>
      </c>
      <c r="AH56" s="488">
        <f>IFERROR(INDEX('E-Banker master'!$N$2:$N$186,MATCH($A56,'E-Banker master'!$A$2:$A$186,0)),"")</f>
        <v/>
      </c>
      <c r="AI56" s="488">
        <f>IFERROR(INDEX('E-Banker master'!$O$2:$O$186,MATCH($A56,'E-Banker master'!$A$2:$A$186,0)),"")</f>
        <v/>
      </c>
      <c r="AJ56" s="488">
        <f>IFERROR(INDEX('E-Banker master'!$P$2:$P$186,MATCH($A56,'E-Banker master'!$A$2:$A$186,0)),"")</f>
        <v/>
      </c>
      <c r="AK56" s="488">
        <f>IF(OR(Q56="",AJ56=""),"",Q56-AJ56)</f>
        <v/>
      </c>
      <c r="AL56" t="n">
        <v>53</v>
      </c>
      <c r="AM56">
        <f>HYPERLINK("#'Amortisation and Repayments'!C2864","block 53")</f>
        <v/>
      </c>
      <c r="AN56">
        <f>'Mapping'!X56</f>
        <v/>
      </c>
      <c r="AO56" s="558" t="n"/>
      <c r="AP56" s="558" t="n"/>
      <c r="AQ56" s="558" t="n"/>
      <c r="AR56" s="559" t="n"/>
      <c r="AS56" s="560" t="n"/>
      <c r="AT56" s="560" t="n"/>
      <c r="AU56" s="561">
        <f>IF(COUNT(AO56:AQ56)=0,"",SUM(AO56:AQ56))</f>
        <v/>
      </c>
    </row>
    <row r="57">
      <c r="A57">
        <f>'Mapping'!J57</f>
        <v/>
      </c>
      <c r="B57">
        <f>'Mapping'!K57</f>
        <v/>
      </c>
      <c r="C57" t="n">
        <v>60</v>
      </c>
      <c r="D57">
        <f>'Loan Book'!E60</f>
        <v/>
      </c>
      <c r="E57">
        <f>'Loan Book'!F60</f>
        <v/>
      </c>
      <c r="F57" s="487">
        <f>'Loan Book'!G60</f>
        <v/>
      </c>
      <c r="G57" s="487">
        <f>'Loan Book'!H60</f>
        <v/>
      </c>
      <c r="H57">
        <f>'Loan Book'!I60</f>
        <v/>
      </c>
      <c r="I57">
        <f>'Loan Book'!J60</f>
        <v/>
      </c>
      <c r="J57">
        <f>IF('Loan Book'!K60="","",IF('Loan Book'!K60&lt;1,'Loan Book'!K60*100,'Loan Book'!K60))</f>
        <v/>
      </c>
      <c r="K57" s="488">
        <f>'Loan Book'!L60</f>
        <v/>
      </c>
      <c r="L57" s="488">
        <f>'Loan Book'!M60</f>
        <v/>
      </c>
      <c r="M57" s="488">
        <f>'Loan Book'!N60</f>
        <v/>
      </c>
      <c r="N57" s="488">
        <f>'Loan Book'!O60</f>
        <v/>
      </c>
      <c r="O57" s="488">
        <f>'Loan Book'!P60</f>
        <v/>
      </c>
      <c r="P57" s="488">
        <f>'Loan Book'!Q60</f>
        <v/>
      </c>
      <c r="Q57" s="488">
        <f>'Loan Book'!R60</f>
        <v/>
      </c>
      <c r="R57" s="488">
        <f>'Loan Book'!S60</f>
        <v/>
      </c>
      <c r="S57" s="488">
        <f>'Loan Book'!T60</f>
        <v/>
      </c>
      <c r="T57" s="488">
        <f>'Loan Book'!U60</f>
        <v/>
      </c>
      <c r="U57">
        <f>'Loan Book'!AC60</f>
        <v/>
      </c>
      <c r="V57">
        <f>'Loan Book'!AE60</f>
        <v/>
      </c>
      <c r="W57">
        <f>IFERROR(INDEX('E-Banker master'!$B$2:$B$186,MATCH($A57,'E-Banker master'!$A$2:$A$186,0)),"")</f>
        <v/>
      </c>
      <c r="X57">
        <f>IFERROR(INDEX('E-Banker master'!$C$2:$C$186,MATCH($A57,'E-Banker master'!$A$2:$A$186,0)),"")</f>
        <v/>
      </c>
      <c r="Y57">
        <f>IFERROR(INDEX('E-Banker master'!$D$2:$D$186,MATCH($A57,'E-Banker master'!$A$2:$A$186,0)),"")</f>
        <v/>
      </c>
      <c r="Z57">
        <f>IFERROR(INDEX('E-Banker master'!$E$2:$E$186,MATCH($A57,'E-Banker master'!$A$2:$A$186,0)),"")</f>
        <v/>
      </c>
      <c r="AA57">
        <f>IFERROR(INDEX('E-Banker master'!$F$2:$F$186,MATCH($A57,'E-Banker master'!$A$2:$A$186,0)),"")</f>
        <v/>
      </c>
      <c r="AB57">
        <f>IFERROR(INDEX('E-Banker master'!$G$2:$G$186,MATCH($A57,'E-Banker master'!$A$2:$A$186,0)),"")</f>
        <v/>
      </c>
      <c r="AC57" s="488">
        <f>IFERROR(INDEX('E-Banker master'!$I$2:$I$186,MATCH($A57,'E-Banker master'!$A$2:$A$186,0)),"")</f>
        <v/>
      </c>
      <c r="AD57" s="487">
        <f>IFERROR(INDEX('E-Banker master'!$J$2:$J$186,MATCH($A57,'E-Banker master'!$A$2:$A$186,0)),"")</f>
        <v/>
      </c>
      <c r="AE57" s="487">
        <f>IFERROR(INDEX('E-Banker master'!$K$2:$K$186,MATCH($A57,'E-Banker master'!$A$2:$A$186,0)),"")</f>
        <v/>
      </c>
      <c r="AF57">
        <f>IFERROR(INDEX('E-Banker master'!$L$2:$L$186,MATCH($A57,'E-Banker master'!$A$2:$A$186,0)),"")</f>
        <v/>
      </c>
      <c r="AG57">
        <f>IFERROR(INDEX('E-Banker master'!$M$2:$M$186,MATCH($A57,'E-Banker master'!$A$2:$A$186,0)),"")</f>
        <v/>
      </c>
      <c r="AH57" s="488">
        <f>IFERROR(INDEX('E-Banker master'!$N$2:$N$186,MATCH($A57,'E-Banker master'!$A$2:$A$186,0)),"")</f>
        <v/>
      </c>
      <c r="AI57" s="488">
        <f>IFERROR(INDEX('E-Banker master'!$O$2:$O$186,MATCH($A57,'E-Banker master'!$A$2:$A$186,0)),"")</f>
        <v/>
      </c>
      <c r="AJ57" s="488">
        <f>IFERROR(INDEX('E-Banker master'!$P$2:$P$186,MATCH($A57,'E-Banker master'!$A$2:$A$186,0)),"")</f>
        <v/>
      </c>
      <c r="AK57" s="488">
        <f>IF(OR(Q57="",AJ57=""),"",Q57-AJ57)</f>
        <v/>
      </c>
      <c r="AL57" t="n">
        <v>54</v>
      </c>
      <c r="AM57">
        <f>HYPERLINK("#'Amortisation and Repayments'!C2930","block 54")</f>
        <v/>
      </c>
      <c r="AN57">
        <f>'Mapping'!X57</f>
        <v/>
      </c>
      <c r="AO57" s="558" t="n"/>
      <c r="AP57" s="558" t="n"/>
      <c r="AQ57" s="558" t="n"/>
      <c r="AR57" s="559" t="n"/>
      <c r="AS57" s="560" t="n"/>
      <c r="AT57" s="560" t="n"/>
      <c r="AU57" s="561">
        <f>IF(COUNT(AO57:AQ57)=0,"",SUM(AO57:AQ57))</f>
        <v/>
      </c>
    </row>
    <row r="58">
      <c r="A58">
        <f>'Mapping'!J58</f>
        <v/>
      </c>
      <c r="B58">
        <f>'Mapping'!K58</f>
        <v/>
      </c>
      <c r="C58" t="n">
        <v>61</v>
      </c>
      <c r="D58">
        <f>'Loan Book'!E61</f>
        <v/>
      </c>
      <c r="E58">
        <f>'Loan Book'!F61</f>
        <v/>
      </c>
      <c r="F58" s="487">
        <f>'Loan Book'!G61</f>
        <v/>
      </c>
      <c r="G58" s="487">
        <f>'Loan Book'!H61</f>
        <v/>
      </c>
      <c r="H58">
        <f>'Loan Book'!I61</f>
        <v/>
      </c>
      <c r="I58">
        <f>'Loan Book'!J61</f>
        <v/>
      </c>
      <c r="J58">
        <f>IF('Loan Book'!K61="","",IF('Loan Book'!K61&lt;1,'Loan Book'!K61*100,'Loan Book'!K61))</f>
        <v/>
      </c>
      <c r="K58" s="488">
        <f>'Loan Book'!L61</f>
        <v/>
      </c>
      <c r="L58" s="488">
        <f>'Loan Book'!M61</f>
        <v/>
      </c>
      <c r="M58" s="488">
        <f>'Loan Book'!N61</f>
        <v/>
      </c>
      <c r="N58" s="488">
        <f>'Loan Book'!O61</f>
        <v/>
      </c>
      <c r="O58" s="488">
        <f>'Loan Book'!P61</f>
        <v/>
      </c>
      <c r="P58" s="488">
        <f>'Loan Book'!Q61</f>
        <v/>
      </c>
      <c r="Q58" s="488">
        <f>'Loan Book'!R61</f>
        <v/>
      </c>
      <c r="R58" s="488">
        <f>'Loan Book'!S61</f>
        <v/>
      </c>
      <c r="S58" s="488">
        <f>'Loan Book'!T61</f>
        <v/>
      </c>
      <c r="T58" s="488">
        <f>'Loan Book'!U61</f>
        <v/>
      </c>
      <c r="U58">
        <f>'Loan Book'!AC61</f>
        <v/>
      </c>
      <c r="V58">
        <f>'Loan Book'!AE61</f>
        <v/>
      </c>
      <c r="W58">
        <f>IFERROR(INDEX('E-Banker master'!$B$2:$B$186,MATCH($A58,'E-Banker master'!$A$2:$A$186,0)),"")</f>
        <v/>
      </c>
      <c r="X58">
        <f>IFERROR(INDEX('E-Banker master'!$C$2:$C$186,MATCH($A58,'E-Banker master'!$A$2:$A$186,0)),"")</f>
        <v/>
      </c>
      <c r="Y58">
        <f>IFERROR(INDEX('E-Banker master'!$D$2:$D$186,MATCH($A58,'E-Banker master'!$A$2:$A$186,0)),"")</f>
        <v/>
      </c>
      <c r="Z58">
        <f>IFERROR(INDEX('E-Banker master'!$E$2:$E$186,MATCH($A58,'E-Banker master'!$A$2:$A$186,0)),"")</f>
        <v/>
      </c>
      <c r="AA58">
        <f>IFERROR(INDEX('E-Banker master'!$F$2:$F$186,MATCH($A58,'E-Banker master'!$A$2:$A$186,0)),"")</f>
        <v/>
      </c>
      <c r="AB58">
        <f>IFERROR(INDEX('E-Banker master'!$G$2:$G$186,MATCH($A58,'E-Banker master'!$A$2:$A$186,0)),"")</f>
        <v/>
      </c>
      <c r="AC58" s="488">
        <f>IFERROR(INDEX('E-Banker master'!$I$2:$I$186,MATCH($A58,'E-Banker master'!$A$2:$A$186,0)),"")</f>
        <v/>
      </c>
      <c r="AD58" s="487">
        <f>IFERROR(INDEX('E-Banker master'!$J$2:$J$186,MATCH($A58,'E-Banker master'!$A$2:$A$186,0)),"")</f>
        <v/>
      </c>
      <c r="AE58" s="487">
        <f>IFERROR(INDEX('E-Banker master'!$K$2:$K$186,MATCH($A58,'E-Banker master'!$A$2:$A$186,0)),"")</f>
        <v/>
      </c>
      <c r="AF58">
        <f>IFERROR(INDEX('E-Banker master'!$L$2:$L$186,MATCH($A58,'E-Banker master'!$A$2:$A$186,0)),"")</f>
        <v/>
      </c>
      <c r="AG58">
        <f>IFERROR(INDEX('E-Banker master'!$M$2:$M$186,MATCH($A58,'E-Banker master'!$A$2:$A$186,0)),"")</f>
        <v/>
      </c>
      <c r="AH58" s="488">
        <f>IFERROR(INDEX('E-Banker master'!$N$2:$N$186,MATCH($A58,'E-Banker master'!$A$2:$A$186,0)),"")</f>
        <v/>
      </c>
      <c r="AI58" s="488">
        <f>IFERROR(INDEX('E-Banker master'!$O$2:$O$186,MATCH($A58,'E-Banker master'!$A$2:$A$186,0)),"")</f>
        <v/>
      </c>
      <c r="AJ58" s="488">
        <f>IFERROR(INDEX('E-Banker master'!$P$2:$P$186,MATCH($A58,'E-Banker master'!$A$2:$A$186,0)),"")</f>
        <v/>
      </c>
      <c r="AK58" s="488">
        <f>IF(OR(Q58="",AJ58=""),"",Q58-AJ58)</f>
        <v/>
      </c>
      <c r="AN58">
        <f>'Mapping'!X58</f>
        <v/>
      </c>
      <c r="AO58" s="558" t="n"/>
      <c r="AP58" s="558" t="n"/>
      <c r="AQ58" s="558" t="n"/>
      <c r="AR58" s="559" t="n"/>
      <c r="AS58" s="560" t="n"/>
      <c r="AT58" s="560" t="n"/>
      <c r="AU58" s="561">
        <f>IF(COUNT(AO58:AQ58)=0,"",SUM(AO58:AQ58))</f>
        <v/>
      </c>
    </row>
    <row r="59">
      <c r="A59">
        <f>'Mapping'!J59</f>
        <v/>
      </c>
      <c r="B59">
        <f>'Mapping'!K59</f>
        <v/>
      </c>
      <c r="C59" t="n">
        <v>62</v>
      </c>
      <c r="D59">
        <f>'Loan Book'!E62</f>
        <v/>
      </c>
      <c r="E59">
        <f>'Loan Book'!F62</f>
        <v/>
      </c>
      <c r="F59" s="487">
        <f>'Loan Book'!G62</f>
        <v/>
      </c>
      <c r="G59" s="487">
        <f>'Loan Book'!H62</f>
        <v/>
      </c>
      <c r="H59">
        <f>'Loan Book'!I62</f>
        <v/>
      </c>
      <c r="I59">
        <f>'Loan Book'!J62</f>
        <v/>
      </c>
      <c r="J59">
        <f>IF('Loan Book'!K62="","",IF('Loan Book'!K62&lt;1,'Loan Book'!K62*100,'Loan Book'!K62))</f>
        <v/>
      </c>
      <c r="K59" s="488">
        <f>'Loan Book'!L62</f>
        <v/>
      </c>
      <c r="L59" s="488">
        <f>'Loan Book'!M62</f>
        <v/>
      </c>
      <c r="M59" s="488">
        <f>'Loan Book'!N62</f>
        <v/>
      </c>
      <c r="N59" s="488">
        <f>'Loan Book'!O62</f>
        <v/>
      </c>
      <c r="O59" s="488">
        <f>'Loan Book'!P62</f>
        <v/>
      </c>
      <c r="P59" s="488">
        <f>'Loan Book'!Q62</f>
        <v/>
      </c>
      <c r="Q59" s="488">
        <f>'Loan Book'!R62</f>
        <v/>
      </c>
      <c r="R59" s="488">
        <f>'Loan Book'!S62</f>
        <v/>
      </c>
      <c r="S59" s="488">
        <f>'Loan Book'!T62</f>
        <v/>
      </c>
      <c r="T59" s="488">
        <f>'Loan Book'!U62</f>
        <v/>
      </c>
      <c r="U59">
        <f>'Loan Book'!AC62</f>
        <v/>
      </c>
      <c r="V59">
        <f>'Loan Book'!AE62</f>
        <v/>
      </c>
      <c r="W59">
        <f>IFERROR(INDEX('E-Banker master'!$B$2:$B$186,MATCH($A59,'E-Banker master'!$A$2:$A$186,0)),"")</f>
        <v/>
      </c>
      <c r="X59">
        <f>IFERROR(INDEX('E-Banker master'!$C$2:$C$186,MATCH($A59,'E-Banker master'!$A$2:$A$186,0)),"")</f>
        <v/>
      </c>
      <c r="Y59">
        <f>IFERROR(INDEX('E-Banker master'!$D$2:$D$186,MATCH($A59,'E-Banker master'!$A$2:$A$186,0)),"")</f>
        <v/>
      </c>
      <c r="Z59">
        <f>IFERROR(INDEX('E-Banker master'!$E$2:$E$186,MATCH($A59,'E-Banker master'!$A$2:$A$186,0)),"")</f>
        <v/>
      </c>
      <c r="AA59">
        <f>IFERROR(INDEX('E-Banker master'!$F$2:$F$186,MATCH($A59,'E-Banker master'!$A$2:$A$186,0)),"")</f>
        <v/>
      </c>
      <c r="AB59">
        <f>IFERROR(INDEX('E-Banker master'!$G$2:$G$186,MATCH($A59,'E-Banker master'!$A$2:$A$186,0)),"")</f>
        <v/>
      </c>
      <c r="AC59" s="488">
        <f>IFERROR(INDEX('E-Banker master'!$I$2:$I$186,MATCH($A59,'E-Banker master'!$A$2:$A$186,0)),"")</f>
        <v/>
      </c>
      <c r="AD59" s="487">
        <f>IFERROR(INDEX('E-Banker master'!$J$2:$J$186,MATCH($A59,'E-Banker master'!$A$2:$A$186,0)),"")</f>
        <v/>
      </c>
      <c r="AE59" s="487">
        <f>IFERROR(INDEX('E-Banker master'!$K$2:$K$186,MATCH($A59,'E-Banker master'!$A$2:$A$186,0)),"")</f>
        <v/>
      </c>
      <c r="AF59">
        <f>IFERROR(INDEX('E-Banker master'!$L$2:$L$186,MATCH($A59,'E-Banker master'!$A$2:$A$186,0)),"")</f>
        <v/>
      </c>
      <c r="AG59">
        <f>IFERROR(INDEX('E-Banker master'!$M$2:$M$186,MATCH($A59,'E-Banker master'!$A$2:$A$186,0)),"")</f>
        <v/>
      </c>
      <c r="AH59" s="488">
        <f>IFERROR(INDEX('E-Banker master'!$N$2:$N$186,MATCH($A59,'E-Banker master'!$A$2:$A$186,0)),"")</f>
        <v/>
      </c>
      <c r="AI59" s="488">
        <f>IFERROR(INDEX('E-Banker master'!$O$2:$O$186,MATCH($A59,'E-Banker master'!$A$2:$A$186,0)),"")</f>
        <v/>
      </c>
      <c r="AJ59" s="488">
        <f>IFERROR(INDEX('E-Banker master'!$P$2:$P$186,MATCH($A59,'E-Banker master'!$A$2:$A$186,0)),"")</f>
        <v/>
      </c>
      <c r="AK59" s="488">
        <f>IF(OR(Q59="",AJ59=""),"",Q59-AJ59)</f>
        <v/>
      </c>
      <c r="AL59" t="n">
        <v>56</v>
      </c>
      <c r="AM59">
        <f>HYPERLINK("#'Amortisation and Repayments'!C3073","block 56")</f>
        <v/>
      </c>
      <c r="AN59">
        <f>'Mapping'!X59</f>
        <v/>
      </c>
      <c r="AO59" s="558" t="n"/>
      <c r="AP59" s="558" t="n"/>
      <c r="AQ59" s="558" t="n"/>
      <c r="AR59" s="559" t="n"/>
      <c r="AS59" s="560" t="n"/>
      <c r="AT59" s="560" t="n"/>
      <c r="AU59" s="561">
        <f>IF(COUNT(AO59:AQ59)=0,"",SUM(AO59:AQ59))</f>
        <v/>
      </c>
    </row>
    <row r="60">
      <c r="A60">
        <f>'Mapping'!J60</f>
        <v/>
      </c>
      <c r="B60">
        <f>'Mapping'!K60</f>
        <v/>
      </c>
      <c r="C60" t="n">
        <v>63</v>
      </c>
      <c r="D60">
        <f>'Loan Book'!E63</f>
        <v/>
      </c>
      <c r="E60">
        <f>'Loan Book'!F63</f>
        <v/>
      </c>
      <c r="F60" s="487">
        <f>'Loan Book'!G63</f>
        <v/>
      </c>
      <c r="G60" s="487">
        <f>'Loan Book'!H63</f>
        <v/>
      </c>
      <c r="H60">
        <f>'Loan Book'!I63</f>
        <v/>
      </c>
      <c r="I60">
        <f>'Loan Book'!J63</f>
        <v/>
      </c>
      <c r="J60">
        <f>IF('Loan Book'!K63="","",IF('Loan Book'!K63&lt;1,'Loan Book'!K63*100,'Loan Book'!K63))</f>
        <v/>
      </c>
      <c r="K60" s="488">
        <f>'Loan Book'!L63</f>
        <v/>
      </c>
      <c r="L60" s="488">
        <f>'Loan Book'!M63</f>
        <v/>
      </c>
      <c r="M60" s="488">
        <f>'Loan Book'!N63</f>
        <v/>
      </c>
      <c r="N60" s="488">
        <f>'Loan Book'!O63</f>
        <v/>
      </c>
      <c r="O60" s="488">
        <f>'Loan Book'!P63</f>
        <v/>
      </c>
      <c r="P60" s="488">
        <f>'Loan Book'!Q63</f>
        <v/>
      </c>
      <c r="Q60" s="488">
        <f>'Loan Book'!R63</f>
        <v/>
      </c>
      <c r="R60" s="488">
        <f>'Loan Book'!S63</f>
        <v/>
      </c>
      <c r="S60" s="488">
        <f>'Loan Book'!T63</f>
        <v/>
      </c>
      <c r="T60" s="488">
        <f>'Loan Book'!U63</f>
        <v/>
      </c>
      <c r="U60">
        <f>'Loan Book'!AC63</f>
        <v/>
      </c>
      <c r="V60">
        <f>'Loan Book'!AE63</f>
        <v/>
      </c>
      <c r="W60">
        <f>IFERROR(INDEX('E-Banker master'!$B$2:$B$186,MATCH($A60,'E-Banker master'!$A$2:$A$186,0)),"")</f>
        <v/>
      </c>
      <c r="X60">
        <f>IFERROR(INDEX('E-Banker master'!$C$2:$C$186,MATCH($A60,'E-Banker master'!$A$2:$A$186,0)),"")</f>
        <v/>
      </c>
      <c r="Y60">
        <f>IFERROR(INDEX('E-Banker master'!$D$2:$D$186,MATCH($A60,'E-Banker master'!$A$2:$A$186,0)),"")</f>
        <v/>
      </c>
      <c r="Z60">
        <f>IFERROR(INDEX('E-Banker master'!$E$2:$E$186,MATCH($A60,'E-Banker master'!$A$2:$A$186,0)),"")</f>
        <v/>
      </c>
      <c r="AA60">
        <f>IFERROR(INDEX('E-Banker master'!$F$2:$F$186,MATCH($A60,'E-Banker master'!$A$2:$A$186,0)),"")</f>
        <v/>
      </c>
      <c r="AB60">
        <f>IFERROR(INDEX('E-Banker master'!$G$2:$G$186,MATCH($A60,'E-Banker master'!$A$2:$A$186,0)),"")</f>
        <v/>
      </c>
      <c r="AC60" s="488">
        <f>IFERROR(INDEX('E-Banker master'!$I$2:$I$186,MATCH($A60,'E-Banker master'!$A$2:$A$186,0)),"")</f>
        <v/>
      </c>
      <c r="AD60" s="487">
        <f>IFERROR(INDEX('E-Banker master'!$J$2:$J$186,MATCH($A60,'E-Banker master'!$A$2:$A$186,0)),"")</f>
        <v/>
      </c>
      <c r="AE60" s="487">
        <f>IFERROR(INDEX('E-Banker master'!$K$2:$K$186,MATCH($A60,'E-Banker master'!$A$2:$A$186,0)),"")</f>
        <v/>
      </c>
      <c r="AF60">
        <f>IFERROR(INDEX('E-Banker master'!$L$2:$L$186,MATCH($A60,'E-Banker master'!$A$2:$A$186,0)),"")</f>
        <v/>
      </c>
      <c r="AG60">
        <f>IFERROR(INDEX('E-Banker master'!$M$2:$M$186,MATCH($A60,'E-Banker master'!$A$2:$A$186,0)),"")</f>
        <v/>
      </c>
      <c r="AH60" s="488">
        <f>IFERROR(INDEX('E-Banker master'!$N$2:$N$186,MATCH($A60,'E-Banker master'!$A$2:$A$186,0)),"")</f>
        <v/>
      </c>
      <c r="AI60" s="488">
        <f>IFERROR(INDEX('E-Banker master'!$O$2:$O$186,MATCH($A60,'E-Banker master'!$A$2:$A$186,0)),"")</f>
        <v/>
      </c>
      <c r="AJ60" s="488">
        <f>IFERROR(INDEX('E-Banker master'!$P$2:$P$186,MATCH($A60,'E-Banker master'!$A$2:$A$186,0)),"")</f>
        <v/>
      </c>
      <c r="AK60" s="488">
        <f>IF(OR(Q60="",AJ60=""),"",Q60-AJ60)</f>
        <v/>
      </c>
      <c r="AN60">
        <f>'Mapping'!X60</f>
        <v/>
      </c>
      <c r="AO60" s="558" t="n"/>
      <c r="AP60" s="558" t="n"/>
      <c r="AQ60" s="558" t="n"/>
      <c r="AR60" s="559" t="n"/>
      <c r="AS60" s="560" t="n"/>
      <c r="AT60" s="560" t="n"/>
      <c r="AU60" s="561">
        <f>IF(COUNT(AO60:AQ60)=0,"",SUM(AO60:AQ60))</f>
        <v/>
      </c>
    </row>
    <row r="61">
      <c r="A61">
        <f>'Mapping'!J61</f>
        <v/>
      </c>
      <c r="B61">
        <f>'Mapping'!K61</f>
        <v/>
      </c>
      <c r="C61" t="n">
        <v>64</v>
      </c>
      <c r="D61">
        <f>'Loan Book'!E64</f>
        <v/>
      </c>
      <c r="E61">
        <f>'Loan Book'!F64</f>
        <v/>
      </c>
      <c r="F61" s="487">
        <f>'Loan Book'!G64</f>
        <v/>
      </c>
      <c r="G61" s="487">
        <f>'Loan Book'!H64</f>
        <v/>
      </c>
      <c r="H61">
        <f>'Loan Book'!I64</f>
        <v/>
      </c>
      <c r="I61">
        <f>'Loan Book'!J64</f>
        <v/>
      </c>
      <c r="J61">
        <f>IF('Loan Book'!K64="","",IF('Loan Book'!K64&lt;1,'Loan Book'!K64*100,'Loan Book'!K64))</f>
        <v/>
      </c>
      <c r="K61" s="488">
        <f>'Loan Book'!L64</f>
        <v/>
      </c>
      <c r="L61" s="488">
        <f>'Loan Book'!M64</f>
        <v/>
      </c>
      <c r="M61" s="488">
        <f>'Loan Book'!N64</f>
        <v/>
      </c>
      <c r="N61" s="488">
        <f>'Loan Book'!O64</f>
        <v/>
      </c>
      <c r="O61" s="488">
        <f>'Loan Book'!P64</f>
        <v/>
      </c>
      <c r="P61" s="488">
        <f>'Loan Book'!Q64</f>
        <v/>
      </c>
      <c r="Q61" s="488">
        <f>'Loan Book'!R64</f>
        <v/>
      </c>
      <c r="R61" s="488">
        <f>'Loan Book'!S64</f>
        <v/>
      </c>
      <c r="S61" s="488">
        <f>'Loan Book'!T64</f>
        <v/>
      </c>
      <c r="T61" s="488">
        <f>'Loan Book'!U64</f>
        <v/>
      </c>
      <c r="U61">
        <f>'Loan Book'!AC64</f>
        <v/>
      </c>
      <c r="V61">
        <f>'Loan Book'!AE64</f>
        <v/>
      </c>
      <c r="W61">
        <f>IFERROR(INDEX('E-Banker master'!$B$2:$B$186,MATCH($A61,'E-Banker master'!$A$2:$A$186,0)),"")</f>
        <v/>
      </c>
      <c r="X61">
        <f>IFERROR(INDEX('E-Banker master'!$C$2:$C$186,MATCH($A61,'E-Banker master'!$A$2:$A$186,0)),"")</f>
        <v/>
      </c>
      <c r="Y61">
        <f>IFERROR(INDEX('E-Banker master'!$D$2:$D$186,MATCH($A61,'E-Banker master'!$A$2:$A$186,0)),"")</f>
        <v/>
      </c>
      <c r="Z61">
        <f>IFERROR(INDEX('E-Banker master'!$E$2:$E$186,MATCH($A61,'E-Banker master'!$A$2:$A$186,0)),"")</f>
        <v/>
      </c>
      <c r="AA61">
        <f>IFERROR(INDEX('E-Banker master'!$F$2:$F$186,MATCH($A61,'E-Banker master'!$A$2:$A$186,0)),"")</f>
        <v/>
      </c>
      <c r="AB61">
        <f>IFERROR(INDEX('E-Banker master'!$G$2:$G$186,MATCH($A61,'E-Banker master'!$A$2:$A$186,0)),"")</f>
        <v/>
      </c>
      <c r="AC61" s="488">
        <f>IFERROR(INDEX('E-Banker master'!$I$2:$I$186,MATCH($A61,'E-Banker master'!$A$2:$A$186,0)),"")</f>
        <v/>
      </c>
      <c r="AD61" s="487">
        <f>IFERROR(INDEX('E-Banker master'!$J$2:$J$186,MATCH($A61,'E-Banker master'!$A$2:$A$186,0)),"")</f>
        <v/>
      </c>
      <c r="AE61" s="487">
        <f>IFERROR(INDEX('E-Banker master'!$K$2:$K$186,MATCH($A61,'E-Banker master'!$A$2:$A$186,0)),"")</f>
        <v/>
      </c>
      <c r="AF61">
        <f>IFERROR(INDEX('E-Banker master'!$L$2:$L$186,MATCH($A61,'E-Banker master'!$A$2:$A$186,0)),"")</f>
        <v/>
      </c>
      <c r="AG61">
        <f>IFERROR(INDEX('E-Banker master'!$M$2:$M$186,MATCH($A61,'E-Banker master'!$A$2:$A$186,0)),"")</f>
        <v/>
      </c>
      <c r="AH61" s="488">
        <f>IFERROR(INDEX('E-Banker master'!$N$2:$N$186,MATCH($A61,'E-Banker master'!$A$2:$A$186,0)),"")</f>
        <v/>
      </c>
      <c r="AI61" s="488">
        <f>IFERROR(INDEX('E-Banker master'!$O$2:$O$186,MATCH($A61,'E-Banker master'!$A$2:$A$186,0)),"")</f>
        <v/>
      </c>
      <c r="AJ61" s="488">
        <f>IFERROR(INDEX('E-Banker master'!$P$2:$P$186,MATCH($A61,'E-Banker master'!$A$2:$A$186,0)),"")</f>
        <v/>
      </c>
      <c r="AK61" s="488">
        <f>IF(OR(Q61="",AJ61=""),"",Q61-AJ61)</f>
        <v/>
      </c>
      <c r="AL61" t="n">
        <v>57</v>
      </c>
      <c r="AM61">
        <f>HYPERLINK("#'Amortisation and Repayments'!C3157","block 57")</f>
        <v/>
      </c>
      <c r="AN61">
        <f>'Mapping'!X61</f>
        <v/>
      </c>
      <c r="AO61" s="558" t="n"/>
      <c r="AP61" s="558" t="n"/>
      <c r="AQ61" s="558" t="n"/>
      <c r="AR61" s="559" t="n"/>
      <c r="AS61" s="560" t="n"/>
      <c r="AT61" s="560" t="n"/>
      <c r="AU61" s="561">
        <f>IF(COUNT(AO61:AQ61)=0,"",SUM(AO61:AQ61))</f>
        <v/>
      </c>
    </row>
    <row r="62">
      <c r="A62">
        <f>'Mapping'!J62</f>
        <v/>
      </c>
      <c r="B62">
        <f>'Mapping'!K62</f>
        <v/>
      </c>
      <c r="C62" t="n">
        <v>65</v>
      </c>
      <c r="D62">
        <f>'Loan Book'!E65</f>
        <v/>
      </c>
      <c r="E62">
        <f>'Loan Book'!F65</f>
        <v/>
      </c>
      <c r="F62" s="487">
        <f>'Loan Book'!G65</f>
        <v/>
      </c>
      <c r="G62" s="487">
        <f>'Loan Book'!H65</f>
        <v/>
      </c>
      <c r="H62">
        <f>'Loan Book'!I65</f>
        <v/>
      </c>
      <c r="I62">
        <f>'Loan Book'!J65</f>
        <v/>
      </c>
      <c r="J62">
        <f>IF('Loan Book'!K65="","",IF('Loan Book'!K65&lt;1,'Loan Book'!K65*100,'Loan Book'!K65))</f>
        <v/>
      </c>
      <c r="K62" s="488">
        <f>'Loan Book'!L65</f>
        <v/>
      </c>
      <c r="L62" s="488">
        <f>'Loan Book'!M65</f>
        <v/>
      </c>
      <c r="M62" s="488">
        <f>'Loan Book'!N65</f>
        <v/>
      </c>
      <c r="N62" s="488">
        <f>'Loan Book'!O65</f>
        <v/>
      </c>
      <c r="O62" s="488">
        <f>'Loan Book'!P65</f>
        <v/>
      </c>
      <c r="P62" s="488">
        <f>'Loan Book'!Q65</f>
        <v/>
      </c>
      <c r="Q62" s="488">
        <f>'Loan Book'!R65</f>
        <v/>
      </c>
      <c r="R62" s="488">
        <f>'Loan Book'!S65</f>
        <v/>
      </c>
      <c r="S62" s="488">
        <f>'Loan Book'!T65</f>
        <v/>
      </c>
      <c r="T62" s="488">
        <f>'Loan Book'!U65</f>
        <v/>
      </c>
      <c r="U62">
        <f>'Loan Book'!AC65</f>
        <v/>
      </c>
      <c r="V62">
        <f>'Loan Book'!AE65</f>
        <v/>
      </c>
      <c r="W62">
        <f>IFERROR(INDEX('E-Banker master'!$B$2:$B$186,MATCH($A62,'E-Banker master'!$A$2:$A$186,0)),"")</f>
        <v/>
      </c>
      <c r="X62">
        <f>IFERROR(INDEX('E-Banker master'!$C$2:$C$186,MATCH($A62,'E-Banker master'!$A$2:$A$186,0)),"")</f>
        <v/>
      </c>
      <c r="Y62">
        <f>IFERROR(INDEX('E-Banker master'!$D$2:$D$186,MATCH($A62,'E-Banker master'!$A$2:$A$186,0)),"")</f>
        <v/>
      </c>
      <c r="Z62">
        <f>IFERROR(INDEX('E-Banker master'!$E$2:$E$186,MATCH($A62,'E-Banker master'!$A$2:$A$186,0)),"")</f>
        <v/>
      </c>
      <c r="AA62">
        <f>IFERROR(INDEX('E-Banker master'!$F$2:$F$186,MATCH($A62,'E-Banker master'!$A$2:$A$186,0)),"")</f>
        <v/>
      </c>
      <c r="AB62">
        <f>IFERROR(INDEX('E-Banker master'!$G$2:$G$186,MATCH($A62,'E-Banker master'!$A$2:$A$186,0)),"")</f>
        <v/>
      </c>
      <c r="AC62" s="488">
        <f>IFERROR(INDEX('E-Banker master'!$I$2:$I$186,MATCH($A62,'E-Banker master'!$A$2:$A$186,0)),"")</f>
        <v/>
      </c>
      <c r="AD62" s="487">
        <f>IFERROR(INDEX('E-Banker master'!$J$2:$J$186,MATCH($A62,'E-Banker master'!$A$2:$A$186,0)),"")</f>
        <v/>
      </c>
      <c r="AE62" s="487">
        <f>IFERROR(INDEX('E-Banker master'!$K$2:$K$186,MATCH($A62,'E-Banker master'!$A$2:$A$186,0)),"")</f>
        <v/>
      </c>
      <c r="AF62">
        <f>IFERROR(INDEX('E-Banker master'!$L$2:$L$186,MATCH($A62,'E-Banker master'!$A$2:$A$186,0)),"")</f>
        <v/>
      </c>
      <c r="AG62">
        <f>IFERROR(INDEX('E-Banker master'!$M$2:$M$186,MATCH($A62,'E-Banker master'!$A$2:$A$186,0)),"")</f>
        <v/>
      </c>
      <c r="AH62" s="488">
        <f>IFERROR(INDEX('E-Banker master'!$N$2:$N$186,MATCH($A62,'E-Banker master'!$A$2:$A$186,0)),"")</f>
        <v/>
      </c>
      <c r="AI62" s="488">
        <f>IFERROR(INDEX('E-Banker master'!$O$2:$O$186,MATCH($A62,'E-Banker master'!$A$2:$A$186,0)),"")</f>
        <v/>
      </c>
      <c r="AJ62" s="488">
        <f>IFERROR(INDEX('E-Banker master'!$P$2:$P$186,MATCH($A62,'E-Banker master'!$A$2:$A$186,0)),"")</f>
        <v/>
      </c>
      <c r="AK62" s="488">
        <f>IF(OR(Q62="",AJ62=""),"",Q62-AJ62)</f>
        <v/>
      </c>
      <c r="AL62" t="n">
        <v>58</v>
      </c>
      <c r="AM62">
        <f>HYPERLINK("#'Amortisation and Repayments'!C3235","block 58")</f>
        <v/>
      </c>
      <c r="AN62">
        <f>'Mapping'!X62</f>
        <v/>
      </c>
      <c r="AO62" s="558" t="n"/>
      <c r="AP62" s="558" t="n"/>
      <c r="AQ62" s="558" t="n"/>
      <c r="AR62" s="559" t="n"/>
      <c r="AS62" s="560" t="n"/>
      <c r="AT62" s="560" t="n"/>
      <c r="AU62" s="561">
        <f>IF(COUNT(AO62:AQ62)=0,"",SUM(AO62:AQ62))</f>
        <v/>
      </c>
    </row>
    <row r="63">
      <c r="A63">
        <f>'Mapping'!J63</f>
        <v/>
      </c>
      <c r="B63">
        <f>'Mapping'!K63</f>
        <v/>
      </c>
      <c r="C63" t="n">
        <v>66</v>
      </c>
      <c r="D63">
        <f>'Loan Book'!E66</f>
        <v/>
      </c>
      <c r="E63">
        <f>'Loan Book'!F66</f>
        <v/>
      </c>
      <c r="F63" s="487">
        <f>'Loan Book'!G66</f>
        <v/>
      </c>
      <c r="G63" s="487">
        <f>'Loan Book'!H66</f>
        <v/>
      </c>
      <c r="H63">
        <f>'Loan Book'!I66</f>
        <v/>
      </c>
      <c r="I63">
        <f>'Loan Book'!J66</f>
        <v/>
      </c>
      <c r="J63">
        <f>IF('Loan Book'!K66="","",IF('Loan Book'!K66&lt;1,'Loan Book'!K66*100,'Loan Book'!K66))</f>
        <v/>
      </c>
      <c r="K63" s="488">
        <f>'Loan Book'!L66</f>
        <v/>
      </c>
      <c r="L63" s="488">
        <f>'Loan Book'!M66</f>
        <v/>
      </c>
      <c r="M63" s="488">
        <f>'Loan Book'!N66</f>
        <v/>
      </c>
      <c r="N63" s="488">
        <f>'Loan Book'!O66</f>
        <v/>
      </c>
      <c r="O63" s="488">
        <f>'Loan Book'!P66</f>
        <v/>
      </c>
      <c r="P63" s="488">
        <f>'Loan Book'!Q66</f>
        <v/>
      </c>
      <c r="Q63" s="488">
        <f>'Loan Book'!R66</f>
        <v/>
      </c>
      <c r="R63" s="488">
        <f>'Loan Book'!S66</f>
        <v/>
      </c>
      <c r="S63" s="488">
        <f>'Loan Book'!T66</f>
        <v/>
      </c>
      <c r="T63" s="488">
        <f>'Loan Book'!U66</f>
        <v/>
      </c>
      <c r="U63">
        <f>'Loan Book'!AC66</f>
        <v/>
      </c>
      <c r="V63">
        <f>'Loan Book'!AE66</f>
        <v/>
      </c>
      <c r="W63">
        <f>IFERROR(INDEX('E-Banker master'!$B$2:$B$186,MATCH($A63,'E-Banker master'!$A$2:$A$186,0)),"")</f>
        <v/>
      </c>
      <c r="X63">
        <f>IFERROR(INDEX('E-Banker master'!$C$2:$C$186,MATCH($A63,'E-Banker master'!$A$2:$A$186,0)),"")</f>
        <v/>
      </c>
      <c r="Y63">
        <f>IFERROR(INDEX('E-Banker master'!$D$2:$D$186,MATCH($A63,'E-Banker master'!$A$2:$A$186,0)),"")</f>
        <v/>
      </c>
      <c r="Z63">
        <f>IFERROR(INDEX('E-Banker master'!$E$2:$E$186,MATCH($A63,'E-Banker master'!$A$2:$A$186,0)),"")</f>
        <v/>
      </c>
      <c r="AA63">
        <f>IFERROR(INDEX('E-Banker master'!$F$2:$F$186,MATCH($A63,'E-Banker master'!$A$2:$A$186,0)),"")</f>
        <v/>
      </c>
      <c r="AB63">
        <f>IFERROR(INDEX('E-Banker master'!$G$2:$G$186,MATCH($A63,'E-Banker master'!$A$2:$A$186,0)),"")</f>
        <v/>
      </c>
      <c r="AC63" s="488">
        <f>IFERROR(INDEX('E-Banker master'!$I$2:$I$186,MATCH($A63,'E-Banker master'!$A$2:$A$186,0)),"")</f>
        <v/>
      </c>
      <c r="AD63" s="487">
        <f>IFERROR(INDEX('E-Banker master'!$J$2:$J$186,MATCH($A63,'E-Banker master'!$A$2:$A$186,0)),"")</f>
        <v/>
      </c>
      <c r="AE63" s="487">
        <f>IFERROR(INDEX('E-Banker master'!$K$2:$K$186,MATCH($A63,'E-Banker master'!$A$2:$A$186,0)),"")</f>
        <v/>
      </c>
      <c r="AF63">
        <f>IFERROR(INDEX('E-Banker master'!$L$2:$L$186,MATCH($A63,'E-Banker master'!$A$2:$A$186,0)),"")</f>
        <v/>
      </c>
      <c r="AG63">
        <f>IFERROR(INDEX('E-Banker master'!$M$2:$M$186,MATCH($A63,'E-Banker master'!$A$2:$A$186,0)),"")</f>
        <v/>
      </c>
      <c r="AH63" s="488">
        <f>IFERROR(INDEX('E-Banker master'!$N$2:$N$186,MATCH($A63,'E-Banker master'!$A$2:$A$186,0)),"")</f>
        <v/>
      </c>
      <c r="AI63" s="488">
        <f>IFERROR(INDEX('E-Banker master'!$O$2:$O$186,MATCH($A63,'E-Banker master'!$A$2:$A$186,0)),"")</f>
        <v/>
      </c>
      <c r="AJ63" s="488">
        <f>IFERROR(INDEX('E-Banker master'!$P$2:$P$186,MATCH($A63,'E-Banker master'!$A$2:$A$186,0)),"")</f>
        <v/>
      </c>
      <c r="AK63" s="488">
        <f>IF(OR(Q63="",AJ63=""),"",Q63-AJ63)</f>
        <v/>
      </c>
      <c r="AL63" t="n">
        <v>59</v>
      </c>
      <c r="AM63">
        <f>HYPERLINK("#'Amortisation and Repayments'!C3264","block 59")</f>
        <v/>
      </c>
      <c r="AN63">
        <f>'Mapping'!X63</f>
        <v/>
      </c>
      <c r="AO63" s="558" t="n"/>
      <c r="AP63" s="558" t="n"/>
      <c r="AQ63" s="558" t="n"/>
      <c r="AR63" s="559" t="n"/>
      <c r="AS63" s="560" t="n"/>
      <c r="AT63" s="560" t="n"/>
      <c r="AU63" s="561">
        <f>IF(COUNT(AO63:AQ63)=0,"",SUM(AO63:AQ63))</f>
        <v/>
      </c>
    </row>
    <row r="64">
      <c r="A64">
        <f>'Mapping'!J64</f>
        <v/>
      </c>
      <c r="B64">
        <f>'Mapping'!K64</f>
        <v/>
      </c>
      <c r="C64" t="n">
        <v>67</v>
      </c>
      <c r="D64">
        <f>'Loan Book'!E67</f>
        <v/>
      </c>
      <c r="E64">
        <f>'Loan Book'!F67</f>
        <v/>
      </c>
      <c r="F64" s="487">
        <f>'Loan Book'!G67</f>
        <v/>
      </c>
      <c r="G64" s="487">
        <f>'Loan Book'!H67</f>
        <v/>
      </c>
      <c r="H64">
        <f>'Loan Book'!I67</f>
        <v/>
      </c>
      <c r="I64">
        <f>'Loan Book'!J67</f>
        <v/>
      </c>
      <c r="J64">
        <f>IF('Loan Book'!K67="","",IF('Loan Book'!K67&lt;1,'Loan Book'!K67*100,'Loan Book'!K67))</f>
        <v/>
      </c>
      <c r="K64" s="488">
        <f>'Loan Book'!L67</f>
        <v/>
      </c>
      <c r="L64" s="488">
        <f>'Loan Book'!M67</f>
        <v/>
      </c>
      <c r="M64" s="488">
        <f>'Loan Book'!N67</f>
        <v/>
      </c>
      <c r="N64" s="488">
        <f>'Loan Book'!O67</f>
        <v/>
      </c>
      <c r="O64" s="488">
        <f>'Loan Book'!P67</f>
        <v/>
      </c>
      <c r="P64" s="488">
        <f>'Loan Book'!Q67</f>
        <v/>
      </c>
      <c r="Q64" s="488">
        <f>'Loan Book'!R67</f>
        <v/>
      </c>
      <c r="R64" s="488">
        <f>'Loan Book'!S67</f>
        <v/>
      </c>
      <c r="S64" s="488">
        <f>'Loan Book'!T67</f>
        <v/>
      </c>
      <c r="T64" s="488">
        <f>'Loan Book'!U67</f>
        <v/>
      </c>
      <c r="U64">
        <f>'Loan Book'!AC67</f>
        <v/>
      </c>
      <c r="V64">
        <f>'Loan Book'!AE67</f>
        <v/>
      </c>
      <c r="W64">
        <f>IFERROR(INDEX('E-Banker master'!$B$2:$B$186,MATCH($A64,'E-Banker master'!$A$2:$A$186,0)),"")</f>
        <v/>
      </c>
      <c r="X64">
        <f>IFERROR(INDEX('E-Banker master'!$C$2:$C$186,MATCH($A64,'E-Banker master'!$A$2:$A$186,0)),"")</f>
        <v/>
      </c>
      <c r="Y64">
        <f>IFERROR(INDEX('E-Banker master'!$D$2:$D$186,MATCH($A64,'E-Banker master'!$A$2:$A$186,0)),"")</f>
        <v/>
      </c>
      <c r="Z64">
        <f>IFERROR(INDEX('E-Banker master'!$E$2:$E$186,MATCH($A64,'E-Banker master'!$A$2:$A$186,0)),"")</f>
        <v/>
      </c>
      <c r="AA64">
        <f>IFERROR(INDEX('E-Banker master'!$F$2:$F$186,MATCH($A64,'E-Banker master'!$A$2:$A$186,0)),"")</f>
        <v/>
      </c>
      <c r="AB64">
        <f>IFERROR(INDEX('E-Banker master'!$G$2:$G$186,MATCH($A64,'E-Banker master'!$A$2:$A$186,0)),"")</f>
        <v/>
      </c>
      <c r="AC64" s="488">
        <f>IFERROR(INDEX('E-Banker master'!$I$2:$I$186,MATCH($A64,'E-Banker master'!$A$2:$A$186,0)),"")</f>
        <v/>
      </c>
      <c r="AD64" s="487">
        <f>IFERROR(INDEX('E-Banker master'!$J$2:$J$186,MATCH($A64,'E-Banker master'!$A$2:$A$186,0)),"")</f>
        <v/>
      </c>
      <c r="AE64" s="487">
        <f>IFERROR(INDEX('E-Banker master'!$K$2:$K$186,MATCH($A64,'E-Banker master'!$A$2:$A$186,0)),"")</f>
        <v/>
      </c>
      <c r="AF64">
        <f>IFERROR(INDEX('E-Banker master'!$L$2:$L$186,MATCH($A64,'E-Banker master'!$A$2:$A$186,0)),"")</f>
        <v/>
      </c>
      <c r="AG64">
        <f>IFERROR(INDEX('E-Banker master'!$M$2:$M$186,MATCH($A64,'E-Banker master'!$A$2:$A$186,0)),"")</f>
        <v/>
      </c>
      <c r="AH64" s="488">
        <f>IFERROR(INDEX('E-Banker master'!$N$2:$N$186,MATCH($A64,'E-Banker master'!$A$2:$A$186,0)),"")</f>
        <v/>
      </c>
      <c r="AI64" s="488">
        <f>IFERROR(INDEX('E-Banker master'!$O$2:$O$186,MATCH($A64,'E-Banker master'!$A$2:$A$186,0)),"")</f>
        <v/>
      </c>
      <c r="AJ64" s="488">
        <f>IFERROR(INDEX('E-Banker master'!$P$2:$P$186,MATCH($A64,'E-Banker master'!$A$2:$A$186,0)),"")</f>
        <v/>
      </c>
      <c r="AK64" s="488">
        <f>IF(OR(Q64="",AJ64=""),"",Q64-AJ64)</f>
        <v/>
      </c>
      <c r="AL64" t="n">
        <v>60</v>
      </c>
      <c r="AM64">
        <f>HYPERLINK("#'Amortisation and Repayments'!C3304","block 60")</f>
        <v/>
      </c>
      <c r="AN64">
        <f>'Mapping'!X64</f>
        <v/>
      </c>
      <c r="AO64" s="558" t="n"/>
      <c r="AP64" s="558" t="n"/>
      <c r="AQ64" s="558" t="n"/>
      <c r="AR64" s="559" t="n"/>
      <c r="AS64" s="560" t="n"/>
      <c r="AT64" s="560" t="n"/>
      <c r="AU64" s="561">
        <f>IF(COUNT(AO64:AQ64)=0,"",SUM(AO64:AQ64))</f>
        <v/>
      </c>
    </row>
    <row r="65">
      <c r="A65">
        <f>'Mapping'!J65</f>
        <v/>
      </c>
      <c r="B65">
        <f>'Mapping'!K65</f>
        <v/>
      </c>
      <c r="C65" t="n">
        <v>68</v>
      </c>
      <c r="D65">
        <f>'Loan Book'!E68</f>
        <v/>
      </c>
      <c r="E65">
        <f>'Loan Book'!F68</f>
        <v/>
      </c>
      <c r="F65" s="487">
        <f>'Loan Book'!G68</f>
        <v/>
      </c>
      <c r="G65" s="487">
        <f>'Loan Book'!H68</f>
        <v/>
      </c>
      <c r="H65">
        <f>'Loan Book'!I68</f>
        <v/>
      </c>
      <c r="I65">
        <f>'Loan Book'!J68</f>
        <v/>
      </c>
      <c r="J65">
        <f>IF('Loan Book'!K68="","",IF('Loan Book'!K68&lt;1,'Loan Book'!K68*100,'Loan Book'!K68))</f>
        <v/>
      </c>
      <c r="K65" s="488">
        <f>'Loan Book'!L68</f>
        <v/>
      </c>
      <c r="L65" s="488">
        <f>'Loan Book'!M68</f>
        <v/>
      </c>
      <c r="M65" s="488">
        <f>'Loan Book'!N68</f>
        <v/>
      </c>
      <c r="N65" s="488">
        <f>'Loan Book'!O68</f>
        <v/>
      </c>
      <c r="O65" s="488">
        <f>'Loan Book'!P68</f>
        <v/>
      </c>
      <c r="P65" s="488">
        <f>'Loan Book'!Q68</f>
        <v/>
      </c>
      <c r="Q65" s="488">
        <f>'Loan Book'!R68</f>
        <v/>
      </c>
      <c r="R65" s="488">
        <f>'Loan Book'!S68</f>
        <v/>
      </c>
      <c r="S65" s="488">
        <f>'Loan Book'!T68</f>
        <v/>
      </c>
      <c r="T65" s="488">
        <f>'Loan Book'!U68</f>
        <v/>
      </c>
      <c r="U65">
        <f>'Loan Book'!AC68</f>
        <v/>
      </c>
      <c r="V65">
        <f>'Loan Book'!AE68</f>
        <v/>
      </c>
      <c r="W65">
        <f>IFERROR(INDEX('E-Banker master'!$B$2:$B$186,MATCH($A65,'E-Banker master'!$A$2:$A$186,0)),"")</f>
        <v/>
      </c>
      <c r="X65">
        <f>IFERROR(INDEX('E-Banker master'!$C$2:$C$186,MATCH($A65,'E-Banker master'!$A$2:$A$186,0)),"")</f>
        <v/>
      </c>
      <c r="Y65">
        <f>IFERROR(INDEX('E-Banker master'!$D$2:$D$186,MATCH($A65,'E-Banker master'!$A$2:$A$186,0)),"")</f>
        <v/>
      </c>
      <c r="Z65">
        <f>IFERROR(INDEX('E-Banker master'!$E$2:$E$186,MATCH($A65,'E-Banker master'!$A$2:$A$186,0)),"")</f>
        <v/>
      </c>
      <c r="AA65">
        <f>IFERROR(INDEX('E-Banker master'!$F$2:$F$186,MATCH($A65,'E-Banker master'!$A$2:$A$186,0)),"")</f>
        <v/>
      </c>
      <c r="AB65">
        <f>IFERROR(INDEX('E-Banker master'!$G$2:$G$186,MATCH($A65,'E-Banker master'!$A$2:$A$186,0)),"")</f>
        <v/>
      </c>
      <c r="AC65" s="488">
        <f>IFERROR(INDEX('E-Banker master'!$I$2:$I$186,MATCH($A65,'E-Banker master'!$A$2:$A$186,0)),"")</f>
        <v/>
      </c>
      <c r="AD65" s="487">
        <f>IFERROR(INDEX('E-Banker master'!$J$2:$J$186,MATCH($A65,'E-Banker master'!$A$2:$A$186,0)),"")</f>
        <v/>
      </c>
      <c r="AE65" s="487">
        <f>IFERROR(INDEX('E-Banker master'!$K$2:$K$186,MATCH($A65,'E-Banker master'!$A$2:$A$186,0)),"")</f>
        <v/>
      </c>
      <c r="AF65">
        <f>IFERROR(INDEX('E-Banker master'!$L$2:$L$186,MATCH($A65,'E-Banker master'!$A$2:$A$186,0)),"")</f>
        <v/>
      </c>
      <c r="AG65">
        <f>IFERROR(INDEX('E-Banker master'!$M$2:$M$186,MATCH($A65,'E-Banker master'!$A$2:$A$186,0)),"")</f>
        <v/>
      </c>
      <c r="AH65" s="488">
        <f>IFERROR(INDEX('E-Banker master'!$N$2:$N$186,MATCH($A65,'E-Banker master'!$A$2:$A$186,0)),"")</f>
        <v/>
      </c>
      <c r="AI65" s="488">
        <f>IFERROR(INDEX('E-Banker master'!$O$2:$O$186,MATCH($A65,'E-Banker master'!$A$2:$A$186,0)),"")</f>
        <v/>
      </c>
      <c r="AJ65" s="488">
        <f>IFERROR(INDEX('E-Banker master'!$P$2:$P$186,MATCH($A65,'E-Banker master'!$A$2:$A$186,0)),"")</f>
        <v/>
      </c>
      <c r="AK65" s="488">
        <f>IF(OR(Q65="",AJ65=""),"",Q65-AJ65)</f>
        <v/>
      </c>
      <c r="AL65" t="n">
        <v>61</v>
      </c>
      <c r="AM65">
        <f>HYPERLINK("#'Amortisation and Repayments'!C3370","block 61")</f>
        <v/>
      </c>
      <c r="AN65">
        <f>'Mapping'!X65</f>
        <v/>
      </c>
      <c r="AO65" s="558" t="n"/>
      <c r="AP65" s="558" t="n"/>
      <c r="AQ65" s="558" t="n"/>
      <c r="AR65" s="559" t="n"/>
      <c r="AS65" s="560" t="n"/>
      <c r="AT65" s="560" t="n"/>
      <c r="AU65" s="561">
        <f>IF(COUNT(AO65:AQ65)=0,"",SUM(AO65:AQ65))</f>
        <v/>
      </c>
    </row>
    <row r="66">
      <c r="A66">
        <f>'Mapping'!J66</f>
        <v/>
      </c>
      <c r="B66">
        <f>'Mapping'!K66</f>
        <v/>
      </c>
      <c r="C66" t="n">
        <v>69</v>
      </c>
      <c r="D66">
        <f>'Loan Book'!E69</f>
        <v/>
      </c>
      <c r="E66">
        <f>'Loan Book'!F69</f>
        <v/>
      </c>
      <c r="F66" s="487">
        <f>'Loan Book'!G69</f>
        <v/>
      </c>
      <c r="G66" s="487">
        <f>'Loan Book'!H69</f>
        <v/>
      </c>
      <c r="H66">
        <f>'Loan Book'!I69</f>
        <v/>
      </c>
      <c r="I66">
        <f>'Loan Book'!J69</f>
        <v/>
      </c>
      <c r="J66">
        <f>IF('Loan Book'!K69="","",IF('Loan Book'!K69&lt;1,'Loan Book'!K69*100,'Loan Book'!K69))</f>
        <v/>
      </c>
      <c r="K66" s="488">
        <f>'Loan Book'!L69</f>
        <v/>
      </c>
      <c r="L66" s="488">
        <f>'Loan Book'!M69</f>
        <v/>
      </c>
      <c r="M66" s="488">
        <f>'Loan Book'!N69</f>
        <v/>
      </c>
      <c r="N66" s="488">
        <f>'Loan Book'!O69</f>
        <v/>
      </c>
      <c r="O66" s="488">
        <f>'Loan Book'!P69</f>
        <v/>
      </c>
      <c r="P66" s="488">
        <f>'Loan Book'!Q69</f>
        <v/>
      </c>
      <c r="Q66" s="488">
        <f>'Loan Book'!R69</f>
        <v/>
      </c>
      <c r="R66" s="488">
        <f>'Loan Book'!S69</f>
        <v/>
      </c>
      <c r="S66" s="488">
        <f>'Loan Book'!T69</f>
        <v/>
      </c>
      <c r="T66" s="488">
        <f>'Loan Book'!U69</f>
        <v/>
      </c>
      <c r="U66">
        <f>'Loan Book'!AC69</f>
        <v/>
      </c>
      <c r="V66">
        <f>'Loan Book'!AE69</f>
        <v/>
      </c>
      <c r="W66">
        <f>IFERROR(INDEX('E-Banker master'!$B$2:$B$186,MATCH($A66,'E-Banker master'!$A$2:$A$186,0)),"")</f>
        <v/>
      </c>
      <c r="X66">
        <f>IFERROR(INDEX('E-Banker master'!$C$2:$C$186,MATCH($A66,'E-Banker master'!$A$2:$A$186,0)),"")</f>
        <v/>
      </c>
      <c r="Y66">
        <f>IFERROR(INDEX('E-Banker master'!$D$2:$D$186,MATCH($A66,'E-Banker master'!$A$2:$A$186,0)),"")</f>
        <v/>
      </c>
      <c r="Z66">
        <f>IFERROR(INDEX('E-Banker master'!$E$2:$E$186,MATCH($A66,'E-Banker master'!$A$2:$A$186,0)),"")</f>
        <v/>
      </c>
      <c r="AA66">
        <f>IFERROR(INDEX('E-Banker master'!$F$2:$F$186,MATCH($A66,'E-Banker master'!$A$2:$A$186,0)),"")</f>
        <v/>
      </c>
      <c r="AB66">
        <f>IFERROR(INDEX('E-Banker master'!$G$2:$G$186,MATCH($A66,'E-Banker master'!$A$2:$A$186,0)),"")</f>
        <v/>
      </c>
      <c r="AC66" s="488">
        <f>IFERROR(INDEX('E-Banker master'!$I$2:$I$186,MATCH($A66,'E-Banker master'!$A$2:$A$186,0)),"")</f>
        <v/>
      </c>
      <c r="AD66" s="487">
        <f>IFERROR(INDEX('E-Banker master'!$J$2:$J$186,MATCH($A66,'E-Banker master'!$A$2:$A$186,0)),"")</f>
        <v/>
      </c>
      <c r="AE66" s="487">
        <f>IFERROR(INDEX('E-Banker master'!$K$2:$K$186,MATCH($A66,'E-Banker master'!$A$2:$A$186,0)),"")</f>
        <v/>
      </c>
      <c r="AF66">
        <f>IFERROR(INDEX('E-Banker master'!$L$2:$L$186,MATCH($A66,'E-Banker master'!$A$2:$A$186,0)),"")</f>
        <v/>
      </c>
      <c r="AG66">
        <f>IFERROR(INDEX('E-Banker master'!$M$2:$M$186,MATCH($A66,'E-Banker master'!$A$2:$A$186,0)),"")</f>
        <v/>
      </c>
      <c r="AH66" s="488">
        <f>IFERROR(INDEX('E-Banker master'!$N$2:$N$186,MATCH($A66,'E-Banker master'!$A$2:$A$186,0)),"")</f>
        <v/>
      </c>
      <c r="AI66" s="488">
        <f>IFERROR(INDEX('E-Banker master'!$O$2:$O$186,MATCH($A66,'E-Banker master'!$A$2:$A$186,0)),"")</f>
        <v/>
      </c>
      <c r="AJ66" s="488">
        <f>IFERROR(INDEX('E-Banker master'!$P$2:$P$186,MATCH($A66,'E-Banker master'!$A$2:$A$186,0)),"")</f>
        <v/>
      </c>
      <c r="AK66" s="488">
        <f>IF(OR(Q66="",AJ66=""),"",Q66-AJ66)</f>
        <v/>
      </c>
      <c r="AL66" t="n">
        <v>62</v>
      </c>
      <c r="AM66">
        <f>HYPERLINK("#'Amortisation and Repayments'!C3436","block 62")</f>
        <v/>
      </c>
      <c r="AN66">
        <f>'Mapping'!X66</f>
        <v/>
      </c>
      <c r="AO66" s="558" t="n"/>
      <c r="AP66" s="558" t="n"/>
      <c r="AQ66" s="558" t="n"/>
      <c r="AR66" s="559" t="n"/>
      <c r="AS66" s="560" t="n"/>
      <c r="AT66" s="560" t="n"/>
      <c r="AU66" s="561">
        <f>IF(COUNT(AO66:AQ66)=0,"",SUM(AO66:AQ66))</f>
        <v/>
      </c>
    </row>
    <row r="67">
      <c r="A67">
        <f>'Mapping'!J67</f>
        <v/>
      </c>
      <c r="B67">
        <f>'Mapping'!K67</f>
        <v/>
      </c>
      <c r="C67" t="n">
        <v>70</v>
      </c>
      <c r="D67">
        <f>'Loan Book'!E70</f>
        <v/>
      </c>
      <c r="E67">
        <f>'Loan Book'!F70</f>
        <v/>
      </c>
      <c r="F67" s="487">
        <f>'Loan Book'!G70</f>
        <v/>
      </c>
      <c r="G67" s="487">
        <f>'Loan Book'!H70</f>
        <v/>
      </c>
      <c r="H67">
        <f>'Loan Book'!I70</f>
        <v/>
      </c>
      <c r="I67">
        <f>'Loan Book'!J70</f>
        <v/>
      </c>
      <c r="J67">
        <f>IF('Loan Book'!K70="","",IF('Loan Book'!K70&lt;1,'Loan Book'!K70*100,'Loan Book'!K70))</f>
        <v/>
      </c>
      <c r="K67" s="488">
        <f>'Loan Book'!L70</f>
        <v/>
      </c>
      <c r="L67" s="488">
        <f>'Loan Book'!M70</f>
        <v/>
      </c>
      <c r="M67" s="488">
        <f>'Loan Book'!N70</f>
        <v/>
      </c>
      <c r="N67" s="488">
        <f>'Loan Book'!O70</f>
        <v/>
      </c>
      <c r="O67" s="488">
        <f>'Loan Book'!P70</f>
        <v/>
      </c>
      <c r="P67" s="488">
        <f>'Loan Book'!Q70</f>
        <v/>
      </c>
      <c r="Q67" s="488">
        <f>'Loan Book'!R70</f>
        <v/>
      </c>
      <c r="R67" s="488">
        <f>'Loan Book'!S70</f>
        <v/>
      </c>
      <c r="S67" s="488">
        <f>'Loan Book'!T70</f>
        <v/>
      </c>
      <c r="T67" s="488">
        <f>'Loan Book'!U70</f>
        <v/>
      </c>
      <c r="U67">
        <f>'Loan Book'!AC70</f>
        <v/>
      </c>
      <c r="V67">
        <f>'Loan Book'!AE70</f>
        <v/>
      </c>
      <c r="W67">
        <f>IFERROR(INDEX('E-Banker master'!$B$2:$B$186,MATCH($A67,'E-Banker master'!$A$2:$A$186,0)),"")</f>
        <v/>
      </c>
      <c r="X67">
        <f>IFERROR(INDEX('E-Banker master'!$C$2:$C$186,MATCH($A67,'E-Banker master'!$A$2:$A$186,0)),"")</f>
        <v/>
      </c>
      <c r="Y67">
        <f>IFERROR(INDEX('E-Banker master'!$D$2:$D$186,MATCH($A67,'E-Banker master'!$A$2:$A$186,0)),"")</f>
        <v/>
      </c>
      <c r="Z67">
        <f>IFERROR(INDEX('E-Banker master'!$E$2:$E$186,MATCH($A67,'E-Banker master'!$A$2:$A$186,0)),"")</f>
        <v/>
      </c>
      <c r="AA67">
        <f>IFERROR(INDEX('E-Banker master'!$F$2:$F$186,MATCH($A67,'E-Banker master'!$A$2:$A$186,0)),"")</f>
        <v/>
      </c>
      <c r="AB67">
        <f>IFERROR(INDEX('E-Banker master'!$G$2:$G$186,MATCH($A67,'E-Banker master'!$A$2:$A$186,0)),"")</f>
        <v/>
      </c>
      <c r="AC67" s="488">
        <f>IFERROR(INDEX('E-Banker master'!$I$2:$I$186,MATCH($A67,'E-Banker master'!$A$2:$A$186,0)),"")</f>
        <v/>
      </c>
      <c r="AD67" s="487">
        <f>IFERROR(INDEX('E-Banker master'!$J$2:$J$186,MATCH($A67,'E-Banker master'!$A$2:$A$186,0)),"")</f>
        <v/>
      </c>
      <c r="AE67" s="487">
        <f>IFERROR(INDEX('E-Banker master'!$K$2:$K$186,MATCH($A67,'E-Banker master'!$A$2:$A$186,0)),"")</f>
        <v/>
      </c>
      <c r="AF67">
        <f>IFERROR(INDEX('E-Banker master'!$L$2:$L$186,MATCH($A67,'E-Banker master'!$A$2:$A$186,0)),"")</f>
        <v/>
      </c>
      <c r="AG67">
        <f>IFERROR(INDEX('E-Banker master'!$M$2:$M$186,MATCH($A67,'E-Banker master'!$A$2:$A$186,0)),"")</f>
        <v/>
      </c>
      <c r="AH67" s="488">
        <f>IFERROR(INDEX('E-Banker master'!$N$2:$N$186,MATCH($A67,'E-Banker master'!$A$2:$A$186,0)),"")</f>
        <v/>
      </c>
      <c r="AI67" s="488">
        <f>IFERROR(INDEX('E-Banker master'!$O$2:$O$186,MATCH($A67,'E-Banker master'!$A$2:$A$186,0)),"")</f>
        <v/>
      </c>
      <c r="AJ67" s="488">
        <f>IFERROR(INDEX('E-Banker master'!$P$2:$P$186,MATCH($A67,'E-Banker master'!$A$2:$A$186,0)),"")</f>
        <v/>
      </c>
      <c r="AK67" s="488">
        <f>IF(OR(Q67="",AJ67=""),"",Q67-AJ67)</f>
        <v/>
      </c>
      <c r="AL67" t="n">
        <v>63</v>
      </c>
      <c r="AM67">
        <f>HYPERLINK("#'Amortisation and Repayments'!C3474","block 63")</f>
        <v/>
      </c>
      <c r="AN67">
        <f>'Mapping'!X67</f>
        <v/>
      </c>
      <c r="AO67" s="558" t="n"/>
      <c r="AP67" s="558" t="n"/>
      <c r="AQ67" s="558" t="n"/>
      <c r="AR67" s="559" t="n"/>
      <c r="AS67" s="560" t="n"/>
      <c r="AT67" s="560" t="n"/>
      <c r="AU67" s="561">
        <f>IF(COUNT(AO67:AQ67)=0,"",SUM(AO67:AQ67))</f>
        <v/>
      </c>
    </row>
    <row r="68">
      <c r="A68">
        <f>'Mapping'!J68</f>
        <v/>
      </c>
      <c r="B68">
        <f>'Mapping'!K68</f>
        <v/>
      </c>
      <c r="C68" t="n">
        <v>71</v>
      </c>
      <c r="D68">
        <f>'Loan Book'!E71</f>
        <v/>
      </c>
      <c r="E68">
        <f>'Loan Book'!F71</f>
        <v/>
      </c>
      <c r="F68" s="487">
        <f>'Loan Book'!G71</f>
        <v/>
      </c>
      <c r="G68" s="487">
        <f>'Loan Book'!H71</f>
        <v/>
      </c>
      <c r="H68">
        <f>'Loan Book'!I71</f>
        <v/>
      </c>
      <c r="I68">
        <f>'Loan Book'!J71</f>
        <v/>
      </c>
      <c r="J68">
        <f>IF('Loan Book'!K71="","",IF('Loan Book'!K71&lt;1,'Loan Book'!K71*100,'Loan Book'!K71))</f>
        <v/>
      </c>
      <c r="K68" s="488">
        <f>'Loan Book'!L71</f>
        <v/>
      </c>
      <c r="L68" s="488">
        <f>'Loan Book'!M71</f>
        <v/>
      </c>
      <c r="M68" s="488">
        <f>'Loan Book'!N71</f>
        <v/>
      </c>
      <c r="N68" s="488">
        <f>'Loan Book'!O71</f>
        <v/>
      </c>
      <c r="O68" s="488">
        <f>'Loan Book'!P71</f>
        <v/>
      </c>
      <c r="P68" s="488">
        <f>'Loan Book'!Q71</f>
        <v/>
      </c>
      <c r="Q68" s="488">
        <f>'Loan Book'!R71</f>
        <v/>
      </c>
      <c r="R68" s="488">
        <f>'Loan Book'!S71</f>
        <v/>
      </c>
      <c r="S68" s="488">
        <f>'Loan Book'!T71</f>
        <v/>
      </c>
      <c r="T68" s="488">
        <f>'Loan Book'!U71</f>
        <v/>
      </c>
      <c r="U68">
        <f>'Loan Book'!AC71</f>
        <v/>
      </c>
      <c r="V68">
        <f>'Loan Book'!AE71</f>
        <v/>
      </c>
      <c r="W68">
        <f>IFERROR(INDEX('E-Banker master'!$B$2:$B$186,MATCH($A68,'E-Banker master'!$A$2:$A$186,0)),"")</f>
        <v/>
      </c>
      <c r="X68">
        <f>IFERROR(INDEX('E-Banker master'!$C$2:$C$186,MATCH($A68,'E-Banker master'!$A$2:$A$186,0)),"")</f>
        <v/>
      </c>
      <c r="Y68">
        <f>IFERROR(INDEX('E-Banker master'!$D$2:$D$186,MATCH($A68,'E-Banker master'!$A$2:$A$186,0)),"")</f>
        <v/>
      </c>
      <c r="Z68">
        <f>IFERROR(INDEX('E-Banker master'!$E$2:$E$186,MATCH($A68,'E-Banker master'!$A$2:$A$186,0)),"")</f>
        <v/>
      </c>
      <c r="AA68">
        <f>IFERROR(INDEX('E-Banker master'!$F$2:$F$186,MATCH($A68,'E-Banker master'!$A$2:$A$186,0)),"")</f>
        <v/>
      </c>
      <c r="AB68">
        <f>IFERROR(INDEX('E-Banker master'!$G$2:$G$186,MATCH($A68,'E-Banker master'!$A$2:$A$186,0)),"")</f>
        <v/>
      </c>
      <c r="AC68" s="488">
        <f>IFERROR(INDEX('E-Banker master'!$I$2:$I$186,MATCH($A68,'E-Banker master'!$A$2:$A$186,0)),"")</f>
        <v/>
      </c>
      <c r="AD68" s="487">
        <f>IFERROR(INDEX('E-Banker master'!$J$2:$J$186,MATCH($A68,'E-Banker master'!$A$2:$A$186,0)),"")</f>
        <v/>
      </c>
      <c r="AE68" s="487">
        <f>IFERROR(INDEX('E-Banker master'!$K$2:$K$186,MATCH($A68,'E-Banker master'!$A$2:$A$186,0)),"")</f>
        <v/>
      </c>
      <c r="AF68">
        <f>IFERROR(INDEX('E-Banker master'!$L$2:$L$186,MATCH($A68,'E-Banker master'!$A$2:$A$186,0)),"")</f>
        <v/>
      </c>
      <c r="AG68">
        <f>IFERROR(INDEX('E-Banker master'!$M$2:$M$186,MATCH($A68,'E-Banker master'!$A$2:$A$186,0)),"")</f>
        <v/>
      </c>
      <c r="AH68" s="488">
        <f>IFERROR(INDEX('E-Banker master'!$N$2:$N$186,MATCH($A68,'E-Banker master'!$A$2:$A$186,0)),"")</f>
        <v/>
      </c>
      <c r="AI68" s="488">
        <f>IFERROR(INDEX('E-Banker master'!$O$2:$O$186,MATCH($A68,'E-Banker master'!$A$2:$A$186,0)),"")</f>
        <v/>
      </c>
      <c r="AJ68" s="488">
        <f>IFERROR(INDEX('E-Banker master'!$P$2:$P$186,MATCH($A68,'E-Banker master'!$A$2:$A$186,0)),"")</f>
        <v/>
      </c>
      <c r="AK68" s="488">
        <f>IF(OR(Q68="",AJ68=""),"",Q68-AJ68)</f>
        <v/>
      </c>
      <c r="AL68" t="n">
        <v>64</v>
      </c>
      <c r="AM68">
        <f>HYPERLINK("#'Amortisation and Repayments'!C3540","block 64")</f>
        <v/>
      </c>
      <c r="AN68">
        <f>'Mapping'!X68</f>
        <v/>
      </c>
      <c r="AO68" s="558" t="n"/>
      <c r="AP68" s="558" t="n"/>
      <c r="AQ68" s="558" t="n"/>
      <c r="AR68" s="559" t="n"/>
      <c r="AS68" s="560" t="n"/>
      <c r="AT68" s="560" t="n"/>
      <c r="AU68" s="561">
        <f>IF(COUNT(AO68:AQ68)=0,"",SUM(AO68:AQ68))</f>
        <v/>
      </c>
    </row>
    <row r="69">
      <c r="A69">
        <f>'Mapping'!J69</f>
        <v/>
      </c>
      <c r="B69">
        <f>'Mapping'!K69</f>
        <v/>
      </c>
      <c r="C69" t="n">
        <v>72</v>
      </c>
      <c r="D69">
        <f>'Loan Book'!E72</f>
        <v/>
      </c>
      <c r="E69">
        <f>'Loan Book'!F72</f>
        <v/>
      </c>
      <c r="F69" s="487">
        <f>'Loan Book'!G72</f>
        <v/>
      </c>
      <c r="G69" s="487">
        <f>'Loan Book'!H72</f>
        <v/>
      </c>
      <c r="H69">
        <f>'Loan Book'!I72</f>
        <v/>
      </c>
      <c r="I69">
        <f>'Loan Book'!J72</f>
        <v/>
      </c>
      <c r="J69">
        <f>IF('Loan Book'!K72="","",IF('Loan Book'!K72&lt;1,'Loan Book'!K72*100,'Loan Book'!K72))</f>
        <v/>
      </c>
      <c r="K69" s="488">
        <f>'Loan Book'!L72</f>
        <v/>
      </c>
      <c r="L69" s="488">
        <f>'Loan Book'!M72</f>
        <v/>
      </c>
      <c r="M69" s="488">
        <f>'Loan Book'!N72</f>
        <v/>
      </c>
      <c r="N69" s="488">
        <f>'Loan Book'!O72</f>
        <v/>
      </c>
      <c r="O69" s="488">
        <f>'Loan Book'!P72</f>
        <v/>
      </c>
      <c r="P69" s="488">
        <f>'Loan Book'!Q72</f>
        <v/>
      </c>
      <c r="Q69" s="488">
        <f>'Loan Book'!R72</f>
        <v/>
      </c>
      <c r="R69" s="488">
        <f>'Loan Book'!S72</f>
        <v/>
      </c>
      <c r="S69" s="488">
        <f>'Loan Book'!T72</f>
        <v/>
      </c>
      <c r="T69" s="488">
        <f>'Loan Book'!U72</f>
        <v/>
      </c>
      <c r="U69">
        <f>'Loan Book'!AC72</f>
        <v/>
      </c>
      <c r="V69">
        <f>'Loan Book'!AE72</f>
        <v/>
      </c>
      <c r="W69">
        <f>IFERROR(INDEX('E-Banker master'!$B$2:$B$186,MATCH($A69,'E-Banker master'!$A$2:$A$186,0)),"")</f>
        <v/>
      </c>
      <c r="X69">
        <f>IFERROR(INDEX('E-Banker master'!$C$2:$C$186,MATCH($A69,'E-Banker master'!$A$2:$A$186,0)),"")</f>
        <v/>
      </c>
      <c r="Y69">
        <f>IFERROR(INDEX('E-Banker master'!$D$2:$D$186,MATCH($A69,'E-Banker master'!$A$2:$A$186,0)),"")</f>
        <v/>
      </c>
      <c r="Z69">
        <f>IFERROR(INDEX('E-Banker master'!$E$2:$E$186,MATCH($A69,'E-Banker master'!$A$2:$A$186,0)),"")</f>
        <v/>
      </c>
      <c r="AA69">
        <f>IFERROR(INDEX('E-Banker master'!$F$2:$F$186,MATCH($A69,'E-Banker master'!$A$2:$A$186,0)),"")</f>
        <v/>
      </c>
      <c r="AB69">
        <f>IFERROR(INDEX('E-Banker master'!$G$2:$G$186,MATCH($A69,'E-Banker master'!$A$2:$A$186,0)),"")</f>
        <v/>
      </c>
      <c r="AC69" s="488">
        <f>IFERROR(INDEX('E-Banker master'!$I$2:$I$186,MATCH($A69,'E-Banker master'!$A$2:$A$186,0)),"")</f>
        <v/>
      </c>
      <c r="AD69" s="487">
        <f>IFERROR(INDEX('E-Banker master'!$J$2:$J$186,MATCH($A69,'E-Banker master'!$A$2:$A$186,0)),"")</f>
        <v/>
      </c>
      <c r="AE69" s="487">
        <f>IFERROR(INDEX('E-Banker master'!$K$2:$K$186,MATCH($A69,'E-Banker master'!$A$2:$A$186,0)),"")</f>
        <v/>
      </c>
      <c r="AF69">
        <f>IFERROR(INDEX('E-Banker master'!$L$2:$L$186,MATCH($A69,'E-Banker master'!$A$2:$A$186,0)),"")</f>
        <v/>
      </c>
      <c r="AG69">
        <f>IFERROR(INDEX('E-Banker master'!$M$2:$M$186,MATCH($A69,'E-Banker master'!$A$2:$A$186,0)),"")</f>
        <v/>
      </c>
      <c r="AH69" s="488">
        <f>IFERROR(INDEX('E-Banker master'!$N$2:$N$186,MATCH($A69,'E-Banker master'!$A$2:$A$186,0)),"")</f>
        <v/>
      </c>
      <c r="AI69" s="488">
        <f>IFERROR(INDEX('E-Banker master'!$O$2:$O$186,MATCH($A69,'E-Banker master'!$A$2:$A$186,0)),"")</f>
        <v/>
      </c>
      <c r="AJ69" s="488">
        <f>IFERROR(INDEX('E-Banker master'!$P$2:$P$186,MATCH($A69,'E-Banker master'!$A$2:$A$186,0)),"")</f>
        <v/>
      </c>
      <c r="AK69" s="488">
        <f>IF(OR(Q69="",AJ69=""),"",Q69-AJ69)</f>
        <v/>
      </c>
      <c r="AL69" t="n">
        <v>65</v>
      </c>
      <c r="AM69">
        <f>HYPERLINK("#'Amortisation and Repayments'!C3582","block 65")</f>
        <v/>
      </c>
      <c r="AN69">
        <f>'Mapping'!X69</f>
        <v/>
      </c>
      <c r="AO69" s="558" t="n"/>
      <c r="AP69" s="558" t="n"/>
      <c r="AQ69" s="558" t="n"/>
      <c r="AR69" s="559" t="n"/>
      <c r="AS69" s="560" t="n"/>
      <c r="AT69" s="560" t="n"/>
      <c r="AU69" s="561">
        <f>IF(COUNT(AO69:AQ69)=0,"",SUM(AO69:AQ69))</f>
        <v/>
      </c>
    </row>
    <row r="70">
      <c r="A70">
        <f>'Mapping'!J70</f>
        <v/>
      </c>
      <c r="B70">
        <f>'Mapping'!K70</f>
        <v/>
      </c>
      <c r="C70" t="n">
        <v>73</v>
      </c>
      <c r="D70">
        <f>'Loan Book'!E73</f>
        <v/>
      </c>
      <c r="E70">
        <f>'Loan Book'!F73</f>
        <v/>
      </c>
      <c r="F70" s="487">
        <f>'Loan Book'!G73</f>
        <v/>
      </c>
      <c r="G70" s="487">
        <f>'Loan Book'!H73</f>
        <v/>
      </c>
      <c r="H70">
        <f>'Loan Book'!I73</f>
        <v/>
      </c>
      <c r="I70">
        <f>'Loan Book'!J73</f>
        <v/>
      </c>
      <c r="J70">
        <f>IF('Loan Book'!K73="","",IF('Loan Book'!K73&lt;1,'Loan Book'!K73*100,'Loan Book'!K73))</f>
        <v/>
      </c>
      <c r="K70" s="488">
        <f>'Loan Book'!L73</f>
        <v/>
      </c>
      <c r="L70" s="488">
        <f>'Loan Book'!M73</f>
        <v/>
      </c>
      <c r="M70" s="488">
        <f>'Loan Book'!N73</f>
        <v/>
      </c>
      <c r="N70" s="488">
        <f>'Loan Book'!O73</f>
        <v/>
      </c>
      <c r="O70" s="488">
        <f>'Loan Book'!P73</f>
        <v/>
      </c>
      <c r="P70" s="488">
        <f>'Loan Book'!Q73</f>
        <v/>
      </c>
      <c r="Q70" s="488">
        <f>'Loan Book'!R73</f>
        <v/>
      </c>
      <c r="R70" s="488">
        <f>'Loan Book'!S73</f>
        <v/>
      </c>
      <c r="S70" s="488">
        <f>'Loan Book'!T73</f>
        <v/>
      </c>
      <c r="T70" s="488">
        <f>'Loan Book'!U73</f>
        <v/>
      </c>
      <c r="U70">
        <f>'Loan Book'!AC73</f>
        <v/>
      </c>
      <c r="V70">
        <f>'Loan Book'!AE73</f>
        <v/>
      </c>
      <c r="W70">
        <f>IFERROR(INDEX('E-Banker master'!$B$2:$B$186,MATCH($A70,'E-Banker master'!$A$2:$A$186,0)),"")</f>
        <v/>
      </c>
      <c r="X70">
        <f>IFERROR(INDEX('E-Banker master'!$C$2:$C$186,MATCH($A70,'E-Banker master'!$A$2:$A$186,0)),"")</f>
        <v/>
      </c>
      <c r="Y70">
        <f>IFERROR(INDEX('E-Banker master'!$D$2:$D$186,MATCH($A70,'E-Banker master'!$A$2:$A$186,0)),"")</f>
        <v/>
      </c>
      <c r="Z70">
        <f>IFERROR(INDEX('E-Banker master'!$E$2:$E$186,MATCH($A70,'E-Banker master'!$A$2:$A$186,0)),"")</f>
        <v/>
      </c>
      <c r="AA70">
        <f>IFERROR(INDEX('E-Banker master'!$F$2:$F$186,MATCH($A70,'E-Banker master'!$A$2:$A$186,0)),"")</f>
        <v/>
      </c>
      <c r="AB70">
        <f>IFERROR(INDEX('E-Banker master'!$G$2:$G$186,MATCH($A70,'E-Banker master'!$A$2:$A$186,0)),"")</f>
        <v/>
      </c>
      <c r="AC70" s="488">
        <f>IFERROR(INDEX('E-Banker master'!$I$2:$I$186,MATCH($A70,'E-Banker master'!$A$2:$A$186,0)),"")</f>
        <v/>
      </c>
      <c r="AD70" s="487">
        <f>IFERROR(INDEX('E-Banker master'!$J$2:$J$186,MATCH($A70,'E-Banker master'!$A$2:$A$186,0)),"")</f>
        <v/>
      </c>
      <c r="AE70" s="487">
        <f>IFERROR(INDEX('E-Banker master'!$K$2:$K$186,MATCH($A70,'E-Banker master'!$A$2:$A$186,0)),"")</f>
        <v/>
      </c>
      <c r="AF70">
        <f>IFERROR(INDEX('E-Banker master'!$L$2:$L$186,MATCH($A70,'E-Banker master'!$A$2:$A$186,0)),"")</f>
        <v/>
      </c>
      <c r="AG70">
        <f>IFERROR(INDEX('E-Banker master'!$M$2:$M$186,MATCH($A70,'E-Banker master'!$A$2:$A$186,0)),"")</f>
        <v/>
      </c>
      <c r="AH70" s="488">
        <f>IFERROR(INDEX('E-Banker master'!$N$2:$N$186,MATCH($A70,'E-Banker master'!$A$2:$A$186,0)),"")</f>
        <v/>
      </c>
      <c r="AI70" s="488">
        <f>IFERROR(INDEX('E-Banker master'!$O$2:$O$186,MATCH($A70,'E-Banker master'!$A$2:$A$186,0)),"")</f>
        <v/>
      </c>
      <c r="AJ70" s="488">
        <f>IFERROR(INDEX('E-Banker master'!$P$2:$P$186,MATCH($A70,'E-Banker master'!$A$2:$A$186,0)),"")</f>
        <v/>
      </c>
      <c r="AK70" s="488">
        <f>IF(OR(Q70="",AJ70=""),"",Q70-AJ70)</f>
        <v/>
      </c>
      <c r="AL70" t="n">
        <v>66</v>
      </c>
      <c r="AM70">
        <f>HYPERLINK("#'Amortisation and Repayments'!C3626","block 66")</f>
        <v/>
      </c>
      <c r="AN70">
        <f>'Mapping'!X70</f>
        <v/>
      </c>
      <c r="AO70" s="558" t="n"/>
      <c r="AP70" s="558" t="n"/>
      <c r="AQ70" s="558" t="n"/>
      <c r="AR70" s="559" t="n"/>
      <c r="AS70" s="560" t="n"/>
      <c r="AT70" s="560" t="n"/>
      <c r="AU70" s="561">
        <f>IF(COUNT(AO70:AQ70)=0,"",SUM(AO70:AQ70))</f>
        <v/>
      </c>
    </row>
    <row r="71">
      <c r="A71">
        <f>'Mapping'!J71</f>
        <v/>
      </c>
      <c r="B71">
        <f>'Mapping'!K71</f>
        <v/>
      </c>
      <c r="C71" t="n">
        <v>74</v>
      </c>
      <c r="D71">
        <f>'Loan Book'!E74</f>
        <v/>
      </c>
      <c r="E71">
        <f>'Loan Book'!F74</f>
        <v/>
      </c>
      <c r="F71" s="487">
        <f>'Loan Book'!G74</f>
        <v/>
      </c>
      <c r="G71" s="487">
        <f>'Loan Book'!H74</f>
        <v/>
      </c>
      <c r="H71">
        <f>'Loan Book'!I74</f>
        <v/>
      </c>
      <c r="I71">
        <f>'Loan Book'!J74</f>
        <v/>
      </c>
      <c r="J71">
        <f>IF('Loan Book'!K74="","",IF('Loan Book'!K74&lt;1,'Loan Book'!K74*100,'Loan Book'!K74))</f>
        <v/>
      </c>
      <c r="K71" s="488">
        <f>'Loan Book'!L74</f>
        <v/>
      </c>
      <c r="L71" s="488">
        <f>'Loan Book'!M74</f>
        <v/>
      </c>
      <c r="M71" s="488">
        <f>'Loan Book'!N74</f>
        <v/>
      </c>
      <c r="N71" s="488">
        <f>'Loan Book'!O74</f>
        <v/>
      </c>
      <c r="O71" s="488">
        <f>'Loan Book'!P74</f>
        <v/>
      </c>
      <c r="P71" s="488">
        <f>'Loan Book'!Q74</f>
        <v/>
      </c>
      <c r="Q71" s="488">
        <f>'Loan Book'!R74</f>
        <v/>
      </c>
      <c r="R71" s="488">
        <f>'Loan Book'!S74</f>
        <v/>
      </c>
      <c r="S71" s="488">
        <f>'Loan Book'!T74</f>
        <v/>
      </c>
      <c r="T71" s="488">
        <f>'Loan Book'!U74</f>
        <v/>
      </c>
      <c r="U71">
        <f>'Loan Book'!AC74</f>
        <v/>
      </c>
      <c r="V71">
        <f>'Loan Book'!AE74</f>
        <v/>
      </c>
      <c r="W71">
        <f>IFERROR(INDEX('E-Banker master'!$B$2:$B$186,MATCH($A71,'E-Banker master'!$A$2:$A$186,0)),"")</f>
        <v/>
      </c>
      <c r="X71">
        <f>IFERROR(INDEX('E-Banker master'!$C$2:$C$186,MATCH($A71,'E-Banker master'!$A$2:$A$186,0)),"")</f>
        <v/>
      </c>
      <c r="Y71">
        <f>IFERROR(INDEX('E-Banker master'!$D$2:$D$186,MATCH($A71,'E-Banker master'!$A$2:$A$186,0)),"")</f>
        <v/>
      </c>
      <c r="Z71">
        <f>IFERROR(INDEX('E-Banker master'!$E$2:$E$186,MATCH($A71,'E-Banker master'!$A$2:$A$186,0)),"")</f>
        <v/>
      </c>
      <c r="AA71">
        <f>IFERROR(INDEX('E-Banker master'!$F$2:$F$186,MATCH($A71,'E-Banker master'!$A$2:$A$186,0)),"")</f>
        <v/>
      </c>
      <c r="AB71">
        <f>IFERROR(INDEX('E-Banker master'!$G$2:$G$186,MATCH($A71,'E-Banker master'!$A$2:$A$186,0)),"")</f>
        <v/>
      </c>
      <c r="AC71" s="488">
        <f>IFERROR(INDEX('E-Banker master'!$I$2:$I$186,MATCH($A71,'E-Banker master'!$A$2:$A$186,0)),"")</f>
        <v/>
      </c>
      <c r="AD71" s="487">
        <f>IFERROR(INDEX('E-Banker master'!$J$2:$J$186,MATCH($A71,'E-Banker master'!$A$2:$A$186,0)),"")</f>
        <v/>
      </c>
      <c r="AE71" s="487">
        <f>IFERROR(INDEX('E-Banker master'!$K$2:$K$186,MATCH($A71,'E-Banker master'!$A$2:$A$186,0)),"")</f>
        <v/>
      </c>
      <c r="AF71">
        <f>IFERROR(INDEX('E-Banker master'!$L$2:$L$186,MATCH($A71,'E-Banker master'!$A$2:$A$186,0)),"")</f>
        <v/>
      </c>
      <c r="AG71">
        <f>IFERROR(INDEX('E-Banker master'!$M$2:$M$186,MATCH($A71,'E-Banker master'!$A$2:$A$186,0)),"")</f>
        <v/>
      </c>
      <c r="AH71" s="488">
        <f>IFERROR(INDEX('E-Banker master'!$N$2:$N$186,MATCH($A71,'E-Banker master'!$A$2:$A$186,0)),"")</f>
        <v/>
      </c>
      <c r="AI71" s="488">
        <f>IFERROR(INDEX('E-Banker master'!$O$2:$O$186,MATCH($A71,'E-Banker master'!$A$2:$A$186,0)),"")</f>
        <v/>
      </c>
      <c r="AJ71" s="488">
        <f>IFERROR(INDEX('E-Banker master'!$P$2:$P$186,MATCH($A71,'E-Banker master'!$A$2:$A$186,0)),"")</f>
        <v/>
      </c>
      <c r="AK71" s="488">
        <f>IF(OR(Q71="",AJ71=""),"",Q71-AJ71)</f>
        <v/>
      </c>
      <c r="AL71" t="n">
        <v>67</v>
      </c>
      <c r="AM71">
        <f>HYPERLINK("#'Amortisation and Repayments'!C3692","block 67")</f>
        <v/>
      </c>
      <c r="AN71">
        <f>'Mapping'!X71</f>
        <v/>
      </c>
      <c r="AO71" s="558" t="n"/>
      <c r="AP71" s="558" t="n"/>
      <c r="AQ71" s="558" t="n"/>
      <c r="AR71" s="559" t="n"/>
      <c r="AS71" s="560" t="n"/>
      <c r="AT71" s="560" t="n"/>
      <c r="AU71" s="561">
        <f>IF(COUNT(AO71:AQ71)=0,"",SUM(AO71:AQ71))</f>
        <v/>
      </c>
    </row>
    <row r="72">
      <c r="A72">
        <f>'Mapping'!J72</f>
        <v/>
      </c>
      <c r="B72">
        <f>'Mapping'!K72</f>
        <v/>
      </c>
      <c r="C72" t="n">
        <v>75</v>
      </c>
      <c r="D72">
        <f>'Loan Book'!E75</f>
        <v/>
      </c>
      <c r="E72">
        <f>'Loan Book'!F75</f>
        <v/>
      </c>
      <c r="F72" s="487">
        <f>'Loan Book'!G75</f>
        <v/>
      </c>
      <c r="G72" s="487">
        <f>'Loan Book'!H75</f>
        <v/>
      </c>
      <c r="H72">
        <f>'Loan Book'!I75</f>
        <v/>
      </c>
      <c r="I72">
        <f>'Loan Book'!J75</f>
        <v/>
      </c>
      <c r="J72">
        <f>IF('Loan Book'!K75="","",IF('Loan Book'!K75&lt;1,'Loan Book'!K75*100,'Loan Book'!K75))</f>
        <v/>
      </c>
      <c r="K72" s="488">
        <f>'Loan Book'!L75</f>
        <v/>
      </c>
      <c r="L72" s="488">
        <f>'Loan Book'!M75</f>
        <v/>
      </c>
      <c r="M72" s="488">
        <f>'Loan Book'!N75</f>
        <v/>
      </c>
      <c r="N72" s="488">
        <f>'Loan Book'!O75</f>
        <v/>
      </c>
      <c r="O72" s="488">
        <f>'Loan Book'!P75</f>
        <v/>
      </c>
      <c r="P72" s="488">
        <f>'Loan Book'!Q75</f>
        <v/>
      </c>
      <c r="Q72" s="488">
        <f>'Loan Book'!R75</f>
        <v/>
      </c>
      <c r="R72" s="488">
        <f>'Loan Book'!S75</f>
        <v/>
      </c>
      <c r="S72" s="488">
        <f>'Loan Book'!T75</f>
        <v/>
      </c>
      <c r="T72" s="488">
        <f>'Loan Book'!U75</f>
        <v/>
      </c>
      <c r="U72">
        <f>'Loan Book'!AC75</f>
        <v/>
      </c>
      <c r="V72">
        <f>'Loan Book'!AE75</f>
        <v/>
      </c>
      <c r="W72">
        <f>IFERROR(INDEX('E-Banker master'!$B$2:$B$186,MATCH($A72,'E-Banker master'!$A$2:$A$186,0)),"")</f>
        <v/>
      </c>
      <c r="X72">
        <f>IFERROR(INDEX('E-Banker master'!$C$2:$C$186,MATCH($A72,'E-Banker master'!$A$2:$A$186,0)),"")</f>
        <v/>
      </c>
      <c r="Y72">
        <f>IFERROR(INDEX('E-Banker master'!$D$2:$D$186,MATCH($A72,'E-Banker master'!$A$2:$A$186,0)),"")</f>
        <v/>
      </c>
      <c r="Z72">
        <f>IFERROR(INDEX('E-Banker master'!$E$2:$E$186,MATCH($A72,'E-Banker master'!$A$2:$A$186,0)),"")</f>
        <v/>
      </c>
      <c r="AA72">
        <f>IFERROR(INDEX('E-Banker master'!$F$2:$F$186,MATCH($A72,'E-Banker master'!$A$2:$A$186,0)),"")</f>
        <v/>
      </c>
      <c r="AB72">
        <f>IFERROR(INDEX('E-Banker master'!$G$2:$G$186,MATCH($A72,'E-Banker master'!$A$2:$A$186,0)),"")</f>
        <v/>
      </c>
      <c r="AC72" s="488">
        <f>IFERROR(INDEX('E-Banker master'!$I$2:$I$186,MATCH($A72,'E-Banker master'!$A$2:$A$186,0)),"")</f>
        <v/>
      </c>
      <c r="AD72" s="487">
        <f>IFERROR(INDEX('E-Banker master'!$J$2:$J$186,MATCH($A72,'E-Banker master'!$A$2:$A$186,0)),"")</f>
        <v/>
      </c>
      <c r="AE72" s="487">
        <f>IFERROR(INDEX('E-Banker master'!$K$2:$K$186,MATCH($A72,'E-Banker master'!$A$2:$A$186,0)),"")</f>
        <v/>
      </c>
      <c r="AF72">
        <f>IFERROR(INDEX('E-Banker master'!$L$2:$L$186,MATCH($A72,'E-Banker master'!$A$2:$A$186,0)),"")</f>
        <v/>
      </c>
      <c r="AG72">
        <f>IFERROR(INDEX('E-Banker master'!$M$2:$M$186,MATCH($A72,'E-Banker master'!$A$2:$A$186,0)),"")</f>
        <v/>
      </c>
      <c r="AH72" s="488">
        <f>IFERROR(INDEX('E-Banker master'!$N$2:$N$186,MATCH($A72,'E-Banker master'!$A$2:$A$186,0)),"")</f>
        <v/>
      </c>
      <c r="AI72" s="488">
        <f>IFERROR(INDEX('E-Banker master'!$O$2:$O$186,MATCH($A72,'E-Banker master'!$A$2:$A$186,0)),"")</f>
        <v/>
      </c>
      <c r="AJ72" s="488">
        <f>IFERROR(INDEX('E-Banker master'!$P$2:$P$186,MATCH($A72,'E-Banker master'!$A$2:$A$186,0)),"")</f>
        <v/>
      </c>
      <c r="AK72" s="488">
        <f>IF(OR(Q72="",AJ72=""),"",Q72-AJ72)</f>
        <v/>
      </c>
      <c r="AL72" t="n">
        <v>68</v>
      </c>
      <c r="AM72">
        <f>HYPERLINK("#'Amortisation and Repayments'!C3758","block 68")</f>
        <v/>
      </c>
      <c r="AN72">
        <f>'Mapping'!X72</f>
        <v/>
      </c>
      <c r="AO72" s="558" t="n"/>
      <c r="AP72" s="558" t="n"/>
      <c r="AQ72" s="558" t="n"/>
      <c r="AR72" s="559" t="n"/>
      <c r="AS72" s="560" t="n"/>
      <c r="AT72" s="560" t="n"/>
      <c r="AU72" s="561">
        <f>IF(COUNT(AO72:AQ72)=0,"",SUM(AO72:AQ72))</f>
        <v/>
      </c>
    </row>
    <row r="73">
      <c r="A73">
        <f>'Mapping'!J73</f>
        <v/>
      </c>
      <c r="B73">
        <f>'Mapping'!K73</f>
        <v/>
      </c>
      <c r="C73" t="n">
        <v>76</v>
      </c>
      <c r="D73">
        <f>'Loan Book'!E76</f>
        <v/>
      </c>
      <c r="E73">
        <f>'Loan Book'!F76</f>
        <v/>
      </c>
      <c r="F73" s="487">
        <f>'Loan Book'!G76</f>
        <v/>
      </c>
      <c r="G73" s="487">
        <f>'Loan Book'!H76</f>
        <v/>
      </c>
      <c r="H73">
        <f>'Loan Book'!I76</f>
        <v/>
      </c>
      <c r="I73">
        <f>'Loan Book'!J76</f>
        <v/>
      </c>
      <c r="J73">
        <f>IF('Loan Book'!K76="","",IF('Loan Book'!K76&lt;1,'Loan Book'!K76*100,'Loan Book'!K76))</f>
        <v/>
      </c>
      <c r="K73" s="488">
        <f>'Loan Book'!L76</f>
        <v/>
      </c>
      <c r="L73" s="488">
        <f>'Loan Book'!M76</f>
        <v/>
      </c>
      <c r="M73" s="488">
        <f>'Loan Book'!N76</f>
        <v/>
      </c>
      <c r="N73" s="488">
        <f>'Loan Book'!O76</f>
        <v/>
      </c>
      <c r="O73" s="488">
        <f>'Loan Book'!P76</f>
        <v/>
      </c>
      <c r="P73" s="488">
        <f>'Loan Book'!Q76</f>
        <v/>
      </c>
      <c r="Q73" s="488">
        <f>'Loan Book'!R76</f>
        <v/>
      </c>
      <c r="R73" s="488">
        <f>'Loan Book'!S76</f>
        <v/>
      </c>
      <c r="S73" s="488">
        <f>'Loan Book'!T76</f>
        <v/>
      </c>
      <c r="T73" s="488">
        <f>'Loan Book'!U76</f>
        <v/>
      </c>
      <c r="U73">
        <f>'Loan Book'!AC76</f>
        <v/>
      </c>
      <c r="V73">
        <f>'Loan Book'!AE76</f>
        <v/>
      </c>
      <c r="W73">
        <f>IFERROR(INDEX('E-Banker master'!$B$2:$B$186,MATCH($A73,'E-Banker master'!$A$2:$A$186,0)),"")</f>
        <v/>
      </c>
      <c r="X73">
        <f>IFERROR(INDEX('E-Banker master'!$C$2:$C$186,MATCH($A73,'E-Banker master'!$A$2:$A$186,0)),"")</f>
        <v/>
      </c>
      <c r="Y73">
        <f>IFERROR(INDEX('E-Banker master'!$D$2:$D$186,MATCH($A73,'E-Banker master'!$A$2:$A$186,0)),"")</f>
        <v/>
      </c>
      <c r="Z73">
        <f>IFERROR(INDEX('E-Banker master'!$E$2:$E$186,MATCH($A73,'E-Banker master'!$A$2:$A$186,0)),"")</f>
        <v/>
      </c>
      <c r="AA73">
        <f>IFERROR(INDEX('E-Banker master'!$F$2:$F$186,MATCH($A73,'E-Banker master'!$A$2:$A$186,0)),"")</f>
        <v/>
      </c>
      <c r="AB73">
        <f>IFERROR(INDEX('E-Banker master'!$G$2:$G$186,MATCH($A73,'E-Banker master'!$A$2:$A$186,0)),"")</f>
        <v/>
      </c>
      <c r="AC73" s="488">
        <f>IFERROR(INDEX('E-Banker master'!$I$2:$I$186,MATCH($A73,'E-Banker master'!$A$2:$A$186,0)),"")</f>
        <v/>
      </c>
      <c r="AD73" s="487">
        <f>IFERROR(INDEX('E-Banker master'!$J$2:$J$186,MATCH($A73,'E-Banker master'!$A$2:$A$186,0)),"")</f>
        <v/>
      </c>
      <c r="AE73" s="487">
        <f>IFERROR(INDEX('E-Banker master'!$K$2:$K$186,MATCH($A73,'E-Banker master'!$A$2:$A$186,0)),"")</f>
        <v/>
      </c>
      <c r="AF73">
        <f>IFERROR(INDEX('E-Banker master'!$L$2:$L$186,MATCH($A73,'E-Banker master'!$A$2:$A$186,0)),"")</f>
        <v/>
      </c>
      <c r="AG73">
        <f>IFERROR(INDEX('E-Banker master'!$M$2:$M$186,MATCH($A73,'E-Banker master'!$A$2:$A$186,0)),"")</f>
        <v/>
      </c>
      <c r="AH73" s="488">
        <f>IFERROR(INDEX('E-Banker master'!$N$2:$N$186,MATCH($A73,'E-Banker master'!$A$2:$A$186,0)),"")</f>
        <v/>
      </c>
      <c r="AI73" s="488">
        <f>IFERROR(INDEX('E-Banker master'!$O$2:$O$186,MATCH($A73,'E-Banker master'!$A$2:$A$186,0)),"")</f>
        <v/>
      </c>
      <c r="AJ73" s="488">
        <f>IFERROR(INDEX('E-Banker master'!$P$2:$P$186,MATCH($A73,'E-Banker master'!$A$2:$A$186,0)),"")</f>
        <v/>
      </c>
      <c r="AK73" s="488">
        <f>IF(OR(Q73="",AJ73=""),"",Q73-AJ73)</f>
        <v/>
      </c>
      <c r="AL73" t="n">
        <v>70</v>
      </c>
      <c r="AM73">
        <f>HYPERLINK("#'Amortisation and Repayments'!C3841","block 70")</f>
        <v/>
      </c>
      <c r="AN73">
        <f>'Mapping'!X73</f>
        <v/>
      </c>
      <c r="AO73" s="558" t="n"/>
      <c r="AP73" s="558" t="n"/>
      <c r="AQ73" s="558" t="n"/>
      <c r="AR73" s="559" t="n"/>
      <c r="AS73" s="560" t="n"/>
      <c r="AT73" s="560" t="n"/>
      <c r="AU73" s="561">
        <f>IF(COUNT(AO73:AQ73)=0,"",SUM(AO73:AQ73))</f>
        <v/>
      </c>
    </row>
    <row r="74">
      <c r="A74">
        <f>'Mapping'!J74</f>
        <v/>
      </c>
      <c r="B74">
        <f>'Mapping'!K74</f>
        <v/>
      </c>
      <c r="C74" t="n">
        <v>77</v>
      </c>
      <c r="D74">
        <f>'Loan Book'!E77</f>
        <v/>
      </c>
      <c r="E74">
        <f>'Loan Book'!F77</f>
        <v/>
      </c>
      <c r="F74" s="487">
        <f>'Loan Book'!G77</f>
        <v/>
      </c>
      <c r="G74" s="487">
        <f>'Loan Book'!H77</f>
        <v/>
      </c>
      <c r="H74">
        <f>'Loan Book'!I77</f>
        <v/>
      </c>
      <c r="I74">
        <f>'Loan Book'!J77</f>
        <v/>
      </c>
      <c r="J74">
        <f>IF('Loan Book'!K77="","",IF('Loan Book'!K77&lt;1,'Loan Book'!K77*100,'Loan Book'!K77))</f>
        <v/>
      </c>
      <c r="K74" s="488">
        <f>'Loan Book'!L77</f>
        <v/>
      </c>
      <c r="L74" s="488">
        <f>'Loan Book'!M77</f>
        <v/>
      </c>
      <c r="M74" s="488">
        <f>'Loan Book'!N77</f>
        <v/>
      </c>
      <c r="N74" s="488">
        <f>'Loan Book'!O77</f>
        <v/>
      </c>
      <c r="O74" s="488">
        <f>'Loan Book'!P77</f>
        <v/>
      </c>
      <c r="P74" s="488">
        <f>'Loan Book'!Q77</f>
        <v/>
      </c>
      <c r="Q74" s="488">
        <f>'Loan Book'!R77</f>
        <v/>
      </c>
      <c r="R74" s="488">
        <f>'Loan Book'!S77</f>
        <v/>
      </c>
      <c r="S74" s="488">
        <f>'Loan Book'!T77</f>
        <v/>
      </c>
      <c r="T74" s="488">
        <f>'Loan Book'!U77</f>
        <v/>
      </c>
      <c r="U74">
        <f>'Loan Book'!AC77</f>
        <v/>
      </c>
      <c r="V74">
        <f>'Loan Book'!AE77</f>
        <v/>
      </c>
      <c r="W74">
        <f>IFERROR(INDEX('E-Banker master'!$B$2:$B$186,MATCH($A74,'E-Banker master'!$A$2:$A$186,0)),"")</f>
        <v/>
      </c>
      <c r="X74">
        <f>IFERROR(INDEX('E-Banker master'!$C$2:$C$186,MATCH($A74,'E-Banker master'!$A$2:$A$186,0)),"")</f>
        <v/>
      </c>
      <c r="Y74">
        <f>IFERROR(INDEX('E-Banker master'!$D$2:$D$186,MATCH($A74,'E-Banker master'!$A$2:$A$186,0)),"")</f>
        <v/>
      </c>
      <c r="Z74">
        <f>IFERROR(INDEX('E-Banker master'!$E$2:$E$186,MATCH($A74,'E-Banker master'!$A$2:$A$186,0)),"")</f>
        <v/>
      </c>
      <c r="AA74">
        <f>IFERROR(INDEX('E-Banker master'!$F$2:$F$186,MATCH($A74,'E-Banker master'!$A$2:$A$186,0)),"")</f>
        <v/>
      </c>
      <c r="AB74">
        <f>IFERROR(INDEX('E-Banker master'!$G$2:$G$186,MATCH($A74,'E-Banker master'!$A$2:$A$186,0)),"")</f>
        <v/>
      </c>
      <c r="AC74" s="488">
        <f>IFERROR(INDEX('E-Banker master'!$I$2:$I$186,MATCH($A74,'E-Banker master'!$A$2:$A$186,0)),"")</f>
        <v/>
      </c>
      <c r="AD74" s="487">
        <f>IFERROR(INDEX('E-Banker master'!$J$2:$J$186,MATCH($A74,'E-Banker master'!$A$2:$A$186,0)),"")</f>
        <v/>
      </c>
      <c r="AE74" s="487">
        <f>IFERROR(INDEX('E-Banker master'!$K$2:$K$186,MATCH($A74,'E-Banker master'!$A$2:$A$186,0)),"")</f>
        <v/>
      </c>
      <c r="AF74">
        <f>IFERROR(INDEX('E-Banker master'!$L$2:$L$186,MATCH($A74,'E-Banker master'!$A$2:$A$186,0)),"")</f>
        <v/>
      </c>
      <c r="AG74">
        <f>IFERROR(INDEX('E-Banker master'!$M$2:$M$186,MATCH($A74,'E-Banker master'!$A$2:$A$186,0)),"")</f>
        <v/>
      </c>
      <c r="AH74" s="488">
        <f>IFERROR(INDEX('E-Banker master'!$N$2:$N$186,MATCH($A74,'E-Banker master'!$A$2:$A$186,0)),"")</f>
        <v/>
      </c>
      <c r="AI74" s="488">
        <f>IFERROR(INDEX('E-Banker master'!$O$2:$O$186,MATCH($A74,'E-Banker master'!$A$2:$A$186,0)),"")</f>
        <v/>
      </c>
      <c r="AJ74" s="488">
        <f>IFERROR(INDEX('E-Banker master'!$P$2:$P$186,MATCH($A74,'E-Banker master'!$A$2:$A$186,0)),"")</f>
        <v/>
      </c>
      <c r="AK74" s="488">
        <f>IF(OR(Q74="",AJ74=""),"",Q74-AJ74)</f>
        <v/>
      </c>
      <c r="AL74" t="n">
        <v>71</v>
      </c>
      <c r="AM74">
        <f>HYPERLINK("#'Amortisation and Repayments'!C3907","block 71")</f>
        <v/>
      </c>
      <c r="AN74">
        <f>'Mapping'!X74</f>
        <v/>
      </c>
      <c r="AO74" s="558" t="n"/>
      <c r="AP74" s="558" t="n"/>
      <c r="AQ74" s="558" t="n"/>
      <c r="AR74" s="559" t="n"/>
      <c r="AS74" s="560" t="n"/>
      <c r="AT74" s="560" t="n"/>
      <c r="AU74" s="561">
        <f>IF(COUNT(AO74:AQ74)=0,"",SUM(AO74:AQ74))</f>
        <v/>
      </c>
    </row>
    <row r="75">
      <c r="A75">
        <f>'Mapping'!J75</f>
        <v/>
      </c>
      <c r="B75">
        <f>'Mapping'!K75</f>
        <v/>
      </c>
      <c r="C75" t="n">
        <v>78</v>
      </c>
      <c r="D75">
        <f>'Loan Book'!E78</f>
        <v/>
      </c>
      <c r="E75">
        <f>'Loan Book'!F78</f>
        <v/>
      </c>
      <c r="F75" s="487">
        <f>'Loan Book'!G78</f>
        <v/>
      </c>
      <c r="G75" s="487">
        <f>'Loan Book'!H78</f>
        <v/>
      </c>
      <c r="H75">
        <f>'Loan Book'!I78</f>
        <v/>
      </c>
      <c r="I75">
        <f>'Loan Book'!J78</f>
        <v/>
      </c>
      <c r="J75">
        <f>IF('Loan Book'!K78="","",IF('Loan Book'!K78&lt;1,'Loan Book'!K78*100,'Loan Book'!K78))</f>
        <v/>
      </c>
      <c r="K75" s="488">
        <f>'Loan Book'!L78</f>
        <v/>
      </c>
      <c r="L75" s="488">
        <f>'Loan Book'!M78</f>
        <v/>
      </c>
      <c r="M75" s="488">
        <f>'Loan Book'!N78</f>
        <v/>
      </c>
      <c r="N75" s="488">
        <f>'Loan Book'!O78</f>
        <v/>
      </c>
      <c r="O75" s="488">
        <f>'Loan Book'!P78</f>
        <v/>
      </c>
      <c r="P75" s="488">
        <f>'Loan Book'!Q78</f>
        <v/>
      </c>
      <c r="Q75" s="488">
        <f>'Loan Book'!R78</f>
        <v/>
      </c>
      <c r="R75" s="488">
        <f>'Loan Book'!S78</f>
        <v/>
      </c>
      <c r="S75" s="488">
        <f>'Loan Book'!T78</f>
        <v/>
      </c>
      <c r="T75" s="488">
        <f>'Loan Book'!U78</f>
        <v/>
      </c>
      <c r="U75">
        <f>'Loan Book'!AC78</f>
        <v/>
      </c>
      <c r="V75">
        <f>'Loan Book'!AE78</f>
        <v/>
      </c>
      <c r="W75">
        <f>IFERROR(INDEX('E-Banker master'!$B$2:$B$186,MATCH($A75,'E-Banker master'!$A$2:$A$186,0)),"")</f>
        <v/>
      </c>
      <c r="X75">
        <f>IFERROR(INDEX('E-Banker master'!$C$2:$C$186,MATCH($A75,'E-Banker master'!$A$2:$A$186,0)),"")</f>
        <v/>
      </c>
      <c r="Y75">
        <f>IFERROR(INDEX('E-Banker master'!$D$2:$D$186,MATCH($A75,'E-Banker master'!$A$2:$A$186,0)),"")</f>
        <v/>
      </c>
      <c r="Z75">
        <f>IFERROR(INDEX('E-Banker master'!$E$2:$E$186,MATCH($A75,'E-Banker master'!$A$2:$A$186,0)),"")</f>
        <v/>
      </c>
      <c r="AA75">
        <f>IFERROR(INDEX('E-Banker master'!$F$2:$F$186,MATCH($A75,'E-Banker master'!$A$2:$A$186,0)),"")</f>
        <v/>
      </c>
      <c r="AB75">
        <f>IFERROR(INDEX('E-Banker master'!$G$2:$G$186,MATCH($A75,'E-Banker master'!$A$2:$A$186,0)),"")</f>
        <v/>
      </c>
      <c r="AC75" s="488">
        <f>IFERROR(INDEX('E-Banker master'!$I$2:$I$186,MATCH($A75,'E-Banker master'!$A$2:$A$186,0)),"")</f>
        <v/>
      </c>
      <c r="AD75" s="487">
        <f>IFERROR(INDEX('E-Banker master'!$J$2:$J$186,MATCH($A75,'E-Banker master'!$A$2:$A$186,0)),"")</f>
        <v/>
      </c>
      <c r="AE75" s="487">
        <f>IFERROR(INDEX('E-Banker master'!$K$2:$K$186,MATCH($A75,'E-Banker master'!$A$2:$A$186,0)),"")</f>
        <v/>
      </c>
      <c r="AF75">
        <f>IFERROR(INDEX('E-Banker master'!$L$2:$L$186,MATCH($A75,'E-Banker master'!$A$2:$A$186,0)),"")</f>
        <v/>
      </c>
      <c r="AG75">
        <f>IFERROR(INDEX('E-Banker master'!$M$2:$M$186,MATCH($A75,'E-Banker master'!$A$2:$A$186,0)),"")</f>
        <v/>
      </c>
      <c r="AH75" s="488">
        <f>IFERROR(INDEX('E-Banker master'!$N$2:$N$186,MATCH($A75,'E-Banker master'!$A$2:$A$186,0)),"")</f>
        <v/>
      </c>
      <c r="AI75" s="488">
        <f>IFERROR(INDEX('E-Banker master'!$O$2:$O$186,MATCH($A75,'E-Banker master'!$A$2:$A$186,0)),"")</f>
        <v/>
      </c>
      <c r="AJ75" s="488">
        <f>IFERROR(INDEX('E-Banker master'!$P$2:$P$186,MATCH($A75,'E-Banker master'!$A$2:$A$186,0)),"")</f>
        <v/>
      </c>
      <c r="AK75" s="488">
        <f>IF(OR(Q75="",AJ75=""),"",Q75-AJ75)</f>
        <v/>
      </c>
      <c r="AL75" t="n">
        <v>72</v>
      </c>
      <c r="AM75">
        <f>HYPERLINK("#'Amortisation and Repayments'!C3949","block 72")</f>
        <v/>
      </c>
      <c r="AN75">
        <f>'Mapping'!X75</f>
        <v/>
      </c>
      <c r="AO75" s="558" t="n"/>
      <c r="AP75" s="558" t="n"/>
      <c r="AQ75" s="558" t="n"/>
      <c r="AR75" s="559" t="n"/>
      <c r="AS75" s="560" t="n"/>
      <c r="AT75" s="560" t="n"/>
      <c r="AU75" s="561">
        <f>IF(COUNT(AO75:AQ75)=0,"",SUM(AO75:AQ75))</f>
        <v/>
      </c>
    </row>
    <row r="76">
      <c r="A76">
        <f>'Mapping'!J76</f>
        <v/>
      </c>
      <c r="B76">
        <f>'Mapping'!K76</f>
        <v/>
      </c>
      <c r="C76" t="n">
        <v>79</v>
      </c>
      <c r="D76">
        <f>'Loan Book'!E79</f>
        <v/>
      </c>
      <c r="E76">
        <f>'Loan Book'!F79</f>
        <v/>
      </c>
      <c r="F76" s="487">
        <f>'Loan Book'!G79</f>
        <v/>
      </c>
      <c r="G76" s="487">
        <f>'Loan Book'!H79</f>
        <v/>
      </c>
      <c r="H76">
        <f>'Loan Book'!I79</f>
        <v/>
      </c>
      <c r="I76">
        <f>'Loan Book'!J79</f>
        <v/>
      </c>
      <c r="J76">
        <f>IF('Loan Book'!K79="","",IF('Loan Book'!K79&lt;1,'Loan Book'!K79*100,'Loan Book'!K79))</f>
        <v/>
      </c>
      <c r="K76" s="488">
        <f>'Loan Book'!L79</f>
        <v/>
      </c>
      <c r="L76" s="488">
        <f>'Loan Book'!M79</f>
        <v/>
      </c>
      <c r="M76" s="488">
        <f>'Loan Book'!N79</f>
        <v/>
      </c>
      <c r="N76" s="488">
        <f>'Loan Book'!O79</f>
        <v/>
      </c>
      <c r="O76" s="488">
        <f>'Loan Book'!P79</f>
        <v/>
      </c>
      <c r="P76" s="488">
        <f>'Loan Book'!Q79</f>
        <v/>
      </c>
      <c r="Q76" s="488">
        <f>'Loan Book'!R79</f>
        <v/>
      </c>
      <c r="R76" s="488">
        <f>'Loan Book'!S79</f>
        <v/>
      </c>
      <c r="S76" s="488">
        <f>'Loan Book'!T79</f>
        <v/>
      </c>
      <c r="T76" s="488">
        <f>'Loan Book'!U79</f>
        <v/>
      </c>
      <c r="U76">
        <f>'Loan Book'!AC79</f>
        <v/>
      </c>
      <c r="V76">
        <f>'Loan Book'!AE79</f>
        <v/>
      </c>
      <c r="W76">
        <f>IFERROR(INDEX('E-Banker master'!$B$2:$B$186,MATCH($A76,'E-Banker master'!$A$2:$A$186,0)),"")</f>
        <v/>
      </c>
      <c r="X76">
        <f>IFERROR(INDEX('E-Banker master'!$C$2:$C$186,MATCH($A76,'E-Banker master'!$A$2:$A$186,0)),"")</f>
        <v/>
      </c>
      <c r="Y76">
        <f>IFERROR(INDEX('E-Banker master'!$D$2:$D$186,MATCH($A76,'E-Banker master'!$A$2:$A$186,0)),"")</f>
        <v/>
      </c>
      <c r="Z76">
        <f>IFERROR(INDEX('E-Banker master'!$E$2:$E$186,MATCH($A76,'E-Banker master'!$A$2:$A$186,0)),"")</f>
        <v/>
      </c>
      <c r="AA76">
        <f>IFERROR(INDEX('E-Banker master'!$F$2:$F$186,MATCH($A76,'E-Banker master'!$A$2:$A$186,0)),"")</f>
        <v/>
      </c>
      <c r="AB76">
        <f>IFERROR(INDEX('E-Banker master'!$G$2:$G$186,MATCH($A76,'E-Banker master'!$A$2:$A$186,0)),"")</f>
        <v/>
      </c>
      <c r="AC76" s="488">
        <f>IFERROR(INDEX('E-Banker master'!$I$2:$I$186,MATCH($A76,'E-Banker master'!$A$2:$A$186,0)),"")</f>
        <v/>
      </c>
      <c r="AD76" s="487">
        <f>IFERROR(INDEX('E-Banker master'!$J$2:$J$186,MATCH($A76,'E-Banker master'!$A$2:$A$186,0)),"")</f>
        <v/>
      </c>
      <c r="AE76" s="487">
        <f>IFERROR(INDEX('E-Banker master'!$K$2:$K$186,MATCH($A76,'E-Banker master'!$A$2:$A$186,0)),"")</f>
        <v/>
      </c>
      <c r="AF76">
        <f>IFERROR(INDEX('E-Banker master'!$L$2:$L$186,MATCH($A76,'E-Banker master'!$A$2:$A$186,0)),"")</f>
        <v/>
      </c>
      <c r="AG76">
        <f>IFERROR(INDEX('E-Banker master'!$M$2:$M$186,MATCH($A76,'E-Banker master'!$A$2:$A$186,0)),"")</f>
        <v/>
      </c>
      <c r="AH76" s="488">
        <f>IFERROR(INDEX('E-Banker master'!$N$2:$N$186,MATCH($A76,'E-Banker master'!$A$2:$A$186,0)),"")</f>
        <v/>
      </c>
      <c r="AI76" s="488">
        <f>IFERROR(INDEX('E-Banker master'!$O$2:$O$186,MATCH($A76,'E-Banker master'!$A$2:$A$186,0)),"")</f>
        <v/>
      </c>
      <c r="AJ76" s="488">
        <f>IFERROR(INDEX('E-Banker master'!$P$2:$P$186,MATCH($A76,'E-Banker master'!$A$2:$A$186,0)),"")</f>
        <v/>
      </c>
      <c r="AK76" s="488">
        <f>IF(OR(Q76="",AJ76=""),"",Q76-AJ76)</f>
        <v/>
      </c>
      <c r="AL76" t="n">
        <v>69</v>
      </c>
      <c r="AM76">
        <f>HYPERLINK("#'Amortisation and Repayments'!C3799","block 69")</f>
        <v/>
      </c>
      <c r="AN76">
        <f>'Mapping'!X76</f>
        <v/>
      </c>
      <c r="AO76" s="558" t="n"/>
      <c r="AP76" s="558" t="n"/>
      <c r="AQ76" s="558" t="n"/>
      <c r="AR76" s="559" t="n"/>
      <c r="AS76" s="560" t="n"/>
      <c r="AT76" s="560" t="n"/>
      <c r="AU76" s="561">
        <f>IF(COUNT(AO76:AQ76)=0,"",SUM(AO76:AQ76))</f>
        <v/>
      </c>
    </row>
    <row r="77">
      <c r="A77">
        <f>'Mapping'!J77</f>
        <v/>
      </c>
      <c r="B77">
        <f>'Mapping'!K77</f>
        <v/>
      </c>
      <c r="C77" t="n">
        <v>80</v>
      </c>
      <c r="D77">
        <f>'Loan Book'!E80</f>
        <v/>
      </c>
      <c r="E77">
        <f>'Loan Book'!F80</f>
        <v/>
      </c>
      <c r="F77" s="487">
        <f>'Loan Book'!G80</f>
        <v/>
      </c>
      <c r="G77" s="487">
        <f>'Loan Book'!H80</f>
        <v/>
      </c>
      <c r="H77">
        <f>'Loan Book'!I80</f>
        <v/>
      </c>
      <c r="I77">
        <f>'Loan Book'!J80</f>
        <v/>
      </c>
      <c r="J77">
        <f>IF('Loan Book'!K80="","",IF('Loan Book'!K80&lt;1,'Loan Book'!K80*100,'Loan Book'!K80))</f>
        <v/>
      </c>
      <c r="K77" s="488">
        <f>'Loan Book'!L80</f>
        <v/>
      </c>
      <c r="L77" s="488">
        <f>'Loan Book'!M80</f>
        <v/>
      </c>
      <c r="M77" s="488">
        <f>'Loan Book'!N80</f>
        <v/>
      </c>
      <c r="N77" s="488">
        <f>'Loan Book'!O80</f>
        <v/>
      </c>
      <c r="O77" s="488">
        <f>'Loan Book'!P80</f>
        <v/>
      </c>
      <c r="P77" s="488">
        <f>'Loan Book'!Q80</f>
        <v/>
      </c>
      <c r="Q77" s="488">
        <f>'Loan Book'!R80</f>
        <v/>
      </c>
      <c r="R77" s="488">
        <f>'Loan Book'!S80</f>
        <v/>
      </c>
      <c r="S77" s="488">
        <f>'Loan Book'!T80</f>
        <v/>
      </c>
      <c r="T77" s="488">
        <f>'Loan Book'!U80</f>
        <v/>
      </c>
      <c r="U77">
        <f>'Loan Book'!AC80</f>
        <v/>
      </c>
      <c r="V77">
        <f>'Loan Book'!AE80</f>
        <v/>
      </c>
      <c r="W77">
        <f>IFERROR(INDEX('E-Banker master'!$B$2:$B$186,MATCH($A77,'E-Banker master'!$A$2:$A$186,0)),"")</f>
        <v/>
      </c>
      <c r="X77">
        <f>IFERROR(INDEX('E-Banker master'!$C$2:$C$186,MATCH($A77,'E-Banker master'!$A$2:$A$186,0)),"")</f>
        <v/>
      </c>
      <c r="Y77">
        <f>IFERROR(INDEX('E-Banker master'!$D$2:$D$186,MATCH($A77,'E-Banker master'!$A$2:$A$186,0)),"")</f>
        <v/>
      </c>
      <c r="Z77">
        <f>IFERROR(INDEX('E-Banker master'!$E$2:$E$186,MATCH($A77,'E-Banker master'!$A$2:$A$186,0)),"")</f>
        <v/>
      </c>
      <c r="AA77">
        <f>IFERROR(INDEX('E-Banker master'!$F$2:$F$186,MATCH($A77,'E-Banker master'!$A$2:$A$186,0)),"")</f>
        <v/>
      </c>
      <c r="AB77">
        <f>IFERROR(INDEX('E-Banker master'!$G$2:$G$186,MATCH($A77,'E-Banker master'!$A$2:$A$186,0)),"")</f>
        <v/>
      </c>
      <c r="AC77" s="488">
        <f>IFERROR(INDEX('E-Banker master'!$I$2:$I$186,MATCH($A77,'E-Banker master'!$A$2:$A$186,0)),"")</f>
        <v/>
      </c>
      <c r="AD77" s="487">
        <f>IFERROR(INDEX('E-Banker master'!$J$2:$J$186,MATCH($A77,'E-Banker master'!$A$2:$A$186,0)),"")</f>
        <v/>
      </c>
      <c r="AE77" s="487">
        <f>IFERROR(INDEX('E-Banker master'!$K$2:$K$186,MATCH($A77,'E-Banker master'!$A$2:$A$186,0)),"")</f>
        <v/>
      </c>
      <c r="AF77">
        <f>IFERROR(INDEX('E-Banker master'!$L$2:$L$186,MATCH($A77,'E-Banker master'!$A$2:$A$186,0)),"")</f>
        <v/>
      </c>
      <c r="AG77">
        <f>IFERROR(INDEX('E-Banker master'!$M$2:$M$186,MATCH($A77,'E-Banker master'!$A$2:$A$186,0)),"")</f>
        <v/>
      </c>
      <c r="AH77" s="488">
        <f>IFERROR(INDEX('E-Banker master'!$N$2:$N$186,MATCH($A77,'E-Banker master'!$A$2:$A$186,0)),"")</f>
        <v/>
      </c>
      <c r="AI77" s="488">
        <f>IFERROR(INDEX('E-Banker master'!$O$2:$O$186,MATCH($A77,'E-Banker master'!$A$2:$A$186,0)),"")</f>
        <v/>
      </c>
      <c r="AJ77" s="488">
        <f>IFERROR(INDEX('E-Banker master'!$P$2:$P$186,MATCH($A77,'E-Banker master'!$A$2:$A$186,0)),"")</f>
        <v/>
      </c>
      <c r="AK77" s="488">
        <f>IF(OR(Q77="",AJ77=""),"",Q77-AJ77)</f>
        <v/>
      </c>
      <c r="AL77" t="n">
        <v>73</v>
      </c>
      <c r="AM77">
        <f>HYPERLINK("#'Amortisation and Repayments'!C3991","block 73")</f>
        <v/>
      </c>
      <c r="AN77">
        <f>'Mapping'!X77</f>
        <v/>
      </c>
      <c r="AO77" s="558" t="n"/>
      <c r="AP77" s="558" t="n"/>
      <c r="AQ77" s="558" t="n"/>
      <c r="AR77" s="559" t="n"/>
      <c r="AS77" s="560" t="n"/>
      <c r="AT77" s="560" t="n"/>
      <c r="AU77" s="561">
        <f>IF(COUNT(AO77:AQ77)=0,"",SUM(AO77:AQ77))</f>
        <v/>
      </c>
    </row>
    <row r="78">
      <c r="A78">
        <f>'Mapping'!J78</f>
        <v/>
      </c>
      <c r="B78">
        <f>'Mapping'!K78</f>
        <v/>
      </c>
      <c r="C78" t="n">
        <v>81</v>
      </c>
      <c r="D78">
        <f>'Loan Book'!E81</f>
        <v/>
      </c>
      <c r="E78">
        <f>'Loan Book'!F81</f>
        <v/>
      </c>
      <c r="F78" s="487">
        <f>'Loan Book'!G81</f>
        <v/>
      </c>
      <c r="G78" s="487">
        <f>'Loan Book'!H81</f>
        <v/>
      </c>
      <c r="H78">
        <f>'Loan Book'!I81</f>
        <v/>
      </c>
      <c r="I78">
        <f>'Loan Book'!J81</f>
        <v/>
      </c>
      <c r="J78">
        <f>IF('Loan Book'!K81="","",IF('Loan Book'!K81&lt;1,'Loan Book'!K81*100,'Loan Book'!K81))</f>
        <v/>
      </c>
      <c r="K78" s="488">
        <f>'Loan Book'!L81</f>
        <v/>
      </c>
      <c r="L78" s="488">
        <f>'Loan Book'!M81</f>
        <v/>
      </c>
      <c r="M78" s="488">
        <f>'Loan Book'!N81</f>
        <v/>
      </c>
      <c r="N78" s="488">
        <f>'Loan Book'!O81</f>
        <v/>
      </c>
      <c r="O78" s="488">
        <f>'Loan Book'!P81</f>
        <v/>
      </c>
      <c r="P78" s="488">
        <f>'Loan Book'!Q81</f>
        <v/>
      </c>
      <c r="Q78" s="488">
        <f>'Loan Book'!R81</f>
        <v/>
      </c>
      <c r="R78" s="488">
        <f>'Loan Book'!S81</f>
        <v/>
      </c>
      <c r="S78" s="488">
        <f>'Loan Book'!T81</f>
        <v/>
      </c>
      <c r="T78" s="488">
        <f>'Loan Book'!U81</f>
        <v/>
      </c>
      <c r="U78">
        <f>'Loan Book'!AC81</f>
        <v/>
      </c>
      <c r="V78">
        <f>'Loan Book'!AE81</f>
        <v/>
      </c>
      <c r="W78">
        <f>IFERROR(INDEX('E-Banker master'!$B$2:$B$186,MATCH($A78,'E-Banker master'!$A$2:$A$186,0)),"")</f>
        <v/>
      </c>
      <c r="X78">
        <f>IFERROR(INDEX('E-Banker master'!$C$2:$C$186,MATCH($A78,'E-Banker master'!$A$2:$A$186,0)),"")</f>
        <v/>
      </c>
      <c r="Y78">
        <f>IFERROR(INDEX('E-Banker master'!$D$2:$D$186,MATCH($A78,'E-Banker master'!$A$2:$A$186,0)),"")</f>
        <v/>
      </c>
      <c r="Z78">
        <f>IFERROR(INDEX('E-Banker master'!$E$2:$E$186,MATCH($A78,'E-Banker master'!$A$2:$A$186,0)),"")</f>
        <v/>
      </c>
      <c r="AA78">
        <f>IFERROR(INDEX('E-Banker master'!$F$2:$F$186,MATCH($A78,'E-Banker master'!$A$2:$A$186,0)),"")</f>
        <v/>
      </c>
      <c r="AB78">
        <f>IFERROR(INDEX('E-Banker master'!$G$2:$G$186,MATCH($A78,'E-Banker master'!$A$2:$A$186,0)),"")</f>
        <v/>
      </c>
      <c r="AC78" s="488">
        <f>IFERROR(INDEX('E-Banker master'!$I$2:$I$186,MATCH($A78,'E-Banker master'!$A$2:$A$186,0)),"")</f>
        <v/>
      </c>
      <c r="AD78" s="487">
        <f>IFERROR(INDEX('E-Banker master'!$J$2:$J$186,MATCH($A78,'E-Banker master'!$A$2:$A$186,0)),"")</f>
        <v/>
      </c>
      <c r="AE78" s="487">
        <f>IFERROR(INDEX('E-Banker master'!$K$2:$K$186,MATCH($A78,'E-Banker master'!$A$2:$A$186,0)),"")</f>
        <v/>
      </c>
      <c r="AF78">
        <f>IFERROR(INDEX('E-Banker master'!$L$2:$L$186,MATCH($A78,'E-Banker master'!$A$2:$A$186,0)),"")</f>
        <v/>
      </c>
      <c r="AG78">
        <f>IFERROR(INDEX('E-Banker master'!$M$2:$M$186,MATCH($A78,'E-Banker master'!$A$2:$A$186,0)),"")</f>
        <v/>
      </c>
      <c r="AH78" s="488">
        <f>IFERROR(INDEX('E-Banker master'!$N$2:$N$186,MATCH($A78,'E-Banker master'!$A$2:$A$186,0)),"")</f>
        <v/>
      </c>
      <c r="AI78" s="488">
        <f>IFERROR(INDEX('E-Banker master'!$O$2:$O$186,MATCH($A78,'E-Banker master'!$A$2:$A$186,0)),"")</f>
        <v/>
      </c>
      <c r="AJ78" s="488">
        <f>IFERROR(INDEX('E-Banker master'!$P$2:$P$186,MATCH($A78,'E-Banker master'!$A$2:$A$186,0)),"")</f>
        <v/>
      </c>
      <c r="AK78" s="488">
        <f>IF(OR(Q78="",AJ78=""),"",Q78-AJ78)</f>
        <v/>
      </c>
      <c r="AL78" t="n">
        <v>74</v>
      </c>
      <c r="AM78">
        <f>HYPERLINK("#'Amortisation and Repayments'!C4056","block 74")</f>
        <v/>
      </c>
      <c r="AN78">
        <f>'Mapping'!X78</f>
        <v/>
      </c>
      <c r="AO78" s="558" t="n"/>
      <c r="AP78" s="558" t="n"/>
      <c r="AQ78" s="558" t="n"/>
      <c r="AR78" s="559" t="n"/>
      <c r="AS78" s="560" t="n"/>
      <c r="AT78" s="560" t="n"/>
      <c r="AU78" s="561">
        <f>IF(COUNT(AO78:AQ78)=0,"",SUM(AO78:AQ78))</f>
        <v/>
      </c>
    </row>
    <row r="79">
      <c r="A79">
        <f>'Mapping'!J79</f>
        <v/>
      </c>
      <c r="B79">
        <f>'Mapping'!K79</f>
        <v/>
      </c>
      <c r="C79" t="n">
        <v>82</v>
      </c>
      <c r="D79">
        <f>'Loan Book'!E82</f>
        <v/>
      </c>
      <c r="E79">
        <f>'Loan Book'!F82</f>
        <v/>
      </c>
      <c r="F79" s="487">
        <f>'Loan Book'!G82</f>
        <v/>
      </c>
      <c r="G79" s="487">
        <f>'Loan Book'!H82</f>
        <v/>
      </c>
      <c r="H79">
        <f>'Loan Book'!I82</f>
        <v/>
      </c>
      <c r="I79">
        <f>'Loan Book'!J82</f>
        <v/>
      </c>
      <c r="J79">
        <f>IF('Loan Book'!K82="","",IF('Loan Book'!K82&lt;1,'Loan Book'!K82*100,'Loan Book'!K82))</f>
        <v/>
      </c>
      <c r="K79" s="488">
        <f>'Loan Book'!L82</f>
        <v/>
      </c>
      <c r="L79" s="488">
        <f>'Loan Book'!M82</f>
        <v/>
      </c>
      <c r="M79" s="488">
        <f>'Loan Book'!N82</f>
        <v/>
      </c>
      <c r="N79" s="488">
        <f>'Loan Book'!O82</f>
        <v/>
      </c>
      <c r="O79" s="488">
        <f>'Loan Book'!P82</f>
        <v/>
      </c>
      <c r="P79" s="488">
        <f>'Loan Book'!Q82</f>
        <v/>
      </c>
      <c r="Q79" s="488">
        <f>'Loan Book'!R82</f>
        <v/>
      </c>
      <c r="R79" s="488">
        <f>'Loan Book'!S82</f>
        <v/>
      </c>
      <c r="S79" s="488">
        <f>'Loan Book'!T82</f>
        <v/>
      </c>
      <c r="T79" s="488">
        <f>'Loan Book'!U82</f>
        <v/>
      </c>
      <c r="U79">
        <f>'Loan Book'!AC82</f>
        <v/>
      </c>
      <c r="V79">
        <f>'Loan Book'!AE82</f>
        <v/>
      </c>
      <c r="W79">
        <f>IFERROR(INDEX('E-Banker master'!$B$2:$B$186,MATCH($A79,'E-Banker master'!$A$2:$A$186,0)),"")</f>
        <v/>
      </c>
      <c r="X79">
        <f>IFERROR(INDEX('E-Banker master'!$C$2:$C$186,MATCH($A79,'E-Banker master'!$A$2:$A$186,0)),"")</f>
        <v/>
      </c>
      <c r="Y79">
        <f>IFERROR(INDEX('E-Banker master'!$D$2:$D$186,MATCH($A79,'E-Banker master'!$A$2:$A$186,0)),"")</f>
        <v/>
      </c>
      <c r="Z79">
        <f>IFERROR(INDEX('E-Banker master'!$E$2:$E$186,MATCH($A79,'E-Banker master'!$A$2:$A$186,0)),"")</f>
        <v/>
      </c>
      <c r="AA79">
        <f>IFERROR(INDEX('E-Banker master'!$F$2:$F$186,MATCH($A79,'E-Banker master'!$A$2:$A$186,0)),"")</f>
        <v/>
      </c>
      <c r="AB79">
        <f>IFERROR(INDEX('E-Banker master'!$G$2:$G$186,MATCH($A79,'E-Banker master'!$A$2:$A$186,0)),"")</f>
        <v/>
      </c>
      <c r="AC79" s="488">
        <f>IFERROR(INDEX('E-Banker master'!$I$2:$I$186,MATCH($A79,'E-Banker master'!$A$2:$A$186,0)),"")</f>
        <v/>
      </c>
      <c r="AD79" s="487">
        <f>IFERROR(INDEX('E-Banker master'!$J$2:$J$186,MATCH($A79,'E-Banker master'!$A$2:$A$186,0)),"")</f>
        <v/>
      </c>
      <c r="AE79" s="487">
        <f>IFERROR(INDEX('E-Banker master'!$K$2:$K$186,MATCH($A79,'E-Banker master'!$A$2:$A$186,0)),"")</f>
        <v/>
      </c>
      <c r="AF79">
        <f>IFERROR(INDEX('E-Banker master'!$L$2:$L$186,MATCH($A79,'E-Banker master'!$A$2:$A$186,0)),"")</f>
        <v/>
      </c>
      <c r="AG79">
        <f>IFERROR(INDEX('E-Banker master'!$M$2:$M$186,MATCH($A79,'E-Banker master'!$A$2:$A$186,0)),"")</f>
        <v/>
      </c>
      <c r="AH79" s="488">
        <f>IFERROR(INDEX('E-Banker master'!$N$2:$N$186,MATCH($A79,'E-Banker master'!$A$2:$A$186,0)),"")</f>
        <v/>
      </c>
      <c r="AI79" s="488">
        <f>IFERROR(INDEX('E-Banker master'!$O$2:$O$186,MATCH($A79,'E-Banker master'!$A$2:$A$186,0)),"")</f>
        <v/>
      </c>
      <c r="AJ79" s="488">
        <f>IFERROR(INDEX('E-Banker master'!$P$2:$P$186,MATCH($A79,'E-Banker master'!$A$2:$A$186,0)),"")</f>
        <v/>
      </c>
      <c r="AK79" s="488">
        <f>IF(OR(Q79="",AJ79=""),"",Q79-AJ79)</f>
        <v/>
      </c>
      <c r="AL79" t="n">
        <v>75</v>
      </c>
      <c r="AM79">
        <f>HYPERLINK("#'Amortisation and Repayments'!C4109","block 75")</f>
        <v/>
      </c>
      <c r="AN79">
        <f>'Mapping'!X79</f>
        <v/>
      </c>
      <c r="AO79" s="558" t="n"/>
      <c r="AP79" s="558" t="n"/>
      <c r="AQ79" s="558" t="n"/>
      <c r="AR79" s="559" t="n"/>
      <c r="AS79" s="560" t="n"/>
      <c r="AT79" s="560" t="n"/>
      <c r="AU79" s="561">
        <f>IF(COUNT(AO79:AQ79)=0,"",SUM(AO79:AQ79))</f>
        <v/>
      </c>
    </row>
    <row r="80">
      <c r="A80">
        <f>'Mapping'!J80</f>
        <v/>
      </c>
      <c r="B80">
        <f>'Mapping'!K80</f>
        <v/>
      </c>
      <c r="C80" t="n">
        <v>83</v>
      </c>
      <c r="D80">
        <f>'Loan Book'!E83</f>
        <v/>
      </c>
      <c r="E80">
        <f>'Loan Book'!F83</f>
        <v/>
      </c>
      <c r="F80" s="487">
        <f>'Loan Book'!G83</f>
        <v/>
      </c>
      <c r="G80" s="487">
        <f>'Loan Book'!H83</f>
        <v/>
      </c>
      <c r="H80">
        <f>'Loan Book'!I83</f>
        <v/>
      </c>
      <c r="I80">
        <f>'Loan Book'!J83</f>
        <v/>
      </c>
      <c r="J80">
        <f>IF('Loan Book'!K83="","",IF('Loan Book'!K83&lt;1,'Loan Book'!K83*100,'Loan Book'!K83))</f>
        <v/>
      </c>
      <c r="K80" s="488">
        <f>'Loan Book'!L83</f>
        <v/>
      </c>
      <c r="L80" s="488">
        <f>'Loan Book'!M83</f>
        <v/>
      </c>
      <c r="M80" s="488">
        <f>'Loan Book'!N83</f>
        <v/>
      </c>
      <c r="N80" s="488">
        <f>'Loan Book'!O83</f>
        <v/>
      </c>
      <c r="O80" s="488">
        <f>'Loan Book'!P83</f>
        <v/>
      </c>
      <c r="P80" s="488">
        <f>'Loan Book'!Q83</f>
        <v/>
      </c>
      <c r="Q80" s="488">
        <f>'Loan Book'!R83</f>
        <v/>
      </c>
      <c r="R80" s="488">
        <f>'Loan Book'!S83</f>
        <v/>
      </c>
      <c r="S80" s="488">
        <f>'Loan Book'!T83</f>
        <v/>
      </c>
      <c r="T80" s="488">
        <f>'Loan Book'!U83</f>
        <v/>
      </c>
      <c r="U80">
        <f>'Loan Book'!AC83</f>
        <v/>
      </c>
      <c r="V80">
        <f>'Loan Book'!AE83</f>
        <v/>
      </c>
      <c r="W80">
        <f>IFERROR(INDEX('E-Banker master'!$B$2:$B$186,MATCH($A80,'E-Banker master'!$A$2:$A$186,0)),"")</f>
        <v/>
      </c>
      <c r="X80">
        <f>IFERROR(INDEX('E-Banker master'!$C$2:$C$186,MATCH($A80,'E-Banker master'!$A$2:$A$186,0)),"")</f>
        <v/>
      </c>
      <c r="Y80">
        <f>IFERROR(INDEX('E-Banker master'!$D$2:$D$186,MATCH($A80,'E-Banker master'!$A$2:$A$186,0)),"")</f>
        <v/>
      </c>
      <c r="Z80">
        <f>IFERROR(INDEX('E-Banker master'!$E$2:$E$186,MATCH($A80,'E-Banker master'!$A$2:$A$186,0)),"")</f>
        <v/>
      </c>
      <c r="AA80">
        <f>IFERROR(INDEX('E-Banker master'!$F$2:$F$186,MATCH($A80,'E-Banker master'!$A$2:$A$186,0)),"")</f>
        <v/>
      </c>
      <c r="AB80">
        <f>IFERROR(INDEX('E-Banker master'!$G$2:$G$186,MATCH($A80,'E-Banker master'!$A$2:$A$186,0)),"")</f>
        <v/>
      </c>
      <c r="AC80" s="488">
        <f>IFERROR(INDEX('E-Banker master'!$I$2:$I$186,MATCH($A80,'E-Banker master'!$A$2:$A$186,0)),"")</f>
        <v/>
      </c>
      <c r="AD80" s="487">
        <f>IFERROR(INDEX('E-Banker master'!$J$2:$J$186,MATCH($A80,'E-Banker master'!$A$2:$A$186,0)),"")</f>
        <v/>
      </c>
      <c r="AE80" s="487">
        <f>IFERROR(INDEX('E-Banker master'!$K$2:$K$186,MATCH($A80,'E-Banker master'!$A$2:$A$186,0)),"")</f>
        <v/>
      </c>
      <c r="AF80">
        <f>IFERROR(INDEX('E-Banker master'!$L$2:$L$186,MATCH($A80,'E-Banker master'!$A$2:$A$186,0)),"")</f>
        <v/>
      </c>
      <c r="AG80">
        <f>IFERROR(INDEX('E-Banker master'!$M$2:$M$186,MATCH($A80,'E-Banker master'!$A$2:$A$186,0)),"")</f>
        <v/>
      </c>
      <c r="AH80" s="488">
        <f>IFERROR(INDEX('E-Banker master'!$N$2:$N$186,MATCH($A80,'E-Banker master'!$A$2:$A$186,0)),"")</f>
        <v/>
      </c>
      <c r="AI80" s="488">
        <f>IFERROR(INDEX('E-Banker master'!$O$2:$O$186,MATCH($A80,'E-Banker master'!$A$2:$A$186,0)),"")</f>
        <v/>
      </c>
      <c r="AJ80" s="488">
        <f>IFERROR(INDEX('E-Banker master'!$P$2:$P$186,MATCH($A80,'E-Banker master'!$A$2:$A$186,0)),"")</f>
        <v/>
      </c>
      <c r="AK80" s="488">
        <f>IF(OR(Q80="",AJ80=""),"",Q80-AJ80)</f>
        <v/>
      </c>
      <c r="AL80" t="n">
        <v>76</v>
      </c>
      <c r="AM80">
        <f>HYPERLINK("#'Amortisation and Repayments'!C4173","block 76")</f>
        <v/>
      </c>
      <c r="AN80">
        <f>'Mapping'!X80</f>
        <v/>
      </c>
      <c r="AO80" s="558" t="n"/>
      <c r="AP80" s="558" t="n"/>
      <c r="AQ80" s="558" t="n"/>
      <c r="AR80" s="559" t="n"/>
      <c r="AS80" s="560" t="n"/>
      <c r="AT80" s="560" t="n"/>
      <c r="AU80" s="561">
        <f>IF(COUNT(AO80:AQ80)=0,"",SUM(AO80:AQ80))</f>
        <v/>
      </c>
    </row>
    <row r="81">
      <c r="A81">
        <f>'Mapping'!J81</f>
        <v/>
      </c>
      <c r="B81">
        <f>'Mapping'!K81</f>
        <v/>
      </c>
      <c r="C81" t="n">
        <v>84</v>
      </c>
      <c r="D81">
        <f>'Loan Book'!E84</f>
        <v/>
      </c>
      <c r="E81">
        <f>'Loan Book'!F84</f>
        <v/>
      </c>
      <c r="F81" s="487">
        <f>'Loan Book'!G84</f>
        <v/>
      </c>
      <c r="G81" s="487">
        <f>'Loan Book'!H84</f>
        <v/>
      </c>
      <c r="H81">
        <f>'Loan Book'!I84</f>
        <v/>
      </c>
      <c r="I81">
        <f>'Loan Book'!J84</f>
        <v/>
      </c>
      <c r="J81">
        <f>IF('Loan Book'!K84="","",IF('Loan Book'!K84&lt;1,'Loan Book'!K84*100,'Loan Book'!K84))</f>
        <v/>
      </c>
      <c r="K81" s="488">
        <f>'Loan Book'!L84</f>
        <v/>
      </c>
      <c r="L81" s="488">
        <f>'Loan Book'!M84</f>
        <v/>
      </c>
      <c r="M81" s="488">
        <f>'Loan Book'!N84</f>
        <v/>
      </c>
      <c r="N81" s="488">
        <f>'Loan Book'!O84</f>
        <v/>
      </c>
      <c r="O81" s="488">
        <f>'Loan Book'!P84</f>
        <v/>
      </c>
      <c r="P81" s="488">
        <f>'Loan Book'!Q84</f>
        <v/>
      </c>
      <c r="Q81" s="488">
        <f>'Loan Book'!R84</f>
        <v/>
      </c>
      <c r="R81" s="488">
        <f>'Loan Book'!S84</f>
        <v/>
      </c>
      <c r="S81" s="488">
        <f>'Loan Book'!T84</f>
        <v/>
      </c>
      <c r="T81" s="488">
        <f>'Loan Book'!U84</f>
        <v/>
      </c>
      <c r="U81">
        <f>'Loan Book'!AC84</f>
        <v/>
      </c>
      <c r="V81">
        <f>'Loan Book'!AE84</f>
        <v/>
      </c>
      <c r="W81">
        <f>IFERROR(INDEX('E-Banker master'!$B$2:$B$186,MATCH($A81,'E-Banker master'!$A$2:$A$186,0)),"")</f>
        <v/>
      </c>
      <c r="X81">
        <f>IFERROR(INDEX('E-Banker master'!$C$2:$C$186,MATCH($A81,'E-Banker master'!$A$2:$A$186,0)),"")</f>
        <v/>
      </c>
      <c r="Y81">
        <f>IFERROR(INDEX('E-Banker master'!$D$2:$D$186,MATCH($A81,'E-Banker master'!$A$2:$A$186,0)),"")</f>
        <v/>
      </c>
      <c r="Z81">
        <f>IFERROR(INDEX('E-Banker master'!$E$2:$E$186,MATCH($A81,'E-Banker master'!$A$2:$A$186,0)),"")</f>
        <v/>
      </c>
      <c r="AA81">
        <f>IFERROR(INDEX('E-Banker master'!$F$2:$F$186,MATCH($A81,'E-Banker master'!$A$2:$A$186,0)),"")</f>
        <v/>
      </c>
      <c r="AB81">
        <f>IFERROR(INDEX('E-Banker master'!$G$2:$G$186,MATCH($A81,'E-Banker master'!$A$2:$A$186,0)),"")</f>
        <v/>
      </c>
      <c r="AC81" s="488">
        <f>IFERROR(INDEX('E-Banker master'!$I$2:$I$186,MATCH($A81,'E-Banker master'!$A$2:$A$186,0)),"")</f>
        <v/>
      </c>
      <c r="AD81" s="487">
        <f>IFERROR(INDEX('E-Banker master'!$J$2:$J$186,MATCH($A81,'E-Banker master'!$A$2:$A$186,0)),"")</f>
        <v/>
      </c>
      <c r="AE81" s="487">
        <f>IFERROR(INDEX('E-Banker master'!$K$2:$K$186,MATCH($A81,'E-Banker master'!$A$2:$A$186,0)),"")</f>
        <v/>
      </c>
      <c r="AF81">
        <f>IFERROR(INDEX('E-Banker master'!$L$2:$L$186,MATCH($A81,'E-Banker master'!$A$2:$A$186,0)),"")</f>
        <v/>
      </c>
      <c r="AG81">
        <f>IFERROR(INDEX('E-Banker master'!$M$2:$M$186,MATCH($A81,'E-Banker master'!$A$2:$A$186,0)),"")</f>
        <v/>
      </c>
      <c r="AH81" s="488">
        <f>IFERROR(INDEX('E-Banker master'!$N$2:$N$186,MATCH($A81,'E-Banker master'!$A$2:$A$186,0)),"")</f>
        <v/>
      </c>
      <c r="AI81" s="488">
        <f>IFERROR(INDEX('E-Banker master'!$O$2:$O$186,MATCH($A81,'E-Banker master'!$A$2:$A$186,0)),"")</f>
        <v/>
      </c>
      <c r="AJ81" s="488">
        <f>IFERROR(INDEX('E-Banker master'!$P$2:$P$186,MATCH($A81,'E-Banker master'!$A$2:$A$186,0)),"")</f>
        <v/>
      </c>
      <c r="AK81" s="488">
        <f>IF(OR(Q81="",AJ81=""),"",Q81-AJ81)</f>
        <v/>
      </c>
      <c r="AL81" t="n">
        <v>77</v>
      </c>
      <c r="AM81">
        <f>HYPERLINK("#'Amortisation and Repayments'!C4224","block 77")</f>
        <v/>
      </c>
      <c r="AN81">
        <f>'Mapping'!X81</f>
        <v/>
      </c>
      <c r="AO81" s="558" t="n"/>
      <c r="AP81" s="558" t="n"/>
      <c r="AQ81" s="558" t="n"/>
      <c r="AR81" s="559" t="n"/>
      <c r="AS81" s="560" t="n"/>
      <c r="AT81" s="560" t="n"/>
      <c r="AU81" s="561">
        <f>IF(COUNT(AO81:AQ81)=0,"",SUM(AO81:AQ81))</f>
        <v/>
      </c>
    </row>
    <row r="82">
      <c r="A82">
        <f>'Mapping'!J82</f>
        <v/>
      </c>
      <c r="B82">
        <f>'Mapping'!K82</f>
        <v/>
      </c>
      <c r="C82" t="n">
        <v>85</v>
      </c>
      <c r="D82">
        <f>'Loan Book'!E85</f>
        <v/>
      </c>
      <c r="E82">
        <f>'Loan Book'!F85</f>
        <v/>
      </c>
      <c r="F82" s="487">
        <f>'Loan Book'!G85</f>
        <v/>
      </c>
      <c r="G82" s="487">
        <f>'Loan Book'!H85</f>
        <v/>
      </c>
      <c r="H82">
        <f>'Loan Book'!I85</f>
        <v/>
      </c>
      <c r="I82">
        <f>'Loan Book'!J85</f>
        <v/>
      </c>
      <c r="J82">
        <f>IF('Loan Book'!K85="","",IF('Loan Book'!K85&lt;1,'Loan Book'!K85*100,'Loan Book'!K85))</f>
        <v/>
      </c>
      <c r="K82" s="488">
        <f>'Loan Book'!L85</f>
        <v/>
      </c>
      <c r="L82" s="488">
        <f>'Loan Book'!M85</f>
        <v/>
      </c>
      <c r="M82" s="488">
        <f>'Loan Book'!N85</f>
        <v/>
      </c>
      <c r="N82" s="488">
        <f>'Loan Book'!O85</f>
        <v/>
      </c>
      <c r="O82" s="488">
        <f>'Loan Book'!P85</f>
        <v/>
      </c>
      <c r="P82" s="488">
        <f>'Loan Book'!Q85</f>
        <v/>
      </c>
      <c r="Q82" s="488">
        <f>'Loan Book'!R85</f>
        <v/>
      </c>
      <c r="R82" s="488">
        <f>'Loan Book'!S85</f>
        <v/>
      </c>
      <c r="S82" s="488">
        <f>'Loan Book'!T85</f>
        <v/>
      </c>
      <c r="T82" s="488">
        <f>'Loan Book'!U85</f>
        <v/>
      </c>
      <c r="U82">
        <f>'Loan Book'!AC85</f>
        <v/>
      </c>
      <c r="V82">
        <f>'Loan Book'!AE85</f>
        <v/>
      </c>
      <c r="W82">
        <f>IFERROR(INDEX('E-Banker master'!$B$2:$B$186,MATCH($A82,'E-Banker master'!$A$2:$A$186,0)),"")</f>
        <v/>
      </c>
      <c r="X82">
        <f>IFERROR(INDEX('E-Banker master'!$C$2:$C$186,MATCH($A82,'E-Banker master'!$A$2:$A$186,0)),"")</f>
        <v/>
      </c>
      <c r="Y82">
        <f>IFERROR(INDEX('E-Banker master'!$D$2:$D$186,MATCH($A82,'E-Banker master'!$A$2:$A$186,0)),"")</f>
        <v/>
      </c>
      <c r="Z82">
        <f>IFERROR(INDEX('E-Banker master'!$E$2:$E$186,MATCH($A82,'E-Banker master'!$A$2:$A$186,0)),"")</f>
        <v/>
      </c>
      <c r="AA82">
        <f>IFERROR(INDEX('E-Banker master'!$F$2:$F$186,MATCH($A82,'E-Banker master'!$A$2:$A$186,0)),"")</f>
        <v/>
      </c>
      <c r="AB82">
        <f>IFERROR(INDEX('E-Banker master'!$G$2:$G$186,MATCH($A82,'E-Banker master'!$A$2:$A$186,0)),"")</f>
        <v/>
      </c>
      <c r="AC82" s="488">
        <f>IFERROR(INDEX('E-Banker master'!$I$2:$I$186,MATCH($A82,'E-Banker master'!$A$2:$A$186,0)),"")</f>
        <v/>
      </c>
      <c r="AD82" s="487">
        <f>IFERROR(INDEX('E-Banker master'!$J$2:$J$186,MATCH($A82,'E-Banker master'!$A$2:$A$186,0)),"")</f>
        <v/>
      </c>
      <c r="AE82" s="487">
        <f>IFERROR(INDEX('E-Banker master'!$K$2:$K$186,MATCH($A82,'E-Banker master'!$A$2:$A$186,0)),"")</f>
        <v/>
      </c>
      <c r="AF82">
        <f>IFERROR(INDEX('E-Banker master'!$L$2:$L$186,MATCH($A82,'E-Banker master'!$A$2:$A$186,0)),"")</f>
        <v/>
      </c>
      <c r="AG82">
        <f>IFERROR(INDEX('E-Banker master'!$M$2:$M$186,MATCH($A82,'E-Banker master'!$A$2:$A$186,0)),"")</f>
        <v/>
      </c>
      <c r="AH82" s="488">
        <f>IFERROR(INDEX('E-Banker master'!$N$2:$N$186,MATCH($A82,'E-Banker master'!$A$2:$A$186,0)),"")</f>
        <v/>
      </c>
      <c r="AI82" s="488">
        <f>IFERROR(INDEX('E-Banker master'!$O$2:$O$186,MATCH($A82,'E-Banker master'!$A$2:$A$186,0)),"")</f>
        <v/>
      </c>
      <c r="AJ82" s="488">
        <f>IFERROR(INDEX('E-Banker master'!$P$2:$P$186,MATCH($A82,'E-Banker master'!$A$2:$A$186,0)),"")</f>
        <v/>
      </c>
      <c r="AK82" s="488">
        <f>IF(OR(Q82="",AJ82=""),"",Q82-AJ82)</f>
        <v/>
      </c>
      <c r="AL82" t="n">
        <v>78</v>
      </c>
      <c r="AM82">
        <f>HYPERLINK("#'Amortisation and Repayments'!C4286","block 78")</f>
        <v/>
      </c>
      <c r="AN82">
        <f>'Mapping'!X82</f>
        <v/>
      </c>
      <c r="AO82" s="558" t="n"/>
      <c r="AP82" s="558" t="n"/>
      <c r="AQ82" s="558" t="n"/>
      <c r="AR82" s="559" t="n"/>
      <c r="AS82" s="560" t="n"/>
      <c r="AT82" s="560" t="n"/>
      <c r="AU82" s="561">
        <f>IF(COUNT(AO82:AQ82)=0,"",SUM(AO82:AQ82))</f>
        <v/>
      </c>
    </row>
    <row r="83">
      <c r="A83">
        <f>'Mapping'!J83</f>
        <v/>
      </c>
      <c r="B83">
        <f>'Mapping'!K83</f>
        <v/>
      </c>
      <c r="C83" t="n">
        <v>86</v>
      </c>
      <c r="D83">
        <f>'Loan Book'!E86</f>
        <v/>
      </c>
      <c r="E83">
        <f>'Loan Book'!F86</f>
        <v/>
      </c>
      <c r="F83" s="487">
        <f>'Loan Book'!G86</f>
        <v/>
      </c>
      <c r="G83" s="487">
        <f>'Loan Book'!H86</f>
        <v/>
      </c>
      <c r="H83">
        <f>'Loan Book'!I86</f>
        <v/>
      </c>
      <c r="I83">
        <f>'Loan Book'!J86</f>
        <v/>
      </c>
      <c r="J83">
        <f>IF('Loan Book'!K86="","",IF('Loan Book'!K86&lt;1,'Loan Book'!K86*100,'Loan Book'!K86))</f>
        <v/>
      </c>
      <c r="K83" s="488">
        <f>'Loan Book'!L86</f>
        <v/>
      </c>
      <c r="L83" s="488">
        <f>'Loan Book'!M86</f>
        <v/>
      </c>
      <c r="M83" s="488">
        <f>'Loan Book'!N86</f>
        <v/>
      </c>
      <c r="N83" s="488">
        <f>'Loan Book'!O86</f>
        <v/>
      </c>
      <c r="O83" s="488">
        <f>'Loan Book'!P86</f>
        <v/>
      </c>
      <c r="P83" s="488">
        <f>'Loan Book'!Q86</f>
        <v/>
      </c>
      <c r="Q83" s="488">
        <f>'Loan Book'!R86</f>
        <v/>
      </c>
      <c r="R83" s="488">
        <f>'Loan Book'!S86</f>
        <v/>
      </c>
      <c r="S83" s="488">
        <f>'Loan Book'!T86</f>
        <v/>
      </c>
      <c r="T83" s="488">
        <f>'Loan Book'!U86</f>
        <v/>
      </c>
      <c r="U83">
        <f>'Loan Book'!AC86</f>
        <v/>
      </c>
      <c r="V83">
        <f>'Loan Book'!AE86</f>
        <v/>
      </c>
      <c r="W83">
        <f>IFERROR(INDEX('E-Banker master'!$B$2:$B$186,MATCH($A83,'E-Banker master'!$A$2:$A$186,0)),"")</f>
        <v/>
      </c>
      <c r="X83">
        <f>IFERROR(INDEX('E-Banker master'!$C$2:$C$186,MATCH($A83,'E-Banker master'!$A$2:$A$186,0)),"")</f>
        <v/>
      </c>
      <c r="Y83">
        <f>IFERROR(INDEX('E-Banker master'!$D$2:$D$186,MATCH($A83,'E-Banker master'!$A$2:$A$186,0)),"")</f>
        <v/>
      </c>
      <c r="Z83">
        <f>IFERROR(INDEX('E-Banker master'!$E$2:$E$186,MATCH($A83,'E-Banker master'!$A$2:$A$186,0)),"")</f>
        <v/>
      </c>
      <c r="AA83">
        <f>IFERROR(INDEX('E-Banker master'!$F$2:$F$186,MATCH($A83,'E-Banker master'!$A$2:$A$186,0)),"")</f>
        <v/>
      </c>
      <c r="AB83">
        <f>IFERROR(INDEX('E-Banker master'!$G$2:$G$186,MATCH($A83,'E-Banker master'!$A$2:$A$186,0)),"")</f>
        <v/>
      </c>
      <c r="AC83" s="488">
        <f>IFERROR(INDEX('E-Banker master'!$I$2:$I$186,MATCH($A83,'E-Banker master'!$A$2:$A$186,0)),"")</f>
        <v/>
      </c>
      <c r="AD83" s="487">
        <f>IFERROR(INDEX('E-Banker master'!$J$2:$J$186,MATCH($A83,'E-Banker master'!$A$2:$A$186,0)),"")</f>
        <v/>
      </c>
      <c r="AE83" s="487">
        <f>IFERROR(INDEX('E-Banker master'!$K$2:$K$186,MATCH($A83,'E-Banker master'!$A$2:$A$186,0)),"")</f>
        <v/>
      </c>
      <c r="AF83">
        <f>IFERROR(INDEX('E-Banker master'!$L$2:$L$186,MATCH($A83,'E-Banker master'!$A$2:$A$186,0)),"")</f>
        <v/>
      </c>
      <c r="AG83">
        <f>IFERROR(INDEX('E-Banker master'!$M$2:$M$186,MATCH($A83,'E-Banker master'!$A$2:$A$186,0)),"")</f>
        <v/>
      </c>
      <c r="AH83" s="488">
        <f>IFERROR(INDEX('E-Banker master'!$N$2:$N$186,MATCH($A83,'E-Banker master'!$A$2:$A$186,0)),"")</f>
        <v/>
      </c>
      <c r="AI83" s="488">
        <f>IFERROR(INDEX('E-Banker master'!$O$2:$O$186,MATCH($A83,'E-Banker master'!$A$2:$A$186,0)),"")</f>
        <v/>
      </c>
      <c r="AJ83" s="488">
        <f>IFERROR(INDEX('E-Banker master'!$P$2:$P$186,MATCH($A83,'E-Banker master'!$A$2:$A$186,0)),"")</f>
        <v/>
      </c>
      <c r="AK83" s="488">
        <f>IF(OR(Q83="",AJ83=""),"",Q83-AJ83)</f>
        <v/>
      </c>
      <c r="AL83" t="n">
        <v>79</v>
      </c>
      <c r="AM83">
        <f>HYPERLINK("#'Amortisation and Repayments'!C4351","block 79")</f>
        <v/>
      </c>
      <c r="AN83">
        <f>'Mapping'!X83</f>
        <v/>
      </c>
      <c r="AO83" s="558" t="n"/>
      <c r="AP83" s="558" t="n"/>
      <c r="AQ83" s="558" t="n"/>
      <c r="AR83" s="559" t="n"/>
      <c r="AS83" s="560" t="n"/>
      <c r="AT83" s="560" t="n"/>
      <c r="AU83" s="561">
        <f>IF(COUNT(AO83:AQ83)=0,"",SUM(AO83:AQ83))</f>
        <v/>
      </c>
    </row>
    <row r="84">
      <c r="A84">
        <f>'Mapping'!J84</f>
        <v/>
      </c>
      <c r="B84">
        <f>'Mapping'!K84</f>
        <v/>
      </c>
      <c r="C84" t="n">
        <v>87</v>
      </c>
      <c r="D84">
        <f>'Loan Book'!E87</f>
        <v/>
      </c>
      <c r="E84">
        <f>'Loan Book'!F87</f>
        <v/>
      </c>
      <c r="F84" s="487">
        <f>'Loan Book'!G87</f>
        <v/>
      </c>
      <c r="G84" s="487">
        <f>'Loan Book'!H87</f>
        <v/>
      </c>
      <c r="H84">
        <f>'Loan Book'!I87</f>
        <v/>
      </c>
      <c r="I84">
        <f>'Loan Book'!J87</f>
        <v/>
      </c>
      <c r="J84">
        <f>IF('Loan Book'!K87="","",IF('Loan Book'!K87&lt;1,'Loan Book'!K87*100,'Loan Book'!K87))</f>
        <v/>
      </c>
      <c r="K84" s="488">
        <f>'Loan Book'!L87</f>
        <v/>
      </c>
      <c r="L84" s="488">
        <f>'Loan Book'!M87</f>
        <v/>
      </c>
      <c r="M84" s="488">
        <f>'Loan Book'!N87</f>
        <v/>
      </c>
      <c r="N84" s="488">
        <f>'Loan Book'!O87</f>
        <v/>
      </c>
      <c r="O84" s="488">
        <f>'Loan Book'!P87</f>
        <v/>
      </c>
      <c r="P84" s="488">
        <f>'Loan Book'!Q87</f>
        <v/>
      </c>
      <c r="Q84" s="488">
        <f>'Loan Book'!R87</f>
        <v/>
      </c>
      <c r="R84" s="488">
        <f>'Loan Book'!S87</f>
        <v/>
      </c>
      <c r="S84" s="488">
        <f>'Loan Book'!T87</f>
        <v/>
      </c>
      <c r="T84" s="488">
        <f>'Loan Book'!U87</f>
        <v/>
      </c>
      <c r="U84">
        <f>'Loan Book'!AC87</f>
        <v/>
      </c>
      <c r="V84">
        <f>'Loan Book'!AE87</f>
        <v/>
      </c>
      <c r="W84">
        <f>IFERROR(INDEX('E-Banker master'!$B$2:$B$186,MATCH($A84,'E-Banker master'!$A$2:$A$186,0)),"")</f>
        <v/>
      </c>
      <c r="X84">
        <f>IFERROR(INDEX('E-Banker master'!$C$2:$C$186,MATCH($A84,'E-Banker master'!$A$2:$A$186,0)),"")</f>
        <v/>
      </c>
      <c r="Y84">
        <f>IFERROR(INDEX('E-Banker master'!$D$2:$D$186,MATCH($A84,'E-Banker master'!$A$2:$A$186,0)),"")</f>
        <v/>
      </c>
      <c r="Z84">
        <f>IFERROR(INDEX('E-Banker master'!$E$2:$E$186,MATCH($A84,'E-Banker master'!$A$2:$A$186,0)),"")</f>
        <v/>
      </c>
      <c r="AA84">
        <f>IFERROR(INDEX('E-Banker master'!$F$2:$F$186,MATCH($A84,'E-Banker master'!$A$2:$A$186,0)),"")</f>
        <v/>
      </c>
      <c r="AB84">
        <f>IFERROR(INDEX('E-Banker master'!$G$2:$G$186,MATCH($A84,'E-Banker master'!$A$2:$A$186,0)),"")</f>
        <v/>
      </c>
      <c r="AC84" s="488">
        <f>IFERROR(INDEX('E-Banker master'!$I$2:$I$186,MATCH($A84,'E-Banker master'!$A$2:$A$186,0)),"")</f>
        <v/>
      </c>
      <c r="AD84" s="487">
        <f>IFERROR(INDEX('E-Banker master'!$J$2:$J$186,MATCH($A84,'E-Banker master'!$A$2:$A$186,0)),"")</f>
        <v/>
      </c>
      <c r="AE84" s="487">
        <f>IFERROR(INDEX('E-Banker master'!$K$2:$K$186,MATCH($A84,'E-Banker master'!$A$2:$A$186,0)),"")</f>
        <v/>
      </c>
      <c r="AF84">
        <f>IFERROR(INDEX('E-Banker master'!$L$2:$L$186,MATCH($A84,'E-Banker master'!$A$2:$A$186,0)),"")</f>
        <v/>
      </c>
      <c r="AG84">
        <f>IFERROR(INDEX('E-Banker master'!$M$2:$M$186,MATCH($A84,'E-Banker master'!$A$2:$A$186,0)),"")</f>
        <v/>
      </c>
      <c r="AH84" s="488">
        <f>IFERROR(INDEX('E-Banker master'!$N$2:$N$186,MATCH($A84,'E-Banker master'!$A$2:$A$186,0)),"")</f>
        <v/>
      </c>
      <c r="AI84" s="488">
        <f>IFERROR(INDEX('E-Banker master'!$O$2:$O$186,MATCH($A84,'E-Banker master'!$A$2:$A$186,0)),"")</f>
        <v/>
      </c>
      <c r="AJ84" s="488">
        <f>IFERROR(INDEX('E-Banker master'!$P$2:$P$186,MATCH($A84,'E-Banker master'!$A$2:$A$186,0)),"")</f>
        <v/>
      </c>
      <c r="AK84" s="488">
        <f>IF(OR(Q84="",AJ84=""),"",Q84-AJ84)</f>
        <v/>
      </c>
      <c r="AL84" t="n">
        <v>80</v>
      </c>
      <c r="AM84">
        <f>HYPERLINK("#'Amortisation and Repayments'!C4404","block 80")</f>
        <v/>
      </c>
      <c r="AN84">
        <f>'Mapping'!X84</f>
        <v/>
      </c>
      <c r="AO84" s="558" t="n"/>
      <c r="AP84" s="558" t="n"/>
      <c r="AQ84" s="558" t="n"/>
      <c r="AR84" s="559" t="n"/>
      <c r="AS84" s="560" t="n"/>
      <c r="AT84" s="560" t="n"/>
      <c r="AU84" s="561">
        <f>IF(COUNT(AO84:AQ84)=0,"",SUM(AO84:AQ84))</f>
        <v/>
      </c>
    </row>
    <row r="85">
      <c r="A85">
        <f>'Mapping'!J85</f>
        <v/>
      </c>
      <c r="B85">
        <f>'Mapping'!K85</f>
        <v/>
      </c>
      <c r="C85" t="n">
        <v>88</v>
      </c>
      <c r="D85">
        <f>'Loan Book'!E88</f>
        <v/>
      </c>
      <c r="E85">
        <f>'Loan Book'!F88</f>
        <v/>
      </c>
      <c r="F85" s="487">
        <f>'Loan Book'!G88</f>
        <v/>
      </c>
      <c r="G85" s="487">
        <f>'Loan Book'!H88</f>
        <v/>
      </c>
      <c r="H85">
        <f>'Loan Book'!I88</f>
        <v/>
      </c>
      <c r="I85">
        <f>'Loan Book'!J88</f>
        <v/>
      </c>
      <c r="J85">
        <f>IF('Loan Book'!K88="","",IF('Loan Book'!K88&lt;1,'Loan Book'!K88*100,'Loan Book'!K88))</f>
        <v/>
      </c>
      <c r="K85" s="488">
        <f>'Loan Book'!L88</f>
        <v/>
      </c>
      <c r="L85" s="488">
        <f>'Loan Book'!M88</f>
        <v/>
      </c>
      <c r="M85" s="488">
        <f>'Loan Book'!N88</f>
        <v/>
      </c>
      <c r="N85" s="488">
        <f>'Loan Book'!O88</f>
        <v/>
      </c>
      <c r="O85" s="488">
        <f>'Loan Book'!P88</f>
        <v/>
      </c>
      <c r="P85" s="488">
        <f>'Loan Book'!Q88</f>
        <v/>
      </c>
      <c r="Q85" s="488">
        <f>'Loan Book'!R88</f>
        <v/>
      </c>
      <c r="R85" s="488">
        <f>'Loan Book'!S88</f>
        <v/>
      </c>
      <c r="S85" s="488">
        <f>'Loan Book'!T88</f>
        <v/>
      </c>
      <c r="T85" s="488">
        <f>'Loan Book'!U88</f>
        <v/>
      </c>
      <c r="U85">
        <f>'Loan Book'!AC88</f>
        <v/>
      </c>
      <c r="V85">
        <f>'Loan Book'!AE88</f>
        <v/>
      </c>
      <c r="W85">
        <f>IFERROR(INDEX('E-Banker master'!$B$2:$B$186,MATCH($A85,'E-Banker master'!$A$2:$A$186,0)),"")</f>
        <v/>
      </c>
      <c r="X85">
        <f>IFERROR(INDEX('E-Banker master'!$C$2:$C$186,MATCH($A85,'E-Banker master'!$A$2:$A$186,0)),"")</f>
        <v/>
      </c>
      <c r="Y85">
        <f>IFERROR(INDEX('E-Banker master'!$D$2:$D$186,MATCH($A85,'E-Banker master'!$A$2:$A$186,0)),"")</f>
        <v/>
      </c>
      <c r="Z85">
        <f>IFERROR(INDEX('E-Banker master'!$E$2:$E$186,MATCH($A85,'E-Banker master'!$A$2:$A$186,0)),"")</f>
        <v/>
      </c>
      <c r="AA85">
        <f>IFERROR(INDEX('E-Banker master'!$F$2:$F$186,MATCH($A85,'E-Banker master'!$A$2:$A$186,0)),"")</f>
        <v/>
      </c>
      <c r="AB85">
        <f>IFERROR(INDEX('E-Banker master'!$G$2:$G$186,MATCH($A85,'E-Banker master'!$A$2:$A$186,0)),"")</f>
        <v/>
      </c>
      <c r="AC85" s="488">
        <f>IFERROR(INDEX('E-Banker master'!$I$2:$I$186,MATCH($A85,'E-Banker master'!$A$2:$A$186,0)),"")</f>
        <v/>
      </c>
      <c r="AD85" s="487">
        <f>IFERROR(INDEX('E-Banker master'!$J$2:$J$186,MATCH($A85,'E-Banker master'!$A$2:$A$186,0)),"")</f>
        <v/>
      </c>
      <c r="AE85" s="487">
        <f>IFERROR(INDEX('E-Banker master'!$K$2:$K$186,MATCH($A85,'E-Banker master'!$A$2:$A$186,0)),"")</f>
        <v/>
      </c>
      <c r="AF85">
        <f>IFERROR(INDEX('E-Banker master'!$L$2:$L$186,MATCH($A85,'E-Banker master'!$A$2:$A$186,0)),"")</f>
        <v/>
      </c>
      <c r="AG85">
        <f>IFERROR(INDEX('E-Banker master'!$M$2:$M$186,MATCH($A85,'E-Banker master'!$A$2:$A$186,0)),"")</f>
        <v/>
      </c>
      <c r="AH85" s="488">
        <f>IFERROR(INDEX('E-Banker master'!$N$2:$N$186,MATCH($A85,'E-Banker master'!$A$2:$A$186,0)),"")</f>
        <v/>
      </c>
      <c r="AI85" s="488">
        <f>IFERROR(INDEX('E-Banker master'!$O$2:$O$186,MATCH($A85,'E-Banker master'!$A$2:$A$186,0)),"")</f>
        <v/>
      </c>
      <c r="AJ85" s="488">
        <f>IFERROR(INDEX('E-Banker master'!$P$2:$P$186,MATCH($A85,'E-Banker master'!$A$2:$A$186,0)),"")</f>
        <v/>
      </c>
      <c r="AK85" s="488">
        <f>IF(OR(Q85="",AJ85=""),"",Q85-AJ85)</f>
        <v/>
      </c>
      <c r="AL85" t="n">
        <v>81</v>
      </c>
      <c r="AM85">
        <f>HYPERLINK("#'Amortisation and Repayments'!C4432","block 81")</f>
        <v/>
      </c>
      <c r="AN85">
        <f>'Mapping'!X85</f>
        <v/>
      </c>
      <c r="AO85" s="558" t="n"/>
      <c r="AP85" s="558" t="n"/>
      <c r="AQ85" s="558" t="n"/>
      <c r="AR85" s="559" t="n"/>
      <c r="AS85" s="560" t="n"/>
      <c r="AT85" s="560" t="n"/>
      <c r="AU85" s="561">
        <f>IF(COUNT(AO85:AQ85)=0,"",SUM(AO85:AQ85))</f>
        <v/>
      </c>
    </row>
    <row r="86">
      <c r="A86">
        <f>'Mapping'!J86</f>
        <v/>
      </c>
      <c r="B86">
        <f>'Mapping'!K86</f>
        <v/>
      </c>
      <c r="C86" t="n">
        <v>89</v>
      </c>
      <c r="D86">
        <f>'Loan Book'!E89</f>
        <v/>
      </c>
      <c r="E86">
        <f>'Loan Book'!F89</f>
        <v/>
      </c>
      <c r="F86" s="487">
        <f>'Loan Book'!G89</f>
        <v/>
      </c>
      <c r="G86" s="487">
        <f>'Loan Book'!H89</f>
        <v/>
      </c>
      <c r="H86">
        <f>'Loan Book'!I89</f>
        <v/>
      </c>
      <c r="I86">
        <f>'Loan Book'!J89</f>
        <v/>
      </c>
      <c r="J86">
        <f>IF('Loan Book'!K89="","",IF('Loan Book'!K89&lt;1,'Loan Book'!K89*100,'Loan Book'!K89))</f>
        <v/>
      </c>
      <c r="K86" s="488">
        <f>'Loan Book'!L89</f>
        <v/>
      </c>
      <c r="L86" s="488">
        <f>'Loan Book'!M89</f>
        <v/>
      </c>
      <c r="M86" s="488">
        <f>'Loan Book'!N89</f>
        <v/>
      </c>
      <c r="N86" s="488">
        <f>'Loan Book'!O89</f>
        <v/>
      </c>
      <c r="O86" s="488">
        <f>'Loan Book'!P89</f>
        <v/>
      </c>
      <c r="P86" s="488">
        <f>'Loan Book'!Q89</f>
        <v/>
      </c>
      <c r="Q86" s="488">
        <f>'Loan Book'!R89</f>
        <v/>
      </c>
      <c r="R86" s="488">
        <f>'Loan Book'!S89</f>
        <v/>
      </c>
      <c r="S86" s="488">
        <f>'Loan Book'!T89</f>
        <v/>
      </c>
      <c r="T86" s="488">
        <f>'Loan Book'!U89</f>
        <v/>
      </c>
      <c r="U86">
        <f>'Loan Book'!AC89</f>
        <v/>
      </c>
      <c r="V86">
        <f>'Loan Book'!AE89</f>
        <v/>
      </c>
      <c r="W86">
        <f>IFERROR(INDEX('E-Banker master'!$B$2:$B$186,MATCH($A86,'E-Banker master'!$A$2:$A$186,0)),"")</f>
        <v/>
      </c>
      <c r="X86">
        <f>IFERROR(INDEX('E-Banker master'!$C$2:$C$186,MATCH($A86,'E-Banker master'!$A$2:$A$186,0)),"")</f>
        <v/>
      </c>
      <c r="Y86">
        <f>IFERROR(INDEX('E-Banker master'!$D$2:$D$186,MATCH($A86,'E-Banker master'!$A$2:$A$186,0)),"")</f>
        <v/>
      </c>
      <c r="Z86">
        <f>IFERROR(INDEX('E-Banker master'!$E$2:$E$186,MATCH($A86,'E-Banker master'!$A$2:$A$186,0)),"")</f>
        <v/>
      </c>
      <c r="AA86">
        <f>IFERROR(INDEX('E-Banker master'!$F$2:$F$186,MATCH($A86,'E-Banker master'!$A$2:$A$186,0)),"")</f>
        <v/>
      </c>
      <c r="AB86">
        <f>IFERROR(INDEX('E-Banker master'!$G$2:$G$186,MATCH($A86,'E-Banker master'!$A$2:$A$186,0)),"")</f>
        <v/>
      </c>
      <c r="AC86" s="488">
        <f>IFERROR(INDEX('E-Banker master'!$I$2:$I$186,MATCH($A86,'E-Banker master'!$A$2:$A$186,0)),"")</f>
        <v/>
      </c>
      <c r="AD86" s="487">
        <f>IFERROR(INDEX('E-Banker master'!$J$2:$J$186,MATCH($A86,'E-Banker master'!$A$2:$A$186,0)),"")</f>
        <v/>
      </c>
      <c r="AE86" s="487">
        <f>IFERROR(INDEX('E-Banker master'!$K$2:$K$186,MATCH($A86,'E-Banker master'!$A$2:$A$186,0)),"")</f>
        <v/>
      </c>
      <c r="AF86">
        <f>IFERROR(INDEX('E-Banker master'!$L$2:$L$186,MATCH($A86,'E-Banker master'!$A$2:$A$186,0)),"")</f>
        <v/>
      </c>
      <c r="AG86">
        <f>IFERROR(INDEX('E-Banker master'!$M$2:$M$186,MATCH($A86,'E-Banker master'!$A$2:$A$186,0)),"")</f>
        <v/>
      </c>
      <c r="AH86" s="488">
        <f>IFERROR(INDEX('E-Banker master'!$N$2:$N$186,MATCH($A86,'E-Banker master'!$A$2:$A$186,0)),"")</f>
        <v/>
      </c>
      <c r="AI86" s="488">
        <f>IFERROR(INDEX('E-Banker master'!$O$2:$O$186,MATCH($A86,'E-Banker master'!$A$2:$A$186,0)),"")</f>
        <v/>
      </c>
      <c r="AJ86" s="488">
        <f>IFERROR(INDEX('E-Banker master'!$P$2:$P$186,MATCH($A86,'E-Banker master'!$A$2:$A$186,0)),"")</f>
        <v/>
      </c>
      <c r="AK86" s="488">
        <f>IF(OR(Q86="",AJ86=""),"",Q86-AJ86)</f>
        <v/>
      </c>
      <c r="AL86" t="n">
        <v>82</v>
      </c>
      <c r="AM86">
        <f>HYPERLINK("#'Amortisation and Repayments'!C4498","block 82")</f>
        <v/>
      </c>
      <c r="AN86">
        <f>'Mapping'!X86</f>
        <v/>
      </c>
      <c r="AO86" s="558" t="n"/>
      <c r="AP86" s="558" t="n"/>
      <c r="AQ86" s="558" t="n"/>
      <c r="AR86" s="559" t="n"/>
      <c r="AS86" s="560" t="n"/>
      <c r="AT86" s="560" t="n"/>
      <c r="AU86" s="561">
        <f>IF(COUNT(AO86:AQ86)=0,"",SUM(AO86:AQ86))</f>
        <v/>
      </c>
    </row>
    <row r="87">
      <c r="A87">
        <f>'Mapping'!J87</f>
        <v/>
      </c>
      <c r="B87">
        <f>'Mapping'!K87</f>
        <v/>
      </c>
      <c r="C87" t="n">
        <v>90</v>
      </c>
      <c r="D87">
        <f>'Loan Book'!E90</f>
        <v/>
      </c>
      <c r="E87">
        <f>'Loan Book'!F90</f>
        <v/>
      </c>
      <c r="F87" s="487">
        <f>'Loan Book'!G90</f>
        <v/>
      </c>
      <c r="G87" s="487">
        <f>'Loan Book'!H90</f>
        <v/>
      </c>
      <c r="H87">
        <f>'Loan Book'!I90</f>
        <v/>
      </c>
      <c r="I87">
        <f>'Loan Book'!J90</f>
        <v/>
      </c>
      <c r="J87">
        <f>IF('Loan Book'!K90="","",IF('Loan Book'!K90&lt;1,'Loan Book'!K90*100,'Loan Book'!K90))</f>
        <v/>
      </c>
      <c r="K87" s="488">
        <f>'Loan Book'!L90</f>
        <v/>
      </c>
      <c r="L87" s="488">
        <f>'Loan Book'!M90</f>
        <v/>
      </c>
      <c r="M87" s="488">
        <f>'Loan Book'!N90</f>
        <v/>
      </c>
      <c r="N87" s="488">
        <f>'Loan Book'!O90</f>
        <v/>
      </c>
      <c r="O87" s="488">
        <f>'Loan Book'!P90</f>
        <v/>
      </c>
      <c r="P87" s="488">
        <f>'Loan Book'!Q90</f>
        <v/>
      </c>
      <c r="Q87" s="488">
        <f>'Loan Book'!R90</f>
        <v/>
      </c>
      <c r="R87" s="488">
        <f>'Loan Book'!S90</f>
        <v/>
      </c>
      <c r="S87" s="488">
        <f>'Loan Book'!T90</f>
        <v/>
      </c>
      <c r="T87" s="488">
        <f>'Loan Book'!U90</f>
        <v/>
      </c>
      <c r="U87">
        <f>'Loan Book'!AC90</f>
        <v/>
      </c>
      <c r="V87">
        <f>'Loan Book'!AE90</f>
        <v/>
      </c>
      <c r="W87">
        <f>IFERROR(INDEX('E-Banker master'!$B$2:$B$186,MATCH($A87,'E-Banker master'!$A$2:$A$186,0)),"")</f>
        <v/>
      </c>
      <c r="X87">
        <f>IFERROR(INDEX('E-Banker master'!$C$2:$C$186,MATCH($A87,'E-Banker master'!$A$2:$A$186,0)),"")</f>
        <v/>
      </c>
      <c r="Y87">
        <f>IFERROR(INDEX('E-Banker master'!$D$2:$D$186,MATCH($A87,'E-Banker master'!$A$2:$A$186,0)),"")</f>
        <v/>
      </c>
      <c r="Z87">
        <f>IFERROR(INDEX('E-Banker master'!$E$2:$E$186,MATCH($A87,'E-Banker master'!$A$2:$A$186,0)),"")</f>
        <v/>
      </c>
      <c r="AA87">
        <f>IFERROR(INDEX('E-Banker master'!$F$2:$F$186,MATCH($A87,'E-Banker master'!$A$2:$A$186,0)),"")</f>
        <v/>
      </c>
      <c r="AB87">
        <f>IFERROR(INDEX('E-Banker master'!$G$2:$G$186,MATCH($A87,'E-Banker master'!$A$2:$A$186,0)),"")</f>
        <v/>
      </c>
      <c r="AC87" s="488">
        <f>IFERROR(INDEX('E-Banker master'!$I$2:$I$186,MATCH($A87,'E-Banker master'!$A$2:$A$186,0)),"")</f>
        <v/>
      </c>
      <c r="AD87" s="487">
        <f>IFERROR(INDEX('E-Banker master'!$J$2:$J$186,MATCH($A87,'E-Banker master'!$A$2:$A$186,0)),"")</f>
        <v/>
      </c>
      <c r="AE87" s="487">
        <f>IFERROR(INDEX('E-Banker master'!$K$2:$K$186,MATCH($A87,'E-Banker master'!$A$2:$A$186,0)),"")</f>
        <v/>
      </c>
      <c r="AF87">
        <f>IFERROR(INDEX('E-Banker master'!$L$2:$L$186,MATCH($A87,'E-Banker master'!$A$2:$A$186,0)),"")</f>
        <v/>
      </c>
      <c r="AG87">
        <f>IFERROR(INDEX('E-Banker master'!$M$2:$M$186,MATCH($A87,'E-Banker master'!$A$2:$A$186,0)),"")</f>
        <v/>
      </c>
      <c r="AH87" s="488">
        <f>IFERROR(INDEX('E-Banker master'!$N$2:$N$186,MATCH($A87,'E-Banker master'!$A$2:$A$186,0)),"")</f>
        <v/>
      </c>
      <c r="AI87" s="488">
        <f>IFERROR(INDEX('E-Banker master'!$O$2:$O$186,MATCH($A87,'E-Banker master'!$A$2:$A$186,0)),"")</f>
        <v/>
      </c>
      <c r="AJ87" s="488">
        <f>IFERROR(INDEX('E-Banker master'!$P$2:$P$186,MATCH($A87,'E-Banker master'!$A$2:$A$186,0)),"")</f>
        <v/>
      </c>
      <c r="AK87" s="488">
        <f>IF(OR(Q87="",AJ87=""),"",Q87-AJ87)</f>
        <v/>
      </c>
      <c r="AL87" t="n">
        <v>83</v>
      </c>
      <c r="AM87">
        <f>HYPERLINK("#'Amortisation and Repayments'!C4539","block 83")</f>
        <v/>
      </c>
      <c r="AN87">
        <f>'Mapping'!X87</f>
        <v/>
      </c>
      <c r="AO87" s="558" t="n"/>
      <c r="AP87" s="558" t="n"/>
      <c r="AQ87" s="558" t="n"/>
      <c r="AR87" s="559" t="n"/>
      <c r="AS87" s="560" t="n"/>
      <c r="AT87" s="560" t="n"/>
      <c r="AU87" s="561">
        <f>IF(COUNT(AO87:AQ87)=0,"",SUM(AO87:AQ87))</f>
        <v/>
      </c>
    </row>
    <row r="88">
      <c r="A88">
        <f>'Mapping'!J88</f>
        <v/>
      </c>
      <c r="B88">
        <f>'Mapping'!K88</f>
        <v/>
      </c>
      <c r="C88" t="n">
        <v>91</v>
      </c>
      <c r="D88">
        <f>'Loan Book'!E91</f>
        <v/>
      </c>
      <c r="E88">
        <f>'Loan Book'!F91</f>
        <v/>
      </c>
      <c r="F88" s="487">
        <f>'Loan Book'!G91</f>
        <v/>
      </c>
      <c r="G88" s="487">
        <f>'Loan Book'!H91</f>
        <v/>
      </c>
      <c r="H88">
        <f>'Loan Book'!I91</f>
        <v/>
      </c>
      <c r="I88">
        <f>'Loan Book'!J91</f>
        <v/>
      </c>
      <c r="J88">
        <f>IF('Loan Book'!K91="","",IF('Loan Book'!K91&lt;1,'Loan Book'!K91*100,'Loan Book'!K91))</f>
        <v/>
      </c>
      <c r="K88" s="488">
        <f>'Loan Book'!L91</f>
        <v/>
      </c>
      <c r="L88" s="488">
        <f>'Loan Book'!M91</f>
        <v/>
      </c>
      <c r="M88" s="488">
        <f>'Loan Book'!N91</f>
        <v/>
      </c>
      <c r="N88" s="488">
        <f>'Loan Book'!O91</f>
        <v/>
      </c>
      <c r="O88" s="488">
        <f>'Loan Book'!P91</f>
        <v/>
      </c>
      <c r="P88" s="488">
        <f>'Loan Book'!Q91</f>
        <v/>
      </c>
      <c r="Q88" s="488">
        <f>'Loan Book'!R91</f>
        <v/>
      </c>
      <c r="R88" s="488">
        <f>'Loan Book'!S91</f>
        <v/>
      </c>
      <c r="S88" s="488">
        <f>'Loan Book'!T91</f>
        <v/>
      </c>
      <c r="T88" s="488">
        <f>'Loan Book'!U91</f>
        <v/>
      </c>
      <c r="U88">
        <f>'Loan Book'!AC91</f>
        <v/>
      </c>
      <c r="V88">
        <f>'Loan Book'!AE91</f>
        <v/>
      </c>
      <c r="W88">
        <f>IFERROR(INDEX('E-Banker master'!$B$2:$B$186,MATCH($A88,'E-Banker master'!$A$2:$A$186,0)),"")</f>
        <v/>
      </c>
      <c r="X88">
        <f>IFERROR(INDEX('E-Banker master'!$C$2:$C$186,MATCH($A88,'E-Banker master'!$A$2:$A$186,0)),"")</f>
        <v/>
      </c>
      <c r="Y88">
        <f>IFERROR(INDEX('E-Banker master'!$D$2:$D$186,MATCH($A88,'E-Banker master'!$A$2:$A$186,0)),"")</f>
        <v/>
      </c>
      <c r="Z88">
        <f>IFERROR(INDEX('E-Banker master'!$E$2:$E$186,MATCH($A88,'E-Banker master'!$A$2:$A$186,0)),"")</f>
        <v/>
      </c>
      <c r="AA88">
        <f>IFERROR(INDEX('E-Banker master'!$F$2:$F$186,MATCH($A88,'E-Banker master'!$A$2:$A$186,0)),"")</f>
        <v/>
      </c>
      <c r="AB88">
        <f>IFERROR(INDEX('E-Banker master'!$G$2:$G$186,MATCH($A88,'E-Banker master'!$A$2:$A$186,0)),"")</f>
        <v/>
      </c>
      <c r="AC88" s="488">
        <f>IFERROR(INDEX('E-Banker master'!$I$2:$I$186,MATCH($A88,'E-Banker master'!$A$2:$A$186,0)),"")</f>
        <v/>
      </c>
      <c r="AD88" s="487">
        <f>IFERROR(INDEX('E-Banker master'!$J$2:$J$186,MATCH($A88,'E-Banker master'!$A$2:$A$186,0)),"")</f>
        <v/>
      </c>
      <c r="AE88" s="487">
        <f>IFERROR(INDEX('E-Banker master'!$K$2:$K$186,MATCH($A88,'E-Banker master'!$A$2:$A$186,0)),"")</f>
        <v/>
      </c>
      <c r="AF88">
        <f>IFERROR(INDEX('E-Banker master'!$L$2:$L$186,MATCH($A88,'E-Banker master'!$A$2:$A$186,0)),"")</f>
        <v/>
      </c>
      <c r="AG88">
        <f>IFERROR(INDEX('E-Banker master'!$M$2:$M$186,MATCH($A88,'E-Banker master'!$A$2:$A$186,0)),"")</f>
        <v/>
      </c>
      <c r="AH88" s="488">
        <f>IFERROR(INDEX('E-Banker master'!$N$2:$N$186,MATCH($A88,'E-Banker master'!$A$2:$A$186,0)),"")</f>
        <v/>
      </c>
      <c r="AI88" s="488">
        <f>IFERROR(INDEX('E-Banker master'!$O$2:$O$186,MATCH($A88,'E-Banker master'!$A$2:$A$186,0)),"")</f>
        <v/>
      </c>
      <c r="AJ88" s="488">
        <f>IFERROR(INDEX('E-Banker master'!$P$2:$P$186,MATCH($A88,'E-Banker master'!$A$2:$A$186,0)),"")</f>
        <v/>
      </c>
      <c r="AK88" s="488">
        <f>IF(OR(Q88="",AJ88=""),"",Q88-AJ88)</f>
        <v/>
      </c>
      <c r="AL88" t="n">
        <v>84</v>
      </c>
      <c r="AM88">
        <f>HYPERLINK("#'Amortisation and Repayments'!C4591","block 84")</f>
        <v/>
      </c>
      <c r="AN88">
        <f>'Mapping'!X88</f>
        <v/>
      </c>
      <c r="AO88" s="558" t="n"/>
      <c r="AP88" s="558" t="n"/>
      <c r="AQ88" s="558" t="n"/>
      <c r="AR88" s="559" t="n"/>
      <c r="AS88" s="560" t="n"/>
      <c r="AT88" s="560" t="n"/>
      <c r="AU88" s="561">
        <f>IF(COUNT(AO88:AQ88)=0,"",SUM(AO88:AQ88))</f>
        <v/>
      </c>
    </row>
    <row r="89">
      <c r="A89">
        <f>'Mapping'!J89</f>
        <v/>
      </c>
      <c r="B89">
        <f>'Mapping'!K89</f>
        <v/>
      </c>
      <c r="C89" t="n">
        <v>92</v>
      </c>
      <c r="D89">
        <f>'Loan Book'!E92</f>
        <v/>
      </c>
      <c r="E89">
        <f>'Loan Book'!F92</f>
        <v/>
      </c>
      <c r="F89" s="487">
        <f>'Loan Book'!G92</f>
        <v/>
      </c>
      <c r="G89" s="487">
        <f>'Loan Book'!H92</f>
        <v/>
      </c>
      <c r="H89">
        <f>'Loan Book'!I92</f>
        <v/>
      </c>
      <c r="I89">
        <f>'Loan Book'!J92</f>
        <v/>
      </c>
      <c r="J89">
        <f>IF('Loan Book'!K92="","",IF('Loan Book'!K92&lt;1,'Loan Book'!K92*100,'Loan Book'!K92))</f>
        <v/>
      </c>
      <c r="K89" s="488">
        <f>'Loan Book'!L92</f>
        <v/>
      </c>
      <c r="L89" s="488">
        <f>'Loan Book'!M92</f>
        <v/>
      </c>
      <c r="M89" s="488">
        <f>'Loan Book'!N92</f>
        <v/>
      </c>
      <c r="N89" s="488">
        <f>'Loan Book'!O92</f>
        <v/>
      </c>
      <c r="O89" s="488">
        <f>'Loan Book'!P92</f>
        <v/>
      </c>
      <c r="P89" s="488">
        <f>'Loan Book'!Q92</f>
        <v/>
      </c>
      <c r="Q89" s="488">
        <f>'Loan Book'!R92</f>
        <v/>
      </c>
      <c r="R89" s="488">
        <f>'Loan Book'!S92</f>
        <v/>
      </c>
      <c r="S89" s="488">
        <f>'Loan Book'!T92</f>
        <v/>
      </c>
      <c r="T89" s="488">
        <f>'Loan Book'!U92</f>
        <v/>
      </c>
      <c r="U89">
        <f>'Loan Book'!AC92</f>
        <v/>
      </c>
      <c r="V89">
        <f>'Loan Book'!AE92</f>
        <v/>
      </c>
      <c r="W89">
        <f>IFERROR(INDEX('E-Banker master'!$B$2:$B$186,MATCH($A89,'E-Banker master'!$A$2:$A$186,0)),"")</f>
        <v/>
      </c>
      <c r="X89">
        <f>IFERROR(INDEX('E-Banker master'!$C$2:$C$186,MATCH($A89,'E-Banker master'!$A$2:$A$186,0)),"")</f>
        <v/>
      </c>
      <c r="Y89">
        <f>IFERROR(INDEX('E-Banker master'!$D$2:$D$186,MATCH($A89,'E-Banker master'!$A$2:$A$186,0)),"")</f>
        <v/>
      </c>
      <c r="Z89">
        <f>IFERROR(INDEX('E-Banker master'!$E$2:$E$186,MATCH($A89,'E-Banker master'!$A$2:$A$186,0)),"")</f>
        <v/>
      </c>
      <c r="AA89">
        <f>IFERROR(INDEX('E-Banker master'!$F$2:$F$186,MATCH($A89,'E-Banker master'!$A$2:$A$186,0)),"")</f>
        <v/>
      </c>
      <c r="AB89">
        <f>IFERROR(INDEX('E-Banker master'!$G$2:$G$186,MATCH($A89,'E-Banker master'!$A$2:$A$186,0)),"")</f>
        <v/>
      </c>
      <c r="AC89" s="488">
        <f>IFERROR(INDEX('E-Banker master'!$I$2:$I$186,MATCH($A89,'E-Banker master'!$A$2:$A$186,0)),"")</f>
        <v/>
      </c>
      <c r="AD89" s="487">
        <f>IFERROR(INDEX('E-Banker master'!$J$2:$J$186,MATCH($A89,'E-Banker master'!$A$2:$A$186,0)),"")</f>
        <v/>
      </c>
      <c r="AE89" s="487">
        <f>IFERROR(INDEX('E-Banker master'!$K$2:$K$186,MATCH($A89,'E-Banker master'!$A$2:$A$186,0)),"")</f>
        <v/>
      </c>
      <c r="AF89">
        <f>IFERROR(INDEX('E-Banker master'!$L$2:$L$186,MATCH($A89,'E-Banker master'!$A$2:$A$186,0)),"")</f>
        <v/>
      </c>
      <c r="AG89">
        <f>IFERROR(INDEX('E-Banker master'!$M$2:$M$186,MATCH($A89,'E-Banker master'!$A$2:$A$186,0)),"")</f>
        <v/>
      </c>
      <c r="AH89" s="488">
        <f>IFERROR(INDEX('E-Banker master'!$N$2:$N$186,MATCH($A89,'E-Banker master'!$A$2:$A$186,0)),"")</f>
        <v/>
      </c>
      <c r="AI89" s="488">
        <f>IFERROR(INDEX('E-Banker master'!$O$2:$O$186,MATCH($A89,'E-Banker master'!$A$2:$A$186,0)),"")</f>
        <v/>
      </c>
      <c r="AJ89" s="488">
        <f>IFERROR(INDEX('E-Banker master'!$P$2:$P$186,MATCH($A89,'E-Banker master'!$A$2:$A$186,0)),"")</f>
        <v/>
      </c>
      <c r="AK89" s="488">
        <f>IF(OR(Q89="",AJ89=""),"",Q89-AJ89)</f>
        <v/>
      </c>
      <c r="AL89" t="n">
        <v>85</v>
      </c>
      <c r="AM89">
        <f>HYPERLINK("#'Amortisation and Repayments'!C4667","block 85")</f>
        <v/>
      </c>
      <c r="AN89">
        <f>'Mapping'!X89</f>
        <v/>
      </c>
      <c r="AO89" s="558" t="n"/>
      <c r="AP89" s="558" t="n"/>
      <c r="AQ89" s="558" t="n"/>
      <c r="AR89" s="559" t="n"/>
      <c r="AS89" s="560" t="n"/>
      <c r="AT89" s="560" t="n"/>
      <c r="AU89" s="561">
        <f>IF(COUNT(AO89:AQ89)=0,"",SUM(AO89:AQ89))</f>
        <v/>
      </c>
    </row>
    <row r="90">
      <c r="A90">
        <f>'Mapping'!J90</f>
        <v/>
      </c>
      <c r="B90">
        <f>'Mapping'!K90</f>
        <v/>
      </c>
      <c r="C90" t="n">
        <v>93</v>
      </c>
      <c r="D90">
        <f>'Loan Book'!E93</f>
        <v/>
      </c>
      <c r="E90">
        <f>'Loan Book'!F93</f>
        <v/>
      </c>
      <c r="F90" s="487">
        <f>'Loan Book'!G93</f>
        <v/>
      </c>
      <c r="G90" s="487">
        <f>'Loan Book'!H93</f>
        <v/>
      </c>
      <c r="H90">
        <f>'Loan Book'!I93</f>
        <v/>
      </c>
      <c r="I90">
        <f>'Loan Book'!J93</f>
        <v/>
      </c>
      <c r="J90">
        <f>IF('Loan Book'!K93="","",IF('Loan Book'!K93&lt;1,'Loan Book'!K93*100,'Loan Book'!K93))</f>
        <v/>
      </c>
      <c r="K90" s="488">
        <f>'Loan Book'!L93</f>
        <v/>
      </c>
      <c r="L90" s="488">
        <f>'Loan Book'!M93</f>
        <v/>
      </c>
      <c r="M90" s="488">
        <f>'Loan Book'!N93</f>
        <v/>
      </c>
      <c r="N90" s="488">
        <f>'Loan Book'!O93</f>
        <v/>
      </c>
      <c r="O90" s="488">
        <f>'Loan Book'!P93</f>
        <v/>
      </c>
      <c r="P90" s="488">
        <f>'Loan Book'!Q93</f>
        <v/>
      </c>
      <c r="Q90" s="488">
        <f>'Loan Book'!R93</f>
        <v/>
      </c>
      <c r="R90" s="488">
        <f>'Loan Book'!S93</f>
        <v/>
      </c>
      <c r="S90" s="488">
        <f>'Loan Book'!T93</f>
        <v/>
      </c>
      <c r="T90" s="488">
        <f>'Loan Book'!U93</f>
        <v/>
      </c>
      <c r="U90">
        <f>'Loan Book'!AC93</f>
        <v/>
      </c>
      <c r="V90">
        <f>'Loan Book'!AE93</f>
        <v/>
      </c>
      <c r="W90">
        <f>IFERROR(INDEX('E-Banker master'!$B$2:$B$186,MATCH($A90,'E-Banker master'!$A$2:$A$186,0)),"")</f>
        <v/>
      </c>
      <c r="X90">
        <f>IFERROR(INDEX('E-Banker master'!$C$2:$C$186,MATCH($A90,'E-Banker master'!$A$2:$A$186,0)),"")</f>
        <v/>
      </c>
      <c r="Y90">
        <f>IFERROR(INDEX('E-Banker master'!$D$2:$D$186,MATCH($A90,'E-Banker master'!$A$2:$A$186,0)),"")</f>
        <v/>
      </c>
      <c r="Z90">
        <f>IFERROR(INDEX('E-Banker master'!$E$2:$E$186,MATCH($A90,'E-Banker master'!$A$2:$A$186,0)),"")</f>
        <v/>
      </c>
      <c r="AA90">
        <f>IFERROR(INDEX('E-Banker master'!$F$2:$F$186,MATCH($A90,'E-Banker master'!$A$2:$A$186,0)),"")</f>
        <v/>
      </c>
      <c r="AB90">
        <f>IFERROR(INDEX('E-Banker master'!$G$2:$G$186,MATCH($A90,'E-Banker master'!$A$2:$A$186,0)),"")</f>
        <v/>
      </c>
      <c r="AC90" s="488">
        <f>IFERROR(INDEX('E-Banker master'!$I$2:$I$186,MATCH($A90,'E-Banker master'!$A$2:$A$186,0)),"")</f>
        <v/>
      </c>
      <c r="AD90" s="487">
        <f>IFERROR(INDEX('E-Banker master'!$J$2:$J$186,MATCH($A90,'E-Banker master'!$A$2:$A$186,0)),"")</f>
        <v/>
      </c>
      <c r="AE90" s="487">
        <f>IFERROR(INDEX('E-Banker master'!$K$2:$K$186,MATCH($A90,'E-Banker master'!$A$2:$A$186,0)),"")</f>
        <v/>
      </c>
      <c r="AF90">
        <f>IFERROR(INDEX('E-Banker master'!$L$2:$L$186,MATCH($A90,'E-Banker master'!$A$2:$A$186,0)),"")</f>
        <v/>
      </c>
      <c r="AG90">
        <f>IFERROR(INDEX('E-Banker master'!$M$2:$M$186,MATCH($A90,'E-Banker master'!$A$2:$A$186,0)),"")</f>
        <v/>
      </c>
      <c r="AH90" s="488">
        <f>IFERROR(INDEX('E-Banker master'!$N$2:$N$186,MATCH($A90,'E-Banker master'!$A$2:$A$186,0)),"")</f>
        <v/>
      </c>
      <c r="AI90" s="488">
        <f>IFERROR(INDEX('E-Banker master'!$O$2:$O$186,MATCH($A90,'E-Banker master'!$A$2:$A$186,0)),"")</f>
        <v/>
      </c>
      <c r="AJ90" s="488">
        <f>IFERROR(INDEX('E-Banker master'!$P$2:$P$186,MATCH($A90,'E-Banker master'!$A$2:$A$186,0)),"")</f>
        <v/>
      </c>
      <c r="AK90" s="488">
        <f>IF(OR(Q90="",AJ90=""),"",Q90-AJ90)</f>
        <v/>
      </c>
      <c r="AL90" t="n">
        <v>86</v>
      </c>
      <c r="AM90">
        <f>HYPERLINK("#'Amortisation and Repayments'!C4731","block 86")</f>
        <v/>
      </c>
      <c r="AN90">
        <f>'Mapping'!X90</f>
        <v/>
      </c>
      <c r="AO90" s="558" t="n"/>
      <c r="AP90" s="558" t="n"/>
      <c r="AQ90" s="558" t="n"/>
      <c r="AR90" s="559" t="n"/>
      <c r="AS90" s="560" t="n"/>
      <c r="AT90" s="560" t="n"/>
      <c r="AU90" s="561">
        <f>IF(COUNT(AO90:AQ90)=0,"",SUM(AO90:AQ90))</f>
        <v/>
      </c>
    </row>
    <row r="91">
      <c r="A91">
        <f>'Mapping'!J91</f>
        <v/>
      </c>
      <c r="B91">
        <f>'Mapping'!K91</f>
        <v/>
      </c>
      <c r="C91" t="n">
        <v>94</v>
      </c>
      <c r="D91">
        <f>'Loan Book'!E94</f>
        <v/>
      </c>
      <c r="E91">
        <f>'Loan Book'!F94</f>
        <v/>
      </c>
      <c r="F91" s="487">
        <f>'Loan Book'!G94</f>
        <v/>
      </c>
      <c r="G91" s="487">
        <f>'Loan Book'!H94</f>
        <v/>
      </c>
      <c r="H91">
        <f>'Loan Book'!I94</f>
        <v/>
      </c>
      <c r="I91">
        <f>'Loan Book'!J94</f>
        <v/>
      </c>
      <c r="J91">
        <f>IF('Loan Book'!K94="","",IF('Loan Book'!K94&lt;1,'Loan Book'!K94*100,'Loan Book'!K94))</f>
        <v/>
      </c>
      <c r="K91" s="488">
        <f>'Loan Book'!L94</f>
        <v/>
      </c>
      <c r="L91" s="488">
        <f>'Loan Book'!M94</f>
        <v/>
      </c>
      <c r="M91" s="488">
        <f>'Loan Book'!N94</f>
        <v/>
      </c>
      <c r="N91" s="488">
        <f>'Loan Book'!O94</f>
        <v/>
      </c>
      <c r="O91" s="488">
        <f>'Loan Book'!P94</f>
        <v/>
      </c>
      <c r="P91" s="488">
        <f>'Loan Book'!Q94</f>
        <v/>
      </c>
      <c r="Q91" s="488">
        <f>'Loan Book'!R94</f>
        <v/>
      </c>
      <c r="R91" s="488">
        <f>'Loan Book'!S94</f>
        <v/>
      </c>
      <c r="S91" s="488">
        <f>'Loan Book'!T94</f>
        <v/>
      </c>
      <c r="T91" s="488">
        <f>'Loan Book'!U94</f>
        <v/>
      </c>
      <c r="U91">
        <f>'Loan Book'!AC94</f>
        <v/>
      </c>
      <c r="V91">
        <f>'Loan Book'!AE94</f>
        <v/>
      </c>
      <c r="W91">
        <f>IFERROR(INDEX('E-Banker master'!$B$2:$B$186,MATCH($A91,'E-Banker master'!$A$2:$A$186,0)),"")</f>
        <v/>
      </c>
      <c r="X91">
        <f>IFERROR(INDEX('E-Banker master'!$C$2:$C$186,MATCH($A91,'E-Banker master'!$A$2:$A$186,0)),"")</f>
        <v/>
      </c>
      <c r="Y91">
        <f>IFERROR(INDEX('E-Banker master'!$D$2:$D$186,MATCH($A91,'E-Banker master'!$A$2:$A$186,0)),"")</f>
        <v/>
      </c>
      <c r="Z91">
        <f>IFERROR(INDEX('E-Banker master'!$E$2:$E$186,MATCH($A91,'E-Banker master'!$A$2:$A$186,0)),"")</f>
        <v/>
      </c>
      <c r="AA91">
        <f>IFERROR(INDEX('E-Banker master'!$F$2:$F$186,MATCH($A91,'E-Banker master'!$A$2:$A$186,0)),"")</f>
        <v/>
      </c>
      <c r="AB91">
        <f>IFERROR(INDEX('E-Banker master'!$G$2:$G$186,MATCH($A91,'E-Banker master'!$A$2:$A$186,0)),"")</f>
        <v/>
      </c>
      <c r="AC91" s="488">
        <f>IFERROR(INDEX('E-Banker master'!$I$2:$I$186,MATCH($A91,'E-Banker master'!$A$2:$A$186,0)),"")</f>
        <v/>
      </c>
      <c r="AD91" s="487">
        <f>IFERROR(INDEX('E-Banker master'!$J$2:$J$186,MATCH($A91,'E-Banker master'!$A$2:$A$186,0)),"")</f>
        <v/>
      </c>
      <c r="AE91" s="487">
        <f>IFERROR(INDEX('E-Banker master'!$K$2:$K$186,MATCH($A91,'E-Banker master'!$A$2:$A$186,0)),"")</f>
        <v/>
      </c>
      <c r="AF91">
        <f>IFERROR(INDEX('E-Banker master'!$L$2:$L$186,MATCH($A91,'E-Banker master'!$A$2:$A$186,0)),"")</f>
        <v/>
      </c>
      <c r="AG91">
        <f>IFERROR(INDEX('E-Banker master'!$M$2:$M$186,MATCH($A91,'E-Banker master'!$A$2:$A$186,0)),"")</f>
        <v/>
      </c>
      <c r="AH91" s="488">
        <f>IFERROR(INDEX('E-Banker master'!$N$2:$N$186,MATCH($A91,'E-Banker master'!$A$2:$A$186,0)),"")</f>
        <v/>
      </c>
      <c r="AI91" s="488">
        <f>IFERROR(INDEX('E-Banker master'!$O$2:$O$186,MATCH($A91,'E-Banker master'!$A$2:$A$186,0)),"")</f>
        <v/>
      </c>
      <c r="AJ91" s="488">
        <f>IFERROR(INDEX('E-Banker master'!$P$2:$P$186,MATCH($A91,'E-Banker master'!$A$2:$A$186,0)),"")</f>
        <v/>
      </c>
      <c r="AK91" s="488">
        <f>IF(OR(Q91="",AJ91=""),"",Q91-AJ91)</f>
        <v/>
      </c>
      <c r="AL91" t="n">
        <v>87</v>
      </c>
      <c r="AM91">
        <f>HYPERLINK("#'Amortisation and Repayments'!C4769","block 87")</f>
        <v/>
      </c>
      <c r="AN91">
        <f>'Mapping'!X91</f>
        <v/>
      </c>
      <c r="AO91" s="558" t="n"/>
      <c r="AP91" s="558" t="n"/>
      <c r="AQ91" s="558" t="n"/>
      <c r="AR91" s="559" t="n"/>
      <c r="AS91" s="560" t="n"/>
      <c r="AT91" s="560" t="n"/>
      <c r="AU91" s="561">
        <f>IF(COUNT(AO91:AQ91)=0,"",SUM(AO91:AQ91))</f>
        <v/>
      </c>
    </row>
    <row r="92">
      <c r="A92">
        <f>'Mapping'!J92</f>
        <v/>
      </c>
      <c r="B92">
        <f>'Mapping'!K92</f>
        <v/>
      </c>
      <c r="C92" t="n">
        <v>95</v>
      </c>
      <c r="D92">
        <f>'Loan Book'!E95</f>
        <v/>
      </c>
      <c r="E92">
        <f>'Loan Book'!F95</f>
        <v/>
      </c>
      <c r="F92" s="487">
        <f>'Loan Book'!G95</f>
        <v/>
      </c>
      <c r="G92" s="487">
        <f>'Loan Book'!H95</f>
        <v/>
      </c>
      <c r="H92">
        <f>'Loan Book'!I95</f>
        <v/>
      </c>
      <c r="I92">
        <f>'Loan Book'!J95</f>
        <v/>
      </c>
      <c r="J92">
        <f>IF('Loan Book'!K95="","",IF('Loan Book'!K95&lt;1,'Loan Book'!K95*100,'Loan Book'!K95))</f>
        <v/>
      </c>
      <c r="K92" s="488">
        <f>'Loan Book'!L95</f>
        <v/>
      </c>
      <c r="L92" s="488">
        <f>'Loan Book'!M95</f>
        <v/>
      </c>
      <c r="M92" s="488">
        <f>'Loan Book'!N95</f>
        <v/>
      </c>
      <c r="N92" s="488">
        <f>'Loan Book'!O95</f>
        <v/>
      </c>
      <c r="O92" s="488">
        <f>'Loan Book'!P95</f>
        <v/>
      </c>
      <c r="P92" s="488">
        <f>'Loan Book'!Q95</f>
        <v/>
      </c>
      <c r="Q92" s="488">
        <f>'Loan Book'!R95</f>
        <v/>
      </c>
      <c r="R92" s="488">
        <f>'Loan Book'!S95</f>
        <v/>
      </c>
      <c r="S92" s="488">
        <f>'Loan Book'!T95</f>
        <v/>
      </c>
      <c r="T92" s="488">
        <f>'Loan Book'!U95</f>
        <v/>
      </c>
      <c r="U92">
        <f>'Loan Book'!AC95</f>
        <v/>
      </c>
      <c r="V92">
        <f>'Loan Book'!AE95</f>
        <v/>
      </c>
      <c r="W92">
        <f>IFERROR(INDEX('E-Banker master'!$B$2:$B$186,MATCH($A92,'E-Banker master'!$A$2:$A$186,0)),"")</f>
        <v/>
      </c>
      <c r="X92">
        <f>IFERROR(INDEX('E-Banker master'!$C$2:$C$186,MATCH($A92,'E-Banker master'!$A$2:$A$186,0)),"")</f>
        <v/>
      </c>
      <c r="Y92">
        <f>IFERROR(INDEX('E-Banker master'!$D$2:$D$186,MATCH($A92,'E-Banker master'!$A$2:$A$186,0)),"")</f>
        <v/>
      </c>
      <c r="Z92">
        <f>IFERROR(INDEX('E-Banker master'!$E$2:$E$186,MATCH($A92,'E-Banker master'!$A$2:$A$186,0)),"")</f>
        <v/>
      </c>
      <c r="AA92">
        <f>IFERROR(INDEX('E-Banker master'!$F$2:$F$186,MATCH($A92,'E-Banker master'!$A$2:$A$186,0)),"")</f>
        <v/>
      </c>
      <c r="AB92">
        <f>IFERROR(INDEX('E-Banker master'!$G$2:$G$186,MATCH($A92,'E-Banker master'!$A$2:$A$186,0)),"")</f>
        <v/>
      </c>
      <c r="AC92" s="488">
        <f>IFERROR(INDEX('E-Banker master'!$I$2:$I$186,MATCH($A92,'E-Banker master'!$A$2:$A$186,0)),"")</f>
        <v/>
      </c>
      <c r="AD92" s="487">
        <f>IFERROR(INDEX('E-Banker master'!$J$2:$J$186,MATCH($A92,'E-Banker master'!$A$2:$A$186,0)),"")</f>
        <v/>
      </c>
      <c r="AE92" s="487">
        <f>IFERROR(INDEX('E-Banker master'!$K$2:$K$186,MATCH($A92,'E-Banker master'!$A$2:$A$186,0)),"")</f>
        <v/>
      </c>
      <c r="AF92">
        <f>IFERROR(INDEX('E-Banker master'!$L$2:$L$186,MATCH($A92,'E-Banker master'!$A$2:$A$186,0)),"")</f>
        <v/>
      </c>
      <c r="AG92">
        <f>IFERROR(INDEX('E-Banker master'!$M$2:$M$186,MATCH($A92,'E-Banker master'!$A$2:$A$186,0)),"")</f>
        <v/>
      </c>
      <c r="AH92" s="488">
        <f>IFERROR(INDEX('E-Banker master'!$N$2:$N$186,MATCH($A92,'E-Banker master'!$A$2:$A$186,0)),"")</f>
        <v/>
      </c>
      <c r="AI92" s="488">
        <f>IFERROR(INDEX('E-Banker master'!$O$2:$O$186,MATCH($A92,'E-Banker master'!$A$2:$A$186,0)),"")</f>
        <v/>
      </c>
      <c r="AJ92" s="488">
        <f>IFERROR(INDEX('E-Banker master'!$P$2:$P$186,MATCH($A92,'E-Banker master'!$A$2:$A$186,0)),"")</f>
        <v/>
      </c>
      <c r="AK92" s="488">
        <f>IF(OR(Q92="",AJ92=""),"",Q92-AJ92)</f>
        <v/>
      </c>
      <c r="AL92" t="n">
        <v>88</v>
      </c>
      <c r="AM92">
        <f>HYPERLINK("#'Amortisation and Repayments'!C4834","block 88")</f>
        <v/>
      </c>
      <c r="AN92">
        <f>'Mapping'!X92</f>
        <v/>
      </c>
      <c r="AO92" s="558" t="n"/>
      <c r="AP92" s="558" t="n"/>
      <c r="AQ92" s="558" t="n"/>
      <c r="AR92" s="559" t="n"/>
      <c r="AS92" s="560" t="n"/>
      <c r="AT92" s="560" t="n"/>
      <c r="AU92" s="561">
        <f>IF(COUNT(AO92:AQ92)=0,"",SUM(AO92:AQ92))</f>
        <v/>
      </c>
    </row>
    <row r="93">
      <c r="A93">
        <f>'Mapping'!J93</f>
        <v/>
      </c>
      <c r="B93">
        <f>'Mapping'!K93</f>
        <v/>
      </c>
      <c r="C93" t="n">
        <v>96</v>
      </c>
      <c r="D93">
        <f>'Loan Book'!E96</f>
        <v/>
      </c>
      <c r="E93">
        <f>'Loan Book'!F96</f>
        <v/>
      </c>
      <c r="F93" s="487">
        <f>'Loan Book'!G96</f>
        <v/>
      </c>
      <c r="G93" s="487">
        <f>'Loan Book'!H96</f>
        <v/>
      </c>
      <c r="H93">
        <f>'Loan Book'!I96</f>
        <v/>
      </c>
      <c r="I93">
        <f>'Loan Book'!J96</f>
        <v/>
      </c>
      <c r="J93">
        <f>IF('Loan Book'!K96="","",IF('Loan Book'!K96&lt;1,'Loan Book'!K96*100,'Loan Book'!K96))</f>
        <v/>
      </c>
      <c r="K93" s="488">
        <f>'Loan Book'!L96</f>
        <v/>
      </c>
      <c r="L93" s="488">
        <f>'Loan Book'!M96</f>
        <v/>
      </c>
      <c r="M93" s="488">
        <f>'Loan Book'!N96</f>
        <v/>
      </c>
      <c r="N93" s="488">
        <f>'Loan Book'!O96</f>
        <v/>
      </c>
      <c r="O93" s="488">
        <f>'Loan Book'!P96</f>
        <v/>
      </c>
      <c r="P93" s="488">
        <f>'Loan Book'!Q96</f>
        <v/>
      </c>
      <c r="Q93" s="488">
        <f>'Loan Book'!R96</f>
        <v/>
      </c>
      <c r="R93" s="488">
        <f>'Loan Book'!S96</f>
        <v/>
      </c>
      <c r="S93" s="488">
        <f>'Loan Book'!T96</f>
        <v/>
      </c>
      <c r="T93" s="488">
        <f>'Loan Book'!U96</f>
        <v/>
      </c>
      <c r="U93">
        <f>'Loan Book'!AC96</f>
        <v/>
      </c>
      <c r="V93">
        <f>'Loan Book'!AE96</f>
        <v/>
      </c>
      <c r="W93">
        <f>IFERROR(INDEX('E-Banker master'!$B$2:$B$186,MATCH($A93,'E-Banker master'!$A$2:$A$186,0)),"")</f>
        <v/>
      </c>
      <c r="X93">
        <f>IFERROR(INDEX('E-Banker master'!$C$2:$C$186,MATCH($A93,'E-Banker master'!$A$2:$A$186,0)),"")</f>
        <v/>
      </c>
      <c r="Y93">
        <f>IFERROR(INDEX('E-Banker master'!$D$2:$D$186,MATCH($A93,'E-Banker master'!$A$2:$A$186,0)),"")</f>
        <v/>
      </c>
      <c r="Z93">
        <f>IFERROR(INDEX('E-Banker master'!$E$2:$E$186,MATCH($A93,'E-Banker master'!$A$2:$A$186,0)),"")</f>
        <v/>
      </c>
      <c r="AA93">
        <f>IFERROR(INDEX('E-Banker master'!$F$2:$F$186,MATCH($A93,'E-Banker master'!$A$2:$A$186,0)),"")</f>
        <v/>
      </c>
      <c r="AB93">
        <f>IFERROR(INDEX('E-Banker master'!$G$2:$G$186,MATCH($A93,'E-Banker master'!$A$2:$A$186,0)),"")</f>
        <v/>
      </c>
      <c r="AC93" s="488">
        <f>IFERROR(INDEX('E-Banker master'!$I$2:$I$186,MATCH($A93,'E-Banker master'!$A$2:$A$186,0)),"")</f>
        <v/>
      </c>
      <c r="AD93" s="487">
        <f>IFERROR(INDEX('E-Banker master'!$J$2:$J$186,MATCH($A93,'E-Banker master'!$A$2:$A$186,0)),"")</f>
        <v/>
      </c>
      <c r="AE93" s="487">
        <f>IFERROR(INDEX('E-Banker master'!$K$2:$K$186,MATCH($A93,'E-Banker master'!$A$2:$A$186,0)),"")</f>
        <v/>
      </c>
      <c r="AF93">
        <f>IFERROR(INDEX('E-Banker master'!$L$2:$L$186,MATCH($A93,'E-Banker master'!$A$2:$A$186,0)),"")</f>
        <v/>
      </c>
      <c r="AG93">
        <f>IFERROR(INDEX('E-Banker master'!$M$2:$M$186,MATCH($A93,'E-Banker master'!$A$2:$A$186,0)),"")</f>
        <v/>
      </c>
      <c r="AH93" s="488">
        <f>IFERROR(INDEX('E-Banker master'!$N$2:$N$186,MATCH($A93,'E-Banker master'!$A$2:$A$186,0)),"")</f>
        <v/>
      </c>
      <c r="AI93" s="488">
        <f>IFERROR(INDEX('E-Banker master'!$O$2:$O$186,MATCH($A93,'E-Banker master'!$A$2:$A$186,0)),"")</f>
        <v/>
      </c>
      <c r="AJ93" s="488">
        <f>IFERROR(INDEX('E-Banker master'!$P$2:$P$186,MATCH($A93,'E-Banker master'!$A$2:$A$186,0)),"")</f>
        <v/>
      </c>
      <c r="AK93" s="488">
        <f>IF(OR(Q93="",AJ93=""),"",Q93-AJ93)</f>
        <v/>
      </c>
      <c r="AL93" t="n">
        <v>89</v>
      </c>
      <c r="AM93">
        <f>HYPERLINK("#'Amortisation and Repayments'!C4896","block 89")</f>
        <v/>
      </c>
      <c r="AN93">
        <f>'Mapping'!X93</f>
        <v/>
      </c>
      <c r="AO93" s="558" t="n"/>
      <c r="AP93" s="558" t="n"/>
      <c r="AQ93" s="558" t="n"/>
      <c r="AR93" s="559" t="n"/>
      <c r="AS93" s="560" t="n"/>
      <c r="AT93" s="560" t="n"/>
      <c r="AU93" s="561">
        <f>IF(COUNT(AO93:AQ93)=0,"",SUM(AO93:AQ93))</f>
        <v/>
      </c>
    </row>
    <row r="94">
      <c r="A94">
        <f>'Mapping'!J94</f>
        <v/>
      </c>
      <c r="B94">
        <f>'Mapping'!K94</f>
        <v/>
      </c>
      <c r="C94" t="n">
        <v>97</v>
      </c>
      <c r="D94">
        <f>'Loan Book'!E97</f>
        <v/>
      </c>
      <c r="E94">
        <f>'Loan Book'!F97</f>
        <v/>
      </c>
      <c r="F94" s="487">
        <f>'Loan Book'!G97</f>
        <v/>
      </c>
      <c r="G94" s="487">
        <f>'Loan Book'!H97</f>
        <v/>
      </c>
      <c r="H94">
        <f>'Loan Book'!I97</f>
        <v/>
      </c>
      <c r="I94">
        <f>'Loan Book'!J97</f>
        <v/>
      </c>
      <c r="J94">
        <f>IF('Loan Book'!K97="","",IF('Loan Book'!K97&lt;1,'Loan Book'!K97*100,'Loan Book'!K97))</f>
        <v/>
      </c>
      <c r="K94" s="488">
        <f>'Loan Book'!L97</f>
        <v/>
      </c>
      <c r="L94" s="488">
        <f>'Loan Book'!M97</f>
        <v/>
      </c>
      <c r="M94" s="488">
        <f>'Loan Book'!N97</f>
        <v/>
      </c>
      <c r="N94" s="488">
        <f>'Loan Book'!O97</f>
        <v/>
      </c>
      <c r="O94" s="488">
        <f>'Loan Book'!P97</f>
        <v/>
      </c>
      <c r="P94" s="488">
        <f>'Loan Book'!Q97</f>
        <v/>
      </c>
      <c r="Q94" s="488">
        <f>'Loan Book'!R97</f>
        <v/>
      </c>
      <c r="R94" s="488">
        <f>'Loan Book'!S97</f>
        <v/>
      </c>
      <c r="S94" s="488">
        <f>'Loan Book'!T97</f>
        <v/>
      </c>
      <c r="T94" s="488">
        <f>'Loan Book'!U97</f>
        <v/>
      </c>
      <c r="U94">
        <f>'Loan Book'!AC97</f>
        <v/>
      </c>
      <c r="V94">
        <f>'Loan Book'!AE97</f>
        <v/>
      </c>
      <c r="W94">
        <f>IFERROR(INDEX('E-Banker master'!$B$2:$B$186,MATCH($A94,'E-Banker master'!$A$2:$A$186,0)),"")</f>
        <v/>
      </c>
      <c r="X94">
        <f>IFERROR(INDEX('E-Banker master'!$C$2:$C$186,MATCH($A94,'E-Banker master'!$A$2:$A$186,0)),"")</f>
        <v/>
      </c>
      <c r="Y94">
        <f>IFERROR(INDEX('E-Banker master'!$D$2:$D$186,MATCH($A94,'E-Banker master'!$A$2:$A$186,0)),"")</f>
        <v/>
      </c>
      <c r="Z94">
        <f>IFERROR(INDEX('E-Banker master'!$E$2:$E$186,MATCH($A94,'E-Banker master'!$A$2:$A$186,0)),"")</f>
        <v/>
      </c>
      <c r="AA94">
        <f>IFERROR(INDEX('E-Banker master'!$F$2:$F$186,MATCH($A94,'E-Banker master'!$A$2:$A$186,0)),"")</f>
        <v/>
      </c>
      <c r="AB94">
        <f>IFERROR(INDEX('E-Banker master'!$G$2:$G$186,MATCH($A94,'E-Banker master'!$A$2:$A$186,0)),"")</f>
        <v/>
      </c>
      <c r="AC94" s="488">
        <f>IFERROR(INDEX('E-Banker master'!$I$2:$I$186,MATCH($A94,'E-Banker master'!$A$2:$A$186,0)),"")</f>
        <v/>
      </c>
      <c r="AD94" s="487">
        <f>IFERROR(INDEX('E-Banker master'!$J$2:$J$186,MATCH($A94,'E-Banker master'!$A$2:$A$186,0)),"")</f>
        <v/>
      </c>
      <c r="AE94" s="487">
        <f>IFERROR(INDEX('E-Banker master'!$K$2:$K$186,MATCH($A94,'E-Banker master'!$A$2:$A$186,0)),"")</f>
        <v/>
      </c>
      <c r="AF94">
        <f>IFERROR(INDEX('E-Banker master'!$L$2:$L$186,MATCH($A94,'E-Banker master'!$A$2:$A$186,0)),"")</f>
        <v/>
      </c>
      <c r="AG94">
        <f>IFERROR(INDEX('E-Banker master'!$M$2:$M$186,MATCH($A94,'E-Banker master'!$A$2:$A$186,0)),"")</f>
        <v/>
      </c>
      <c r="AH94" s="488">
        <f>IFERROR(INDEX('E-Banker master'!$N$2:$N$186,MATCH($A94,'E-Banker master'!$A$2:$A$186,0)),"")</f>
        <v/>
      </c>
      <c r="AI94" s="488">
        <f>IFERROR(INDEX('E-Banker master'!$O$2:$O$186,MATCH($A94,'E-Banker master'!$A$2:$A$186,0)),"")</f>
        <v/>
      </c>
      <c r="AJ94" s="488">
        <f>IFERROR(INDEX('E-Banker master'!$P$2:$P$186,MATCH($A94,'E-Banker master'!$A$2:$A$186,0)),"")</f>
        <v/>
      </c>
      <c r="AK94" s="488">
        <f>IF(OR(Q94="",AJ94=""),"",Q94-AJ94)</f>
        <v/>
      </c>
      <c r="AL94" t="n">
        <v>90</v>
      </c>
      <c r="AM94">
        <f>HYPERLINK("#'Amortisation and Repayments'!C4962","block 90")</f>
        <v/>
      </c>
      <c r="AN94">
        <f>'Mapping'!X94</f>
        <v/>
      </c>
      <c r="AO94" s="558" t="n"/>
      <c r="AP94" s="558" t="n"/>
      <c r="AQ94" s="558" t="n"/>
      <c r="AR94" s="559" t="n"/>
      <c r="AS94" s="560" t="n"/>
      <c r="AT94" s="560" t="n"/>
      <c r="AU94" s="561">
        <f>IF(COUNT(AO94:AQ94)=0,"",SUM(AO94:AQ94))</f>
        <v/>
      </c>
    </row>
    <row r="95">
      <c r="A95">
        <f>'Mapping'!J95</f>
        <v/>
      </c>
      <c r="B95">
        <f>'Mapping'!K95</f>
        <v/>
      </c>
      <c r="C95" t="n">
        <v>98</v>
      </c>
      <c r="D95">
        <f>'Loan Book'!E98</f>
        <v/>
      </c>
      <c r="E95">
        <f>'Loan Book'!F98</f>
        <v/>
      </c>
      <c r="F95" s="487">
        <f>'Loan Book'!G98</f>
        <v/>
      </c>
      <c r="G95" s="487">
        <f>'Loan Book'!H98</f>
        <v/>
      </c>
      <c r="H95">
        <f>'Loan Book'!I98</f>
        <v/>
      </c>
      <c r="I95">
        <f>'Loan Book'!J98</f>
        <v/>
      </c>
      <c r="J95">
        <f>IF('Loan Book'!K98="","",IF('Loan Book'!K98&lt;1,'Loan Book'!K98*100,'Loan Book'!K98))</f>
        <v/>
      </c>
      <c r="K95" s="488">
        <f>'Loan Book'!L98</f>
        <v/>
      </c>
      <c r="L95" s="488">
        <f>'Loan Book'!M98</f>
        <v/>
      </c>
      <c r="M95" s="488">
        <f>'Loan Book'!N98</f>
        <v/>
      </c>
      <c r="N95" s="488">
        <f>'Loan Book'!O98</f>
        <v/>
      </c>
      <c r="O95" s="488">
        <f>'Loan Book'!P98</f>
        <v/>
      </c>
      <c r="P95" s="488">
        <f>'Loan Book'!Q98</f>
        <v/>
      </c>
      <c r="Q95" s="488">
        <f>'Loan Book'!R98</f>
        <v/>
      </c>
      <c r="R95" s="488">
        <f>'Loan Book'!S98</f>
        <v/>
      </c>
      <c r="S95" s="488">
        <f>'Loan Book'!T98</f>
        <v/>
      </c>
      <c r="T95" s="488">
        <f>'Loan Book'!U98</f>
        <v/>
      </c>
      <c r="U95">
        <f>'Loan Book'!AC98</f>
        <v/>
      </c>
      <c r="V95">
        <f>'Loan Book'!AE98</f>
        <v/>
      </c>
      <c r="W95">
        <f>IFERROR(INDEX('E-Banker master'!$B$2:$B$186,MATCH($A95,'E-Banker master'!$A$2:$A$186,0)),"")</f>
        <v/>
      </c>
      <c r="X95">
        <f>IFERROR(INDEX('E-Banker master'!$C$2:$C$186,MATCH($A95,'E-Banker master'!$A$2:$A$186,0)),"")</f>
        <v/>
      </c>
      <c r="Y95">
        <f>IFERROR(INDEX('E-Banker master'!$D$2:$D$186,MATCH($A95,'E-Banker master'!$A$2:$A$186,0)),"")</f>
        <v/>
      </c>
      <c r="Z95">
        <f>IFERROR(INDEX('E-Banker master'!$E$2:$E$186,MATCH($A95,'E-Banker master'!$A$2:$A$186,0)),"")</f>
        <v/>
      </c>
      <c r="AA95">
        <f>IFERROR(INDEX('E-Banker master'!$F$2:$F$186,MATCH($A95,'E-Banker master'!$A$2:$A$186,0)),"")</f>
        <v/>
      </c>
      <c r="AB95">
        <f>IFERROR(INDEX('E-Banker master'!$G$2:$G$186,MATCH($A95,'E-Banker master'!$A$2:$A$186,0)),"")</f>
        <v/>
      </c>
      <c r="AC95" s="488">
        <f>IFERROR(INDEX('E-Banker master'!$I$2:$I$186,MATCH($A95,'E-Banker master'!$A$2:$A$186,0)),"")</f>
        <v/>
      </c>
      <c r="AD95" s="487">
        <f>IFERROR(INDEX('E-Banker master'!$J$2:$J$186,MATCH($A95,'E-Banker master'!$A$2:$A$186,0)),"")</f>
        <v/>
      </c>
      <c r="AE95" s="487">
        <f>IFERROR(INDEX('E-Banker master'!$K$2:$K$186,MATCH($A95,'E-Banker master'!$A$2:$A$186,0)),"")</f>
        <v/>
      </c>
      <c r="AF95">
        <f>IFERROR(INDEX('E-Banker master'!$L$2:$L$186,MATCH($A95,'E-Banker master'!$A$2:$A$186,0)),"")</f>
        <v/>
      </c>
      <c r="AG95">
        <f>IFERROR(INDEX('E-Banker master'!$M$2:$M$186,MATCH($A95,'E-Banker master'!$A$2:$A$186,0)),"")</f>
        <v/>
      </c>
      <c r="AH95" s="488">
        <f>IFERROR(INDEX('E-Banker master'!$N$2:$N$186,MATCH($A95,'E-Banker master'!$A$2:$A$186,0)),"")</f>
        <v/>
      </c>
      <c r="AI95" s="488">
        <f>IFERROR(INDEX('E-Banker master'!$O$2:$O$186,MATCH($A95,'E-Banker master'!$A$2:$A$186,0)),"")</f>
        <v/>
      </c>
      <c r="AJ95" s="488">
        <f>IFERROR(INDEX('E-Banker master'!$P$2:$P$186,MATCH($A95,'E-Banker master'!$A$2:$A$186,0)),"")</f>
        <v/>
      </c>
      <c r="AK95" s="488">
        <f>IF(OR(Q95="",AJ95=""),"",Q95-AJ95)</f>
        <v/>
      </c>
      <c r="AL95" t="n">
        <v>91</v>
      </c>
      <c r="AM95">
        <f>HYPERLINK("#'Amortisation and Repayments'!C5002","block 91")</f>
        <v/>
      </c>
      <c r="AN95">
        <f>'Mapping'!X95</f>
        <v/>
      </c>
      <c r="AO95" s="558" t="n"/>
      <c r="AP95" s="558" t="n"/>
      <c r="AQ95" s="558" t="n"/>
      <c r="AR95" s="559" t="n"/>
      <c r="AS95" s="560" t="n"/>
      <c r="AT95" s="560" t="n"/>
      <c r="AU95" s="561">
        <f>IF(COUNT(AO95:AQ95)=0,"",SUM(AO95:AQ95))</f>
        <v/>
      </c>
    </row>
    <row r="96">
      <c r="A96">
        <f>'Mapping'!J96</f>
        <v/>
      </c>
      <c r="B96">
        <f>'Mapping'!K96</f>
        <v/>
      </c>
      <c r="C96" t="n">
        <v>99</v>
      </c>
      <c r="D96">
        <f>'Loan Book'!E99</f>
        <v/>
      </c>
      <c r="E96">
        <f>'Loan Book'!F99</f>
        <v/>
      </c>
      <c r="F96" s="487">
        <f>'Loan Book'!G99</f>
        <v/>
      </c>
      <c r="G96" s="487">
        <f>'Loan Book'!H99</f>
        <v/>
      </c>
      <c r="H96">
        <f>'Loan Book'!I99</f>
        <v/>
      </c>
      <c r="I96">
        <f>'Loan Book'!J99</f>
        <v/>
      </c>
      <c r="J96">
        <f>IF('Loan Book'!K99="","",IF('Loan Book'!K99&lt;1,'Loan Book'!K99*100,'Loan Book'!K99))</f>
        <v/>
      </c>
      <c r="K96" s="488">
        <f>'Loan Book'!L99</f>
        <v/>
      </c>
      <c r="L96" s="488">
        <f>'Loan Book'!M99</f>
        <v/>
      </c>
      <c r="M96" s="488">
        <f>'Loan Book'!N99</f>
        <v/>
      </c>
      <c r="N96" s="488">
        <f>'Loan Book'!O99</f>
        <v/>
      </c>
      <c r="O96" s="488">
        <f>'Loan Book'!P99</f>
        <v/>
      </c>
      <c r="P96" s="488">
        <f>'Loan Book'!Q99</f>
        <v/>
      </c>
      <c r="Q96" s="488">
        <f>'Loan Book'!R99</f>
        <v/>
      </c>
      <c r="R96" s="488">
        <f>'Loan Book'!S99</f>
        <v/>
      </c>
      <c r="S96" s="488">
        <f>'Loan Book'!T99</f>
        <v/>
      </c>
      <c r="T96" s="488">
        <f>'Loan Book'!U99</f>
        <v/>
      </c>
      <c r="U96">
        <f>'Loan Book'!AC99</f>
        <v/>
      </c>
      <c r="V96">
        <f>'Loan Book'!AE99</f>
        <v/>
      </c>
      <c r="W96">
        <f>IFERROR(INDEX('E-Banker master'!$B$2:$B$186,MATCH($A96,'E-Banker master'!$A$2:$A$186,0)),"")</f>
        <v/>
      </c>
      <c r="X96">
        <f>IFERROR(INDEX('E-Banker master'!$C$2:$C$186,MATCH($A96,'E-Banker master'!$A$2:$A$186,0)),"")</f>
        <v/>
      </c>
      <c r="Y96">
        <f>IFERROR(INDEX('E-Banker master'!$D$2:$D$186,MATCH($A96,'E-Banker master'!$A$2:$A$186,0)),"")</f>
        <v/>
      </c>
      <c r="Z96">
        <f>IFERROR(INDEX('E-Banker master'!$E$2:$E$186,MATCH($A96,'E-Banker master'!$A$2:$A$186,0)),"")</f>
        <v/>
      </c>
      <c r="AA96">
        <f>IFERROR(INDEX('E-Banker master'!$F$2:$F$186,MATCH($A96,'E-Banker master'!$A$2:$A$186,0)),"")</f>
        <v/>
      </c>
      <c r="AB96">
        <f>IFERROR(INDEX('E-Banker master'!$G$2:$G$186,MATCH($A96,'E-Banker master'!$A$2:$A$186,0)),"")</f>
        <v/>
      </c>
      <c r="AC96" s="488">
        <f>IFERROR(INDEX('E-Banker master'!$I$2:$I$186,MATCH($A96,'E-Banker master'!$A$2:$A$186,0)),"")</f>
        <v/>
      </c>
      <c r="AD96" s="487">
        <f>IFERROR(INDEX('E-Banker master'!$J$2:$J$186,MATCH($A96,'E-Banker master'!$A$2:$A$186,0)),"")</f>
        <v/>
      </c>
      <c r="AE96" s="487">
        <f>IFERROR(INDEX('E-Banker master'!$K$2:$K$186,MATCH($A96,'E-Banker master'!$A$2:$A$186,0)),"")</f>
        <v/>
      </c>
      <c r="AF96">
        <f>IFERROR(INDEX('E-Banker master'!$L$2:$L$186,MATCH($A96,'E-Banker master'!$A$2:$A$186,0)),"")</f>
        <v/>
      </c>
      <c r="AG96">
        <f>IFERROR(INDEX('E-Banker master'!$M$2:$M$186,MATCH($A96,'E-Banker master'!$A$2:$A$186,0)),"")</f>
        <v/>
      </c>
      <c r="AH96" s="488">
        <f>IFERROR(INDEX('E-Banker master'!$N$2:$N$186,MATCH($A96,'E-Banker master'!$A$2:$A$186,0)),"")</f>
        <v/>
      </c>
      <c r="AI96" s="488">
        <f>IFERROR(INDEX('E-Banker master'!$O$2:$O$186,MATCH($A96,'E-Banker master'!$A$2:$A$186,0)),"")</f>
        <v/>
      </c>
      <c r="AJ96" s="488">
        <f>IFERROR(INDEX('E-Banker master'!$P$2:$P$186,MATCH($A96,'E-Banker master'!$A$2:$A$186,0)),"")</f>
        <v/>
      </c>
      <c r="AK96" s="488">
        <f>IF(OR(Q96="",AJ96=""),"",Q96-AJ96)</f>
        <v/>
      </c>
      <c r="AL96" t="n">
        <v>92</v>
      </c>
      <c r="AM96">
        <f>HYPERLINK("#'Amortisation and Repayments'!C5054","block 92")</f>
        <v/>
      </c>
      <c r="AN96">
        <f>'Mapping'!X96</f>
        <v/>
      </c>
      <c r="AO96" s="558" t="n"/>
      <c r="AP96" s="558" t="n"/>
      <c r="AQ96" s="558" t="n"/>
      <c r="AR96" s="559" t="n"/>
      <c r="AS96" s="560" t="n"/>
      <c r="AT96" s="560" t="n"/>
      <c r="AU96" s="561">
        <f>IF(COUNT(AO96:AQ96)=0,"",SUM(AO96:AQ96))</f>
        <v/>
      </c>
    </row>
    <row r="97">
      <c r="A97">
        <f>'Mapping'!J97</f>
        <v/>
      </c>
      <c r="B97">
        <f>'Mapping'!K97</f>
        <v/>
      </c>
      <c r="C97" t="n">
        <v>100</v>
      </c>
      <c r="D97">
        <f>'Loan Book'!E100</f>
        <v/>
      </c>
      <c r="E97">
        <f>'Loan Book'!F100</f>
        <v/>
      </c>
      <c r="F97" s="487">
        <f>'Loan Book'!G100</f>
        <v/>
      </c>
      <c r="G97" s="487">
        <f>'Loan Book'!H100</f>
        <v/>
      </c>
      <c r="H97">
        <f>'Loan Book'!I100</f>
        <v/>
      </c>
      <c r="I97">
        <f>'Loan Book'!J100</f>
        <v/>
      </c>
      <c r="J97">
        <f>IF('Loan Book'!K100="","",IF('Loan Book'!K100&lt;1,'Loan Book'!K100*100,'Loan Book'!K100))</f>
        <v/>
      </c>
      <c r="K97" s="488">
        <f>'Loan Book'!L100</f>
        <v/>
      </c>
      <c r="L97" s="488">
        <f>'Loan Book'!M100</f>
        <v/>
      </c>
      <c r="M97" s="488">
        <f>'Loan Book'!N100</f>
        <v/>
      </c>
      <c r="N97" s="488">
        <f>'Loan Book'!O100</f>
        <v/>
      </c>
      <c r="O97" s="488">
        <f>'Loan Book'!P100</f>
        <v/>
      </c>
      <c r="P97" s="488">
        <f>'Loan Book'!Q100</f>
        <v/>
      </c>
      <c r="Q97" s="488">
        <f>'Loan Book'!R100</f>
        <v/>
      </c>
      <c r="R97" s="488">
        <f>'Loan Book'!S100</f>
        <v/>
      </c>
      <c r="S97" s="488">
        <f>'Loan Book'!T100</f>
        <v/>
      </c>
      <c r="T97" s="488">
        <f>'Loan Book'!U100</f>
        <v/>
      </c>
      <c r="U97">
        <f>'Loan Book'!AC100</f>
        <v/>
      </c>
      <c r="V97">
        <f>'Loan Book'!AE100</f>
        <v/>
      </c>
      <c r="W97">
        <f>IFERROR(INDEX('E-Banker master'!$B$2:$B$186,MATCH($A97,'E-Banker master'!$A$2:$A$186,0)),"")</f>
        <v/>
      </c>
      <c r="X97">
        <f>IFERROR(INDEX('E-Banker master'!$C$2:$C$186,MATCH($A97,'E-Banker master'!$A$2:$A$186,0)),"")</f>
        <v/>
      </c>
      <c r="Y97">
        <f>IFERROR(INDEX('E-Banker master'!$D$2:$D$186,MATCH($A97,'E-Banker master'!$A$2:$A$186,0)),"")</f>
        <v/>
      </c>
      <c r="Z97">
        <f>IFERROR(INDEX('E-Banker master'!$E$2:$E$186,MATCH($A97,'E-Banker master'!$A$2:$A$186,0)),"")</f>
        <v/>
      </c>
      <c r="AA97">
        <f>IFERROR(INDEX('E-Banker master'!$F$2:$F$186,MATCH($A97,'E-Banker master'!$A$2:$A$186,0)),"")</f>
        <v/>
      </c>
      <c r="AB97">
        <f>IFERROR(INDEX('E-Banker master'!$G$2:$G$186,MATCH($A97,'E-Banker master'!$A$2:$A$186,0)),"")</f>
        <v/>
      </c>
      <c r="AC97" s="488">
        <f>IFERROR(INDEX('E-Banker master'!$I$2:$I$186,MATCH($A97,'E-Banker master'!$A$2:$A$186,0)),"")</f>
        <v/>
      </c>
      <c r="AD97" s="487">
        <f>IFERROR(INDEX('E-Banker master'!$J$2:$J$186,MATCH($A97,'E-Banker master'!$A$2:$A$186,0)),"")</f>
        <v/>
      </c>
      <c r="AE97" s="487">
        <f>IFERROR(INDEX('E-Banker master'!$K$2:$K$186,MATCH($A97,'E-Banker master'!$A$2:$A$186,0)),"")</f>
        <v/>
      </c>
      <c r="AF97">
        <f>IFERROR(INDEX('E-Banker master'!$L$2:$L$186,MATCH($A97,'E-Banker master'!$A$2:$A$186,0)),"")</f>
        <v/>
      </c>
      <c r="AG97">
        <f>IFERROR(INDEX('E-Banker master'!$M$2:$M$186,MATCH($A97,'E-Banker master'!$A$2:$A$186,0)),"")</f>
        <v/>
      </c>
      <c r="AH97" s="488">
        <f>IFERROR(INDEX('E-Banker master'!$N$2:$N$186,MATCH($A97,'E-Banker master'!$A$2:$A$186,0)),"")</f>
        <v/>
      </c>
      <c r="AI97" s="488">
        <f>IFERROR(INDEX('E-Banker master'!$O$2:$O$186,MATCH($A97,'E-Banker master'!$A$2:$A$186,0)),"")</f>
        <v/>
      </c>
      <c r="AJ97" s="488">
        <f>IFERROR(INDEX('E-Banker master'!$P$2:$P$186,MATCH($A97,'E-Banker master'!$A$2:$A$186,0)),"")</f>
        <v/>
      </c>
      <c r="AK97" s="488">
        <f>IF(OR(Q97="",AJ97=""),"",Q97-AJ97)</f>
        <v/>
      </c>
      <c r="AL97" t="n">
        <v>93</v>
      </c>
      <c r="AM97">
        <f>HYPERLINK("#'Amortisation and Repayments'!C5094","block 93")</f>
        <v/>
      </c>
      <c r="AN97">
        <f>'Mapping'!X97</f>
        <v/>
      </c>
      <c r="AO97" s="558" t="n"/>
      <c r="AP97" s="558" t="n"/>
      <c r="AQ97" s="558" t="n"/>
      <c r="AR97" s="559" t="n"/>
      <c r="AS97" s="560" t="n"/>
      <c r="AT97" s="560" t="n"/>
      <c r="AU97" s="561">
        <f>IF(COUNT(AO97:AQ97)=0,"",SUM(AO97:AQ97))</f>
        <v/>
      </c>
    </row>
    <row r="98">
      <c r="A98">
        <f>'Mapping'!J98</f>
        <v/>
      </c>
      <c r="B98">
        <f>'Mapping'!K98</f>
        <v/>
      </c>
      <c r="C98" t="n">
        <v>101</v>
      </c>
      <c r="D98">
        <f>'Loan Book'!E101</f>
        <v/>
      </c>
      <c r="E98">
        <f>'Loan Book'!F101</f>
        <v/>
      </c>
      <c r="F98" s="487">
        <f>'Loan Book'!G101</f>
        <v/>
      </c>
      <c r="G98" s="487">
        <f>'Loan Book'!H101</f>
        <v/>
      </c>
      <c r="H98">
        <f>'Loan Book'!I101</f>
        <v/>
      </c>
      <c r="I98">
        <f>'Loan Book'!J101</f>
        <v/>
      </c>
      <c r="J98">
        <f>IF('Loan Book'!K101="","",IF('Loan Book'!K101&lt;1,'Loan Book'!K101*100,'Loan Book'!K101))</f>
        <v/>
      </c>
      <c r="K98" s="488">
        <f>'Loan Book'!L101</f>
        <v/>
      </c>
      <c r="L98" s="488">
        <f>'Loan Book'!M101</f>
        <v/>
      </c>
      <c r="M98" s="488">
        <f>'Loan Book'!N101</f>
        <v/>
      </c>
      <c r="N98" s="488">
        <f>'Loan Book'!O101</f>
        <v/>
      </c>
      <c r="O98" s="488">
        <f>'Loan Book'!P101</f>
        <v/>
      </c>
      <c r="P98" s="488">
        <f>'Loan Book'!Q101</f>
        <v/>
      </c>
      <c r="Q98" s="488">
        <f>'Loan Book'!R101</f>
        <v/>
      </c>
      <c r="R98" s="488">
        <f>'Loan Book'!S101</f>
        <v/>
      </c>
      <c r="S98" s="488">
        <f>'Loan Book'!T101</f>
        <v/>
      </c>
      <c r="T98" s="488">
        <f>'Loan Book'!U101</f>
        <v/>
      </c>
      <c r="U98">
        <f>'Loan Book'!AC101</f>
        <v/>
      </c>
      <c r="V98">
        <f>'Loan Book'!AE101</f>
        <v/>
      </c>
      <c r="W98">
        <f>IFERROR(INDEX('E-Banker master'!$B$2:$B$186,MATCH($A98,'E-Banker master'!$A$2:$A$186,0)),"")</f>
        <v/>
      </c>
      <c r="X98">
        <f>IFERROR(INDEX('E-Banker master'!$C$2:$C$186,MATCH($A98,'E-Banker master'!$A$2:$A$186,0)),"")</f>
        <v/>
      </c>
      <c r="Y98">
        <f>IFERROR(INDEX('E-Banker master'!$D$2:$D$186,MATCH($A98,'E-Banker master'!$A$2:$A$186,0)),"")</f>
        <v/>
      </c>
      <c r="Z98">
        <f>IFERROR(INDEX('E-Banker master'!$E$2:$E$186,MATCH($A98,'E-Banker master'!$A$2:$A$186,0)),"")</f>
        <v/>
      </c>
      <c r="AA98">
        <f>IFERROR(INDEX('E-Banker master'!$F$2:$F$186,MATCH($A98,'E-Banker master'!$A$2:$A$186,0)),"")</f>
        <v/>
      </c>
      <c r="AB98">
        <f>IFERROR(INDEX('E-Banker master'!$G$2:$G$186,MATCH($A98,'E-Banker master'!$A$2:$A$186,0)),"")</f>
        <v/>
      </c>
      <c r="AC98" s="488">
        <f>IFERROR(INDEX('E-Banker master'!$I$2:$I$186,MATCH($A98,'E-Banker master'!$A$2:$A$186,0)),"")</f>
        <v/>
      </c>
      <c r="AD98" s="487">
        <f>IFERROR(INDEX('E-Banker master'!$J$2:$J$186,MATCH($A98,'E-Banker master'!$A$2:$A$186,0)),"")</f>
        <v/>
      </c>
      <c r="AE98" s="487">
        <f>IFERROR(INDEX('E-Banker master'!$K$2:$K$186,MATCH($A98,'E-Banker master'!$A$2:$A$186,0)),"")</f>
        <v/>
      </c>
      <c r="AF98">
        <f>IFERROR(INDEX('E-Banker master'!$L$2:$L$186,MATCH($A98,'E-Banker master'!$A$2:$A$186,0)),"")</f>
        <v/>
      </c>
      <c r="AG98">
        <f>IFERROR(INDEX('E-Banker master'!$M$2:$M$186,MATCH($A98,'E-Banker master'!$A$2:$A$186,0)),"")</f>
        <v/>
      </c>
      <c r="AH98" s="488">
        <f>IFERROR(INDEX('E-Banker master'!$N$2:$N$186,MATCH($A98,'E-Banker master'!$A$2:$A$186,0)),"")</f>
        <v/>
      </c>
      <c r="AI98" s="488">
        <f>IFERROR(INDEX('E-Banker master'!$O$2:$O$186,MATCH($A98,'E-Banker master'!$A$2:$A$186,0)),"")</f>
        <v/>
      </c>
      <c r="AJ98" s="488">
        <f>IFERROR(INDEX('E-Banker master'!$P$2:$P$186,MATCH($A98,'E-Banker master'!$A$2:$A$186,0)),"")</f>
        <v/>
      </c>
      <c r="AK98" s="488">
        <f>IF(OR(Q98="",AJ98=""),"",Q98-AJ98)</f>
        <v/>
      </c>
      <c r="AL98" t="n">
        <v>94</v>
      </c>
      <c r="AM98">
        <f>HYPERLINK("#'Amortisation and Repayments'!C5132","block 94")</f>
        <v/>
      </c>
      <c r="AN98">
        <f>'Mapping'!X98</f>
        <v/>
      </c>
      <c r="AO98" s="558" t="n"/>
      <c r="AP98" s="558" t="n"/>
      <c r="AQ98" s="558" t="n"/>
      <c r="AR98" s="559" t="n"/>
      <c r="AS98" s="560" t="n"/>
      <c r="AT98" s="560" t="n"/>
      <c r="AU98" s="561">
        <f>IF(COUNT(AO98:AQ98)=0,"",SUM(AO98:AQ98))</f>
        <v/>
      </c>
    </row>
    <row r="99">
      <c r="A99">
        <f>'Mapping'!J99</f>
        <v/>
      </c>
      <c r="B99">
        <f>'Mapping'!K99</f>
        <v/>
      </c>
      <c r="C99" t="n">
        <v>102</v>
      </c>
      <c r="D99">
        <f>'Loan Book'!E102</f>
        <v/>
      </c>
      <c r="E99">
        <f>'Loan Book'!F102</f>
        <v/>
      </c>
      <c r="F99" s="487">
        <f>'Loan Book'!G102</f>
        <v/>
      </c>
      <c r="G99" s="487">
        <f>'Loan Book'!H102</f>
        <v/>
      </c>
      <c r="H99">
        <f>'Loan Book'!I102</f>
        <v/>
      </c>
      <c r="I99">
        <f>'Loan Book'!J102</f>
        <v/>
      </c>
      <c r="J99">
        <f>IF('Loan Book'!K102="","",IF('Loan Book'!K102&lt;1,'Loan Book'!K102*100,'Loan Book'!K102))</f>
        <v/>
      </c>
      <c r="K99" s="488">
        <f>'Loan Book'!L102</f>
        <v/>
      </c>
      <c r="L99" s="488">
        <f>'Loan Book'!M102</f>
        <v/>
      </c>
      <c r="M99" s="488">
        <f>'Loan Book'!N102</f>
        <v/>
      </c>
      <c r="N99" s="488">
        <f>'Loan Book'!O102</f>
        <v/>
      </c>
      <c r="O99" s="488">
        <f>'Loan Book'!P102</f>
        <v/>
      </c>
      <c r="P99" s="488">
        <f>'Loan Book'!Q102</f>
        <v/>
      </c>
      <c r="Q99" s="488">
        <f>'Loan Book'!R102</f>
        <v/>
      </c>
      <c r="R99" s="488">
        <f>'Loan Book'!S102</f>
        <v/>
      </c>
      <c r="S99" s="488">
        <f>'Loan Book'!T102</f>
        <v/>
      </c>
      <c r="T99" s="488">
        <f>'Loan Book'!U102</f>
        <v/>
      </c>
      <c r="U99">
        <f>'Loan Book'!AC102</f>
        <v/>
      </c>
      <c r="V99">
        <f>'Loan Book'!AE102</f>
        <v/>
      </c>
      <c r="W99">
        <f>IFERROR(INDEX('E-Banker master'!$B$2:$B$186,MATCH($A99,'E-Banker master'!$A$2:$A$186,0)),"")</f>
        <v/>
      </c>
      <c r="X99">
        <f>IFERROR(INDEX('E-Banker master'!$C$2:$C$186,MATCH($A99,'E-Banker master'!$A$2:$A$186,0)),"")</f>
        <v/>
      </c>
      <c r="Y99">
        <f>IFERROR(INDEX('E-Banker master'!$D$2:$D$186,MATCH($A99,'E-Banker master'!$A$2:$A$186,0)),"")</f>
        <v/>
      </c>
      <c r="Z99">
        <f>IFERROR(INDEX('E-Banker master'!$E$2:$E$186,MATCH($A99,'E-Banker master'!$A$2:$A$186,0)),"")</f>
        <v/>
      </c>
      <c r="AA99">
        <f>IFERROR(INDEX('E-Banker master'!$F$2:$F$186,MATCH($A99,'E-Banker master'!$A$2:$A$186,0)),"")</f>
        <v/>
      </c>
      <c r="AB99">
        <f>IFERROR(INDEX('E-Banker master'!$G$2:$G$186,MATCH($A99,'E-Banker master'!$A$2:$A$186,0)),"")</f>
        <v/>
      </c>
      <c r="AC99" s="488">
        <f>IFERROR(INDEX('E-Banker master'!$I$2:$I$186,MATCH($A99,'E-Banker master'!$A$2:$A$186,0)),"")</f>
        <v/>
      </c>
      <c r="AD99" s="487">
        <f>IFERROR(INDEX('E-Banker master'!$J$2:$J$186,MATCH($A99,'E-Banker master'!$A$2:$A$186,0)),"")</f>
        <v/>
      </c>
      <c r="AE99" s="487">
        <f>IFERROR(INDEX('E-Banker master'!$K$2:$K$186,MATCH($A99,'E-Banker master'!$A$2:$A$186,0)),"")</f>
        <v/>
      </c>
      <c r="AF99">
        <f>IFERROR(INDEX('E-Banker master'!$L$2:$L$186,MATCH($A99,'E-Banker master'!$A$2:$A$186,0)),"")</f>
        <v/>
      </c>
      <c r="AG99">
        <f>IFERROR(INDEX('E-Banker master'!$M$2:$M$186,MATCH($A99,'E-Banker master'!$A$2:$A$186,0)),"")</f>
        <v/>
      </c>
      <c r="AH99" s="488">
        <f>IFERROR(INDEX('E-Banker master'!$N$2:$N$186,MATCH($A99,'E-Banker master'!$A$2:$A$186,0)),"")</f>
        <v/>
      </c>
      <c r="AI99" s="488">
        <f>IFERROR(INDEX('E-Banker master'!$O$2:$O$186,MATCH($A99,'E-Banker master'!$A$2:$A$186,0)),"")</f>
        <v/>
      </c>
      <c r="AJ99" s="488">
        <f>IFERROR(INDEX('E-Banker master'!$P$2:$P$186,MATCH($A99,'E-Banker master'!$A$2:$A$186,0)),"")</f>
        <v/>
      </c>
      <c r="AK99" s="488">
        <f>IF(OR(Q99="",AJ99=""),"",Q99-AJ99)</f>
        <v/>
      </c>
      <c r="AL99" t="n">
        <v>95</v>
      </c>
      <c r="AM99">
        <f>HYPERLINK("#'Amortisation and Repayments'!C5208","block 95")</f>
        <v/>
      </c>
      <c r="AN99">
        <f>'Mapping'!X99</f>
        <v/>
      </c>
      <c r="AO99" s="558" t="n"/>
      <c r="AP99" s="558" t="n"/>
      <c r="AQ99" s="558" t="n"/>
      <c r="AR99" s="559" t="n"/>
      <c r="AS99" s="560" t="n"/>
      <c r="AT99" s="560" t="n"/>
      <c r="AU99" s="561">
        <f>IF(COUNT(AO99:AQ99)=0,"",SUM(AO99:AQ99))</f>
        <v/>
      </c>
    </row>
    <row r="100">
      <c r="A100">
        <f>'Mapping'!J100</f>
        <v/>
      </c>
      <c r="B100">
        <f>'Mapping'!K100</f>
        <v/>
      </c>
      <c r="C100" t="n">
        <v>103</v>
      </c>
      <c r="D100">
        <f>'Loan Book'!E103</f>
        <v/>
      </c>
      <c r="E100">
        <f>'Loan Book'!F103</f>
        <v/>
      </c>
      <c r="F100" s="487">
        <f>'Loan Book'!G103</f>
        <v/>
      </c>
      <c r="G100" s="487">
        <f>'Loan Book'!H103</f>
        <v/>
      </c>
      <c r="H100">
        <f>'Loan Book'!I103</f>
        <v/>
      </c>
      <c r="I100">
        <f>'Loan Book'!J103</f>
        <v/>
      </c>
      <c r="J100">
        <f>IF('Loan Book'!K103="","",IF('Loan Book'!K103&lt;1,'Loan Book'!K103*100,'Loan Book'!K103))</f>
        <v/>
      </c>
      <c r="K100" s="488">
        <f>'Loan Book'!L103</f>
        <v/>
      </c>
      <c r="L100" s="488">
        <f>'Loan Book'!M103</f>
        <v/>
      </c>
      <c r="M100" s="488">
        <f>'Loan Book'!N103</f>
        <v/>
      </c>
      <c r="N100" s="488">
        <f>'Loan Book'!O103</f>
        <v/>
      </c>
      <c r="O100" s="488">
        <f>'Loan Book'!P103</f>
        <v/>
      </c>
      <c r="P100" s="488">
        <f>'Loan Book'!Q103</f>
        <v/>
      </c>
      <c r="Q100" s="488">
        <f>'Loan Book'!R103</f>
        <v/>
      </c>
      <c r="R100" s="488">
        <f>'Loan Book'!S103</f>
        <v/>
      </c>
      <c r="S100" s="488">
        <f>'Loan Book'!T103</f>
        <v/>
      </c>
      <c r="T100" s="488">
        <f>'Loan Book'!U103</f>
        <v/>
      </c>
      <c r="U100">
        <f>'Loan Book'!AC103</f>
        <v/>
      </c>
      <c r="V100">
        <f>'Loan Book'!AE103</f>
        <v/>
      </c>
      <c r="W100">
        <f>IFERROR(INDEX('E-Banker master'!$B$2:$B$186,MATCH($A100,'E-Banker master'!$A$2:$A$186,0)),"")</f>
        <v/>
      </c>
      <c r="X100">
        <f>IFERROR(INDEX('E-Banker master'!$C$2:$C$186,MATCH($A100,'E-Banker master'!$A$2:$A$186,0)),"")</f>
        <v/>
      </c>
      <c r="Y100">
        <f>IFERROR(INDEX('E-Banker master'!$D$2:$D$186,MATCH($A100,'E-Banker master'!$A$2:$A$186,0)),"")</f>
        <v/>
      </c>
      <c r="Z100">
        <f>IFERROR(INDEX('E-Banker master'!$E$2:$E$186,MATCH($A100,'E-Banker master'!$A$2:$A$186,0)),"")</f>
        <v/>
      </c>
      <c r="AA100">
        <f>IFERROR(INDEX('E-Banker master'!$F$2:$F$186,MATCH($A100,'E-Banker master'!$A$2:$A$186,0)),"")</f>
        <v/>
      </c>
      <c r="AB100">
        <f>IFERROR(INDEX('E-Banker master'!$G$2:$G$186,MATCH($A100,'E-Banker master'!$A$2:$A$186,0)),"")</f>
        <v/>
      </c>
      <c r="AC100" s="488">
        <f>IFERROR(INDEX('E-Banker master'!$I$2:$I$186,MATCH($A100,'E-Banker master'!$A$2:$A$186,0)),"")</f>
        <v/>
      </c>
      <c r="AD100" s="487">
        <f>IFERROR(INDEX('E-Banker master'!$J$2:$J$186,MATCH($A100,'E-Banker master'!$A$2:$A$186,0)),"")</f>
        <v/>
      </c>
      <c r="AE100" s="487">
        <f>IFERROR(INDEX('E-Banker master'!$K$2:$K$186,MATCH($A100,'E-Banker master'!$A$2:$A$186,0)),"")</f>
        <v/>
      </c>
      <c r="AF100">
        <f>IFERROR(INDEX('E-Banker master'!$L$2:$L$186,MATCH($A100,'E-Banker master'!$A$2:$A$186,0)),"")</f>
        <v/>
      </c>
      <c r="AG100">
        <f>IFERROR(INDEX('E-Banker master'!$M$2:$M$186,MATCH($A100,'E-Banker master'!$A$2:$A$186,0)),"")</f>
        <v/>
      </c>
      <c r="AH100" s="488">
        <f>IFERROR(INDEX('E-Banker master'!$N$2:$N$186,MATCH($A100,'E-Banker master'!$A$2:$A$186,0)),"")</f>
        <v/>
      </c>
      <c r="AI100" s="488">
        <f>IFERROR(INDEX('E-Banker master'!$O$2:$O$186,MATCH($A100,'E-Banker master'!$A$2:$A$186,0)),"")</f>
        <v/>
      </c>
      <c r="AJ100" s="488">
        <f>IFERROR(INDEX('E-Banker master'!$P$2:$P$186,MATCH($A100,'E-Banker master'!$A$2:$A$186,0)),"")</f>
        <v/>
      </c>
      <c r="AK100" s="488">
        <f>IF(OR(Q100="",AJ100=""),"",Q100-AJ100)</f>
        <v/>
      </c>
      <c r="AL100" t="n">
        <v>96</v>
      </c>
      <c r="AM100">
        <f>HYPERLINK("#'Amortisation and Repayments'!C5284","block 96")</f>
        <v/>
      </c>
      <c r="AN100">
        <f>'Mapping'!X100</f>
        <v/>
      </c>
      <c r="AO100" s="558" t="n"/>
      <c r="AP100" s="558" t="n"/>
      <c r="AQ100" s="558" t="n"/>
      <c r="AR100" s="559" t="n"/>
      <c r="AS100" s="560" t="n"/>
      <c r="AT100" s="560" t="n"/>
      <c r="AU100" s="561">
        <f>IF(COUNT(AO100:AQ100)=0,"",SUM(AO100:AQ100))</f>
        <v/>
      </c>
    </row>
    <row r="101">
      <c r="A101">
        <f>'Mapping'!J101</f>
        <v/>
      </c>
      <c r="B101">
        <f>'Mapping'!K101</f>
        <v/>
      </c>
      <c r="C101" t="n">
        <v>104</v>
      </c>
      <c r="D101">
        <f>'Loan Book'!E104</f>
        <v/>
      </c>
      <c r="E101">
        <f>'Loan Book'!F104</f>
        <v/>
      </c>
      <c r="F101" s="487">
        <f>'Loan Book'!G104</f>
        <v/>
      </c>
      <c r="G101" s="487">
        <f>'Loan Book'!H104</f>
        <v/>
      </c>
      <c r="H101">
        <f>'Loan Book'!I104</f>
        <v/>
      </c>
      <c r="I101">
        <f>'Loan Book'!J104</f>
        <v/>
      </c>
      <c r="J101">
        <f>IF('Loan Book'!K104="","",IF('Loan Book'!K104&lt;1,'Loan Book'!K104*100,'Loan Book'!K104))</f>
        <v/>
      </c>
      <c r="K101" s="488">
        <f>'Loan Book'!L104</f>
        <v/>
      </c>
      <c r="L101" s="488">
        <f>'Loan Book'!M104</f>
        <v/>
      </c>
      <c r="M101" s="488">
        <f>'Loan Book'!N104</f>
        <v/>
      </c>
      <c r="N101" s="488">
        <f>'Loan Book'!O104</f>
        <v/>
      </c>
      <c r="O101" s="488">
        <f>'Loan Book'!P104</f>
        <v/>
      </c>
      <c r="P101" s="488">
        <f>'Loan Book'!Q104</f>
        <v/>
      </c>
      <c r="Q101" s="488">
        <f>'Loan Book'!R104</f>
        <v/>
      </c>
      <c r="R101" s="488">
        <f>'Loan Book'!S104</f>
        <v/>
      </c>
      <c r="S101" s="488">
        <f>'Loan Book'!T104</f>
        <v/>
      </c>
      <c r="T101" s="488">
        <f>'Loan Book'!U104</f>
        <v/>
      </c>
      <c r="U101">
        <f>'Loan Book'!AC104</f>
        <v/>
      </c>
      <c r="V101">
        <f>'Loan Book'!AE104</f>
        <v/>
      </c>
      <c r="W101">
        <f>IFERROR(INDEX('E-Banker master'!$B$2:$B$186,MATCH($A101,'E-Banker master'!$A$2:$A$186,0)),"")</f>
        <v/>
      </c>
      <c r="X101">
        <f>IFERROR(INDEX('E-Banker master'!$C$2:$C$186,MATCH($A101,'E-Banker master'!$A$2:$A$186,0)),"")</f>
        <v/>
      </c>
      <c r="Y101">
        <f>IFERROR(INDEX('E-Banker master'!$D$2:$D$186,MATCH($A101,'E-Banker master'!$A$2:$A$186,0)),"")</f>
        <v/>
      </c>
      <c r="Z101">
        <f>IFERROR(INDEX('E-Banker master'!$E$2:$E$186,MATCH($A101,'E-Banker master'!$A$2:$A$186,0)),"")</f>
        <v/>
      </c>
      <c r="AA101">
        <f>IFERROR(INDEX('E-Banker master'!$F$2:$F$186,MATCH($A101,'E-Banker master'!$A$2:$A$186,0)),"")</f>
        <v/>
      </c>
      <c r="AB101">
        <f>IFERROR(INDEX('E-Banker master'!$G$2:$G$186,MATCH($A101,'E-Banker master'!$A$2:$A$186,0)),"")</f>
        <v/>
      </c>
      <c r="AC101" s="488">
        <f>IFERROR(INDEX('E-Banker master'!$I$2:$I$186,MATCH($A101,'E-Banker master'!$A$2:$A$186,0)),"")</f>
        <v/>
      </c>
      <c r="AD101" s="487">
        <f>IFERROR(INDEX('E-Banker master'!$J$2:$J$186,MATCH($A101,'E-Banker master'!$A$2:$A$186,0)),"")</f>
        <v/>
      </c>
      <c r="AE101" s="487">
        <f>IFERROR(INDEX('E-Banker master'!$K$2:$K$186,MATCH($A101,'E-Banker master'!$A$2:$A$186,0)),"")</f>
        <v/>
      </c>
      <c r="AF101">
        <f>IFERROR(INDEX('E-Banker master'!$L$2:$L$186,MATCH($A101,'E-Banker master'!$A$2:$A$186,0)),"")</f>
        <v/>
      </c>
      <c r="AG101">
        <f>IFERROR(INDEX('E-Banker master'!$M$2:$M$186,MATCH($A101,'E-Banker master'!$A$2:$A$186,0)),"")</f>
        <v/>
      </c>
      <c r="AH101" s="488">
        <f>IFERROR(INDEX('E-Banker master'!$N$2:$N$186,MATCH($A101,'E-Banker master'!$A$2:$A$186,0)),"")</f>
        <v/>
      </c>
      <c r="AI101" s="488">
        <f>IFERROR(INDEX('E-Banker master'!$O$2:$O$186,MATCH($A101,'E-Banker master'!$A$2:$A$186,0)),"")</f>
        <v/>
      </c>
      <c r="AJ101" s="488">
        <f>IFERROR(INDEX('E-Banker master'!$P$2:$P$186,MATCH($A101,'E-Banker master'!$A$2:$A$186,0)),"")</f>
        <v/>
      </c>
      <c r="AK101" s="488">
        <f>IF(OR(Q101="",AJ101=""),"",Q101-AJ101)</f>
        <v/>
      </c>
      <c r="AL101" t="n">
        <v>97</v>
      </c>
      <c r="AM101">
        <f>HYPERLINK("#'Amortisation and Repayments'!C5347","block 97")</f>
        <v/>
      </c>
      <c r="AN101">
        <f>'Mapping'!X101</f>
        <v/>
      </c>
      <c r="AO101" s="558" t="n"/>
      <c r="AP101" s="558" t="n"/>
      <c r="AQ101" s="558" t="n"/>
      <c r="AR101" s="559" t="n"/>
      <c r="AS101" s="560" t="n"/>
      <c r="AT101" s="560" t="n"/>
      <c r="AU101" s="561">
        <f>IF(COUNT(AO101:AQ101)=0,"",SUM(AO101:AQ101))</f>
        <v/>
      </c>
    </row>
    <row r="102">
      <c r="A102">
        <f>'Mapping'!J102</f>
        <v/>
      </c>
      <c r="B102">
        <f>'Mapping'!K102</f>
        <v/>
      </c>
      <c r="C102" t="n">
        <v>105</v>
      </c>
      <c r="D102">
        <f>'Loan Book'!E105</f>
        <v/>
      </c>
      <c r="E102">
        <f>'Loan Book'!F105</f>
        <v/>
      </c>
      <c r="F102" s="487">
        <f>'Loan Book'!G105</f>
        <v/>
      </c>
      <c r="G102" s="487">
        <f>'Loan Book'!H105</f>
        <v/>
      </c>
      <c r="H102">
        <f>'Loan Book'!I105</f>
        <v/>
      </c>
      <c r="I102">
        <f>'Loan Book'!J105</f>
        <v/>
      </c>
      <c r="J102">
        <f>IF('Loan Book'!K105="","",IF('Loan Book'!K105&lt;1,'Loan Book'!K105*100,'Loan Book'!K105))</f>
        <v/>
      </c>
      <c r="K102" s="488">
        <f>'Loan Book'!L105</f>
        <v/>
      </c>
      <c r="L102" s="488">
        <f>'Loan Book'!M105</f>
        <v/>
      </c>
      <c r="M102" s="488">
        <f>'Loan Book'!N105</f>
        <v/>
      </c>
      <c r="N102" s="488">
        <f>'Loan Book'!O105</f>
        <v/>
      </c>
      <c r="O102" s="488">
        <f>'Loan Book'!P105</f>
        <v/>
      </c>
      <c r="P102" s="488">
        <f>'Loan Book'!Q105</f>
        <v/>
      </c>
      <c r="Q102" s="488">
        <f>'Loan Book'!R105</f>
        <v/>
      </c>
      <c r="R102" s="488">
        <f>'Loan Book'!S105</f>
        <v/>
      </c>
      <c r="S102" s="488">
        <f>'Loan Book'!T105</f>
        <v/>
      </c>
      <c r="T102" s="488">
        <f>'Loan Book'!U105</f>
        <v/>
      </c>
      <c r="U102">
        <f>'Loan Book'!AC105</f>
        <v/>
      </c>
      <c r="V102">
        <f>'Loan Book'!AE105</f>
        <v/>
      </c>
      <c r="W102">
        <f>IFERROR(INDEX('E-Banker master'!$B$2:$B$186,MATCH($A102,'E-Banker master'!$A$2:$A$186,0)),"")</f>
        <v/>
      </c>
      <c r="X102">
        <f>IFERROR(INDEX('E-Banker master'!$C$2:$C$186,MATCH($A102,'E-Banker master'!$A$2:$A$186,0)),"")</f>
        <v/>
      </c>
      <c r="Y102">
        <f>IFERROR(INDEX('E-Banker master'!$D$2:$D$186,MATCH($A102,'E-Banker master'!$A$2:$A$186,0)),"")</f>
        <v/>
      </c>
      <c r="Z102">
        <f>IFERROR(INDEX('E-Banker master'!$E$2:$E$186,MATCH($A102,'E-Banker master'!$A$2:$A$186,0)),"")</f>
        <v/>
      </c>
      <c r="AA102">
        <f>IFERROR(INDEX('E-Banker master'!$F$2:$F$186,MATCH($A102,'E-Banker master'!$A$2:$A$186,0)),"")</f>
        <v/>
      </c>
      <c r="AB102">
        <f>IFERROR(INDEX('E-Banker master'!$G$2:$G$186,MATCH($A102,'E-Banker master'!$A$2:$A$186,0)),"")</f>
        <v/>
      </c>
      <c r="AC102" s="488">
        <f>IFERROR(INDEX('E-Banker master'!$I$2:$I$186,MATCH($A102,'E-Banker master'!$A$2:$A$186,0)),"")</f>
        <v/>
      </c>
      <c r="AD102" s="487">
        <f>IFERROR(INDEX('E-Banker master'!$J$2:$J$186,MATCH($A102,'E-Banker master'!$A$2:$A$186,0)),"")</f>
        <v/>
      </c>
      <c r="AE102" s="487">
        <f>IFERROR(INDEX('E-Banker master'!$K$2:$K$186,MATCH($A102,'E-Banker master'!$A$2:$A$186,0)),"")</f>
        <v/>
      </c>
      <c r="AF102">
        <f>IFERROR(INDEX('E-Banker master'!$L$2:$L$186,MATCH($A102,'E-Banker master'!$A$2:$A$186,0)),"")</f>
        <v/>
      </c>
      <c r="AG102">
        <f>IFERROR(INDEX('E-Banker master'!$M$2:$M$186,MATCH($A102,'E-Banker master'!$A$2:$A$186,0)),"")</f>
        <v/>
      </c>
      <c r="AH102" s="488">
        <f>IFERROR(INDEX('E-Banker master'!$N$2:$N$186,MATCH($A102,'E-Banker master'!$A$2:$A$186,0)),"")</f>
        <v/>
      </c>
      <c r="AI102" s="488">
        <f>IFERROR(INDEX('E-Banker master'!$O$2:$O$186,MATCH($A102,'E-Banker master'!$A$2:$A$186,0)),"")</f>
        <v/>
      </c>
      <c r="AJ102" s="488">
        <f>IFERROR(INDEX('E-Banker master'!$P$2:$P$186,MATCH($A102,'E-Banker master'!$A$2:$A$186,0)),"")</f>
        <v/>
      </c>
      <c r="AK102" s="488">
        <f>IF(OR(Q102="",AJ102=""),"",Q102-AJ102)</f>
        <v/>
      </c>
      <c r="AL102" t="n">
        <v>98</v>
      </c>
      <c r="AM102">
        <f>HYPERLINK("#'Amortisation and Repayments'!C5414","block 98")</f>
        <v/>
      </c>
      <c r="AN102">
        <f>'Mapping'!X102</f>
        <v/>
      </c>
      <c r="AO102" s="558" t="n"/>
      <c r="AP102" s="558" t="n"/>
      <c r="AQ102" s="558" t="n"/>
      <c r="AR102" s="559" t="n"/>
      <c r="AS102" s="560" t="n"/>
      <c r="AT102" s="560" t="n"/>
      <c r="AU102" s="561">
        <f>IF(COUNT(AO102:AQ102)=0,"",SUM(AO102:AQ102))</f>
        <v/>
      </c>
    </row>
    <row r="103">
      <c r="A103">
        <f>'Mapping'!J103</f>
        <v/>
      </c>
      <c r="B103">
        <f>'Mapping'!K103</f>
        <v/>
      </c>
      <c r="C103" t="n">
        <v>106</v>
      </c>
      <c r="D103">
        <f>'Loan Book'!E106</f>
        <v/>
      </c>
      <c r="E103">
        <f>'Loan Book'!F106</f>
        <v/>
      </c>
      <c r="F103" s="487">
        <f>'Loan Book'!G106</f>
        <v/>
      </c>
      <c r="G103" s="487">
        <f>'Loan Book'!H106</f>
        <v/>
      </c>
      <c r="H103">
        <f>'Loan Book'!I106</f>
        <v/>
      </c>
      <c r="I103">
        <f>'Loan Book'!J106</f>
        <v/>
      </c>
      <c r="J103">
        <f>IF('Loan Book'!K106="","",IF('Loan Book'!K106&lt;1,'Loan Book'!K106*100,'Loan Book'!K106))</f>
        <v/>
      </c>
      <c r="K103" s="488">
        <f>'Loan Book'!L106</f>
        <v/>
      </c>
      <c r="L103" s="488">
        <f>'Loan Book'!M106</f>
        <v/>
      </c>
      <c r="M103" s="488">
        <f>'Loan Book'!N106</f>
        <v/>
      </c>
      <c r="N103" s="488">
        <f>'Loan Book'!O106</f>
        <v/>
      </c>
      <c r="O103" s="488">
        <f>'Loan Book'!P106</f>
        <v/>
      </c>
      <c r="P103" s="488">
        <f>'Loan Book'!Q106</f>
        <v/>
      </c>
      <c r="Q103" s="488">
        <f>'Loan Book'!R106</f>
        <v/>
      </c>
      <c r="R103" s="488">
        <f>'Loan Book'!S106</f>
        <v/>
      </c>
      <c r="S103" s="488">
        <f>'Loan Book'!T106</f>
        <v/>
      </c>
      <c r="T103" s="488">
        <f>'Loan Book'!U106</f>
        <v/>
      </c>
      <c r="U103">
        <f>'Loan Book'!AC106</f>
        <v/>
      </c>
      <c r="V103">
        <f>'Loan Book'!AE106</f>
        <v/>
      </c>
      <c r="W103">
        <f>IFERROR(INDEX('E-Banker master'!$B$2:$B$186,MATCH($A103,'E-Banker master'!$A$2:$A$186,0)),"")</f>
        <v/>
      </c>
      <c r="X103">
        <f>IFERROR(INDEX('E-Banker master'!$C$2:$C$186,MATCH($A103,'E-Banker master'!$A$2:$A$186,0)),"")</f>
        <v/>
      </c>
      <c r="Y103">
        <f>IFERROR(INDEX('E-Banker master'!$D$2:$D$186,MATCH($A103,'E-Banker master'!$A$2:$A$186,0)),"")</f>
        <v/>
      </c>
      <c r="Z103">
        <f>IFERROR(INDEX('E-Banker master'!$E$2:$E$186,MATCH($A103,'E-Banker master'!$A$2:$A$186,0)),"")</f>
        <v/>
      </c>
      <c r="AA103">
        <f>IFERROR(INDEX('E-Banker master'!$F$2:$F$186,MATCH($A103,'E-Banker master'!$A$2:$A$186,0)),"")</f>
        <v/>
      </c>
      <c r="AB103">
        <f>IFERROR(INDEX('E-Banker master'!$G$2:$G$186,MATCH($A103,'E-Banker master'!$A$2:$A$186,0)),"")</f>
        <v/>
      </c>
      <c r="AC103" s="488">
        <f>IFERROR(INDEX('E-Banker master'!$I$2:$I$186,MATCH($A103,'E-Banker master'!$A$2:$A$186,0)),"")</f>
        <v/>
      </c>
      <c r="AD103" s="487">
        <f>IFERROR(INDEX('E-Banker master'!$J$2:$J$186,MATCH($A103,'E-Banker master'!$A$2:$A$186,0)),"")</f>
        <v/>
      </c>
      <c r="AE103" s="487">
        <f>IFERROR(INDEX('E-Banker master'!$K$2:$K$186,MATCH($A103,'E-Banker master'!$A$2:$A$186,0)),"")</f>
        <v/>
      </c>
      <c r="AF103">
        <f>IFERROR(INDEX('E-Banker master'!$L$2:$L$186,MATCH($A103,'E-Banker master'!$A$2:$A$186,0)),"")</f>
        <v/>
      </c>
      <c r="AG103">
        <f>IFERROR(INDEX('E-Banker master'!$M$2:$M$186,MATCH($A103,'E-Banker master'!$A$2:$A$186,0)),"")</f>
        <v/>
      </c>
      <c r="AH103" s="488">
        <f>IFERROR(INDEX('E-Banker master'!$N$2:$N$186,MATCH($A103,'E-Banker master'!$A$2:$A$186,0)),"")</f>
        <v/>
      </c>
      <c r="AI103" s="488">
        <f>IFERROR(INDEX('E-Banker master'!$O$2:$O$186,MATCH($A103,'E-Banker master'!$A$2:$A$186,0)),"")</f>
        <v/>
      </c>
      <c r="AJ103" s="488">
        <f>IFERROR(INDEX('E-Banker master'!$P$2:$P$186,MATCH($A103,'E-Banker master'!$A$2:$A$186,0)),"")</f>
        <v/>
      </c>
      <c r="AK103" s="488">
        <f>IF(OR(Q103="",AJ103=""),"",Q103-AJ103)</f>
        <v/>
      </c>
      <c r="AL103" t="n">
        <v>99</v>
      </c>
      <c r="AM103">
        <f>HYPERLINK("#'Amortisation and Repayments'!C5477","block 99")</f>
        <v/>
      </c>
      <c r="AN103">
        <f>'Mapping'!X103</f>
        <v/>
      </c>
      <c r="AO103" s="558" t="n"/>
      <c r="AP103" s="558" t="n"/>
      <c r="AQ103" s="558" t="n"/>
      <c r="AR103" s="559" t="n"/>
      <c r="AS103" s="560" t="n"/>
      <c r="AT103" s="560" t="n"/>
      <c r="AU103" s="561">
        <f>IF(COUNT(AO103:AQ103)=0,"",SUM(AO103:AQ103))</f>
        <v/>
      </c>
    </row>
    <row r="104">
      <c r="A104">
        <f>'Mapping'!J104</f>
        <v/>
      </c>
      <c r="B104">
        <f>'Mapping'!K104</f>
        <v/>
      </c>
      <c r="C104" t="n">
        <v>107</v>
      </c>
      <c r="D104">
        <f>'Loan Book'!E107</f>
        <v/>
      </c>
      <c r="E104">
        <f>'Loan Book'!F107</f>
        <v/>
      </c>
      <c r="F104" s="487">
        <f>'Loan Book'!G107</f>
        <v/>
      </c>
      <c r="G104" s="487">
        <f>'Loan Book'!H107</f>
        <v/>
      </c>
      <c r="H104">
        <f>'Loan Book'!I107</f>
        <v/>
      </c>
      <c r="I104">
        <f>'Loan Book'!J107</f>
        <v/>
      </c>
      <c r="J104">
        <f>IF('Loan Book'!K107="","",IF('Loan Book'!K107&lt;1,'Loan Book'!K107*100,'Loan Book'!K107))</f>
        <v/>
      </c>
      <c r="K104" s="488">
        <f>'Loan Book'!L107</f>
        <v/>
      </c>
      <c r="L104" s="488">
        <f>'Loan Book'!M107</f>
        <v/>
      </c>
      <c r="M104" s="488">
        <f>'Loan Book'!N107</f>
        <v/>
      </c>
      <c r="N104" s="488">
        <f>'Loan Book'!O107</f>
        <v/>
      </c>
      <c r="O104" s="488">
        <f>'Loan Book'!P107</f>
        <v/>
      </c>
      <c r="P104" s="488">
        <f>'Loan Book'!Q107</f>
        <v/>
      </c>
      <c r="Q104" s="488">
        <f>'Loan Book'!R107</f>
        <v/>
      </c>
      <c r="R104" s="488">
        <f>'Loan Book'!S107</f>
        <v/>
      </c>
      <c r="S104" s="488">
        <f>'Loan Book'!T107</f>
        <v/>
      </c>
      <c r="T104" s="488">
        <f>'Loan Book'!U107</f>
        <v/>
      </c>
      <c r="U104">
        <f>'Loan Book'!AC107</f>
        <v/>
      </c>
      <c r="V104">
        <f>'Loan Book'!AE107</f>
        <v/>
      </c>
      <c r="W104">
        <f>IFERROR(INDEX('E-Banker master'!$B$2:$B$186,MATCH($A104,'E-Banker master'!$A$2:$A$186,0)),"")</f>
        <v/>
      </c>
      <c r="X104">
        <f>IFERROR(INDEX('E-Banker master'!$C$2:$C$186,MATCH($A104,'E-Banker master'!$A$2:$A$186,0)),"")</f>
        <v/>
      </c>
      <c r="Y104">
        <f>IFERROR(INDEX('E-Banker master'!$D$2:$D$186,MATCH($A104,'E-Banker master'!$A$2:$A$186,0)),"")</f>
        <v/>
      </c>
      <c r="Z104">
        <f>IFERROR(INDEX('E-Banker master'!$E$2:$E$186,MATCH($A104,'E-Banker master'!$A$2:$A$186,0)),"")</f>
        <v/>
      </c>
      <c r="AA104">
        <f>IFERROR(INDEX('E-Banker master'!$F$2:$F$186,MATCH($A104,'E-Banker master'!$A$2:$A$186,0)),"")</f>
        <v/>
      </c>
      <c r="AB104">
        <f>IFERROR(INDEX('E-Banker master'!$G$2:$G$186,MATCH($A104,'E-Banker master'!$A$2:$A$186,0)),"")</f>
        <v/>
      </c>
      <c r="AC104" s="488">
        <f>IFERROR(INDEX('E-Banker master'!$I$2:$I$186,MATCH($A104,'E-Banker master'!$A$2:$A$186,0)),"")</f>
        <v/>
      </c>
      <c r="AD104" s="487">
        <f>IFERROR(INDEX('E-Banker master'!$J$2:$J$186,MATCH($A104,'E-Banker master'!$A$2:$A$186,0)),"")</f>
        <v/>
      </c>
      <c r="AE104" s="487">
        <f>IFERROR(INDEX('E-Banker master'!$K$2:$K$186,MATCH($A104,'E-Banker master'!$A$2:$A$186,0)),"")</f>
        <v/>
      </c>
      <c r="AF104">
        <f>IFERROR(INDEX('E-Banker master'!$L$2:$L$186,MATCH($A104,'E-Banker master'!$A$2:$A$186,0)),"")</f>
        <v/>
      </c>
      <c r="AG104">
        <f>IFERROR(INDEX('E-Banker master'!$M$2:$M$186,MATCH($A104,'E-Banker master'!$A$2:$A$186,0)),"")</f>
        <v/>
      </c>
      <c r="AH104" s="488">
        <f>IFERROR(INDEX('E-Banker master'!$N$2:$N$186,MATCH($A104,'E-Banker master'!$A$2:$A$186,0)),"")</f>
        <v/>
      </c>
      <c r="AI104" s="488">
        <f>IFERROR(INDEX('E-Banker master'!$O$2:$O$186,MATCH($A104,'E-Banker master'!$A$2:$A$186,0)),"")</f>
        <v/>
      </c>
      <c r="AJ104" s="488">
        <f>IFERROR(INDEX('E-Banker master'!$P$2:$P$186,MATCH($A104,'E-Banker master'!$A$2:$A$186,0)),"")</f>
        <v/>
      </c>
      <c r="AK104" s="488">
        <f>IF(OR(Q104="",AJ104=""),"",Q104-AJ104)</f>
        <v/>
      </c>
      <c r="AL104" t="n">
        <v>100</v>
      </c>
      <c r="AM104">
        <f>HYPERLINK("#'Amortisation and Repayments'!C5553","block 100")</f>
        <v/>
      </c>
      <c r="AN104">
        <f>'Mapping'!X104</f>
        <v/>
      </c>
      <c r="AO104" s="558" t="n"/>
      <c r="AP104" s="558" t="n"/>
      <c r="AQ104" s="558" t="n"/>
      <c r="AR104" s="559" t="n"/>
      <c r="AS104" s="560" t="n"/>
      <c r="AT104" s="560" t="n"/>
      <c r="AU104" s="561">
        <f>IF(COUNT(AO104:AQ104)=0,"",SUM(AO104:AQ104))</f>
        <v/>
      </c>
    </row>
    <row r="105">
      <c r="A105">
        <f>'Mapping'!J105</f>
        <v/>
      </c>
      <c r="B105">
        <f>'Mapping'!K105</f>
        <v/>
      </c>
      <c r="C105" t="n">
        <v>111</v>
      </c>
      <c r="D105">
        <f>'Loan Book'!E111</f>
        <v/>
      </c>
      <c r="E105">
        <f>'Loan Book'!F111</f>
        <v/>
      </c>
      <c r="F105" s="487">
        <f>'Loan Book'!G111</f>
        <v/>
      </c>
      <c r="G105" s="487">
        <f>'Loan Book'!H111</f>
        <v/>
      </c>
      <c r="H105">
        <f>'Loan Book'!I111</f>
        <v/>
      </c>
      <c r="I105">
        <f>'Loan Book'!J111</f>
        <v/>
      </c>
      <c r="J105">
        <f>IF('Loan Book'!K111="","",IF('Loan Book'!K111&lt;1,'Loan Book'!K111*100,'Loan Book'!K111))</f>
        <v/>
      </c>
      <c r="K105" s="488">
        <f>'Loan Book'!L111</f>
        <v/>
      </c>
      <c r="L105" s="488">
        <f>'Loan Book'!M111</f>
        <v/>
      </c>
      <c r="M105" s="488">
        <f>'Loan Book'!N111</f>
        <v/>
      </c>
      <c r="N105" s="488">
        <f>'Loan Book'!O111</f>
        <v/>
      </c>
      <c r="O105" s="488">
        <f>'Loan Book'!P111</f>
        <v/>
      </c>
      <c r="P105" s="488">
        <f>'Loan Book'!Q111</f>
        <v/>
      </c>
      <c r="Q105" s="488">
        <f>'Loan Book'!R111</f>
        <v/>
      </c>
      <c r="R105" s="488">
        <f>'Loan Book'!S111</f>
        <v/>
      </c>
      <c r="S105" s="488">
        <f>'Loan Book'!T111</f>
        <v/>
      </c>
      <c r="T105" s="488">
        <f>'Loan Book'!U111</f>
        <v/>
      </c>
      <c r="U105">
        <f>'Loan Book'!AC111</f>
        <v/>
      </c>
      <c r="V105">
        <f>'Loan Book'!AE111</f>
        <v/>
      </c>
      <c r="W105">
        <f>IFERROR(INDEX('E-Banker master'!$B$2:$B$186,MATCH($A105,'E-Banker master'!$A$2:$A$186,0)),"")</f>
        <v/>
      </c>
      <c r="X105">
        <f>IFERROR(INDEX('E-Banker master'!$C$2:$C$186,MATCH($A105,'E-Banker master'!$A$2:$A$186,0)),"")</f>
        <v/>
      </c>
      <c r="Y105">
        <f>IFERROR(INDEX('E-Banker master'!$D$2:$D$186,MATCH($A105,'E-Banker master'!$A$2:$A$186,0)),"")</f>
        <v/>
      </c>
      <c r="Z105">
        <f>IFERROR(INDEX('E-Banker master'!$E$2:$E$186,MATCH($A105,'E-Banker master'!$A$2:$A$186,0)),"")</f>
        <v/>
      </c>
      <c r="AA105">
        <f>IFERROR(INDEX('E-Banker master'!$F$2:$F$186,MATCH($A105,'E-Banker master'!$A$2:$A$186,0)),"")</f>
        <v/>
      </c>
      <c r="AB105">
        <f>IFERROR(INDEX('E-Banker master'!$G$2:$G$186,MATCH($A105,'E-Banker master'!$A$2:$A$186,0)),"")</f>
        <v/>
      </c>
      <c r="AC105" s="488">
        <f>IFERROR(INDEX('E-Banker master'!$I$2:$I$186,MATCH($A105,'E-Banker master'!$A$2:$A$186,0)),"")</f>
        <v/>
      </c>
      <c r="AD105" s="487">
        <f>IFERROR(INDEX('E-Banker master'!$J$2:$J$186,MATCH($A105,'E-Banker master'!$A$2:$A$186,0)),"")</f>
        <v/>
      </c>
      <c r="AE105" s="487">
        <f>IFERROR(INDEX('E-Banker master'!$K$2:$K$186,MATCH($A105,'E-Banker master'!$A$2:$A$186,0)),"")</f>
        <v/>
      </c>
      <c r="AF105">
        <f>IFERROR(INDEX('E-Banker master'!$L$2:$L$186,MATCH($A105,'E-Banker master'!$A$2:$A$186,0)),"")</f>
        <v/>
      </c>
      <c r="AG105">
        <f>IFERROR(INDEX('E-Banker master'!$M$2:$M$186,MATCH($A105,'E-Banker master'!$A$2:$A$186,0)),"")</f>
        <v/>
      </c>
      <c r="AH105" s="488">
        <f>IFERROR(INDEX('E-Banker master'!$N$2:$N$186,MATCH($A105,'E-Banker master'!$A$2:$A$186,0)),"")</f>
        <v/>
      </c>
      <c r="AI105" s="488">
        <f>IFERROR(INDEX('E-Banker master'!$O$2:$O$186,MATCH($A105,'E-Banker master'!$A$2:$A$186,0)),"")</f>
        <v/>
      </c>
      <c r="AJ105" s="488">
        <f>IFERROR(INDEX('E-Banker master'!$P$2:$P$186,MATCH($A105,'E-Banker master'!$A$2:$A$186,0)),"")</f>
        <v/>
      </c>
      <c r="AK105" s="488">
        <f>IF(OR(Q105="",AJ105=""),"",Q105-AJ105)</f>
        <v/>
      </c>
      <c r="AN105">
        <f>'Mapping'!X105</f>
        <v/>
      </c>
      <c r="AO105" s="558" t="n"/>
      <c r="AP105" s="558" t="n"/>
      <c r="AQ105" s="558" t="n"/>
      <c r="AR105" s="559" t="n"/>
      <c r="AS105" s="560" t="n"/>
      <c r="AT105" s="560" t="n"/>
      <c r="AU105" s="561">
        <f>IF(COUNT(AO105:AQ105)=0,"",SUM(AO105:AQ105))</f>
        <v/>
      </c>
    </row>
    <row r="106">
      <c r="A106">
        <f>'Mapping'!J106</f>
        <v/>
      </c>
      <c r="B106">
        <f>'Mapping'!K106</f>
        <v/>
      </c>
      <c r="C106" t="n">
        <v>112</v>
      </c>
      <c r="D106">
        <f>'Loan Book'!E112</f>
        <v/>
      </c>
      <c r="E106">
        <f>'Loan Book'!F112</f>
        <v/>
      </c>
      <c r="F106" s="487">
        <f>'Loan Book'!G112</f>
        <v/>
      </c>
      <c r="G106" s="487">
        <f>'Loan Book'!H112</f>
        <v/>
      </c>
      <c r="H106">
        <f>'Loan Book'!I112</f>
        <v/>
      </c>
      <c r="I106">
        <f>'Loan Book'!J112</f>
        <v/>
      </c>
      <c r="J106">
        <f>IF('Loan Book'!K112="","",IF('Loan Book'!K112&lt;1,'Loan Book'!K112*100,'Loan Book'!K112))</f>
        <v/>
      </c>
      <c r="K106" s="488">
        <f>'Loan Book'!L112</f>
        <v/>
      </c>
      <c r="L106" s="488">
        <f>'Loan Book'!M112</f>
        <v/>
      </c>
      <c r="M106" s="488">
        <f>'Loan Book'!N112</f>
        <v/>
      </c>
      <c r="N106" s="488">
        <f>'Loan Book'!O112</f>
        <v/>
      </c>
      <c r="O106" s="488">
        <f>'Loan Book'!P112</f>
        <v/>
      </c>
      <c r="P106" s="488">
        <f>'Loan Book'!Q112</f>
        <v/>
      </c>
      <c r="Q106" s="488">
        <f>'Loan Book'!R112</f>
        <v/>
      </c>
      <c r="R106" s="488">
        <f>'Loan Book'!S112</f>
        <v/>
      </c>
      <c r="S106" s="488">
        <f>'Loan Book'!T112</f>
        <v/>
      </c>
      <c r="T106" s="488">
        <f>'Loan Book'!U112</f>
        <v/>
      </c>
      <c r="U106">
        <f>'Loan Book'!AC112</f>
        <v/>
      </c>
      <c r="V106">
        <f>'Loan Book'!AE112</f>
        <v/>
      </c>
      <c r="W106">
        <f>IFERROR(INDEX('E-Banker master'!$B$2:$B$186,MATCH($A106,'E-Banker master'!$A$2:$A$186,0)),"")</f>
        <v/>
      </c>
      <c r="X106">
        <f>IFERROR(INDEX('E-Banker master'!$C$2:$C$186,MATCH($A106,'E-Banker master'!$A$2:$A$186,0)),"")</f>
        <v/>
      </c>
      <c r="Y106">
        <f>IFERROR(INDEX('E-Banker master'!$D$2:$D$186,MATCH($A106,'E-Banker master'!$A$2:$A$186,0)),"")</f>
        <v/>
      </c>
      <c r="Z106">
        <f>IFERROR(INDEX('E-Banker master'!$E$2:$E$186,MATCH($A106,'E-Banker master'!$A$2:$A$186,0)),"")</f>
        <v/>
      </c>
      <c r="AA106">
        <f>IFERROR(INDEX('E-Banker master'!$F$2:$F$186,MATCH($A106,'E-Banker master'!$A$2:$A$186,0)),"")</f>
        <v/>
      </c>
      <c r="AB106">
        <f>IFERROR(INDEX('E-Banker master'!$G$2:$G$186,MATCH($A106,'E-Banker master'!$A$2:$A$186,0)),"")</f>
        <v/>
      </c>
      <c r="AC106" s="488">
        <f>IFERROR(INDEX('E-Banker master'!$I$2:$I$186,MATCH($A106,'E-Banker master'!$A$2:$A$186,0)),"")</f>
        <v/>
      </c>
      <c r="AD106" s="487">
        <f>IFERROR(INDEX('E-Banker master'!$J$2:$J$186,MATCH($A106,'E-Banker master'!$A$2:$A$186,0)),"")</f>
        <v/>
      </c>
      <c r="AE106" s="487">
        <f>IFERROR(INDEX('E-Banker master'!$K$2:$K$186,MATCH($A106,'E-Banker master'!$A$2:$A$186,0)),"")</f>
        <v/>
      </c>
      <c r="AF106">
        <f>IFERROR(INDEX('E-Banker master'!$L$2:$L$186,MATCH($A106,'E-Banker master'!$A$2:$A$186,0)),"")</f>
        <v/>
      </c>
      <c r="AG106">
        <f>IFERROR(INDEX('E-Banker master'!$M$2:$M$186,MATCH($A106,'E-Banker master'!$A$2:$A$186,0)),"")</f>
        <v/>
      </c>
      <c r="AH106" s="488">
        <f>IFERROR(INDEX('E-Banker master'!$N$2:$N$186,MATCH($A106,'E-Banker master'!$A$2:$A$186,0)),"")</f>
        <v/>
      </c>
      <c r="AI106" s="488">
        <f>IFERROR(INDEX('E-Banker master'!$O$2:$O$186,MATCH($A106,'E-Banker master'!$A$2:$A$186,0)),"")</f>
        <v/>
      </c>
      <c r="AJ106" s="488">
        <f>IFERROR(INDEX('E-Banker master'!$P$2:$P$186,MATCH($A106,'E-Banker master'!$A$2:$A$186,0)),"")</f>
        <v/>
      </c>
      <c r="AK106" s="488">
        <f>IF(OR(Q106="",AJ106=""),"",Q106-AJ106)</f>
        <v/>
      </c>
      <c r="AN106">
        <f>'Mapping'!X106</f>
        <v/>
      </c>
      <c r="AO106" s="558" t="n"/>
      <c r="AP106" s="558" t="n"/>
      <c r="AQ106" s="558" t="n"/>
      <c r="AR106" s="559" t="n"/>
      <c r="AS106" s="560" t="n"/>
      <c r="AT106" s="560" t="n"/>
      <c r="AU106" s="561">
        <f>IF(COUNT(AO106:AQ106)=0,"",SUM(AO106:AQ106))</f>
        <v/>
      </c>
    </row>
    <row r="107">
      <c r="A107">
        <f>'Mapping'!J107</f>
        <v/>
      </c>
      <c r="B107">
        <f>'Mapping'!K107</f>
        <v/>
      </c>
      <c r="C107" t="n">
        <v>113</v>
      </c>
      <c r="D107">
        <f>'Loan Book'!E113</f>
        <v/>
      </c>
      <c r="E107">
        <f>'Loan Book'!F113</f>
        <v/>
      </c>
      <c r="F107" s="487">
        <f>'Loan Book'!G113</f>
        <v/>
      </c>
      <c r="G107" s="487">
        <f>'Loan Book'!H113</f>
        <v/>
      </c>
      <c r="H107">
        <f>'Loan Book'!I113</f>
        <v/>
      </c>
      <c r="I107">
        <f>'Loan Book'!J113</f>
        <v/>
      </c>
      <c r="J107">
        <f>IF('Loan Book'!K113="","",IF('Loan Book'!K113&lt;1,'Loan Book'!K113*100,'Loan Book'!K113))</f>
        <v/>
      </c>
      <c r="K107" s="488">
        <f>'Loan Book'!L113</f>
        <v/>
      </c>
      <c r="L107" s="488">
        <f>'Loan Book'!M113</f>
        <v/>
      </c>
      <c r="M107" s="488">
        <f>'Loan Book'!N113</f>
        <v/>
      </c>
      <c r="N107" s="488">
        <f>'Loan Book'!O113</f>
        <v/>
      </c>
      <c r="O107" s="488">
        <f>'Loan Book'!P113</f>
        <v/>
      </c>
      <c r="P107" s="488">
        <f>'Loan Book'!Q113</f>
        <v/>
      </c>
      <c r="Q107" s="488">
        <f>'Loan Book'!R113</f>
        <v/>
      </c>
      <c r="R107" s="488">
        <f>'Loan Book'!S113</f>
        <v/>
      </c>
      <c r="S107" s="488">
        <f>'Loan Book'!T113</f>
        <v/>
      </c>
      <c r="T107" s="488">
        <f>'Loan Book'!U113</f>
        <v/>
      </c>
      <c r="U107">
        <f>'Loan Book'!AC113</f>
        <v/>
      </c>
      <c r="V107">
        <f>'Loan Book'!AE113</f>
        <v/>
      </c>
      <c r="W107">
        <f>IFERROR(INDEX('E-Banker master'!$B$2:$B$186,MATCH($A107,'E-Banker master'!$A$2:$A$186,0)),"")</f>
        <v/>
      </c>
      <c r="X107">
        <f>IFERROR(INDEX('E-Banker master'!$C$2:$C$186,MATCH($A107,'E-Banker master'!$A$2:$A$186,0)),"")</f>
        <v/>
      </c>
      <c r="Y107">
        <f>IFERROR(INDEX('E-Banker master'!$D$2:$D$186,MATCH($A107,'E-Banker master'!$A$2:$A$186,0)),"")</f>
        <v/>
      </c>
      <c r="Z107">
        <f>IFERROR(INDEX('E-Banker master'!$E$2:$E$186,MATCH($A107,'E-Banker master'!$A$2:$A$186,0)),"")</f>
        <v/>
      </c>
      <c r="AA107">
        <f>IFERROR(INDEX('E-Banker master'!$F$2:$F$186,MATCH($A107,'E-Banker master'!$A$2:$A$186,0)),"")</f>
        <v/>
      </c>
      <c r="AB107">
        <f>IFERROR(INDEX('E-Banker master'!$G$2:$G$186,MATCH($A107,'E-Banker master'!$A$2:$A$186,0)),"")</f>
        <v/>
      </c>
      <c r="AC107" s="488">
        <f>IFERROR(INDEX('E-Banker master'!$I$2:$I$186,MATCH($A107,'E-Banker master'!$A$2:$A$186,0)),"")</f>
        <v/>
      </c>
      <c r="AD107" s="487">
        <f>IFERROR(INDEX('E-Banker master'!$J$2:$J$186,MATCH($A107,'E-Banker master'!$A$2:$A$186,0)),"")</f>
        <v/>
      </c>
      <c r="AE107" s="487">
        <f>IFERROR(INDEX('E-Banker master'!$K$2:$K$186,MATCH($A107,'E-Banker master'!$A$2:$A$186,0)),"")</f>
        <v/>
      </c>
      <c r="AF107">
        <f>IFERROR(INDEX('E-Banker master'!$L$2:$L$186,MATCH($A107,'E-Banker master'!$A$2:$A$186,0)),"")</f>
        <v/>
      </c>
      <c r="AG107">
        <f>IFERROR(INDEX('E-Banker master'!$M$2:$M$186,MATCH($A107,'E-Banker master'!$A$2:$A$186,0)),"")</f>
        <v/>
      </c>
      <c r="AH107" s="488">
        <f>IFERROR(INDEX('E-Banker master'!$N$2:$N$186,MATCH($A107,'E-Banker master'!$A$2:$A$186,0)),"")</f>
        <v/>
      </c>
      <c r="AI107" s="488">
        <f>IFERROR(INDEX('E-Banker master'!$O$2:$O$186,MATCH($A107,'E-Banker master'!$A$2:$A$186,0)),"")</f>
        <v/>
      </c>
      <c r="AJ107" s="488">
        <f>IFERROR(INDEX('E-Banker master'!$P$2:$P$186,MATCH($A107,'E-Banker master'!$A$2:$A$186,0)),"")</f>
        <v/>
      </c>
      <c r="AK107" s="488">
        <f>IF(OR(Q107="",AJ107=""),"",Q107-AJ107)</f>
        <v/>
      </c>
      <c r="AN107">
        <f>'Mapping'!X107</f>
        <v/>
      </c>
      <c r="AO107" s="558" t="n"/>
      <c r="AP107" s="558" t="n"/>
      <c r="AQ107" s="558" t="n"/>
      <c r="AR107" s="559" t="n"/>
      <c r="AS107" s="560" t="n"/>
      <c r="AT107" s="560" t="n"/>
      <c r="AU107" s="561">
        <f>IF(COUNT(AO107:AQ107)=0,"",SUM(AO107:AQ107))</f>
        <v/>
      </c>
    </row>
    <row r="108">
      <c r="A108">
        <f>'Mapping'!J108</f>
        <v/>
      </c>
      <c r="B108">
        <f>'Mapping'!K108</f>
        <v/>
      </c>
      <c r="C108" t="n">
        <v>114</v>
      </c>
      <c r="D108">
        <f>'Loan Book'!E114</f>
        <v/>
      </c>
      <c r="E108">
        <f>'Loan Book'!F114</f>
        <v/>
      </c>
      <c r="F108" s="487">
        <f>'Loan Book'!G114</f>
        <v/>
      </c>
      <c r="G108" s="487">
        <f>'Loan Book'!H114</f>
        <v/>
      </c>
      <c r="H108">
        <f>'Loan Book'!I114</f>
        <v/>
      </c>
      <c r="I108">
        <f>'Loan Book'!J114</f>
        <v/>
      </c>
      <c r="J108">
        <f>IF('Loan Book'!K114="","",IF('Loan Book'!K114&lt;1,'Loan Book'!K114*100,'Loan Book'!K114))</f>
        <v/>
      </c>
      <c r="K108" s="488">
        <f>'Loan Book'!L114</f>
        <v/>
      </c>
      <c r="L108" s="488">
        <f>'Loan Book'!M114</f>
        <v/>
      </c>
      <c r="M108" s="488">
        <f>'Loan Book'!N114</f>
        <v/>
      </c>
      <c r="N108" s="488">
        <f>'Loan Book'!O114</f>
        <v/>
      </c>
      <c r="O108" s="488">
        <f>'Loan Book'!P114</f>
        <v/>
      </c>
      <c r="P108" s="488">
        <f>'Loan Book'!Q114</f>
        <v/>
      </c>
      <c r="Q108" s="488">
        <f>'Loan Book'!R114</f>
        <v/>
      </c>
      <c r="R108" s="488">
        <f>'Loan Book'!S114</f>
        <v/>
      </c>
      <c r="S108" s="488">
        <f>'Loan Book'!T114</f>
        <v/>
      </c>
      <c r="T108" s="488">
        <f>'Loan Book'!U114</f>
        <v/>
      </c>
      <c r="U108">
        <f>'Loan Book'!AC114</f>
        <v/>
      </c>
      <c r="V108">
        <f>'Loan Book'!AE114</f>
        <v/>
      </c>
      <c r="W108">
        <f>IFERROR(INDEX('E-Banker master'!$B$2:$B$186,MATCH($A108,'E-Banker master'!$A$2:$A$186,0)),"")</f>
        <v/>
      </c>
      <c r="X108">
        <f>IFERROR(INDEX('E-Banker master'!$C$2:$C$186,MATCH($A108,'E-Banker master'!$A$2:$A$186,0)),"")</f>
        <v/>
      </c>
      <c r="Y108">
        <f>IFERROR(INDEX('E-Banker master'!$D$2:$D$186,MATCH($A108,'E-Banker master'!$A$2:$A$186,0)),"")</f>
        <v/>
      </c>
      <c r="Z108">
        <f>IFERROR(INDEX('E-Banker master'!$E$2:$E$186,MATCH($A108,'E-Banker master'!$A$2:$A$186,0)),"")</f>
        <v/>
      </c>
      <c r="AA108">
        <f>IFERROR(INDEX('E-Banker master'!$F$2:$F$186,MATCH($A108,'E-Banker master'!$A$2:$A$186,0)),"")</f>
        <v/>
      </c>
      <c r="AB108">
        <f>IFERROR(INDEX('E-Banker master'!$G$2:$G$186,MATCH($A108,'E-Banker master'!$A$2:$A$186,0)),"")</f>
        <v/>
      </c>
      <c r="AC108" s="488">
        <f>IFERROR(INDEX('E-Banker master'!$I$2:$I$186,MATCH($A108,'E-Banker master'!$A$2:$A$186,0)),"")</f>
        <v/>
      </c>
      <c r="AD108" s="487">
        <f>IFERROR(INDEX('E-Banker master'!$J$2:$J$186,MATCH($A108,'E-Banker master'!$A$2:$A$186,0)),"")</f>
        <v/>
      </c>
      <c r="AE108" s="487">
        <f>IFERROR(INDEX('E-Banker master'!$K$2:$K$186,MATCH($A108,'E-Banker master'!$A$2:$A$186,0)),"")</f>
        <v/>
      </c>
      <c r="AF108">
        <f>IFERROR(INDEX('E-Banker master'!$L$2:$L$186,MATCH($A108,'E-Banker master'!$A$2:$A$186,0)),"")</f>
        <v/>
      </c>
      <c r="AG108">
        <f>IFERROR(INDEX('E-Banker master'!$M$2:$M$186,MATCH($A108,'E-Banker master'!$A$2:$A$186,0)),"")</f>
        <v/>
      </c>
      <c r="AH108" s="488">
        <f>IFERROR(INDEX('E-Banker master'!$N$2:$N$186,MATCH($A108,'E-Banker master'!$A$2:$A$186,0)),"")</f>
        <v/>
      </c>
      <c r="AI108" s="488">
        <f>IFERROR(INDEX('E-Banker master'!$O$2:$O$186,MATCH($A108,'E-Banker master'!$A$2:$A$186,0)),"")</f>
        <v/>
      </c>
      <c r="AJ108" s="488">
        <f>IFERROR(INDEX('E-Banker master'!$P$2:$P$186,MATCH($A108,'E-Banker master'!$A$2:$A$186,0)),"")</f>
        <v/>
      </c>
      <c r="AK108" s="488">
        <f>IF(OR(Q108="",AJ108=""),"",Q108-AJ108)</f>
        <v/>
      </c>
      <c r="AN108">
        <f>'Mapping'!X108</f>
        <v/>
      </c>
      <c r="AO108" s="558" t="n"/>
      <c r="AP108" s="558" t="n"/>
      <c r="AQ108" s="558" t="n"/>
      <c r="AR108" s="559" t="n"/>
      <c r="AS108" s="560" t="n"/>
      <c r="AT108" s="560" t="n"/>
      <c r="AU108" s="561">
        <f>IF(COUNT(AO108:AQ108)=0,"",SUM(AO108:AQ108))</f>
        <v/>
      </c>
    </row>
    <row r="109">
      <c r="A109">
        <f>'Mapping'!J109</f>
        <v/>
      </c>
      <c r="B109">
        <f>'Mapping'!K109</f>
        <v/>
      </c>
      <c r="C109" t="n">
        <v>115</v>
      </c>
      <c r="D109">
        <f>'Loan Book'!E115</f>
        <v/>
      </c>
      <c r="E109">
        <f>'Loan Book'!F115</f>
        <v/>
      </c>
      <c r="F109" s="487">
        <f>'Loan Book'!G115</f>
        <v/>
      </c>
      <c r="G109" s="487">
        <f>'Loan Book'!H115</f>
        <v/>
      </c>
      <c r="H109">
        <f>'Loan Book'!I115</f>
        <v/>
      </c>
      <c r="I109">
        <f>'Loan Book'!J115</f>
        <v/>
      </c>
      <c r="J109">
        <f>IF('Loan Book'!K115="","",IF('Loan Book'!K115&lt;1,'Loan Book'!K115*100,'Loan Book'!K115))</f>
        <v/>
      </c>
      <c r="K109" s="488">
        <f>'Loan Book'!L115</f>
        <v/>
      </c>
      <c r="L109" s="488">
        <f>'Loan Book'!M115</f>
        <v/>
      </c>
      <c r="M109" s="488">
        <f>'Loan Book'!N115</f>
        <v/>
      </c>
      <c r="N109" s="488">
        <f>'Loan Book'!O115</f>
        <v/>
      </c>
      <c r="O109" s="488">
        <f>'Loan Book'!P115</f>
        <v/>
      </c>
      <c r="P109" s="488">
        <f>'Loan Book'!Q115</f>
        <v/>
      </c>
      <c r="Q109" s="488">
        <f>'Loan Book'!R115</f>
        <v/>
      </c>
      <c r="R109" s="488">
        <f>'Loan Book'!S115</f>
        <v/>
      </c>
      <c r="S109" s="488">
        <f>'Loan Book'!T115</f>
        <v/>
      </c>
      <c r="T109" s="488">
        <f>'Loan Book'!U115</f>
        <v/>
      </c>
      <c r="U109">
        <f>'Loan Book'!AC115</f>
        <v/>
      </c>
      <c r="V109">
        <f>'Loan Book'!AE115</f>
        <v/>
      </c>
      <c r="W109">
        <f>IFERROR(INDEX('E-Banker master'!$B$2:$B$186,MATCH($A109,'E-Banker master'!$A$2:$A$186,0)),"")</f>
        <v/>
      </c>
      <c r="X109">
        <f>IFERROR(INDEX('E-Banker master'!$C$2:$C$186,MATCH($A109,'E-Banker master'!$A$2:$A$186,0)),"")</f>
        <v/>
      </c>
      <c r="Y109">
        <f>IFERROR(INDEX('E-Banker master'!$D$2:$D$186,MATCH($A109,'E-Banker master'!$A$2:$A$186,0)),"")</f>
        <v/>
      </c>
      <c r="Z109">
        <f>IFERROR(INDEX('E-Banker master'!$E$2:$E$186,MATCH($A109,'E-Banker master'!$A$2:$A$186,0)),"")</f>
        <v/>
      </c>
      <c r="AA109">
        <f>IFERROR(INDEX('E-Banker master'!$F$2:$F$186,MATCH($A109,'E-Banker master'!$A$2:$A$186,0)),"")</f>
        <v/>
      </c>
      <c r="AB109">
        <f>IFERROR(INDEX('E-Banker master'!$G$2:$G$186,MATCH($A109,'E-Banker master'!$A$2:$A$186,0)),"")</f>
        <v/>
      </c>
      <c r="AC109" s="488">
        <f>IFERROR(INDEX('E-Banker master'!$I$2:$I$186,MATCH($A109,'E-Banker master'!$A$2:$A$186,0)),"")</f>
        <v/>
      </c>
      <c r="AD109" s="487">
        <f>IFERROR(INDEX('E-Banker master'!$J$2:$J$186,MATCH($A109,'E-Banker master'!$A$2:$A$186,0)),"")</f>
        <v/>
      </c>
      <c r="AE109" s="487">
        <f>IFERROR(INDEX('E-Banker master'!$K$2:$K$186,MATCH($A109,'E-Banker master'!$A$2:$A$186,0)),"")</f>
        <v/>
      </c>
      <c r="AF109">
        <f>IFERROR(INDEX('E-Banker master'!$L$2:$L$186,MATCH($A109,'E-Banker master'!$A$2:$A$186,0)),"")</f>
        <v/>
      </c>
      <c r="AG109">
        <f>IFERROR(INDEX('E-Banker master'!$M$2:$M$186,MATCH($A109,'E-Banker master'!$A$2:$A$186,0)),"")</f>
        <v/>
      </c>
      <c r="AH109" s="488">
        <f>IFERROR(INDEX('E-Banker master'!$N$2:$N$186,MATCH($A109,'E-Banker master'!$A$2:$A$186,0)),"")</f>
        <v/>
      </c>
      <c r="AI109" s="488">
        <f>IFERROR(INDEX('E-Banker master'!$O$2:$O$186,MATCH($A109,'E-Banker master'!$A$2:$A$186,0)),"")</f>
        <v/>
      </c>
      <c r="AJ109" s="488">
        <f>IFERROR(INDEX('E-Banker master'!$P$2:$P$186,MATCH($A109,'E-Banker master'!$A$2:$A$186,0)),"")</f>
        <v/>
      </c>
      <c r="AK109" s="488">
        <f>IF(OR(Q109="",AJ109=""),"",Q109-AJ109)</f>
        <v/>
      </c>
      <c r="AN109">
        <f>'Mapping'!X109</f>
        <v/>
      </c>
      <c r="AO109" s="558" t="n"/>
      <c r="AP109" s="558" t="n"/>
      <c r="AQ109" s="558" t="n"/>
      <c r="AR109" s="559" t="n"/>
      <c r="AS109" s="560" t="n"/>
      <c r="AT109" s="560" t="n"/>
      <c r="AU109" s="561">
        <f>IF(COUNT(AO109:AQ109)=0,"",SUM(AO109:AQ109))</f>
        <v/>
      </c>
    </row>
    <row r="110">
      <c r="A110">
        <f>'Mapping'!J110</f>
        <v/>
      </c>
      <c r="B110">
        <f>'Mapping'!K110</f>
        <v/>
      </c>
      <c r="C110" t="n">
        <v>116</v>
      </c>
      <c r="D110">
        <f>'Loan Book'!E116</f>
        <v/>
      </c>
      <c r="E110">
        <f>'Loan Book'!F116</f>
        <v/>
      </c>
      <c r="F110" s="487">
        <f>'Loan Book'!G116</f>
        <v/>
      </c>
      <c r="G110" s="487">
        <f>'Loan Book'!H116</f>
        <v/>
      </c>
      <c r="H110">
        <f>'Loan Book'!I116</f>
        <v/>
      </c>
      <c r="I110">
        <f>'Loan Book'!J116</f>
        <v/>
      </c>
      <c r="J110">
        <f>IF('Loan Book'!K116="","",IF('Loan Book'!K116&lt;1,'Loan Book'!K116*100,'Loan Book'!K116))</f>
        <v/>
      </c>
      <c r="K110" s="488">
        <f>'Loan Book'!L116</f>
        <v/>
      </c>
      <c r="L110" s="488">
        <f>'Loan Book'!M116</f>
        <v/>
      </c>
      <c r="M110" s="488">
        <f>'Loan Book'!N116</f>
        <v/>
      </c>
      <c r="N110" s="488">
        <f>'Loan Book'!O116</f>
        <v/>
      </c>
      <c r="O110" s="488">
        <f>'Loan Book'!P116</f>
        <v/>
      </c>
      <c r="P110" s="488">
        <f>'Loan Book'!Q116</f>
        <v/>
      </c>
      <c r="Q110" s="488">
        <f>'Loan Book'!R116</f>
        <v/>
      </c>
      <c r="R110" s="488">
        <f>'Loan Book'!S116</f>
        <v/>
      </c>
      <c r="S110" s="488">
        <f>'Loan Book'!T116</f>
        <v/>
      </c>
      <c r="T110" s="488">
        <f>'Loan Book'!U116</f>
        <v/>
      </c>
      <c r="U110">
        <f>'Loan Book'!AC116</f>
        <v/>
      </c>
      <c r="V110">
        <f>'Loan Book'!AE116</f>
        <v/>
      </c>
      <c r="W110">
        <f>IFERROR(INDEX('E-Banker master'!$B$2:$B$186,MATCH($A110,'E-Banker master'!$A$2:$A$186,0)),"")</f>
        <v/>
      </c>
      <c r="X110">
        <f>IFERROR(INDEX('E-Banker master'!$C$2:$C$186,MATCH($A110,'E-Banker master'!$A$2:$A$186,0)),"")</f>
        <v/>
      </c>
      <c r="Y110">
        <f>IFERROR(INDEX('E-Banker master'!$D$2:$D$186,MATCH($A110,'E-Banker master'!$A$2:$A$186,0)),"")</f>
        <v/>
      </c>
      <c r="Z110">
        <f>IFERROR(INDEX('E-Banker master'!$E$2:$E$186,MATCH($A110,'E-Banker master'!$A$2:$A$186,0)),"")</f>
        <v/>
      </c>
      <c r="AA110">
        <f>IFERROR(INDEX('E-Banker master'!$F$2:$F$186,MATCH($A110,'E-Banker master'!$A$2:$A$186,0)),"")</f>
        <v/>
      </c>
      <c r="AB110">
        <f>IFERROR(INDEX('E-Banker master'!$G$2:$G$186,MATCH($A110,'E-Banker master'!$A$2:$A$186,0)),"")</f>
        <v/>
      </c>
      <c r="AC110" s="488">
        <f>IFERROR(INDEX('E-Banker master'!$I$2:$I$186,MATCH($A110,'E-Banker master'!$A$2:$A$186,0)),"")</f>
        <v/>
      </c>
      <c r="AD110" s="487">
        <f>IFERROR(INDEX('E-Banker master'!$J$2:$J$186,MATCH($A110,'E-Banker master'!$A$2:$A$186,0)),"")</f>
        <v/>
      </c>
      <c r="AE110" s="487">
        <f>IFERROR(INDEX('E-Banker master'!$K$2:$K$186,MATCH($A110,'E-Banker master'!$A$2:$A$186,0)),"")</f>
        <v/>
      </c>
      <c r="AF110">
        <f>IFERROR(INDEX('E-Banker master'!$L$2:$L$186,MATCH($A110,'E-Banker master'!$A$2:$A$186,0)),"")</f>
        <v/>
      </c>
      <c r="AG110">
        <f>IFERROR(INDEX('E-Banker master'!$M$2:$M$186,MATCH($A110,'E-Banker master'!$A$2:$A$186,0)),"")</f>
        <v/>
      </c>
      <c r="AH110" s="488">
        <f>IFERROR(INDEX('E-Banker master'!$N$2:$N$186,MATCH($A110,'E-Banker master'!$A$2:$A$186,0)),"")</f>
        <v/>
      </c>
      <c r="AI110" s="488">
        <f>IFERROR(INDEX('E-Banker master'!$O$2:$O$186,MATCH($A110,'E-Banker master'!$A$2:$A$186,0)),"")</f>
        <v/>
      </c>
      <c r="AJ110" s="488">
        <f>IFERROR(INDEX('E-Banker master'!$P$2:$P$186,MATCH($A110,'E-Banker master'!$A$2:$A$186,0)),"")</f>
        <v/>
      </c>
      <c r="AK110" s="488">
        <f>IF(OR(Q110="",AJ110=""),"",Q110-AJ110)</f>
        <v/>
      </c>
      <c r="AN110">
        <f>'Mapping'!X110</f>
        <v/>
      </c>
      <c r="AO110" s="558" t="n"/>
      <c r="AP110" s="558" t="n"/>
      <c r="AQ110" s="558" t="n"/>
      <c r="AR110" s="559" t="n"/>
      <c r="AS110" s="560" t="n"/>
      <c r="AT110" s="560" t="n"/>
      <c r="AU110" s="561">
        <f>IF(COUNT(AO110:AQ110)=0,"",SUM(AO110:AQ110))</f>
        <v/>
      </c>
    </row>
    <row r="111">
      <c r="AO111" s="558" t="n"/>
      <c r="AP111" s="558" t="n"/>
      <c r="AQ111" s="558" t="n"/>
      <c r="AR111" s="559" t="n"/>
      <c r="AS111" s="560" t="n"/>
      <c r="AT111" s="560" t="n"/>
      <c r="AU111" s="561">
        <f>IF(COUNT(AO111:AQ111)=0,"",SUM(AO111:AQ111))</f>
        <v/>
      </c>
    </row>
    <row r="112">
      <c r="A112" t="inlineStr">
        <is>
          <t>Every workbook term is a formula into 'Loan Book'; every E-Banker field is a lookup into 'E-Banker master' by the account in column A, which itself comes from 'Mapping'. Load only rows whose column AN is Y.</t>
        </is>
      </c>
      <c r="AO112" s="558" t="n"/>
      <c r="AP112" s="558" t="n"/>
      <c r="AQ112" s="558" t="n"/>
      <c r="AR112" s="559" t="n"/>
      <c r="AS112" s="560" t="n"/>
      <c r="AT112" s="560" t="n"/>
      <c r="AU112" s="561">
        <f>IF(COUNT(AO112:AQ112)=0,"",SUM(AO112:AQ112))</f>
        <v/>
      </c>
    </row>
  </sheetData>
  <dataValidations count="2">
    <dataValidation sqref="AS2:AS112" showDropDown="0" showInputMessage="0" showErrorMessage="1" allowBlank="1" errorTitle="Y or N" error="Type Y or N" type="list">
      <formula1>"Y,N"</formula1>
    </dataValidation>
    <dataValidation sqref="AO2:AQ112" showDropDown="0" showInputMessage="0" showErrorMessage="1" allowBlank="1" errorTitle="Amount" error="A fee is a number of kwacha, zero or mor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3"/>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18" customWidth="1" min="6" max="6"/>
    <col width="18" customWidth="1" min="7" max="7"/>
    <col width="36"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ht="42" customHeight="1">
      <c r="A1" s="486" t="inlineStr">
        <is>
          <t>Block #</t>
        </is>
      </c>
      <c r="B1" s="486" t="inlineStr">
        <is>
          <t>Block title</t>
        </is>
      </c>
      <c r="C1" s="486" t="inlineStr">
        <is>
          <t>Principal in block</t>
        </is>
      </c>
      <c r="D1" s="486" t="inlineStr">
        <is>
          <t>Opening rate</t>
        </is>
      </c>
      <c r="E1" s="486" t="inlineStr">
        <is>
          <t>Sheet row of block</t>
        </is>
      </c>
      <c r="F1" s="486" t="inlineStr">
        <is>
          <t>Go to block</t>
        </is>
      </c>
      <c r="G1" s="486" t="inlineStr">
        <is>
          <t>Loan Book row</t>
        </is>
      </c>
      <c r="H1" s="486" t="inlineStr">
        <is>
          <t>Facility name</t>
        </is>
      </c>
      <c r="I1" s="486" t="inlineStr">
        <is>
          <t>E-Banker account</t>
        </is>
      </c>
      <c r="J1" s="486" t="inlineStr">
        <is>
          <t>Restructured (parsed)</t>
        </is>
      </c>
      <c r="K1" s="486" t="inlineStr">
        <is>
          <t>Rate steps (parsed)</t>
        </is>
      </c>
      <c r="L1" s="486" t="inlineStr">
        <is>
          <t>Periods (parsed)</t>
        </is>
      </c>
      <c r="M1" s="486" t="inlineStr">
        <is>
          <t>First period (parsed)</t>
        </is>
      </c>
      <c r="N1" s="486" t="inlineStr">
        <is>
          <t>Last period (parsed)</t>
        </is>
      </c>
      <c r="O1" s="486" t="inlineStr">
        <is>
          <t>Closing balance (parsed)</t>
        </is>
      </c>
      <c r="P1" s="486" t="inlineStr">
        <is>
          <t>Fully repaid (parsed)</t>
        </is>
      </c>
      <c r="Q1" s="486" t="inlineStr">
        <is>
          <t>Link score (parsed)</t>
        </is>
      </c>
    </row>
    <row r="2">
      <c r="A2" t="n">
        <v>1</v>
      </c>
      <c r="B2">
        <f>'Amortisation and Repayments'!C4</f>
        <v/>
      </c>
      <c r="C2" s="488">
        <f>'Amortisation and Repayments'!D6</f>
        <v/>
      </c>
      <c r="D2">
        <f>IF('Amortisation and Repayments'!D7&lt;1,'Amortisation and Repayments'!D7*100,'Amortisation and Repayments'!D7)</f>
        <v/>
      </c>
      <c r="E2" t="n">
        <v>4</v>
      </c>
      <c r="F2">
        <f>HYPERLINK("#'Amortisation and Repayments'!C4","open")</f>
        <v/>
      </c>
      <c r="G2" t="n">
        <v>5</v>
      </c>
      <c r="H2">
        <f>'Loan Book'!E5</f>
        <v/>
      </c>
      <c r="I2">
        <f>'Mapping'!J2</f>
        <v/>
      </c>
      <c r="J2" t="inlineStr">
        <is>
          <t>True</t>
        </is>
      </c>
      <c r="K2" t="inlineStr">
        <is>
          <t>9</t>
        </is>
      </c>
      <c r="L2" t="inlineStr">
        <is>
          <t>22</t>
        </is>
      </c>
      <c r="M2" t="inlineStr">
        <is>
          <t>2022-04-01</t>
        </is>
      </c>
      <c r="N2" t="inlineStr">
        <is>
          <t>2023-12-31</t>
        </is>
      </c>
      <c r="O2" s="488" t="inlineStr">
        <is>
          <t>-0.0024465173482894897</t>
        </is>
      </c>
      <c r="P2" t="inlineStr">
        <is>
          <t>True</t>
        </is>
      </c>
      <c r="Q2" t="inlineStr">
        <is>
          <t>1.5</t>
        </is>
      </c>
    </row>
    <row r="3">
      <c r="A3" t="n">
        <v>2</v>
      </c>
      <c r="B3">
        <f>'Amortisation and Repayments'!C41</f>
        <v/>
      </c>
      <c r="C3" s="488">
        <f>'Amortisation and Repayments'!D44</f>
        <v/>
      </c>
      <c r="D3">
        <f>IF('Amortisation and Repayments'!D45&lt;1,'Amortisation and Repayments'!D45*100,'Amortisation and Repayments'!D45)</f>
        <v/>
      </c>
      <c r="E3" t="n">
        <v>41</v>
      </c>
      <c r="F3">
        <f>HYPERLINK("#'Amortisation and Repayments'!C41","open")</f>
        <v/>
      </c>
      <c r="G3" t="n">
        <v>6</v>
      </c>
      <c r="H3">
        <f>'Loan Book'!E6</f>
        <v/>
      </c>
      <c r="I3">
        <f>'Mapping'!J3</f>
        <v/>
      </c>
      <c r="J3" t="inlineStr">
        <is>
          <t>True</t>
        </is>
      </c>
      <c r="K3" t="inlineStr">
        <is>
          <t>13</t>
        </is>
      </c>
      <c r="L3" t="inlineStr">
        <is>
          <t>144</t>
        </is>
      </c>
      <c r="M3" t="inlineStr">
        <is>
          <t>2022-04-01</t>
        </is>
      </c>
      <c r="N3" t="inlineStr">
        <is>
          <t>2034-03-31</t>
        </is>
      </c>
      <c r="O3" s="488" t="inlineStr">
        <is>
          <t>3.5762786865234375e-07</t>
        </is>
      </c>
      <c r="P3" t="inlineStr">
        <is>
          <t>False</t>
        </is>
      </c>
      <c r="Q3" t="inlineStr">
        <is>
          <t>1.47</t>
        </is>
      </c>
    </row>
    <row r="4">
      <c r="A4" t="n">
        <v>3</v>
      </c>
      <c r="B4">
        <f>'Amortisation and Repayments'!C204</f>
        <v/>
      </c>
      <c r="C4" s="488">
        <f>'Amortisation and Repayments'!D206</f>
        <v/>
      </c>
      <c r="D4">
        <f>IF('Amortisation and Repayments'!D207&lt;1,'Amortisation and Repayments'!D207*100,'Amortisation and Repayments'!D207)</f>
        <v/>
      </c>
      <c r="E4" t="n">
        <v>204</v>
      </c>
      <c r="F4">
        <f>HYPERLINK("#'Amortisation and Repayments'!C204","open")</f>
        <v/>
      </c>
      <c r="G4" t="n">
        <v>7</v>
      </c>
      <c r="H4">
        <f>'Loan Book'!E7</f>
        <v/>
      </c>
      <c r="I4">
        <f>'Mapping'!J4</f>
        <v/>
      </c>
      <c r="J4" t="inlineStr">
        <is>
          <t>False</t>
        </is>
      </c>
      <c r="K4" t="inlineStr">
        <is>
          <t>0</t>
        </is>
      </c>
      <c r="L4" t="inlineStr">
        <is>
          <t>25</t>
        </is>
      </c>
      <c r="M4" t="inlineStr">
        <is>
          <t>2020-07-28</t>
        </is>
      </c>
      <c r="N4" t="inlineStr">
        <is>
          <t>2022-07-31</t>
        </is>
      </c>
      <c r="O4" s="488" t="inlineStr">
        <is>
          <t>0.0</t>
        </is>
      </c>
      <c r="P4" t="inlineStr">
        <is>
          <t>False</t>
        </is>
      </c>
      <c r="Q4" t="inlineStr">
        <is>
          <t>1.0</t>
        </is>
      </c>
    </row>
    <row r="5">
      <c r="A5" t="n">
        <v>4</v>
      </c>
      <c r="B5">
        <f>'Amortisation and Repayments'!C244</f>
        <v/>
      </c>
      <c r="C5" s="488">
        <f>'Amortisation and Repayments'!D246</f>
        <v/>
      </c>
      <c r="D5">
        <f>IF('Amortisation and Repayments'!D247&lt;1,'Amortisation and Repayments'!D247*100,'Amortisation and Repayments'!D247)</f>
        <v/>
      </c>
      <c r="E5" t="n">
        <v>244</v>
      </c>
      <c r="F5">
        <f>HYPERLINK("#'Amortisation and Repayments'!C244","open")</f>
        <v/>
      </c>
      <c r="G5" t="n">
        <v>8</v>
      </c>
      <c r="H5">
        <f>'Loan Book'!E8</f>
        <v/>
      </c>
      <c r="I5">
        <f>'Mapping'!J5</f>
        <v/>
      </c>
      <c r="J5" t="inlineStr">
        <is>
          <t>False</t>
        </is>
      </c>
      <c r="K5" t="inlineStr">
        <is>
          <t>6</t>
        </is>
      </c>
      <c r="L5" t="inlineStr">
        <is>
          <t>24</t>
        </is>
      </c>
      <c r="M5" t="inlineStr">
        <is>
          <t>2022-01-01</t>
        </is>
      </c>
      <c r="N5" t="inlineStr">
        <is>
          <t>2023-12-31</t>
        </is>
      </c>
      <c r="O5" s="488" t="inlineStr">
        <is>
          <t>9203503.734338848</t>
        </is>
      </c>
      <c r="P5" t="inlineStr">
        <is>
          <t>False</t>
        </is>
      </c>
      <c r="Q5" t="inlineStr">
        <is>
          <t>1.5</t>
        </is>
      </c>
    </row>
    <row r="6">
      <c r="A6" t="n">
        <v>5</v>
      </c>
      <c r="B6">
        <f>'Amortisation and Repayments'!C282</f>
        <v/>
      </c>
      <c r="C6" s="488">
        <f>'Amortisation and Repayments'!D284</f>
        <v/>
      </c>
      <c r="D6">
        <f>IF('Amortisation and Repayments'!D285&lt;1,'Amortisation and Repayments'!D285*100,'Amortisation and Repayments'!D285)</f>
        <v/>
      </c>
      <c r="E6" t="n">
        <v>282</v>
      </c>
      <c r="F6">
        <f>HYPERLINK("#'Amortisation and Repayments'!C282","open")</f>
        <v/>
      </c>
      <c r="G6" t="n">
        <v>9</v>
      </c>
      <c r="H6">
        <f>'Loan Book'!E9</f>
        <v/>
      </c>
      <c r="I6">
        <f>'Mapping'!J6</f>
        <v/>
      </c>
      <c r="J6" t="inlineStr">
        <is>
          <t>True</t>
        </is>
      </c>
      <c r="K6" t="inlineStr">
        <is>
          <t>13</t>
        </is>
      </c>
      <c r="L6" t="inlineStr">
        <is>
          <t>60</t>
        </is>
      </c>
      <c r="M6" t="inlineStr">
        <is>
          <t>2021-08-01</t>
        </is>
      </c>
      <c r="N6" t="inlineStr">
        <is>
          <t>2026-07-31</t>
        </is>
      </c>
      <c r="O6" s="488" t="inlineStr">
        <is>
          <t>0.0</t>
        </is>
      </c>
      <c r="P6" t="inlineStr">
        <is>
          <t>False</t>
        </is>
      </c>
      <c r="Q6" t="inlineStr">
        <is>
          <t>1.5</t>
        </is>
      </c>
    </row>
    <row r="7">
      <c r="A7" t="n">
        <v>6</v>
      </c>
      <c r="B7">
        <f>'Amortisation and Repayments'!C357</f>
        <v/>
      </c>
      <c r="C7" s="488">
        <f>'Amortisation and Repayments'!D359</f>
        <v/>
      </c>
      <c r="D7">
        <f>IF('Amortisation and Repayments'!D360&lt;1,'Amortisation and Repayments'!D360*100,'Amortisation and Repayments'!D360)</f>
        <v/>
      </c>
      <c r="E7" t="n">
        <v>357</v>
      </c>
      <c r="F7">
        <f>HYPERLINK("#'Amortisation and Repayments'!C357","open")</f>
        <v/>
      </c>
      <c r="G7" t="n">
        <v>10</v>
      </c>
      <c r="H7">
        <f>'Loan Book'!E10</f>
        <v/>
      </c>
      <c r="I7">
        <f>'Mapping'!J7</f>
        <v/>
      </c>
      <c r="J7" t="inlineStr">
        <is>
          <t>False</t>
        </is>
      </c>
      <c r="K7" t="inlineStr">
        <is>
          <t>2</t>
        </is>
      </c>
      <c r="L7" t="inlineStr">
        <is>
          <t>27</t>
        </is>
      </c>
      <c r="M7" t="inlineStr">
        <is>
          <t>2020-09-02</t>
        </is>
      </c>
      <c r="N7" t="inlineStr">
        <is>
          <t>2022-11-30</t>
        </is>
      </c>
      <c r="O7" s="488" t="inlineStr">
        <is>
          <t>0.0</t>
        </is>
      </c>
      <c r="P7" t="inlineStr">
        <is>
          <t>False</t>
        </is>
      </c>
      <c r="Q7" t="inlineStr">
        <is>
          <t>1.35</t>
        </is>
      </c>
    </row>
    <row r="8">
      <c r="A8" t="n">
        <v>7</v>
      </c>
      <c r="B8">
        <f>'Amortisation and Repayments'!C399</f>
        <v/>
      </c>
      <c r="C8" s="488">
        <f>'Amortisation and Repayments'!D401</f>
        <v/>
      </c>
      <c r="D8">
        <f>IF('Amortisation and Repayments'!D402&lt;1,'Amortisation and Repayments'!D402*100,'Amortisation and Repayments'!D402)</f>
        <v/>
      </c>
      <c r="E8" t="n">
        <v>399</v>
      </c>
      <c r="F8">
        <f>HYPERLINK("#'Amortisation and Repayments'!C399","open")</f>
        <v/>
      </c>
      <c r="G8" t="n">
        <v>11</v>
      </c>
      <c r="H8">
        <f>'Loan Book'!E11</f>
        <v/>
      </c>
      <c r="I8">
        <f>'Mapping'!J8</f>
        <v/>
      </c>
      <c r="J8" t="inlineStr">
        <is>
          <t>False</t>
        </is>
      </c>
      <c r="K8" t="inlineStr">
        <is>
          <t>13</t>
        </is>
      </c>
      <c r="L8" t="inlineStr">
        <is>
          <t>73</t>
        </is>
      </c>
      <c r="M8" t="inlineStr">
        <is>
          <t>2020-10-30</t>
        </is>
      </c>
      <c r="N8" t="inlineStr">
        <is>
          <t>2026-10-31</t>
        </is>
      </c>
      <c r="O8" s="488" t="inlineStr">
        <is>
          <t>4.6566128730773926e-08</t>
        </is>
      </c>
      <c r="P8" t="inlineStr">
        <is>
          <t>False</t>
        </is>
      </c>
      <c r="Q8" t="inlineStr">
        <is>
          <t>1.5</t>
        </is>
      </c>
    </row>
    <row r="9">
      <c r="A9" t="n">
        <v>8</v>
      </c>
      <c r="B9">
        <f>'Amortisation and Repayments'!C489</f>
        <v/>
      </c>
      <c r="C9" s="488">
        <f>'Amortisation and Repayments'!D491</f>
        <v/>
      </c>
      <c r="D9">
        <f>IF('Amortisation and Repayments'!D492&lt;1,'Amortisation and Repayments'!D492*100,'Amortisation and Repayments'!D492)</f>
        <v/>
      </c>
      <c r="E9" t="n">
        <v>489</v>
      </c>
      <c r="F9">
        <f>HYPERLINK("#'Amortisation and Repayments'!C489","open")</f>
        <v/>
      </c>
      <c r="G9" t="n">
        <v>12</v>
      </c>
      <c r="H9">
        <f>'Loan Book'!E12</f>
        <v/>
      </c>
      <c r="I9">
        <f>'Mapping'!J9</f>
        <v/>
      </c>
      <c r="J9" t="inlineStr">
        <is>
          <t>True</t>
        </is>
      </c>
      <c r="K9" t="inlineStr">
        <is>
          <t>11</t>
        </is>
      </c>
      <c r="L9" t="inlineStr">
        <is>
          <t>50</t>
        </is>
      </c>
      <c r="M9" t="inlineStr">
        <is>
          <t>2021-11-01</t>
        </is>
      </c>
      <c r="N9" t="inlineStr">
        <is>
          <t>2025-12-31</t>
        </is>
      </c>
      <c r="O9" s="488" t="inlineStr">
        <is>
          <t>3.5390257835388184e-08</t>
        </is>
      </c>
      <c r="P9" t="inlineStr">
        <is>
          <t>False</t>
        </is>
      </c>
      <c r="Q9" t="inlineStr">
        <is>
          <t>1.0</t>
        </is>
      </c>
    </row>
    <row r="10">
      <c r="A10" t="n">
        <v>9</v>
      </c>
      <c r="B10">
        <f>'Amortisation and Repayments'!C553</f>
        <v/>
      </c>
      <c r="C10" s="488">
        <f>'Amortisation and Repayments'!D555</f>
        <v/>
      </c>
      <c r="D10">
        <f>IF('Amortisation and Repayments'!D556&lt;1,'Amortisation and Repayments'!D556*100,'Amortisation and Repayments'!D556)</f>
        <v/>
      </c>
      <c r="E10" t="n">
        <v>553</v>
      </c>
      <c r="F10">
        <f>HYPERLINK("#'Amortisation and Repayments'!C553","open")</f>
        <v/>
      </c>
      <c r="G10" t="n">
        <v>13</v>
      </c>
      <c r="H10">
        <f>'Loan Book'!E13</f>
        <v/>
      </c>
      <c r="I10">
        <f>'Mapping'!J10</f>
        <v/>
      </c>
      <c r="J10" t="inlineStr">
        <is>
          <t>False</t>
        </is>
      </c>
      <c r="K10" t="inlineStr">
        <is>
          <t>13</t>
        </is>
      </c>
      <c r="L10" t="inlineStr">
        <is>
          <t>48</t>
        </is>
      </c>
      <c r="M10" t="inlineStr">
        <is>
          <t>2021-09-01</t>
        </is>
      </c>
      <c r="N10" t="inlineStr">
        <is>
          <t>2025-08-31</t>
        </is>
      </c>
      <c r="O10" s="488" t="inlineStr">
        <is>
          <t>4.190951585769653e-09</t>
        </is>
      </c>
      <c r="P10" t="inlineStr">
        <is>
          <t>False</t>
        </is>
      </c>
      <c r="Q10" t="inlineStr">
        <is>
          <t>1.5</t>
        </is>
      </c>
    </row>
    <row r="11">
      <c r="A11" t="n">
        <v>10</v>
      </c>
      <c r="B11">
        <f>'Amortisation and Repayments'!C616</f>
        <v/>
      </c>
      <c r="C11" s="488">
        <f>'Amortisation and Repayments'!D618</f>
        <v/>
      </c>
      <c r="D11">
        <f>IF('Amortisation and Repayments'!D619&lt;1,'Amortisation and Repayments'!D619*100,'Amortisation and Repayments'!D619)</f>
        <v/>
      </c>
      <c r="E11" t="n">
        <v>616</v>
      </c>
      <c r="F11">
        <f>HYPERLINK("#'Amortisation and Repayments'!C616","open")</f>
        <v/>
      </c>
      <c r="G11" t="n">
        <v>14</v>
      </c>
      <c r="H11">
        <f>'Loan Book'!E14</f>
        <v/>
      </c>
      <c r="I11">
        <f>'Mapping'!J11</f>
        <v/>
      </c>
      <c r="J11" t="inlineStr">
        <is>
          <t>False</t>
        </is>
      </c>
      <c r="K11" t="inlineStr">
        <is>
          <t>11</t>
        </is>
      </c>
      <c r="L11" t="inlineStr">
        <is>
          <t>61</t>
        </is>
      </c>
      <c r="M11" t="inlineStr">
        <is>
          <t>2021-04-21</t>
        </is>
      </c>
      <c r="N11" t="inlineStr">
        <is>
          <t>2026-04-30</t>
        </is>
      </c>
      <c r="O11" s="488" t="inlineStr">
        <is>
          <t>-9.313225746154785e-09</t>
        </is>
      </c>
      <c r="P11" t="inlineStr">
        <is>
          <t>False</t>
        </is>
      </c>
      <c r="Q11" t="inlineStr">
        <is>
          <t>1.46</t>
        </is>
      </c>
    </row>
    <row r="12">
      <c r="A12" t="n">
        <v>11</v>
      </c>
      <c r="B12">
        <f>'Amortisation and Repayments'!C692</f>
        <v/>
      </c>
      <c r="C12" s="488">
        <f>'Amortisation and Repayments'!D694</f>
        <v/>
      </c>
      <c r="D12">
        <f>IF('Amortisation and Repayments'!D695&lt;1,'Amortisation and Repayments'!D695*100,'Amortisation and Repayments'!D695)</f>
        <v/>
      </c>
      <c r="E12" t="n">
        <v>692</v>
      </c>
      <c r="F12">
        <f>HYPERLINK("#'Amortisation and Repayments'!C692","open")</f>
        <v/>
      </c>
      <c r="G12" t="n">
        <v>16</v>
      </c>
      <c r="H12">
        <f>'Loan Book'!E16</f>
        <v/>
      </c>
      <c r="I12">
        <f>'Mapping'!J13</f>
        <v/>
      </c>
      <c r="J12" t="inlineStr">
        <is>
          <t>False</t>
        </is>
      </c>
      <c r="K12" t="inlineStr">
        <is>
          <t>12</t>
        </is>
      </c>
      <c r="L12" t="inlineStr">
        <is>
          <t>49</t>
        </is>
      </c>
      <c r="M12" t="inlineStr">
        <is>
          <t>2021-05-20</t>
        </is>
      </c>
      <c r="N12" t="inlineStr">
        <is>
          <t>2025-05-31</t>
        </is>
      </c>
      <c r="O12" s="488" t="inlineStr">
        <is>
          <t>-1.4901161193847656e-08</t>
        </is>
      </c>
      <c r="P12" t="inlineStr">
        <is>
          <t>False</t>
        </is>
      </c>
      <c r="Q12" t="inlineStr">
        <is>
          <t>1.0</t>
        </is>
      </c>
    </row>
    <row r="13">
      <c r="A13" t="n">
        <v>12</v>
      </c>
      <c r="B13">
        <f>'Amortisation and Repayments'!C756</f>
        <v/>
      </c>
      <c r="C13" s="488">
        <f>'Amortisation and Repayments'!D758</f>
        <v/>
      </c>
      <c r="D13">
        <f>IF('Amortisation and Repayments'!D759&lt;1,'Amortisation and Repayments'!D759*100,'Amortisation and Repayments'!D759)</f>
        <v/>
      </c>
      <c r="E13" t="n">
        <v>756</v>
      </c>
      <c r="F13">
        <f>HYPERLINK("#'Amortisation and Repayments'!C756","open")</f>
        <v/>
      </c>
      <c r="G13" t="n">
        <v>15</v>
      </c>
      <c r="H13">
        <f>'Loan Book'!E15</f>
        <v/>
      </c>
      <c r="I13">
        <f>'Mapping'!J12</f>
        <v/>
      </c>
      <c r="J13" t="inlineStr">
        <is>
          <t>False</t>
        </is>
      </c>
      <c r="K13" t="inlineStr">
        <is>
          <t>13</t>
        </is>
      </c>
      <c r="L13" t="inlineStr">
        <is>
          <t>57</t>
        </is>
      </c>
      <c r="M13" t="inlineStr">
        <is>
          <t>2021-07-23</t>
        </is>
      </c>
      <c r="N13" t="inlineStr">
        <is>
          <t>2026-03-31</t>
        </is>
      </c>
      <c r="O13" s="488" t="inlineStr">
        <is>
          <t>7.450580596923828e-09</t>
        </is>
      </c>
      <c r="P13" t="inlineStr">
        <is>
          <t>False</t>
        </is>
      </c>
      <c r="Q13" t="inlineStr">
        <is>
          <t>1.46</t>
        </is>
      </c>
    </row>
    <row r="14">
      <c r="A14" t="n">
        <v>13</v>
      </c>
      <c r="B14">
        <f>'Amortisation and Repayments'!C830</f>
        <v/>
      </c>
      <c r="C14" s="488">
        <f>'Amortisation and Repayments'!D832</f>
        <v/>
      </c>
      <c r="D14">
        <f>IF('Amortisation and Repayments'!D833&lt;1,'Amortisation and Repayments'!D833*100,'Amortisation and Repayments'!D833)</f>
        <v/>
      </c>
      <c r="E14" t="n">
        <v>830</v>
      </c>
      <c r="F14">
        <f>HYPERLINK("#'Amortisation and Repayments'!C830","open")</f>
        <v/>
      </c>
      <c r="G14" t="n">
        <v>18</v>
      </c>
      <c r="H14">
        <f>'Loan Book'!E18</f>
        <v/>
      </c>
      <c r="I14">
        <f>'Mapping'!J15</f>
        <v/>
      </c>
      <c r="J14" t="inlineStr">
        <is>
          <t>False</t>
        </is>
      </c>
      <c r="K14" t="inlineStr">
        <is>
          <t>0</t>
        </is>
      </c>
      <c r="L14" t="inlineStr">
        <is>
          <t>24</t>
        </is>
      </c>
      <c r="M14" t="inlineStr">
        <is>
          <t>2022-01-01</t>
        </is>
      </c>
      <c r="N14" t="inlineStr">
        <is>
          <t>2023-12-31</t>
        </is>
      </c>
      <c r="O14" s="488" t="inlineStr">
        <is>
          <t>4.132743924856186e-09</t>
        </is>
      </c>
      <c r="P14" t="inlineStr">
        <is>
          <t>False</t>
        </is>
      </c>
      <c r="Q14" t="inlineStr">
        <is>
          <t>1.48</t>
        </is>
      </c>
    </row>
    <row r="15">
      <c r="A15" t="n">
        <v>14</v>
      </c>
      <c r="B15">
        <f>'Amortisation and Repayments'!C871</f>
        <v/>
      </c>
      <c r="C15" s="488">
        <f>'Amortisation and Repayments'!D873</f>
        <v/>
      </c>
      <c r="D15">
        <f>IF('Amortisation and Repayments'!D874&lt;1,'Amortisation and Repayments'!D874*100,'Amortisation and Repayments'!D874)</f>
        <v/>
      </c>
      <c r="E15" t="n">
        <v>871</v>
      </c>
      <c r="F15">
        <f>HYPERLINK("#'Amortisation and Repayments'!C871","open")</f>
        <v/>
      </c>
      <c r="G15" t="n">
        <v>19</v>
      </c>
      <c r="H15">
        <f>'Loan Book'!E19</f>
        <v/>
      </c>
      <c r="I15">
        <f>'Mapping'!J16</f>
        <v/>
      </c>
      <c r="J15" t="inlineStr">
        <is>
          <t>False</t>
        </is>
      </c>
      <c r="K15" t="inlineStr">
        <is>
          <t>0</t>
        </is>
      </c>
      <c r="L15" t="inlineStr">
        <is>
          <t>24</t>
        </is>
      </c>
      <c r="M15" t="inlineStr">
        <is>
          <t>2022-01-01</t>
        </is>
      </c>
      <c r="N15" t="inlineStr">
        <is>
          <t>2023-12-31</t>
        </is>
      </c>
      <c r="O15" s="488" t="inlineStr">
        <is>
          <t>-2.0954757928848267e-09</t>
        </is>
      </c>
      <c r="P15" t="inlineStr">
        <is>
          <t>False</t>
        </is>
      </c>
      <c r="Q15" t="inlineStr">
        <is>
          <t>1.5</t>
        </is>
      </c>
    </row>
    <row r="16">
      <c r="A16" t="n">
        <v>15</v>
      </c>
      <c r="B16">
        <f>'Amortisation and Repayments'!C911</f>
        <v/>
      </c>
      <c r="C16" s="488">
        <f>'Amortisation and Repayments'!D913</f>
        <v/>
      </c>
      <c r="D16">
        <f>IF('Amortisation and Repayments'!D914&lt;1,'Amortisation and Repayments'!D914*100,'Amortisation and Repayments'!D914)</f>
        <v/>
      </c>
      <c r="E16" t="n">
        <v>911</v>
      </c>
      <c r="F16">
        <f>HYPERLINK("#'Amortisation and Repayments'!C911","open")</f>
        <v/>
      </c>
      <c r="G16" t="n">
        <v>20</v>
      </c>
      <c r="H16">
        <f>'Loan Book'!E20</f>
        <v/>
      </c>
      <c r="I16">
        <f>'Mapping'!J17</f>
        <v/>
      </c>
      <c r="J16" t="inlineStr">
        <is>
          <t>False</t>
        </is>
      </c>
      <c r="K16" t="inlineStr">
        <is>
          <t>0</t>
        </is>
      </c>
      <c r="L16" t="inlineStr">
        <is>
          <t>24</t>
        </is>
      </c>
      <c r="M16" t="inlineStr">
        <is>
          <t>2022-01-01</t>
        </is>
      </c>
      <c r="N16" t="inlineStr">
        <is>
          <t>2023-12-31</t>
        </is>
      </c>
      <c r="O16" s="488" t="inlineStr">
        <is>
          <t>4.132743924856186e-09</t>
        </is>
      </c>
      <c r="P16" t="inlineStr">
        <is>
          <t>False</t>
        </is>
      </c>
      <c r="Q16" t="inlineStr">
        <is>
          <t>1.5</t>
        </is>
      </c>
    </row>
    <row r="17">
      <c r="A17" t="n">
        <v>16</v>
      </c>
      <c r="B17">
        <f>'Amortisation and Repayments'!C951</f>
        <v/>
      </c>
      <c r="C17" s="488">
        <f>'Amortisation and Repayments'!D953</f>
        <v/>
      </c>
      <c r="D17">
        <f>IF('Amortisation and Repayments'!D954&lt;1,'Amortisation and Repayments'!D954*100,'Amortisation and Repayments'!D954)</f>
        <v/>
      </c>
      <c r="E17" t="n">
        <v>951</v>
      </c>
      <c r="F17">
        <f>HYPERLINK("#'Amortisation and Repayments'!C951","open")</f>
        <v/>
      </c>
      <c r="G17" t="n">
        <v>21</v>
      </c>
      <c r="H17">
        <f>'Loan Book'!E21</f>
        <v/>
      </c>
      <c r="I17">
        <f>'Mapping'!J18</f>
        <v/>
      </c>
      <c r="J17" t="inlineStr">
        <is>
          <t>False</t>
        </is>
      </c>
      <c r="K17" t="inlineStr">
        <is>
          <t>0</t>
        </is>
      </c>
      <c r="L17" t="inlineStr">
        <is>
          <t>37</t>
        </is>
      </c>
      <c r="M17" t="inlineStr">
        <is>
          <t>2022-01-12</t>
        </is>
      </c>
      <c r="N17" t="inlineStr">
        <is>
          <t>2025-01-31</t>
        </is>
      </c>
      <c r="O17" s="488" t="inlineStr">
        <is>
          <t>-2.9103830456733704e-09</t>
        </is>
      </c>
      <c r="P17" t="inlineStr">
        <is>
          <t>False</t>
        </is>
      </c>
      <c r="Q17" t="inlineStr">
        <is>
          <t>1.46</t>
        </is>
      </c>
    </row>
    <row r="18">
      <c r="A18" t="n">
        <v>17</v>
      </c>
      <c r="B18">
        <f>'Amortisation and Repayments'!C1004</f>
        <v/>
      </c>
      <c r="C18" s="488">
        <f>'Amortisation and Repayments'!D1006</f>
        <v/>
      </c>
      <c r="D18">
        <f>IF('Amortisation and Repayments'!D1007&lt;1,'Amortisation and Repayments'!D1007*100,'Amortisation and Repayments'!D1007)</f>
        <v/>
      </c>
      <c r="E18" t="n">
        <v>1004</v>
      </c>
      <c r="F18">
        <f>HYPERLINK("#'Amortisation and Repayments'!C1004","open")</f>
        <v/>
      </c>
      <c r="G18" t="n">
        <v>22</v>
      </c>
      <c r="H18">
        <f>'Loan Book'!E22</f>
        <v/>
      </c>
      <c r="I18">
        <f>'Mapping'!J19</f>
        <v/>
      </c>
      <c r="J18" t="inlineStr">
        <is>
          <t>False</t>
        </is>
      </c>
      <c r="K18" t="inlineStr">
        <is>
          <t>0</t>
        </is>
      </c>
      <c r="L18" t="inlineStr">
        <is>
          <t>25</t>
        </is>
      </c>
      <c r="M18" t="inlineStr">
        <is>
          <t>2022-01-24</t>
        </is>
      </c>
      <c r="N18" t="inlineStr">
        <is>
          <t>2024-01-31</t>
        </is>
      </c>
      <c r="O18" s="488" t="inlineStr">
        <is>
          <t>0.0</t>
        </is>
      </c>
      <c r="P18" t="inlineStr">
        <is>
          <t>False</t>
        </is>
      </c>
      <c r="Q18" t="inlineStr">
        <is>
          <t>1.5</t>
        </is>
      </c>
    </row>
    <row r="19">
      <c r="A19" t="n">
        <v>18</v>
      </c>
      <c r="B19">
        <f>'Amortisation and Repayments'!C1044</f>
        <v/>
      </c>
      <c r="C19" s="488">
        <f>'Amortisation and Repayments'!D1046</f>
        <v/>
      </c>
      <c r="D19">
        <f>IF('Amortisation and Repayments'!D1047&lt;1,'Amortisation and Repayments'!D1047*100,'Amortisation and Repayments'!D1047)</f>
        <v/>
      </c>
      <c r="E19" t="n">
        <v>1044</v>
      </c>
      <c r="F19">
        <f>HYPERLINK("#'Amortisation and Repayments'!C1044","open")</f>
        <v/>
      </c>
      <c r="G19" t="n">
        <v>17</v>
      </c>
      <c r="H19">
        <f>'Loan Book'!E17</f>
        <v/>
      </c>
      <c r="I19">
        <f>'Mapping'!J14</f>
        <v/>
      </c>
      <c r="J19" t="inlineStr">
        <is>
          <t>False</t>
        </is>
      </c>
      <c r="K19" t="inlineStr">
        <is>
          <t>0</t>
        </is>
      </c>
      <c r="L19" t="inlineStr">
        <is>
          <t>24</t>
        </is>
      </c>
      <c r="M19" t="inlineStr">
        <is>
          <t>2022-01-01</t>
        </is>
      </c>
      <c r="N19" t="inlineStr">
        <is>
          <t>2023-12-31</t>
        </is>
      </c>
      <c r="O19" s="488" t="inlineStr">
        <is>
          <t>-4.6566128730773926e-09</t>
        </is>
      </c>
      <c r="P19" t="inlineStr">
        <is>
          <t>False</t>
        </is>
      </c>
      <c r="Q19" t="inlineStr">
        <is>
          <t>1.5</t>
        </is>
      </c>
    </row>
    <row r="20">
      <c r="A20" t="n">
        <v>19</v>
      </c>
      <c r="B20">
        <f>'Amortisation and Repayments'!C1083</f>
        <v/>
      </c>
      <c r="C20" s="488">
        <f>'Amortisation and Repayments'!D1085</f>
        <v/>
      </c>
      <c r="D20">
        <f>IF('Amortisation and Repayments'!D1086&lt;1,'Amortisation and Repayments'!D1086*100,'Amortisation and Repayments'!D1086)</f>
        <v/>
      </c>
      <c r="E20" t="n">
        <v>1083</v>
      </c>
      <c r="F20">
        <f>HYPERLINK("#'Amortisation and Repayments'!C1083","open")</f>
        <v/>
      </c>
      <c r="G20" t="n">
        <v>23</v>
      </c>
      <c r="H20">
        <f>'Loan Book'!E23</f>
        <v/>
      </c>
      <c r="I20">
        <f>'Mapping'!J20</f>
        <v/>
      </c>
      <c r="J20" t="inlineStr">
        <is>
          <t>False</t>
        </is>
      </c>
      <c r="K20" t="inlineStr">
        <is>
          <t>0</t>
        </is>
      </c>
      <c r="L20" t="inlineStr">
        <is>
          <t>24</t>
        </is>
      </c>
      <c r="M20" t="inlineStr">
        <is>
          <t>2022-02-01</t>
        </is>
      </c>
      <c r="N20" t="inlineStr">
        <is>
          <t>2024-01-31</t>
        </is>
      </c>
      <c r="O20" s="488" t="inlineStr">
        <is>
          <t>-3.026798367500305e-09</t>
        </is>
      </c>
      <c r="P20" t="inlineStr">
        <is>
          <t>True</t>
        </is>
      </c>
      <c r="Q20" t="inlineStr">
        <is>
          <t>1.5</t>
        </is>
      </c>
    </row>
    <row r="21">
      <c r="A21" t="n">
        <v>20</v>
      </c>
      <c r="B21">
        <f>'Amortisation and Repayments'!C1124</f>
        <v/>
      </c>
      <c r="C21" s="488">
        <f>'Amortisation and Repayments'!D1126</f>
        <v/>
      </c>
      <c r="D21">
        <f>IF('Amortisation and Repayments'!D1127&lt;1,'Amortisation and Repayments'!D1127*100,'Amortisation and Repayments'!D1127)</f>
        <v/>
      </c>
      <c r="E21" t="n">
        <v>1124</v>
      </c>
      <c r="F21">
        <f>HYPERLINK("#'Amortisation and Repayments'!C1124","open")</f>
        <v/>
      </c>
      <c r="G21" t="n">
        <v>24</v>
      </c>
      <c r="H21">
        <f>'Loan Book'!E24</f>
        <v/>
      </c>
      <c r="I21">
        <f>'Mapping'!J21</f>
        <v/>
      </c>
      <c r="J21" t="inlineStr">
        <is>
          <t>False</t>
        </is>
      </c>
      <c r="K21" t="inlineStr">
        <is>
          <t>0</t>
        </is>
      </c>
      <c r="L21" t="inlineStr">
        <is>
          <t>25</t>
        </is>
      </c>
      <c r="M21" t="inlineStr">
        <is>
          <t>2022-02-11</t>
        </is>
      </c>
      <c r="N21" t="inlineStr">
        <is>
          <t>2024-02-28</t>
        </is>
      </c>
      <c r="O21" s="488" t="inlineStr">
        <is>
          <t>-7.450580596923828e-09</t>
        </is>
      </c>
      <c r="P21" t="inlineStr">
        <is>
          <t>True</t>
        </is>
      </c>
      <c r="Q21" t="inlineStr">
        <is>
          <t>1.5</t>
        </is>
      </c>
    </row>
    <row r="22">
      <c r="A22" t="n">
        <v>21</v>
      </c>
      <c r="B22">
        <f>'Amortisation and Repayments'!C1164</f>
        <v/>
      </c>
      <c r="C22" s="488">
        <f>'Amortisation and Repayments'!D1166</f>
        <v/>
      </c>
      <c r="D22">
        <f>IF('Amortisation and Repayments'!D1167&lt;1,'Amortisation and Repayments'!D1167*100,'Amortisation and Repayments'!D1167)</f>
        <v/>
      </c>
      <c r="E22" t="n">
        <v>1164</v>
      </c>
      <c r="F22">
        <f>HYPERLINK("#'Amortisation and Repayments'!C1164","open")</f>
        <v/>
      </c>
      <c r="G22" t="n">
        <v>25</v>
      </c>
      <c r="H22">
        <f>'Loan Book'!E25</f>
        <v/>
      </c>
      <c r="I22">
        <f>'Mapping'!J22</f>
        <v/>
      </c>
      <c r="J22" t="inlineStr">
        <is>
          <t>False</t>
        </is>
      </c>
      <c r="K22" t="inlineStr">
        <is>
          <t>0</t>
        </is>
      </c>
      <c r="L22" t="inlineStr">
        <is>
          <t>37</t>
        </is>
      </c>
      <c r="M22" t="inlineStr">
        <is>
          <t>2022-02-17</t>
        </is>
      </c>
      <c r="N22" t="inlineStr">
        <is>
          <t>2025-02-28</t>
        </is>
      </c>
      <c r="O22" s="488" t="inlineStr">
        <is>
          <t>-3.026798367500305e-09</t>
        </is>
      </c>
      <c r="P22" t="inlineStr">
        <is>
          <t>False</t>
        </is>
      </c>
      <c r="Q22" t="inlineStr">
        <is>
          <t>1.5</t>
        </is>
      </c>
    </row>
    <row r="23">
      <c r="A23" t="n">
        <v>22</v>
      </c>
      <c r="B23">
        <f>'Amortisation and Repayments'!C1237</f>
        <v/>
      </c>
      <c r="C23" s="488">
        <f>'Amortisation and Repayments'!D1239</f>
        <v/>
      </c>
      <c r="D23">
        <f>IF('Amortisation and Repayments'!D1240&lt;1,'Amortisation and Repayments'!D1240*100,'Amortisation and Repayments'!D1240)</f>
        <v/>
      </c>
      <c r="E23" t="n">
        <v>1237</v>
      </c>
      <c r="F23">
        <f>HYPERLINK("#'Amortisation and Repayments'!C1237","open")</f>
        <v/>
      </c>
      <c r="G23" t="n">
        <v>27</v>
      </c>
      <c r="H23">
        <f>'Loan Book'!E27</f>
        <v/>
      </c>
      <c r="I23">
        <f>'Mapping'!J24</f>
        <v/>
      </c>
      <c r="J23" t="inlineStr">
        <is>
          <t>False</t>
        </is>
      </c>
      <c r="K23" t="inlineStr">
        <is>
          <t>0</t>
        </is>
      </c>
      <c r="L23" t="inlineStr">
        <is>
          <t>147</t>
        </is>
      </c>
      <c r="M23" t="inlineStr">
        <is>
          <t>2022-03-24</t>
        </is>
      </c>
      <c r="N23" t="inlineStr">
        <is>
          <t>2025-04-30</t>
        </is>
      </c>
      <c r="O23" s="488" t="inlineStr">
        <is>
          <t>0.0</t>
        </is>
      </c>
      <c r="P23" t="inlineStr">
        <is>
          <t>False</t>
        </is>
      </c>
      <c r="Q23" t="inlineStr">
        <is>
          <t>1.5</t>
        </is>
      </c>
    </row>
    <row r="24">
      <c r="A24" t="n">
        <v>23</v>
      </c>
      <c r="B24">
        <f>'Amortisation and Repayments'!C1438</f>
        <v/>
      </c>
      <c r="C24" s="488">
        <f>'Amortisation and Repayments'!D1440</f>
        <v/>
      </c>
      <c r="D24">
        <f>IF('Amortisation and Repayments'!D1441&lt;1,'Amortisation and Repayments'!D1441*100,'Amortisation and Repayments'!D1441)</f>
        <v/>
      </c>
      <c r="E24" t="n">
        <v>1438</v>
      </c>
      <c r="F24">
        <f>HYPERLINK("#'Amortisation and Repayments'!C1438","open")</f>
        <v/>
      </c>
      <c r="G24" t="n">
        <v>29</v>
      </c>
      <c r="H24">
        <f>'Loan Book'!E29</f>
        <v/>
      </c>
      <c r="I24">
        <f>'Mapping'!J26</f>
        <v/>
      </c>
      <c r="J24" t="inlineStr">
        <is>
          <t>False</t>
        </is>
      </c>
      <c r="K24" t="inlineStr">
        <is>
          <t>0</t>
        </is>
      </c>
      <c r="L24" t="inlineStr">
        <is>
          <t>36</t>
        </is>
      </c>
      <c r="M24" t="inlineStr">
        <is>
          <t>2022-06-03</t>
        </is>
      </c>
      <c r="N24" t="inlineStr">
        <is>
          <t>2025-05-31</t>
        </is>
      </c>
      <c r="O24" s="488" t="inlineStr">
        <is>
          <t>0.0</t>
        </is>
      </c>
      <c r="P24" t="inlineStr">
        <is>
          <t>False</t>
        </is>
      </c>
      <c r="Q24" t="inlineStr">
        <is>
          <t>1.5</t>
        </is>
      </c>
    </row>
    <row r="25">
      <c r="A25" t="n">
        <v>24</v>
      </c>
      <c r="B25">
        <f>'Amortisation and Repayments'!C1504</f>
        <v/>
      </c>
      <c r="C25" s="488">
        <f>'Amortisation and Repayments'!D1506</f>
        <v/>
      </c>
      <c r="D25">
        <f>IF('Amortisation and Repayments'!D1507&lt;1,'Amortisation and Repayments'!D1507*100,'Amortisation and Repayments'!D1507)</f>
        <v/>
      </c>
      <c r="E25" t="n">
        <v>1504</v>
      </c>
      <c r="F25">
        <f>HYPERLINK("#'Amortisation and Repayments'!C1504","open")</f>
        <v/>
      </c>
      <c r="G25" t="n">
        <v>30</v>
      </c>
      <c r="H25">
        <f>'Loan Book'!E30</f>
        <v/>
      </c>
      <c r="I25">
        <f>'Mapping'!J27</f>
        <v/>
      </c>
      <c r="J25" t="inlineStr">
        <is>
          <t>False</t>
        </is>
      </c>
      <c r="K25" t="inlineStr">
        <is>
          <t>0</t>
        </is>
      </c>
      <c r="L25" t="inlineStr">
        <is>
          <t>24</t>
        </is>
      </c>
      <c r="M25" t="inlineStr">
        <is>
          <t>2022-06-03</t>
        </is>
      </c>
      <c r="N25" t="inlineStr">
        <is>
          <t>2024-05-31</t>
        </is>
      </c>
      <c r="O25" s="488" t="inlineStr">
        <is>
          <t>-3.026798367500305e-09</t>
        </is>
      </c>
      <c r="P25" t="inlineStr">
        <is>
          <t>False</t>
        </is>
      </c>
      <c r="Q25" t="inlineStr">
        <is>
          <t>1.5</t>
        </is>
      </c>
    </row>
    <row r="26">
      <c r="A26" t="n">
        <v>25</v>
      </c>
      <c r="B26">
        <f>'Amortisation and Repayments'!C1544</f>
        <v/>
      </c>
      <c r="C26" s="488">
        <f>'Amortisation and Repayments'!D1546</f>
        <v/>
      </c>
      <c r="D26">
        <f>IF('Amortisation and Repayments'!D1547&lt;1,'Amortisation and Repayments'!D1547*100,'Amortisation and Repayments'!D1547)</f>
        <v/>
      </c>
      <c r="E26" t="n">
        <v>1544</v>
      </c>
      <c r="F26">
        <f>HYPERLINK("#'Amortisation and Repayments'!C1544","open")</f>
        <v/>
      </c>
      <c r="G26" t="n">
        <v>31</v>
      </c>
      <c r="H26">
        <f>'Loan Book'!E31</f>
        <v/>
      </c>
      <c r="I26">
        <f>'Mapping'!J28</f>
        <v/>
      </c>
      <c r="J26" t="inlineStr">
        <is>
          <t>False</t>
        </is>
      </c>
      <c r="K26" t="inlineStr">
        <is>
          <t>0</t>
        </is>
      </c>
      <c r="L26" t="inlineStr">
        <is>
          <t>24</t>
        </is>
      </c>
      <c r="M26" t="inlineStr">
        <is>
          <t>2022-06-03</t>
        </is>
      </c>
      <c r="N26" t="inlineStr">
        <is>
          <t>2024-05-31</t>
        </is>
      </c>
      <c r="O26" s="488" t="inlineStr">
        <is>
          <t>-4.6566128730773926e-09</t>
        </is>
      </c>
      <c r="P26" t="inlineStr">
        <is>
          <t>False</t>
        </is>
      </c>
      <c r="Q26" t="inlineStr">
        <is>
          <t>1.5</t>
        </is>
      </c>
    </row>
    <row r="27">
      <c r="A27" t="n">
        <v>26</v>
      </c>
      <c r="B27">
        <f>'Amortisation and Repayments'!C1584</f>
        <v/>
      </c>
      <c r="C27" s="488">
        <f>'Amortisation and Repayments'!D1586</f>
        <v/>
      </c>
      <c r="D27">
        <f>IF('Amortisation and Repayments'!D1587&lt;1,'Amortisation and Repayments'!D1587*100,'Amortisation and Repayments'!D1587)</f>
        <v/>
      </c>
      <c r="E27" t="n">
        <v>1584</v>
      </c>
      <c r="F27">
        <f>HYPERLINK("#'Amortisation and Repayments'!C1584","open")</f>
        <v/>
      </c>
      <c r="G27" t="n">
        <v>32</v>
      </c>
      <c r="H27">
        <f>'Loan Book'!E32</f>
        <v/>
      </c>
      <c r="I27">
        <f>'Mapping'!J29</f>
        <v/>
      </c>
      <c r="J27" t="inlineStr">
        <is>
          <t>False</t>
        </is>
      </c>
      <c r="K27" t="inlineStr">
        <is>
          <t>0</t>
        </is>
      </c>
      <c r="L27" t="inlineStr">
        <is>
          <t>24</t>
        </is>
      </c>
      <c r="M27" t="inlineStr">
        <is>
          <t>2022-06-03</t>
        </is>
      </c>
      <c r="N27" t="inlineStr">
        <is>
          <t>2024-05-31</t>
        </is>
      </c>
      <c r="O27" s="488" t="inlineStr">
        <is>
          <t>-2.3283064365386963e-09</t>
        </is>
      </c>
      <c r="P27" t="inlineStr">
        <is>
          <t>False</t>
        </is>
      </c>
      <c r="Q27" t="inlineStr">
        <is>
          <t>1.5</t>
        </is>
      </c>
    </row>
    <row r="28">
      <c r="A28" t="n">
        <v>27</v>
      </c>
      <c r="B28">
        <f>'Amortisation and Repayments'!C1624</f>
        <v/>
      </c>
      <c r="C28" s="488">
        <f>'Amortisation and Repayments'!D1626</f>
        <v/>
      </c>
      <c r="D28">
        <f>IF('Amortisation and Repayments'!D1627&lt;1,'Amortisation and Repayments'!D1627*100,'Amortisation and Repayments'!D1627)</f>
        <v/>
      </c>
      <c r="E28" t="n">
        <v>1624</v>
      </c>
      <c r="F28">
        <f>HYPERLINK("#'Amortisation and Repayments'!C1624","open")</f>
        <v/>
      </c>
      <c r="G28" t="n">
        <v>33</v>
      </c>
      <c r="H28">
        <f>'Loan Book'!E33</f>
        <v/>
      </c>
      <c r="I28">
        <f>'Mapping'!J30</f>
        <v/>
      </c>
      <c r="J28" t="inlineStr">
        <is>
          <t>False</t>
        </is>
      </c>
      <c r="K28" t="inlineStr">
        <is>
          <t>0</t>
        </is>
      </c>
      <c r="L28" t="inlineStr">
        <is>
          <t>24</t>
        </is>
      </c>
      <c r="M28" t="inlineStr">
        <is>
          <t>2022-06-03</t>
        </is>
      </c>
      <c r="N28" t="inlineStr">
        <is>
          <t>2024-05-31</t>
        </is>
      </c>
      <c r="O28" s="488" t="inlineStr">
        <is>
          <t>-1.3504177331924438e-08</t>
        </is>
      </c>
      <c r="P28" t="inlineStr">
        <is>
          <t>False</t>
        </is>
      </c>
      <c r="Q28" t="inlineStr">
        <is>
          <t>1.5</t>
        </is>
      </c>
    </row>
    <row r="29">
      <c r="A29" t="n">
        <v>28</v>
      </c>
      <c r="B29">
        <f>'Amortisation and Repayments'!C1664</f>
        <v/>
      </c>
      <c r="C29" s="488">
        <f>'Amortisation and Repayments'!D1666</f>
        <v/>
      </c>
      <c r="D29">
        <f>IF('Amortisation and Repayments'!D1667&lt;1,'Amortisation and Repayments'!D1667*100,'Amortisation and Repayments'!D1667)</f>
        <v/>
      </c>
      <c r="E29" t="n">
        <v>1664</v>
      </c>
      <c r="F29">
        <f>HYPERLINK("#'Amortisation and Repayments'!C1664","open")</f>
        <v/>
      </c>
      <c r="G29" t="n">
        <v>34</v>
      </c>
      <c r="H29">
        <f>'Loan Book'!E34</f>
        <v/>
      </c>
      <c r="I29">
        <f>'Mapping'!J31</f>
        <v/>
      </c>
      <c r="J29" t="inlineStr">
        <is>
          <t>False</t>
        </is>
      </c>
      <c r="K29" t="inlineStr">
        <is>
          <t>0</t>
        </is>
      </c>
      <c r="L29" t="inlineStr">
        <is>
          <t>25</t>
        </is>
      </c>
      <c r="M29" t="inlineStr">
        <is>
          <t>2022-06-14</t>
        </is>
      </c>
      <c r="N29" t="inlineStr">
        <is>
          <t>2024-06-30</t>
        </is>
      </c>
      <c r="O29" s="488" t="inlineStr">
        <is>
          <t>-3.958120942115784e-09</t>
        </is>
      </c>
      <c r="P29" t="inlineStr">
        <is>
          <t>False</t>
        </is>
      </c>
      <c r="Q29" t="inlineStr">
        <is>
          <t>1.5</t>
        </is>
      </c>
    </row>
    <row r="30">
      <c r="A30" t="n">
        <v>29</v>
      </c>
      <c r="B30">
        <f>'Amortisation and Repayments'!C1705</f>
        <v/>
      </c>
      <c r="C30" s="488">
        <f>'Amortisation and Repayments'!D1707</f>
        <v/>
      </c>
      <c r="D30">
        <f>IF('Amortisation and Repayments'!D1708&lt;1,'Amortisation and Repayments'!D1708*100,'Amortisation and Repayments'!D1708)</f>
        <v/>
      </c>
      <c r="E30" t="n">
        <v>1705</v>
      </c>
      <c r="F30">
        <f>HYPERLINK("#'Amortisation and Repayments'!C1705","open")</f>
        <v/>
      </c>
      <c r="G30" t="n">
        <v>35</v>
      </c>
      <c r="H30">
        <f>'Loan Book'!E35</f>
        <v/>
      </c>
      <c r="I30">
        <f>'Mapping'!J32</f>
        <v/>
      </c>
      <c r="J30" t="inlineStr">
        <is>
          <t>False</t>
        </is>
      </c>
      <c r="K30" t="inlineStr">
        <is>
          <t>0</t>
        </is>
      </c>
      <c r="L30" t="inlineStr">
        <is>
          <t>28</t>
        </is>
      </c>
      <c r="M30" t="inlineStr">
        <is>
          <t>2022-06-14</t>
        </is>
      </c>
      <c r="N30" t="inlineStr">
        <is>
          <t>2024-09-30</t>
        </is>
      </c>
      <c r="O30" s="488" t="inlineStr">
        <is>
          <t>-1.6298145055770874e-09</t>
        </is>
      </c>
      <c r="P30" t="inlineStr">
        <is>
          <t>False</t>
        </is>
      </c>
      <c r="Q30" t="inlineStr">
        <is>
          <t>1.5</t>
        </is>
      </c>
    </row>
    <row r="31">
      <c r="A31" t="n">
        <v>30</v>
      </c>
      <c r="B31">
        <f>'Amortisation and Repayments'!C1749</f>
        <v/>
      </c>
      <c r="C31" s="488">
        <f>'Amortisation and Repayments'!D1751</f>
        <v/>
      </c>
      <c r="D31">
        <f>IF('Amortisation and Repayments'!D1752&lt;1,'Amortisation and Repayments'!D1752*100,'Amortisation and Repayments'!D1752)</f>
        <v/>
      </c>
      <c r="E31" t="n">
        <v>1749</v>
      </c>
      <c r="F31">
        <f>HYPERLINK("#'Amortisation and Repayments'!C1749","open")</f>
        <v/>
      </c>
      <c r="G31" t="n">
        <v>36</v>
      </c>
      <c r="H31">
        <f>'Loan Book'!E36</f>
        <v/>
      </c>
      <c r="I31">
        <f>'Mapping'!J33</f>
        <v/>
      </c>
      <c r="J31" t="inlineStr">
        <is>
          <t>False</t>
        </is>
      </c>
      <c r="K31" t="inlineStr">
        <is>
          <t>0</t>
        </is>
      </c>
      <c r="L31" t="inlineStr">
        <is>
          <t>25</t>
        </is>
      </c>
      <c r="M31" t="inlineStr">
        <is>
          <t>2022-06-16</t>
        </is>
      </c>
      <c r="N31" t="inlineStr">
        <is>
          <t>2024-06-30</t>
        </is>
      </c>
      <c r="O31" s="488" t="inlineStr">
        <is>
          <t>-3.14321368932724e-09</t>
        </is>
      </c>
      <c r="P31" t="inlineStr">
        <is>
          <t>False</t>
        </is>
      </c>
      <c r="Q31" t="inlineStr">
        <is>
          <t>1.5</t>
        </is>
      </c>
    </row>
    <row r="32">
      <c r="A32" t="n">
        <v>31</v>
      </c>
      <c r="B32">
        <f>'Amortisation and Repayments'!C1790</f>
        <v/>
      </c>
      <c r="C32" s="488">
        <f>'Amortisation and Repayments'!D1792</f>
        <v/>
      </c>
      <c r="D32">
        <f>IF('Amortisation and Repayments'!D1793&lt;1,'Amortisation and Repayments'!D1793*100,'Amortisation and Repayments'!D1793)</f>
        <v/>
      </c>
      <c r="E32" t="n">
        <v>1790</v>
      </c>
      <c r="F32">
        <f>HYPERLINK("#'Amortisation and Repayments'!C1790","open")</f>
        <v/>
      </c>
      <c r="G32" t="n">
        <v>37</v>
      </c>
      <c r="H32">
        <f>'Loan Book'!E37</f>
        <v/>
      </c>
      <c r="I32">
        <f>'Mapping'!J34</f>
        <v/>
      </c>
      <c r="J32" t="inlineStr">
        <is>
          <t>False</t>
        </is>
      </c>
      <c r="K32" t="inlineStr">
        <is>
          <t>13</t>
        </is>
      </c>
      <c r="L32" t="inlineStr">
        <is>
          <t>61</t>
        </is>
      </c>
      <c r="M32" t="inlineStr">
        <is>
          <t>2022-06-28</t>
        </is>
      </c>
      <c r="N32" t="inlineStr">
        <is>
          <t>2027-06-30</t>
        </is>
      </c>
      <c r="O32" s="488" t="inlineStr">
        <is>
          <t>-3.3527612686157227e-08</t>
        </is>
      </c>
      <c r="P32" t="inlineStr">
        <is>
          <t>False</t>
        </is>
      </c>
      <c r="Q32" t="inlineStr">
        <is>
          <t>1.0</t>
        </is>
      </c>
    </row>
    <row r="33">
      <c r="A33" t="n">
        <v>32</v>
      </c>
      <c r="B33">
        <f>'Amortisation and Repayments'!C1868</f>
        <v/>
      </c>
      <c r="C33" s="488">
        <f>'Amortisation and Repayments'!D1870</f>
        <v/>
      </c>
      <c r="D33">
        <f>IF('Amortisation and Repayments'!D1871&lt;1,'Amortisation and Repayments'!D1871*100,'Amortisation and Repayments'!D1871)</f>
        <v/>
      </c>
      <c r="E33" t="n">
        <v>1868</v>
      </c>
      <c r="F33">
        <f>HYPERLINK("#'Amortisation and Repayments'!C1868","open")</f>
        <v/>
      </c>
      <c r="G33" t="n">
        <v>39</v>
      </c>
      <c r="H33">
        <f>'Loan Book'!E39</f>
        <v/>
      </c>
      <c r="I33">
        <f>'Mapping'!J36</f>
        <v/>
      </c>
      <c r="J33" t="inlineStr">
        <is>
          <t>False</t>
        </is>
      </c>
      <c r="K33" t="inlineStr">
        <is>
          <t>0</t>
        </is>
      </c>
      <c r="L33" t="inlineStr">
        <is>
          <t>24</t>
        </is>
      </c>
      <c r="M33" t="inlineStr">
        <is>
          <t>2022-07-07</t>
        </is>
      </c>
      <c r="N33" t="inlineStr">
        <is>
          <t>2024-06-30</t>
        </is>
      </c>
      <c r="O33" s="488" t="inlineStr">
        <is>
          <t>0.0</t>
        </is>
      </c>
      <c r="P33" t="inlineStr">
        <is>
          <t>False</t>
        </is>
      </c>
      <c r="Q33" t="inlineStr">
        <is>
          <t>1.5</t>
        </is>
      </c>
    </row>
    <row r="34">
      <c r="A34" t="n">
        <v>33</v>
      </c>
      <c r="B34">
        <f>'Amortisation and Repayments'!C1915</f>
        <v/>
      </c>
      <c r="C34" s="488">
        <f>'Amortisation and Repayments'!D1917</f>
        <v/>
      </c>
      <c r="D34">
        <f>IF('Amortisation and Repayments'!D1918&lt;1,'Amortisation and Repayments'!D1918*100,'Amortisation and Repayments'!D1918)</f>
        <v/>
      </c>
      <c r="E34" t="n">
        <v>1915</v>
      </c>
      <c r="F34">
        <f>HYPERLINK("#'Amortisation and Repayments'!C1915","open")</f>
        <v/>
      </c>
      <c r="G34" t="n">
        <v>40</v>
      </c>
      <c r="H34">
        <f>'Loan Book'!E40</f>
        <v/>
      </c>
      <c r="I34">
        <f>'Mapping'!J37</f>
        <v/>
      </c>
      <c r="J34" t="inlineStr">
        <is>
          <t>False</t>
        </is>
      </c>
      <c r="K34" t="inlineStr">
        <is>
          <t>0</t>
        </is>
      </c>
      <c r="L34" t="inlineStr">
        <is>
          <t>25</t>
        </is>
      </c>
      <c r="M34" t="inlineStr">
        <is>
          <t>2022-07-07</t>
        </is>
      </c>
      <c r="N34" t="inlineStr">
        <is>
          <t>2024-07-31</t>
        </is>
      </c>
      <c r="O34" s="488" t="inlineStr">
        <is>
          <t>-1.280568540096283e-09</t>
        </is>
      </c>
      <c r="P34" t="inlineStr">
        <is>
          <t>False</t>
        </is>
      </c>
      <c r="Q34" t="inlineStr">
        <is>
          <t>1.5</t>
        </is>
      </c>
    </row>
    <row r="35">
      <c r="A35" t="n">
        <v>34</v>
      </c>
      <c r="B35">
        <f>'Amortisation and Repayments'!C1958</f>
        <v/>
      </c>
      <c r="C35" s="488">
        <f>'Amortisation and Repayments'!D1960</f>
        <v/>
      </c>
      <c r="D35">
        <f>IF('Amortisation and Repayments'!D1961&lt;1,'Amortisation and Repayments'!D1961*100,'Amortisation and Repayments'!D1961)</f>
        <v/>
      </c>
      <c r="E35" t="n">
        <v>1958</v>
      </c>
      <c r="F35">
        <f>HYPERLINK("#'Amortisation and Repayments'!C1958","open")</f>
        <v/>
      </c>
      <c r="G35" t="n">
        <v>41</v>
      </c>
      <c r="H35">
        <f>'Loan Book'!E41</f>
        <v/>
      </c>
      <c r="I35">
        <f>'Mapping'!J38</f>
        <v/>
      </c>
      <c r="J35" t="inlineStr">
        <is>
          <t>False</t>
        </is>
      </c>
      <c r="K35" t="inlineStr">
        <is>
          <t>0</t>
        </is>
      </c>
      <c r="L35" t="inlineStr">
        <is>
          <t>25</t>
        </is>
      </c>
      <c r="M35" t="inlineStr">
        <is>
          <t>2022-07-13</t>
        </is>
      </c>
      <c r="N35" t="inlineStr">
        <is>
          <t>2024-07-31</t>
        </is>
      </c>
      <c r="O35" s="488" t="inlineStr">
        <is>
          <t>5.122274160385132e-09</t>
        </is>
      </c>
      <c r="P35" t="inlineStr">
        <is>
          <t>False</t>
        </is>
      </c>
      <c r="Q35" t="inlineStr">
        <is>
          <t>1.5</t>
        </is>
      </c>
    </row>
    <row r="36">
      <c r="A36" t="n">
        <v>35</v>
      </c>
      <c r="B36">
        <f>'Amortisation and Repayments'!C2002</f>
        <v/>
      </c>
      <c r="C36" s="488">
        <f>'Amortisation and Repayments'!D2004</f>
        <v/>
      </c>
      <c r="D36">
        <f>IF('Amortisation and Repayments'!D2005&lt;1,'Amortisation and Repayments'!D2005*100,'Amortisation and Repayments'!D2005)</f>
        <v/>
      </c>
      <c r="E36" t="n">
        <v>2002</v>
      </c>
      <c r="F36">
        <f>HYPERLINK("#'Amortisation and Repayments'!C2002","open")</f>
        <v/>
      </c>
      <c r="G36" t="n">
        <v>42</v>
      </c>
      <c r="H36">
        <f>'Loan Book'!E42</f>
        <v/>
      </c>
      <c r="I36">
        <f>'Mapping'!J39</f>
        <v/>
      </c>
      <c r="J36" t="inlineStr">
        <is>
          <t>False</t>
        </is>
      </c>
      <c r="K36" t="inlineStr">
        <is>
          <t>0</t>
        </is>
      </c>
      <c r="L36" t="inlineStr">
        <is>
          <t>25</t>
        </is>
      </c>
      <c r="M36" t="inlineStr">
        <is>
          <t>2022-07-13</t>
        </is>
      </c>
      <c r="N36" t="inlineStr">
        <is>
          <t>2024-07-31</t>
        </is>
      </c>
      <c r="O36" s="488" t="inlineStr">
        <is>
          <t>-16740.377689596382</t>
        </is>
      </c>
      <c r="P36" t="inlineStr">
        <is>
          <t>False</t>
        </is>
      </c>
      <c r="Q36" t="inlineStr">
        <is>
          <t>1.5</t>
        </is>
      </c>
    </row>
    <row r="37">
      <c r="A37" t="n">
        <v>36</v>
      </c>
      <c r="B37">
        <f>'Amortisation and Repayments'!C2043</f>
        <v/>
      </c>
      <c r="C37" s="488">
        <f>'Amortisation and Repayments'!D2045</f>
        <v/>
      </c>
      <c r="D37">
        <f>IF('Amortisation and Repayments'!D2046&lt;1,'Amortisation and Repayments'!D2046*100,'Amortisation and Repayments'!D2046)</f>
        <v/>
      </c>
      <c r="E37" t="n">
        <v>2043</v>
      </c>
      <c r="F37">
        <f>HYPERLINK("#'Amortisation and Repayments'!C2043","open")</f>
        <v/>
      </c>
      <c r="G37" t="n">
        <v>43</v>
      </c>
      <c r="H37">
        <f>'Loan Book'!E43</f>
        <v/>
      </c>
      <c r="I37">
        <f>'Mapping'!J40</f>
        <v/>
      </c>
      <c r="J37" t="inlineStr">
        <is>
          <t>False</t>
        </is>
      </c>
      <c r="K37" t="inlineStr">
        <is>
          <t>0</t>
        </is>
      </c>
      <c r="L37" t="inlineStr">
        <is>
          <t>32</t>
        </is>
      </c>
      <c r="M37" t="inlineStr">
        <is>
          <t>2022-07-13</t>
        </is>
      </c>
      <c r="N37" t="inlineStr">
        <is>
          <t>2025-02-28</t>
        </is>
      </c>
      <c r="O37" s="488" t="inlineStr">
        <is>
          <t>0.0</t>
        </is>
      </c>
      <c r="P37" t="inlineStr">
        <is>
          <t>False</t>
        </is>
      </c>
      <c r="Q37" t="inlineStr">
        <is>
          <t>1.5</t>
        </is>
      </c>
    </row>
    <row r="38">
      <c r="A38" t="n">
        <v>37</v>
      </c>
      <c r="B38">
        <f>'Amortisation and Repayments'!C2091</f>
        <v/>
      </c>
      <c r="C38" s="488">
        <f>'Amortisation and Repayments'!D2093</f>
        <v/>
      </c>
      <c r="D38">
        <f>IF('Amortisation and Repayments'!D2094&lt;1,'Amortisation and Repayments'!D2094*100,'Amortisation and Repayments'!D2094)</f>
        <v/>
      </c>
      <c r="E38" t="n">
        <v>2091</v>
      </c>
      <c r="F38">
        <f>HYPERLINK("#'Amortisation and Repayments'!C2091","open")</f>
        <v/>
      </c>
      <c r="G38" t="n">
        <v>44</v>
      </c>
      <c r="H38">
        <f>'Loan Book'!E44</f>
        <v/>
      </c>
      <c r="I38">
        <f>'Mapping'!J41</f>
        <v/>
      </c>
      <c r="J38" t="inlineStr">
        <is>
          <t>False</t>
        </is>
      </c>
      <c r="K38" t="inlineStr">
        <is>
          <t>0</t>
        </is>
      </c>
      <c r="L38" t="inlineStr">
        <is>
          <t>25</t>
        </is>
      </c>
      <c r="M38" t="inlineStr">
        <is>
          <t>2022-07-13</t>
        </is>
      </c>
      <c r="N38" t="inlineStr">
        <is>
          <t>2024-07-31</t>
        </is>
      </c>
      <c r="O38" s="488" t="inlineStr">
        <is>
          <t>1.6880221664905548e-09</t>
        </is>
      </c>
      <c r="P38" t="inlineStr">
        <is>
          <t>False</t>
        </is>
      </c>
      <c r="Q38" t="inlineStr">
        <is>
          <t>1.5</t>
        </is>
      </c>
    </row>
    <row r="39">
      <c r="A39" t="n">
        <v>38</v>
      </c>
      <c r="B39">
        <f>'Amortisation and Repayments'!C2133</f>
        <v/>
      </c>
      <c r="C39" s="488">
        <f>'Amortisation and Repayments'!D2135</f>
        <v/>
      </c>
      <c r="D39">
        <f>IF('Amortisation and Repayments'!D2136&lt;1,'Amortisation and Repayments'!D2136*100,'Amortisation and Repayments'!D2136)</f>
        <v/>
      </c>
      <c r="E39" t="n">
        <v>2133</v>
      </c>
      <c r="F39">
        <f>HYPERLINK("#'Amortisation and Repayments'!C2133","open")</f>
        <v/>
      </c>
      <c r="G39" t="n">
        <v>45</v>
      </c>
      <c r="H39">
        <f>'Loan Book'!E45</f>
        <v/>
      </c>
      <c r="I39">
        <f>'Mapping'!J42</f>
        <v/>
      </c>
      <c r="J39" t="inlineStr">
        <is>
          <t>False</t>
        </is>
      </c>
      <c r="K39" t="inlineStr">
        <is>
          <t>10</t>
        </is>
      </c>
      <c r="L39" t="inlineStr">
        <is>
          <t>49</t>
        </is>
      </c>
      <c r="M39" t="inlineStr">
        <is>
          <t>2022-07-19</t>
        </is>
      </c>
      <c r="N39" t="inlineStr">
        <is>
          <t>2026-07-31</t>
        </is>
      </c>
      <c r="O39" s="488" t="inlineStr">
        <is>
          <t>12420615.883890092</t>
        </is>
      </c>
      <c r="P39" t="inlineStr">
        <is>
          <t>False</t>
        </is>
      </c>
      <c r="Q39" t="inlineStr">
        <is>
          <t>1.5</t>
        </is>
      </c>
    </row>
    <row r="40">
      <c r="A40" t="n">
        <v>39</v>
      </c>
      <c r="B40">
        <f>'Amortisation and Repayments'!C2198</f>
        <v/>
      </c>
      <c r="C40" s="488">
        <f>'Amortisation and Repayments'!D2199</f>
        <v/>
      </c>
      <c r="D40">
        <f>IF('Amortisation and Repayments'!D2200&lt;1,'Amortisation and Repayments'!D2200*100,'Amortisation and Repayments'!D2200)</f>
        <v/>
      </c>
      <c r="E40" t="n">
        <v>2198</v>
      </c>
      <c r="F40">
        <f>HYPERLINK("#'Amortisation and Repayments'!C2198","open")</f>
        <v/>
      </c>
      <c r="J40" t="inlineStr">
        <is>
          <t>False</t>
        </is>
      </c>
      <c r="K40" t="inlineStr">
        <is>
          <t>0</t>
        </is>
      </c>
      <c r="L40" t="inlineStr">
        <is>
          <t>25</t>
        </is>
      </c>
      <c r="M40" t="inlineStr">
        <is>
          <t>2022-07-05</t>
        </is>
      </c>
      <c r="N40" t="inlineStr">
        <is>
          <t>2024-07-31</t>
        </is>
      </c>
      <c r="O40" s="488" t="inlineStr">
        <is>
          <t>0.0</t>
        </is>
      </c>
      <c r="P40" t="inlineStr">
        <is>
          <t>False</t>
        </is>
      </c>
      <c r="Q40" t="inlineStr">
        <is>
          <t>0.43</t>
        </is>
      </c>
    </row>
    <row r="41">
      <c r="A41" t="n">
        <v>40</v>
      </c>
      <c r="B41">
        <f>'Amortisation and Repayments'!C2238</f>
        <v/>
      </c>
      <c r="C41" s="488">
        <f>'Amortisation and Repayments'!D2239</f>
        <v/>
      </c>
      <c r="D41">
        <f>IF('Amortisation and Repayments'!D2240&lt;1,'Amortisation and Repayments'!D2240*100,'Amortisation and Repayments'!D2240)</f>
        <v/>
      </c>
      <c r="E41" t="n">
        <v>2238</v>
      </c>
      <c r="F41">
        <f>HYPERLINK("#'Amortisation and Repayments'!C2238","open")</f>
        <v/>
      </c>
      <c r="J41" t="inlineStr">
        <is>
          <t>False</t>
        </is>
      </c>
      <c r="K41" t="inlineStr">
        <is>
          <t>0</t>
        </is>
      </c>
      <c r="L41" t="inlineStr">
        <is>
          <t>25</t>
        </is>
      </c>
      <c r="M41" t="inlineStr">
        <is>
          <t>2022-08-02</t>
        </is>
      </c>
      <c r="N41" t="inlineStr">
        <is>
          <t>2024-08-31</t>
        </is>
      </c>
      <c r="O41" s="488" t="inlineStr">
        <is>
          <t>-3.3760443329811096e-09</t>
        </is>
      </c>
      <c r="P41" t="inlineStr">
        <is>
          <t>False</t>
        </is>
      </c>
      <c r="Q41" t="inlineStr">
        <is>
          <t>0.43</t>
        </is>
      </c>
    </row>
    <row r="42">
      <c r="A42" t="n">
        <v>41</v>
      </c>
      <c r="B42">
        <f>'Amortisation and Repayments'!C2279</f>
        <v/>
      </c>
      <c r="C42" s="488">
        <f>'Amortisation and Repayments'!D2280</f>
        <v/>
      </c>
      <c r="D42">
        <f>IF('Amortisation and Repayments'!D2281&lt;1,'Amortisation and Repayments'!D2281*100,'Amortisation and Repayments'!D2281)</f>
        <v/>
      </c>
      <c r="E42" t="n">
        <v>2279</v>
      </c>
      <c r="F42">
        <f>HYPERLINK("#'Amortisation and Repayments'!C2279","open")</f>
        <v/>
      </c>
      <c r="G42" t="n">
        <v>47</v>
      </c>
      <c r="H42">
        <f>'Loan Book'!E47</f>
        <v/>
      </c>
      <c r="I42">
        <f>'Mapping'!J44</f>
        <v/>
      </c>
      <c r="J42" t="inlineStr">
        <is>
          <t>False</t>
        </is>
      </c>
      <c r="K42" t="inlineStr">
        <is>
          <t>0</t>
        </is>
      </c>
      <c r="L42" t="inlineStr">
        <is>
          <t>25</t>
        </is>
      </c>
      <c r="M42" t="inlineStr">
        <is>
          <t>2022-08-02</t>
        </is>
      </c>
      <c r="N42" t="inlineStr">
        <is>
          <t>2024-08-31</t>
        </is>
      </c>
      <c r="O42" s="488" t="inlineStr">
        <is>
          <t>-3.4924596548080444e-09</t>
        </is>
      </c>
      <c r="P42" t="inlineStr">
        <is>
          <t>False</t>
        </is>
      </c>
      <c r="Q42" t="inlineStr">
        <is>
          <t>0.71</t>
        </is>
      </c>
    </row>
    <row r="43">
      <c r="A43" t="n">
        <v>42</v>
      </c>
      <c r="B43">
        <f>'Amortisation and Repayments'!C2318</f>
        <v/>
      </c>
      <c r="C43" s="488">
        <f>'Amortisation and Repayments'!D2320</f>
        <v/>
      </c>
      <c r="D43">
        <f>IF('Amortisation and Repayments'!D2321&lt;1,'Amortisation and Repayments'!D2321*100,'Amortisation and Repayments'!D2321)</f>
        <v/>
      </c>
      <c r="E43" t="n">
        <v>2318</v>
      </c>
      <c r="F43">
        <f>HYPERLINK("#'Amortisation and Repayments'!C2318","open")</f>
        <v/>
      </c>
      <c r="G43" t="n">
        <v>48</v>
      </c>
      <c r="H43">
        <f>'Loan Book'!E48</f>
        <v/>
      </c>
      <c r="I43">
        <f>'Mapping'!J45</f>
        <v/>
      </c>
      <c r="J43" t="inlineStr">
        <is>
          <t>False</t>
        </is>
      </c>
      <c r="K43" t="inlineStr">
        <is>
          <t>13</t>
        </is>
      </c>
      <c r="L43" t="inlineStr">
        <is>
          <t>49</t>
        </is>
      </c>
      <c r="M43" t="inlineStr">
        <is>
          <t>2022-08-12</t>
        </is>
      </c>
      <c r="N43" t="inlineStr">
        <is>
          <t>2026-08-31</t>
        </is>
      </c>
      <c r="O43" s="488" t="inlineStr">
        <is>
          <t>1.4901161193847656e-08</t>
        </is>
      </c>
      <c r="P43" t="inlineStr">
        <is>
          <t>False</t>
        </is>
      </c>
      <c r="Q43" t="inlineStr">
        <is>
          <t>1.5</t>
        </is>
      </c>
    </row>
    <row r="44">
      <c r="A44" t="n">
        <v>43</v>
      </c>
      <c r="B44">
        <f>'Amortisation and Repayments'!C2384</f>
        <v/>
      </c>
      <c r="C44" s="488">
        <f>'Amortisation and Repayments'!D2386</f>
        <v/>
      </c>
      <c r="D44">
        <f>IF('Amortisation and Repayments'!D2387&lt;1,'Amortisation and Repayments'!D2387*100,'Amortisation and Repayments'!D2387)</f>
        <v/>
      </c>
      <c r="E44" t="n">
        <v>2384</v>
      </c>
      <c r="F44">
        <f>HYPERLINK("#'Amortisation and Repayments'!C2384","open")</f>
        <v/>
      </c>
      <c r="G44" t="n">
        <v>49</v>
      </c>
      <c r="H44">
        <f>'Loan Book'!E49</f>
        <v/>
      </c>
      <c r="I44">
        <f>'Mapping'!J46</f>
        <v/>
      </c>
      <c r="J44" t="inlineStr">
        <is>
          <t>False</t>
        </is>
      </c>
      <c r="K44" t="inlineStr">
        <is>
          <t>10</t>
        </is>
      </c>
      <c r="L44" t="inlineStr">
        <is>
          <t>37</t>
        </is>
      </c>
      <c r="M44" t="inlineStr">
        <is>
          <t>2022-08-30</t>
        </is>
      </c>
      <c r="N44" t="inlineStr">
        <is>
          <t>2025-08-31</t>
        </is>
      </c>
      <c r="O44" s="488" t="inlineStr">
        <is>
          <t>-3.166496753692627e-08</t>
        </is>
      </c>
      <c r="P44" t="inlineStr">
        <is>
          <t>False</t>
        </is>
      </c>
      <c r="Q44" t="inlineStr">
        <is>
          <t>1.5</t>
        </is>
      </c>
    </row>
    <row r="45">
      <c r="A45" t="n">
        <v>44</v>
      </c>
      <c r="B45">
        <f>'Amortisation and Repayments'!C2437</f>
        <v/>
      </c>
      <c r="C45" s="488">
        <f>'Amortisation and Repayments'!D2439</f>
        <v/>
      </c>
      <c r="D45">
        <f>IF('Amortisation and Repayments'!D2440&lt;1,'Amortisation and Repayments'!D2440*100,'Amortisation and Repayments'!D2440)</f>
        <v/>
      </c>
      <c r="E45" t="n">
        <v>2437</v>
      </c>
      <c r="F45">
        <f>HYPERLINK("#'Amortisation and Repayments'!C2437","open")</f>
        <v/>
      </c>
      <c r="G45" t="n">
        <v>50</v>
      </c>
      <c r="H45">
        <f>'Loan Book'!E50</f>
        <v/>
      </c>
      <c r="I45">
        <f>'Mapping'!J47</f>
        <v/>
      </c>
      <c r="J45" t="inlineStr">
        <is>
          <t>False</t>
        </is>
      </c>
      <c r="K45" t="inlineStr">
        <is>
          <t>0</t>
        </is>
      </c>
      <c r="L45" t="inlineStr">
        <is>
          <t>25</t>
        </is>
      </c>
      <c r="M45" t="inlineStr">
        <is>
          <t>2022-10-10</t>
        </is>
      </c>
      <c r="N45" t="inlineStr">
        <is>
          <t>2024-10-31</t>
        </is>
      </c>
      <c r="O45" s="488" t="inlineStr">
        <is>
          <t>-1.6298145055770874e-09</t>
        </is>
      </c>
      <c r="P45" t="inlineStr">
        <is>
          <t>False</t>
        </is>
      </c>
      <c r="Q45" t="inlineStr">
        <is>
          <t>1.5</t>
        </is>
      </c>
    </row>
    <row r="46">
      <c r="A46" t="n">
        <v>45</v>
      </c>
      <c r="B46">
        <f>'Amortisation and Repayments'!C2478</f>
        <v/>
      </c>
      <c r="C46" s="488">
        <f>'Amortisation and Repayments'!D2480</f>
        <v/>
      </c>
      <c r="D46">
        <f>IF('Amortisation and Repayments'!D2481&lt;1,'Amortisation and Repayments'!D2481*100,'Amortisation and Repayments'!D2481)</f>
        <v/>
      </c>
      <c r="E46" t="n">
        <v>2478</v>
      </c>
      <c r="F46">
        <f>HYPERLINK("#'Amortisation and Repayments'!C2478","open")</f>
        <v/>
      </c>
      <c r="G46" t="n">
        <v>51</v>
      </c>
      <c r="H46">
        <f>'Loan Book'!E51</f>
        <v/>
      </c>
      <c r="I46">
        <f>'Mapping'!J48</f>
        <v/>
      </c>
      <c r="J46" t="inlineStr">
        <is>
          <t>False</t>
        </is>
      </c>
      <c r="K46" t="inlineStr">
        <is>
          <t>0</t>
        </is>
      </c>
      <c r="L46" t="inlineStr">
        <is>
          <t>25</t>
        </is>
      </c>
      <c r="M46" t="inlineStr">
        <is>
          <t>2022-10-10</t>
        </is>
      </c>
      <c r="N46" t="inlineStr">
        <is>
          <t>2024-10-31</t>
        </is>
      </c>
      <c r="O46" s="488" t="inlineStr">
        <is>
          <t>-1.862645149230957e-09</t>
        </is>
      </c>
      <c r="P46" t="inlineStr">
        <is>
          <t>False</t>
        </is>
      </c>
      <c r="Q46" t="inlineStr">
        <is>
          <t>1.5</t>
        </is>
      </c>
    </row>
    <row r="47">
      <c r="A47" t="n">
        <v>46</v>
      </c>
      <c r="B47">
        <f>'Amortisation and Repayments'!C2519</f>
        <v/>
      </c>
      <c r="C47" s="488">
        <f>'Amortisation and Repayments'!D2521</f>
        <v/>
      </c>
      <c r="D47">
        <f>IF('Amortisation and Repayments'!D2522&lt;1,'Amortisation and Repayments'!D2522*100,'Amortisation and Repayments'!D2522)</f>
        <v/>
      </c>
      <c r="E47" t="n">
        <v>2519</v>
      </c>
      <c r="F47">
        <f>HYPERLINK("#'Amortisation and Repayments'!C2519","open")</f>
        <v/>
      </c>
      <c r="G47" t="n">
        <v>52</v>
      </c>
      <c r="H47">
        <f>'Loan Book'!E52</f>
        <v/>
      </c>
      <c r="I47">
        <f>'Mapping'!J49</f>
        <v/>
      </c>
      <c r="J47" t="inlineStr">
        <is>
          <t>False</t>
        </is>
      </c>
      <c r="K47" t="inlineStr">
        <is>
          <t>0</t>
        </is>
      </c>
      <c r="L47" t="inlineStr">
        <is>
          <t>25</t>
        </is>
      </c>
      <c r="M47" t="inlineStr">
        <is>
          <t>2022-10-18</t>
        </is>
      </c>
      <c r="N47" t="inlineStr">
        <is>
          <t>2024-10-31</t>
        </is>
      </c>
      <c r="O47" s="488" t="inlineStr">
        <is>
          <t>0.0</t>
        </is>
      </c>
      <c r="P47" t="inlineStr">
        <is>
          <t>False</t>
        </is>
      </c>
      <c r="Q47" t="inlineStr">
        <is>
          <t>1.5</t>
        </is>
      </c>
    </row>
    <row r="48">
      <c r="A48" t="n">
        <v>47</v>
      </c>
      <c r="B48">
        <f>'Amortisation and Repayments'!C2561</f>
        <v/>
      </c>
      <c r="C48" s="488">
        <f>'Amortisation and Repayments'!D2563</f>
        <v/>
      </c>
      <c r="D48">
        <f>IF('Amortisation and Repayments'!D2564&lt;1,'Amortisation and Repayments'!D2564*100,'Amortisation and Repayments'!D2564)</f>
        <v/>
      </c>
      <c r="E48" t="n">
        <v>2561</v>
      </c>
      <c r="F48">
        <f>HYPERLINK("#'Amortisation and Repayments'!C2561","open")</f>
        <v/>
      </c>
      <c r="G48" t="n">
        <v>53</v>
      </c>
      <c r="H48">
        <f>'Loan Book'!E53</f>
        <v/>
      </c>
      <c r="I48">
        <f>'Mapping'!J50</f>
        <v/>
      </c>
      <c r="J48" t="inlineStr">
        <is>
          <t>False</t>
        </is>
      </c>
      <c r="K48" t="inlineStr">
        <is>
          <t>0</t>
        </is>
      </c>
      <c r="L48" t="inlineStr">
        <is>
          <t>25</t>
        </is>
      </c>
      <c r="M48" t="inlineStr">
        <is>
          <t>2022-10-27</t>
        </is>
      </c>
      <c r="N48" t="inlineStr">
        <is>
          <t>2024-10-31</t>
        </is>
      </c>
      <c r="O48" s="488" t="inlineStr">
        <is>
          <t>-4.190951585769653e-09</t>
        </is>
      </c>
      <c r="P48" t="inlineStr">
        <is>
          <t>False</t>
        </is>
      </c>
      <c r="Q48" t="inlineStr">
        <is>
          <t>1.5</t>
        </is>
      </c>
    </row>
    <row r="49">
      <c r="A49" t="n">
        <v>48</v>
      </c>
      <c r="B49">
        <f>'Amortisation and Repayments'!C2605</f>
        <v/>
      </c>
      <c r="C49" s="488">
        <f>'Amortisation and Repayments'!D2607</f>
        <v/>
      </c>
      <c r="D49">
        <f>IF('Amortisation and Repayments'!D2608&lt;1,'Amortisation and Repayments'!D2608*100,'Amortisation and Repayments'!D2608)</f>
        <v/>
      </c>
      <c r="E49" t="n">
        <v>2605</v>
      </c>
      <c r="F49">
        <f>HYPERLINK("#'Amortisation and Repayments'!C2605","open")</f>
        <v/>
      </c>
      <c r="G49" t="n">
        <v>54</v>
      </c>
      <c r="H49">
        <f>'Loan Book'!E54</f>
        <v/>
      </c>
      <c r="I49">
        <f>'Mapping'!J51</f>
        <v/>
      </c>
      <c r="J49" t="inlineStr">
        <is>
          <t>False</t>
        </is>
      </c>
      <c r="K49" t="inlineStr">
        <is>
          <t>0</t>
        </is>
      </c>
      <c r="L49" t="inlineStr">
        <is>
          <t>25</t>
        </is>
      </c>
      <c r="M49" t="inlineStr">
        <is>
          <t>2022-11-02</t>
        </is>
      </c>
      <c r="N49" t="inlineStr">
        <is>
          <t>2024-11-30</t>
        </is>
      </c>
      <c r="O49" s="488" t="inlineStr">
        <is>
          <t>0.0</t>
        </is>
      </c>
      <c r="P49" t="inlineStr">
        <is>
          <t>False</t>
        </is>
      </c>
      <c r="Q49" t="inlineStr">
        <is>
          <t>1.5</t>
        </is>
      </c>
    </row>
    <row r="50">
      <c r="A50" t="n">
        <v>49</v>
      </c>
      <c r="B50">
        <f>'Amortisation and Repayments'!C2647</f>
        <v/>
      </c>
      <c r="C50" s="488">
        <f>'Amortisation and Repayments'!D2649</f>
        <v/>
      </c>
      <c r="D50">
        <f>IF('Amortisation and Repayments'!D2650&lt;1,'Amortisation and Repayments'!D2650*100,'Amortisation and Repayments'!D2650)</f>
        <v/>
      </c>
      <c r="E50" t="n">
        <v>2647</v>
      </c>
      <c r="F50">
        <f>HYPERLINK("#'Amortisation and Repayments'!C2647","open")</f>
        <v/>
      </c>
      <c r="G50" t="n">
        <v>55</v>
      </c>
      <c r="H50">
        <f>'Loan Book'!E55</f>
        <v/>
      </c>
      <c r="I50">
        <f>'Mapping'!J52</f>
        <v/>
      </c>
      <c r="J50" t="inlineStr">
        <is>
          <t>False</t>
        </is>
      </c>
      <c r="K50" t="inlineStr">
        <is>
          <t>0</t>
        </is>
      </c>
      <c r="L50" t="inlineStr">
        <is>
          <t>25</t>
        </is>
      </c>
      <c r="M50" t="inlineStr">
        <is>
          <t>2022-11-09</t>
        </is>
      </c>
      <c r="N50" t="inlineStr">
        <is>
          <t>2024-11-30</t>
        </is>
      </c>
      <c r="O50" s="488" t="inlineStr">
        <is>
          <t>-1.3969838619232178e-09</t>
        </is>
      </c>
      <c r="P50" t="inlineStr">
        <is>
          <t>False</t>
        </is>
      </c>
      <c r="Q50" t="inlineStr">
        <is>
          <t>1.5</t>
        </is>
      </c>
    </row>
    <row r="51">
      <c r="A51" t="n">
        <v>50</v>
      </c>
      <c r="B51">
        <f>'Amortisation and Repayments'!C2692</f>
        <v/>
      </c>
      <c r="C51" s="488">
        <f>'Amortisation and Repayments'!D2694</f>
        <v/>
      </c>
      <c r="D51">
        <f>IF('Amortisation and Repayments'!D2695&lt;1,'Amortisation and Repayments'!D2695*100,'Amortisation and Repayments'!D2695)</f>
        <v/>
      </c>
      <c r="E51" t="n">
        <v>2692</v>
      </c>
      <c r="F51">
        <f>HYPERLINK("#'Amortisation and Repayments'!C2692","open")</f>
        <v/>
      </c>
      <c r="G51" t="n">
        <v>56</v>
      </c>
      <c r="H51">
        <f>'Loan Book'!E56</f>
        <v/>
      </c>
      <c r="I51">
        <f>'Mapping'!J53</f>
        <v/>
      </c>
      <c r="J51" t="inlineStr">
        <is>
          <t>False</t>
        </is>
      </c>
      <c r="K51" t="inlineStr">
        <is>
          <t>0</t>
        </is>
      </c>
      <c r="L51" t="inlineStr">
        <is>
          <t>25</t>
        </is>
      </c>
      <c r="M51" t="inlineStr">
        <is>
          <t>2022-11-10</t>
        </is>
      </c>
      <c r="N51" t="inlineStr">
        <is>
          <t>2024-11-30</t>
        </is>
      </c>
      <c r="O51" s="488" t="inlineStr">
        <is>
          <t>0.0</t>
        </is>
      </c>
      <c r="P51" t="inlineStr">
        <is>
          <t>False</t>
        </is>
      </c>
      <c r="Q51" t="inlineStr">
        <is>
          <t>1.5</t>
        </is>
      </c>
    </row>
    <row r="52">
      <c r="A52" t="n">
        <v>51</v>
      </c>
      <c r="B52">
        <f>'Amortisation and Repayments'!C2739</f>
        <v/>
      </c>
      <c r="C52" s="488">
        <f>'Amortisation and Repayments'!D2741</f>
        <v/>
      </c>
      <c r="D52">
        <f>IF('Amortisation and Repayments'!D2742&lt;1,'Amortisation and Repayments'!D2742*100,'Amortisation and Repayments'!D2742)</f>
        <v/>
      </c>
      <c r="E52" t="n">
        <v>2739</v>
      </c>
      <c r="F52">
        <f>HYPERLINK("#'Amortisation and Repayments'!C2739","open")</f>
        <v/>
      </c>
      <c r="G52" t="n">
        <v>57</v>
      </c>
      <c r="H52">
        <f>'Loan Book'!E57</f>
        <v/>
      </c>
      <c r="I52">
        <f>'Mapping'!J54</f>
        <v/>
      </c>
      <c r="J52" t="inlineStr">
        <is>
          <t>False</t>
        </is>
      </c>
      <c r="K52" t="inlineStr">
        <is>
          <t>9</t>
        </is>
      </c>
      <c r="L52" t="inlineStr">
        <is>
          <t>49</t>
        </is>
      </c>
      <c r="M52" t="inlineStr">
        <is>
          <t>2022-11-18</t>
        </is>
      </c>
      <c r="N52" t="inlineStr">
        <is>
          <t>2026-11-30</t>
        </is>
      </c>
      <c r="O52" s="488" t="inlineStr">
        <is>
          <t>8.940696716308594e-08</t>
        </is>
      </c>
      <c r="P52" t="inlineStr">
        <is>
          <t>False</t>
        </is>
      </c>
      <c r="Q52" t="inlineStr">
        <is>
          <t>1.0</t>
        </is>
      </c>
    </row>
    <row r="53">
      <c r="A53" t="n">
        <v>52</v>
      </c>
      <c r="B53">
        <f>'Amortisation and Repayments'!C2809</f>
        <v/>
      </c>
      <c r="C53" s="488">
        <f>'Amortisation and Repayments'!D2811</f>
        <v/>
      </c>
      <c r="D53">
        <f>IF('Amortisation and Repayments'!D2812&lt;1,'Amortisation and Repayments'!D2812*100,'Amortisation and Repayments'!D2812)</f>
        <v/>
      </c>
      <c r="E53" t="n">
        <v>2809</v>
      </c>
      <c r="F53">
        <f>HYPERLINK("#'Amortisation and Repayments'!C2809","open")</f>
        <v/>
      </c>
      <c r="G53" t="n">
        <v>58</v>
      </c>
      <c r="H53">
        <f>'Loan Book'!E58</f>
        <v/>
      </c>
      <c r="I53">
        <f>'Mapping'!J55</f>
        <v/>
      </c>
      <c r="J53" t="inlineStr">
        <is>
          <t>False</t>
        </is>
      </c>
      <c r="K53" t="inlineStr">
        <is>
          <t>0</t>
        </is>
      </c>
      <c r="L53" t="inlineStr">
        <is>
          <t>37</t>
        </is>
      </c>
      <c r="M53" t="inlineStr">
        <is>
          <t>2023-01-24</t>
        </is>
      </c>
      <c r="N53" t="inlineStr">
        <is>
          <t>2026-01-31</t>
        </is>
      </c>
      <c r="O53" s="488" t="inlineStr">
        <is>
          <t>1.7695128917694092e-08</t>
        </is>
      </c>
      <c r="P53" t="inlineStr">
        <is>
          <t>False</t>
        </is>
      </c>
      <c r="Q53" t="inlineStr">
        <is>
          <t>1.5</t>
        </is>
      </c>
    </row>
    <row r="54">
      <c r="A54" t="n">
        <v>53</v>
      </c>
      <c r="B54">
        <f>'Amortisation and Repayments'!C2864</f>
        <v/>
      </c>
      <c r="C54" s="488">
        <f>'Amortisation and Repayments'!D2866</f>
        <v/>
      </c>
      <c r="D54">
        <f>IF('Amortisation and Repayments'!D2867&lt;1,'Amortisation and Repayments'!D2867*100,'Amortisation and Repayments'!D2867)</f>
        <v/>
      </c>
      <c r="E54" t="n">
        <v>2864</v>
      </c>
      <c r="F54">
        <f>HYPERLINK("#'Amortisation and Repayments'!C2864","open")</f>
        <v/>
      </c>
      <c r="G54" t="n">
        <v>59</v>
      </c>
      <c r="H54">
        <f>'Loan Book'!E59</f>
        <v/>
      </c>
      <c r="I54">
        <f>'Mapping'!J56</f>
        <v/>
      </c>
      <c r="J54" t="inlineStr">
        <is>
          <t>False</t>
        </is>
      </c>
      <c r="K54" t="inlineStr">
        <is>
          <t>10</t>
        </is>
      </c>
      <c r="L54" t="inlineStr">
        <is>
          <t>49</t>
        </is>
      </c>
      <c r="M54" t="inlineStr">
        <is>
          <t>2023-01-26</t>
        </is>
      </c>
      <c r="N54" t="inlineStr">
        <is>
          <t>2027-01-31</t>
        </is>
      </c>
      <c r="O54" s="488" t="inlineStr">
        <is>
          <t>4.6566128730773926e-08</t>
        </is>
      </c>
      <c r="P54" t="inlineStr">
        <is>
          <t>False</t>
        </is>
      </c>
      <c r="Q54" t="inlineStr">
        <is>
          <t>1.5</t>
        </is>
      </c>
    </row>
    <row r="55">
      <c r="A55" t="n">
        <v>54</v>
      </c>
      <c r="B55">
        <f>'Amortisation and Repayments'!C2930</f>
        <v/>
      </c>
      <c r="C55" s="488">
        <f>'Amortisation and Repayments'!D2932</f>
        <v/>
      </c>
      <c r="D55">
        <f>IF('Amortisation and Repayments'!D2933&lt;1,'Amortisation and Repayments'!D2933*100,'Amortisation and Repayments'!D2933)</f>
        <v/>
      </c>
      <c r="E55" t="n">
        <v>2930</v>
      </c>
      <c r="F55">
        <f>HYPERLINK("#'Amortisation and Repayments'!C2930","open")</f>
        <v/>
      </c>
      <c r="G55" t="n">
        <v>60</v>
      </c>
      <c r="H55">
        <f>'Loan Book'!E60</f>
        <v/>
      </c>
      <c r="I55">
        <f>'Mapping'!J57</f>
        <v/>
      </c>
      <c r="J55" t="inlineStr">
        <is>
          <t>False</t>
        </is>
      </c>
      <c r="K55" t="inlineStr">
        <is>
          <t>0</t>
        </is>
      </c>
      <c r="L55" t="inlineStr">
        <is>
          <t>37</t>
        </is>
      </c>
      <c r="M55" t="inlineStr">
        <is>
          <t>2023-01-26</t>
        </is>
      </c>
      <c r="N55" t="inlineStr">
        <is>
          <t>2026-01-31</t>
        </is>
      </c>
      <c r="O55" s="488" t="inlineStr">
        <is>
          <t>6.6356733441352844e-09</t>
        </is>
      </c>
      <c r="P55" t="inlineStr">
        <is>
          <t>False</t>
        </is>
      </c>
      <c r="Q55" t="inlineStr">
        <is>
          <t>1.5</t>
        </is>
      </c>
    </row>
    <row r="56">
      <c r="A56" t="n">
        <v>55</v>
      </c>
      <c r="B56">
        <f>'Amortisation and Repayments'!C2982</f>
        <v/>
      </c>
      <c r="C56" s="488">
        <f>'Amortisation and Repayments'!D2984</f>
        <v/>
      </c>
      <c r="D56">
        <f>IF('Amortisation and Repayments'!D2985&lt;1,'Amortisation and Repayments'!D2985*100,'Amortisation and Repayments'!D2985)</f>
        <v/>
      </c>
      <c r="E56" t="n">
        <v>2982</v>
      </c>
      <c r="F56">
        <f>HYPERLINK("#'Amortisation and Repayments'!C2982","open")</f>
        <v/>
      </c>
      <c r="G56" t="n">
        <v>41</v>
      </c>
      <c r="H56">
        <f>'Loan Book'!E41</f>
        <v/>
      </c>
      <c r="I56">
        <f>'Mapping'!J38</f>
        <v/>
      </c>
      <c r="J56" t="inlineStr">
        <is>
          <t>False</t>
        </is>
      </c>
      <c r="K56" t="inlineStr">
        <is>
          <t>0</t>
        </is>
      </c>
      <c r="L56" t="inlineStr">
        <is>
          <t>73</t>
        </is>
      </c>
      <c r="M56" t="inlineStr">
        <is>
          <t>2023-02-02</t>
        </is>
      </c>
      <c r="N56" t="inlineStr">
        <is>
          <t>2025-12-31</t>
        </is>
      </c>
      <c r="O56" s="488" t="inlineStr">
        <is>
          <t>-5.3085386753082275e-08</t>
        </is>
      </c>
      <c r="P56" t="inlineStr">
        <is>
          <t>False</t>
        </is>
      </c>
      <c r="Q56" t="inlineStr">
        <is>
          <t>0.78</t>
        </is>
      </c>
    </row>
    <row r="57">
      <c r="A57" t="n">
        <v>56</v>
      </c>
      <c r="B57">
        <f>'Amortisation and Repayments'!C3073</f>
        <v/>
      </c>
      <c r="C57" s="488">
        <f>'Amortisation and Repayments'!D3075</f>
        <v/>
      </c>
      <c r="D57">
        <f>IF('Amortisation and Repayments'!D3076&lt;1,'Amortisation and Repayments'!D3076*100,'Amortisation and Repayments'!D3076)</f>
        <v/>
      </c>
      <c r="E57" t="n">
        <v>3073</v>
      </c>
      <c r="F57">
        <f>HYPERLINK("#'Amortisation and Repayments'!C3073","open")</f>
        <v/>
      </c>
      <c r="G57" t="n">
        <v>62</v>
      </c>
      <c r="H57">
        <f>'Loan Book'!E62</f>
        <v/>
      </c>
      <c r="I57">
        <f>'Mapping'!J59</f>
        <v/>
      </c>
      <c r="J57" t="inlineStr">
        <is>
          <t>False</t>
        </is>
      </c>
      <c r="K57" t="inlineStr">
        <is>
          <t>0</t>
        </is>
      </c>
      <c r="L57" t="inlineStr">
        <is>
          <t>57</t>
        </is>
      </c>
      <c r="M57" t="inlineStr">
        <is>
          <t>2023-02-07</t>
        </is>
      </c>
      <c r="N57" t="inlineStr">
        <is>
          <t>2025-02-28</t>
        </is>
      </c>
      <c r="O57" s="488" t="inlineStr">
        <is>
          <t>4.6566128730773926e-09</t>
        </is>
      </c>
      <c r="P57" t="inlineStr">
        <is>
          <t>False</t>
        </is>
      </c>
      <c r="Q57" t="inlineStr">
        <is>
          <t>1.44</t>
        </is>
      </c>
    </row>
    <row r="58">
      <c r="A58" t="n">
        <v>57</v>
      </c>
      <c r="B58">
        <f>'Amortisation and Repayments'!C3157</f>
        <v/>
      </c>
      <c r="C58" s="488">
        <f>'Amortisation and Repayments'!D3159</f>
        <v/>
      </c>
      <c r="D58">
        <f>IF('Amortisation and Repayments'!D3160&lt;1,'Amortisation and Repayments'!D3160*100,'Amortisation and Repayments'!D3160)</f>
        <v/>
      </c>
      <c r="E58" t="n">
        <v>3157</v>
      </c>
      <c r="F58">
        <f>HYPERLINK("#'Amortisation and Repayments'!C3157","open")</f>
        <v/>
      </c>
      <c r="G58" t="n">
        <v>64</v>
      </c>
      <c r="H58">
        <f>'Loan Book'!E64</f>
        <v/>
      </c>
      <c r="I58">
        <f>'Mapping'!J61</f>
        <v/>
      </c>
      <c r="J58" t="inlineStr">
        <is>
          <t>False</t>
        </is>
      </c>
      <c r="K58" t="inlineStr">
        <is>
          <t>0</t>
        </is>
      </c>
      <c r="L58" t="inlineStr">
        <is>
          <t>61</t>
        </is>
      </c>
      <c r="M58" t="inlineStr">
        <is>
          <t>2023-02-20</t>
        </is>
      </c>
      <c r="N58" t="inlineStr">
        <is>
          <t>2025-02-28</t>
        </is>
      </c>
      <c r="O58" s="488" t="inlineStr">
        <is>
          <t>-1.862645149230957e-08</t>
        </is>
      </c>
      <c r="P58" t="inlineStr">
        <is>
          <t>False</t>
        </is>
      </c>
      <c r="Q58" t="inlineStr">
        <is>
          <t>1.5</t>
        </is>
      </c>
    </row>
    <row r="59">
      <c r="A59" t="n">
        <v>58</v>
      </c>
      <c r="B59">
        <f>'Amortisation and Repayments'!C3235</f>
        <v/>
      </c>
      <c r="C59" s="488">
        <f>'Amortisation and Repayments'!D3237</f>
        <v/>
      </c>
      <c r="D59">
        <f>IF('Amortisation and Repayments'!D3238&lt;1,'Amortisation and Repayments'!D3238*100,'Amortisation and Repayments'!D3238)</f>
        <v/>
      </c>
      <c r="E59" t="n">
        <v>3235</v>
      </c>
      <c r="F59">
        <f>HYPERLINK("#'Amortisation and Repayments'!C3235","open")</f>
        <v/>
      </c>
      <c r="G59" t="n">
        <v>65</v>
      </c>
      <c r="H59">
        <f>'Loan Book'!E65</f>
        <v/>
      </c>
      <c r="I59">
        <f>'Mapping'!J62</f>
        <v/>
      </c>
      <c r="J59" t="inlineStr">
        <is>
          <t>False</t>
        </is>
      </c>
      <c r="K59" t="inlineStr">
        <is>
          <t>0</t>
        </is>
      </c>
      <c r="L59" t="inlineStr">
        <is>
          <t>13</t>
        </is>
      </c>
      <c r="M59" t="inlineStr">
        <is>
          <t>2023-02-28</t>
        </is>
      </c>
      <c r="N59" t="inlineStr">
        <is>
          <t>2024-02-29</t>
        </is>
      </c>
      <c r="O59" s="488" t="inlineStr">
        <is>
          <t>0.0018464252352714539</t>
        </is>
      </c>
      <c r="P59" t="inlineStr">
        <is>
          <t>False</t>
        </is>
      </c>
      <c r="Q59" t="inlineStr">
        <is>
          <t>1.49</t>
        </is>
      </c>
    </row>
    <row r="60">
      <c r="A60" t="n">
        <v>59</v>
      </c>
      <c r="B60">
        <f>'Amortisation and Repayments'!C3264</f>
        <v/>
      </c>
      <c r="C60" s="488">
        <f>'Amortisation and Repayments'!D3266</f>
        <v/>
      </c>
      <c r="D60">
        <f>IF('Amortisation and Repayments'!D3267&lt;1,'Amortisation and Repayments'!D3267*100,'Amortisation and Repayments'!D3267)</f>
        <v/>
      </c>
      <c r="E60" t="n">
        <v>3264</v>
      </c>
      <c r="F60">
        <f>HYPERLINK("#'Amortisation and Repayments'!C3264","open")</f>
        <v/>
      </c>
      <c r="G60" t="n">
        <v>66</v>
      </c>
      <c r="H60">
        <f>'Loan Book'!E66</f>
        <v/>
      </c>
      <c r="I60">
        <f>'Mapping'!J63</f>
        <v/>
      </c>
      <c r="J60" t="inlineStr">
        <is>
          <t>False</t>
        </is>
      </c>
      <c r="K60" t="inlineStr">
        <is>
          <t>0</t>
        </is>
      </c>
      <c r="L60" t="inlineStr">
        <is>
          <t>25</t>
        </is>
      </c>
      <c r="M60" t="inlineStr">
        <is>
          <t>2023-03-20</t>
        </is>
      </c>
      <c r="N60" t="inlineStr">
        <is>
          <t>2025-03-31</t>
        </is>
      </c>
      <c r="O60" s="488" t="inlineStr">
        <is>
          <t>-2.561137080192566e-09</t>
        </is>
      </c>
      <c r="P60" t="inlineStr">
        <is>
          <t>False</t>
        </is>
      </c>
      <c r="Q60" t="inlineStr">
        <is>
          <t>1.5</t>
        </is>
      </c>
    </row>
    <row r="61">
      <c r="A61" t="n">
        <v>60</v>
      </c>
      <c r="B61">
        <f>'Amortisation and Repayments'!C3304</f>
        <v/>
      </c>
      <c r="C61" s="488">
        <f>'Amortisation and Repayments'!D3306</f>
        <v/>
      </c>
      <c r="D61">
        <f>IF('Amortisation and Repayments'!D3307&lt;1,'Amortisation and Repayments'!D3307*100,'Amortisation and Repayments'!D3307)</f>
        <v/>
      </c>
      <c r="E61" t="n">
        <v>3304</v>
      </c>
      <c r="F61">
        <f>HYPERLINK("#'Amortisation and Repayments'!C3304","open")</f>
        <v/>
      </c>
      <c r="G61" t="n">
        <v>67</v>
      </c>
      <c r="H61">
        <f>'Loan Book'!E67</f>
        <v/>
      </c>
      <c r="I61">
        <f>'Mapping'!J64</f>
        <v/>
      </c>
      <c r="J61" t="inlineStr">
        <is>
          <t>False</t>
        </is>
      </c>
      <c r="K61" t="inlineStr">
        <is>
          <t>10</t>
        </is>
      </c>
      <c r="L61" t="inlineStr">
        <is>
          <t>49</t>
        </is>
      </c>
      <c r="M61" t="inlineStr">
        <is>
          <t>2023-03-24</t>
        </is>
      </c>
      <c r="N61" t="inlineStr">
        <is>
          <t>2027-01-31</t>
        </is>
      </c>
      <c r="O61" s="488" t="inlineStr">
        <is>
          <t>0.0</t>
        </is>
      </c>
      <c r="P61" t="inlineStr">
        <is>
          <t>False</t>
        </is>
      </c>
      <c r="Q61" t="inlineStr">
        <is>
          <t>1.5</t>
        </is>
      </c>
    </row>
    <row r="62">
      <c r="A62" t="n">
        <v>61</v>
      </c>
      <c r="B62">
        <f>'Amortisation and Repayments'!C3370</f>
        <v/>
      </c>
      <c r="C62" s="488">
        <f>'Amortisation and Repayments'!D3372</f>
        <v/>
      </c>
      <c r="D62">
        <f>IF('Amortisation and Repayments'!D3373&lt;1,'Amortisation and Repayments'!D3373*100,'Amortisation and Repayments'!D3373)</f>
        <v/>
      </c>
      <c r="E62" t="n">
        <v>3370</v>
      </c>
      <c r="F62">
        <f>HYPERLINK("#'Amortisation and Repayments'!C3370","open")</f>
        <v/>
      </c>
      <c r="G62" t="n">
        <v>68</v>
      </c>
      <c r="H62">
        <f>'Loan Book'!E68</f>
        <v/>
      </c>
      <c r="I62">
        <f>'Mapping'!J65</f>
        <v/>
      </c>
      <c r="J62" t="inlineStr">
        <is>
          <t>False</t>
        </is>
      </c>
      <c r="K62" t="inlineStr">
        <is>
          <t>0</t>
        </is>
      </c>
      <c r="L62" t="inlineStr">
        <is>
          <t>49</t>
        </is>
      </c>
      <c r="M62" t="inlineStr">
        <is>
          <t>2023-04-18</t>
        </is>
      </c>
      <c r="N62" t="inlineStr">
        <is>
          <t>2027-02-28</t>
        </is>
      </c>
      <c r="O62" s="488" t="inlineStr">
        <is>
          <t>-4.190951585769653e-08</t>
        </is>
      </c>
      <c r="P62" t="inlineStr">
        <is>
          <t>False</t>
        </is>
      </c>
      <c r="Q62" t="inlineStr">
        <is>
          <t>1.5</t>
        </is>
      </c>
    </row>
    <row r="63">
      <c r="A63" t="n">
        <v>62</v>
      </c>
      <c r="B63">
        <f>'Amortisation and Repayments'!C3436</f>
        <v/>
      </c>
      <c r="C63" s="488">
        <f>'Amortisation and Repayments'!D3438</f>
        <v/>
      </c>
      <c r="D63">
        <f>IF('Amortisation and Repayments'!D3439&lt;1,'Amortisation and Repayments'!D3439*100,'Amortisation and Repayments'!D3439)</f>
        <v/>
      </c>
      <c r="E63" t="n">
        <v>3436</v>
      </c>
      <c r="F63">
        <f>HYPERLINK("#'Amortisation and Repayments'!C3436","open")</f>
        <v/>
      </c>
      <c r="G63" t="n">
        <v>69</v>
      </c>
      <c r="H63">
        <f>'Loan Book'!E69</f>
        <v/>
      </c>
      <c r="I63">
        <f>'Mapping'!J66</f>
        <v/>
      </c>
      <c r="J63" t="inlineStr">
        <is>
          <t>False</t>
        </is>
      </c>
      <c r="K63" t="inlineStr">
        <is>
          <t>0</t>
        </is>
      </c>
      <c r="L63" t="inlineStr">
        <is>
          <t>24</t>
        </is>
      </c>
      <c r="M63" t="inlineStr">
        <is>
          <t>2023-05-02</t>
        </is>
      </c>
      <c r="N63" t="inlineStr">
        <is>
          <t>2025-04-30</t>
        </is>
      </c>
      <c r="O63" s="488" t="inlineStr">
        <is>
          <t>-9.080395102500916e-09</t>
        </is>
      </c>
      <c r="P63" t="inlineStr">
        <is>
          <t>False</t>
        </is>
      </c>
      <c r="Q63" t="inlineStr">
        <is>
          <t>1.48</t>
        </is>
      </c>
    </row>
    <row r="64">
      <c r="A64" t="n">
        <v>63</v>
      </c>
      <c r="B64">
        <f>'Amortisation and Repayments'!C3474</f>
        <v/>
      </c>
      <c r="C64" s="488">
        <f>'Amortisation and Repayments'!D3476</f>
        <v/>
      </c>
      <c r="D64">
        <f>IF('Amortisation and Repayments'!D3477&lt;1,'Amortisation and Repayments'!D3477*100,'Amortisation and Repayments'!D3477)</f>
        <v/>
      </c>
      <c r="E64" t="n">
        <v>3474</v>
      </c>
      <c r="F64">
        <f>HYPERLINK("#'Amortisation and Repayments'!C3474","open")</f>
        <v/>
      </c>
      <c r="G64" t="n">
        <v>70</v>
      </c>
      <c r="H64">
        <f>'Loan Book'!E70</f>
        <v/>
      </c>
      <c r="I64">
        <f>'Mapping'!J67</f>
        <v/>
      </c>
      <c r="J64" t="inlineStr">
        <is>
          <t>False</t>
        </is>
      </c>
      <c r="K64" t="inlineStr">
        <is>
          <t>0</t>
        </is>
      </c>
      <c r="L64" t="inlineStr">
        <is>
          <t>49</t>
        </is>
      </c>
      <c r="M64" t="inlineStr">
        <is>
          <t>2023-05-18</t>
        </is>
      </c>
      <c r="N64" t="inlineStr">
        <is>
          <t>2027-05-31</t>
        </is>
      </c>
      <c r="O64" s="488" t="inlineStr">
        <is>
          <t>-1.0943040251731873e-08</t>
        </is>
      </c>
      <c r="P64" t="inlineStr">
        <is>
          <t>False</t>
        </is>
      </c>
      <c r="Q64" t="inlineStr">
        <is>
          <t>1.5</t>
        </is>
      </c>
    </row>
    <row r="65">
      <c r="A65" t="n">
        <v>64</v>
      </c>
      <c r="B65">
        <f>'Amortisation and Repayments'!C3540</f>
        <v/>
      </c>
      <c r="C65" s="488">
        <f>'Amortisation and Repayments'!D3542</f>
        <v/>
      </c>
      <c r="D65">
        <f>IF('Amortisation and Repayments'!D3543&lt;1,'Amortisation and Repayments'!D3543*100,'Amortisation and Repayments'!D3543)</f>
        <v/>
      </c>
      <c r="E65" t="n">
        <v>3540</v>
      </c>
      <c r="F65">
        <f>HYPERLINK("#'Amortisation and Repayments'!C3540","open")</f>
        <v/>
      </c>
      <c r="G65" t="n">
        <v>71</v>
      </c>
      <c r="H65">
        <f>'Loan Book'!E71</f>
        <v/>
      </c>
      <c r="I65">
        <f>'Mapping'!J68</f>
        <v/>
      </c>
      <c r="J65" t="inlineStr">
        <is>
          <t>False</t>
        </is>
      </c>
      <c r="K65" t="inlineStr">
        <is>
          <t>0</t>
        </is>
      </c>
      <c r="L65" t="inlineStr">
        <is>
          <t>25</t>
        </is>
      </c>
      <c r="M65" t="inlineStr">
        <is>
          <t>2023-05-18</t>
        </is>
      </c>
      <c r="N65" t="inlineStr">
        <is>
          <t>2025-05-31</t>
        </is>
      </c>
      <c r="O65" s="488" t="inlineStr">
        <is>
          <t>-2.0489096641540527e-08</t>
        </is>
      </c>
      <c r="P65" t="inlineStr">
        <is>
          <t>False</t>
        </is>
      </c>
      <c r="Q65" t="inlineStr">
        <is>
          <t>1.47</t>
        </is>
      </c>
    </row>
    <row r="66">
      <c r="A66" t="n">
        <v>65</v>
      </c>
      <c r="B66">
        <f>'Amortisation and Repayments'!C3582</f>
        <v/>
      </c>
      <c r="C66" s="488">
        <f>'Amortisation and Repayments'!D3584</f>
        <v/>
      </c>
      <c r="D66">
        <f>IF('Amortisation and Repayments'!D3585&lt;1,'Amortisation and Repayments'!D3585*100,'Amortisation and Repayments'!D3585)</f>
        <v/>
      </c>
      <c r="E66" t="n">
        <v>3582</v>
      </c>
      <c r="F66">
        <f>HYPERLINK("#'Amortisation and Repayments'!C3582","open")</f>
        <v/>
      </c>
      <c r="G66" t="n">
        <v>72</v>
      </c>
      <c r="H66">
        <f>'Loan Book'!E72</f>
        <v/>
      </c>
      <c r="I66">
        <f>'Mapping'!J69</f>
        <v/>
      </c>
      <c r="J66" t="inlineStr">
        <is>
          <t>False</t>
        </is>
      </c>
      <c r="K66" t="inlineStr">
        <is>
          <t>0</t>
        </is>
      </c>
      <c r="L66" t="inlineStr">
        <is>
          <t>25</t>
        </is>
      </c>
      <c r="M66" t="inlineStr">
        <is>
          <t>2023-05-19</t>
        </is>
      </c>
      <c r="N66" t="inlineStr">
        <is>
          <t>2025-05-31</t>
        </is>
      </c>
      <c r="O66" s="488" t="inlineStr">
        <is>
          <t>0.0</t>
        </is>
      </c>
      <c r="P66" t="inlineStr">
        <is>
          <t>False</t>
        </is>
      </c>
      <c r="Q66" t="inlineStr">
        <is>
          <t>1.5</t>
        </is>
      </c>
    </row>
    <row r="67">
      <c r="A67" t="n">
        <v>66</v>
      </c>
      <c r="B67">
        <f>'Amortisation and Repayments'!C3626</f>
        <v/>
      </c>
      <c r="C67" s="488">
        <f>'Amortisation and Repayments'!D3628</f>
        <v/>
      </c>
      <c r="D67">
        <f>IF('Amortisation and Repayments'!D3629&lt;1,'Amortisation and Repayments'!D3629*100,'Amortisation and Repayments'!D3629)</f>
        <v/>
      </c>
      <c r="E67" t="n">
        <v>3626</v>
      </c>
      <c r="F67">
        <f>HYPERLINK("#'Amortisation and Repayments'!C3626","open")</f>
        <v/>
      </c>
      <c r="G67" t="n">
        <v>73</v>
      </c>
      <c r="H67">
        <f>'Loan Book'!E73</f>
        <v/>
      </c>
      <c r="I67">
        <f>'Mapping'!J70</f>
        <v/>
      </c>
      <c r="J67" t="inlineStr">
        <is>
          <t>False</t>
        </is>
      </c>
      <c r="K67" t="inlineStr">
        <is>
          <t>0</t>
        </is>
      </c>
      <c r="L67" t="inlineStr">
        <is>
          <t>49</t>
        </is>
      </c>
      <c r="M67" t="inlineStr">
        <is>
          <t>2023-07-10</t>
        </is>
      </c>
      <c r="N67" t="inlineStr">
        <is>
          <t>2027-07-31</t>
        </is>
      </c>
      <c r="O67" s="488" t="inlineStr">
        <is>
          <t>-1.4901161193847656e-08</t>
        </is>
      </c>
      <c r="P67" t="inlineStr">
        <is>
          <t>False</t>
        </is>
      </c>
      <c r="Q67" t="inlineStr">
        <is>
          <t>1.5</t>
        </is>
      </c>
    </row>
    <row r="68">
      <c r="A68" t="n">
        <v>67</v>
      </c>
      <c r="B68">
        <f>'Amortisation and Repayments'!C3692</f>
        <v/>
      </c>
      <c r="C68" s="488">
        <f>'Amortisation and Repayments'!D3694</f>
        <v/>
      </c>
      <c r="D68">
        <f>IF('Amortisation and Repayments'!D3695&lt;1,'Amortisation and Repayments'!D3695*100,'Amortisation and Repayments'!D3695)</f>
        <v/>
      </c>
      <c r="E68" t="n">
        <v>3692</v>
      </c>
      <c r="F68">
        <f>HYPERLINK("#'Amortisation and Repayments'!C3692","open")</f>
        <v/>
      </c>
      <c r="G68" t="n">
        <v>74</v>
      </c>
      <c r="H68">
        <f>'Loan Book'!E74</f>
        <v/>
      </c>
      <c r="I68">
        <f>'Mapping'!J71</f>
        <v/>
      </c>
      <c r="J68" t="inlineStr">
        <is>
          <t>False</t>
        </is>
      </c>
      <c r="K68" t="inlineStr">
        <is>
          <t>0</t>
        </is>
      </c>
      <c r="L68" t="inlineStr">
        <is>
          <t>49</t>
        </is>
      </c>
      <c r="M68" t="inlineStr">
        <is>
          <t>2023-07-20</t>
        </is>
      </c>
      <c r="N68" t="inlineStr">
        <is>
          <t>2027-07-31</t>
        </is>
      </c>
      <c r="O68" s="488" t="inlineStr">
        <is>
          <t>1.30385160446167e-08</t>
        </is>
      </c>
      <c r="P68" t="inlineStr">
        <is>
          <t>False</t>
        </is>
      </c>
      <c r="Q68" t="inlineStr">
        <is>
          <t>1.5</t>
        </is>
      </c>
    </row>
    <row r="69">
      <c r="A69" t="n">
        <v>68</v>
      </c>
      <c r="B69">
        <f>'Amortisation and Repayments'!C3758</f>
        <v/>
      </c>
      <c r="C69" s="488">
        <f>'Amortisation and Repayments'!D3760</f>
        <v/>
      </c>
      <c r="D69">
        <f>IF('Amortisation and Repayments'!D3761&lt;1,'Amortisation and Repayments'!D3761*100,'Amortisation and Repayments'!D3761)</f>
        <v/>
      </c>
      <c r="E69" t="n">
        <v>3758</v>
      </c>
      <c r="F69">
        <f>HYPERLINK("#'Amortisation and Repayments'!C3758","open")</f>
        <v/>
      </c>
      <c r="G69" t="n">
        <v>75</v>
      </c>
      <c r="H69">
        <f>'Loan Book'!E75</f>
        <v/>
      </c>
      <c r="I69">
        <f>'Mapping'!J72</f>
        <v/>
      </c>
      <c r="J69" t="inlineStr">
        <is>
          <t>False</t>
        </is>
      </c>
      <c r="K69" t="inlineStr">
        <is>
          <t>0</t>
        </is>
      </c>
      <c r="L69" t="inlineStr">
        <is>
          <t>25</t>
        </is>
      </c>
      <c r="M69" t="inlineStr">
        <is>
          <t>2023-07-20</t>
        </is>
      </c>
      <c r="N69" t="inlineStr">
        <is>
          <t>2025-07-30</t>
        </is>
      </c>
      <c r="O69" s="488" t="inlineStr">
        <is>
          <t>0.0</t>
        </is>
      </c>
      <c r="P69" t="inlineStr">
        <is>
          <t>False</t>
        </is>
      </c>
      <c r="Q69" t="inlineStr">
        <is>
          <t>1.0</t>
        </is>
      </c>
    </row>
    <row r="70">
      <c r="A70" t="n">
        <v>69</v>
      </c>
      <c r="B70">
        <f>'Amortisation and Repayments'!C3799</f>
        <v/>
      </c>
      <c r="C70" s="488">
        <f>'Amortisation and Repayments'!D3801</f>
        <v/>
      </c>
      <c r="D70">
        <f>IF('Amortisation and Repayments'!D3802&lt;1,'Amortisation and Repayments'!D3802*100,'Amortisation and Repayments'!D3802)</f>
        <v/>
      </c>
      <c r="E70" t="n">
        <v>3799</v>
      </c>
      <c r="F70">
        <f>HYPERLINK("#'Amortisation and Repayments'!C3799","open")</f>
        <v/>
      </c>
      <c r="G70" t="n">
        <v>79</v>
      </c>
      <c r="H70">
        <f>'Loan Book'!E79</f>
        <v/>
      </c>
      <c r="I70">
        <f>'Mapping'!J76</f>
        <v/>
      </c>
      <c r="J70" t="inlineStr">
        <is>
          <t>False</t>
        </is>
      </c>
      <c r="K70" t="inlineStr">
        <is>
          <t>0</t>
        </is>
      </c>
      <c r="L70" t="inlineStr">
        <is>
          <t>25</t>
        </is>
      </c>
      <c r="M70" t="inlineStr">
        <is>
          <t>2023-07-01</t>
        </is>
      </c>
      <c r="N70" t="inlineStr">
        <is>
          <t>2025-07-30</t>
        </is>
      </c>
      <c r="O70" s="488" t="inlineStr">
        <is>
          <t>-2.561137080192566e-09</t>
        </is>
      </c>
      <c r="P70" t="inlineStr">
        <is>
          <t>False</t>
        </is>
      </c>
      <c r="Q70" t="inlineStr">
        <is>
          <t>1.5</t>
        </is>
      </c>
    </row>
    <row r="71">
      <c r="A71" t="n">
        <v>70</v>
      </c>
      <c r="B71">
        <f>'Amortisation and Repayments'!C3841</f>
        <v/>
      </c>
      <c r="C71" s="488">
        <f>'Amortisation and Repayments'!D3843</f>
        <v/>
      </c>
      <c r="D71">
        <f>IF('Amortisation and Repayments'!D3844&lt;1,'Amortisation and Repayments'!D3844*100,'Amortisation and Repayments'!D3844)</f>
        <v/>
      </c>
      <c r="E71" t="n">
        <v>3841</v>
      </c>
      <c r="F71">
        <f>HYPERLINK("#'Amortisation and Repayments'!C3841","open")</f>
        <v/>
      </c>
      <c r="G71" t="n">
        <v>76</v>
      </c>
      <c r="H71">
        <f>'Loan Book'!E76</f>
        <v/>
      </c>
      <c r="I71">
        <f>'Mapping'!J73</f>
        <v/>
      </c>
      <c r="J71" t="inlineStr">
        <is>
          <t>False</t>
        </is>
      </c>
      <c r="K71" t="inlineStr">
        <is>
          <t>0</t>
        </is>
      </c>
      <c r="L71" t="inlineStr">
        <is>
          <t>49</t>
        </is>
      </c>
      <c r="M71" t="inlineStr">
        <is>
          <t>2023-07-31</t>
        </is>
      </c>
      <c r="N71" t="inlineStr">
        <is>
          <t>2027-07-31</t>
        </is>
      </c>
      <c r="O71" s="488" t="inlineStr">
        <is>
          <t>2.7939677238464355e-08</t>
        </is>
      </c>
      <c r="P71" t="inlineStr">
        <is>
          <t>False</t>
        </is>
      </c>
      <c r="Q71" t="inlineStr">
        <is>
          <t>1.5</t>
        </is>
      </c>
    </row>
    <row r="72">
      <c r="A72" t="n">
        <v>71</v>
      </c>
      <c r="B72">
        <f>'Amortisation and Repayments'!C3907</f>
        <v/>
      </c>
      <c r="C72" s="488">
        <f>'Amortisation and Repayments'!D3909</f>
        <v/>
      </c>
      <c r="D72">
        <f>IF('Amortisation and Repayments'!D3910&lt;1,'Amortisation and Repayments'!D3910*100,'Amortisation and Repayments'!D3910)</f>
        <v/>
      </c>
      <c r="E72" t="n">
        <v>3907</v>
      </c>
      <c r="F72">
        <f>HYPERLINK("#'Amortisation and Repayments'!C3907","open")</f>
        <v/>
      </c>
      <c r="G72" t="n">
        <v>77</v>
      </c>
      <c r="H72">
        <f>'Loan Book'!E77</f>
        <v/>
      </c>
      <c r="I72">
        <f>'Mapping'!J74</f>
        <v/>
      </c>
      <c r="J72" t="inlineStr">
        <is>
          <t>False</t>
        </is>
      </c>
      <c r="K72" t="inlineStr">
        <is>
          <t>0</t>
        </is>
      </c>
      <c r="L72" t="inlineStr">
        <is>
          <t>25</t>
        </is>
      </c>
      <c r="M72" t="inlineStr">
        <is>
          <t>2023-07-31</t>
        </is>
      </c>
      <c r="N72" t="inlineStr">
        <is>
          <t>2025-07-30</t>
        </is>
      </c>
      <c r="O72" s="488" t="inlineStr">
        <is>
          <t>-1.5133991837501526e-09</t>
        </is>
      </c>
      <c r="P72" t="inlineStr">
        <is>
          <t>False</t>
        </is>
      </c>
      <c r="Q72" t="inlineStr">
        <is>
          <t>1.5</t>
        </is>
      </c>
    </row>
    <row r="73">
      <c r="A73" t="n">
        <v>72</v>
      </c>
      <c r="B73">
        <f>'Amortisation and Repayments'!C3949</f>
        <v/>
      </c>
      <c r="C73" s="488">
        <f>'Amortisation and Repayments'!D3951</f>
        <v/>
      </c>
      <c r="D73">
        <f>IF('Amortisation and Repayments'!D3952&lt;1,'Amortisation and Repayments'!D3952*100,'Amortisation and Repayments'!D3952)</f>
        <v/>
      </c>
      <c r="E73" t="n">
        <v>3949</v>
      </c>
      <c r="F73">
        <f>HYPERLINK("#'Amortisation and Repayments'!C3949","open")</f>
        <v/>
      </c>
      <c r="G73" t="n">
        <v>78</v>
      </c>
      <c r="H73">
        <f>'Loan Book'!E78</f>
        <v/>
      </c>
      <c r="I73">
        <f>'Mapping'!J75</f>
        <v/>
      </c>
      <c r="J73" t="inlineStr">
        <is>
          <t>False</t>
        </is>
      </c>
      <c r="K73" t="inlineStr">
        <is>
          <t>0</t>
        </is>
      </c>
      <c r="L73" t="inlineStr">
        <is>
          <t>25</t>
        </is>
      </c>
      <c r="M73" t="inlineStr">
        <is>
          <t>2023-07-31</t>
        </is>
      </c>
      <c r="N73" t="inlineStr">
        <is>
          <t>2025-07-30</t>
        </is>
      </c>
      <c r="O73" s="488" t="inlineStr">
        <is>
          <t>-3.958120942115784e-09</t>
        </is>
      </c>
      <c r="P73" t="inlineStr">
        <is>
          <t>False</t>
        </is>
      </c>
      <c r="Q73" t="inlineStr">
        <is>
          <t>1.5</t>
        </is>
      </c>
    </row>
    <row r="74">
      <c r="A74" t="n">
        <v>73</v>
      </c>
      <c r="B74">
        <f>'Amortisation and Repayments'!C3991</f>
        <v/>
      </c>
      <c r="C74" s="488">
        <f>'Amortisation and Repayments'!D3993</f>
        <v/>
      </c>
      <c r="D74">
        <f>IF('Amortisation and Repayments'!D3994&lt;1,'Amortisation and Repayments'!D3994*100,'Amortisation and Repayments'!D3994)</f>
        <v/>
      </c>
      <c r="E74" t="n">
        <v>3991</v>
      </c>
      <c r="F74">
        <f>HYPERLINK("#'Amortisation and Repayments'!C3991","open")</f>
        <v/>
      </c>
      <c r="G74" t="n">
        <v>80</v>
      </c>
      <c r="H74">
        <f>'Loan Book'!E80</f>
        <v/>
      </c>
      <c r="I74">
        <f>'Mapping'!J77</f>
        <v/>
      </c>
      <c r="J74" t="inlineStr">
        <is>
          <t>False</t>
        </is>
      </c>
      <c r="K74" t="inlineStr">
        <is>
          <t>0</t>
        </is>
      </c>
      <c r="L74" t="inlineStr">
        <is>
          <t>49</t>
        </is>
      </c>
      <c r="M74" t="inlineStr">
        <is>
          <t>2023-08-07</t>
        </is>
      </c>
      <c r="N74" t="inlineStr">
        <is>
          <t>2027-08-31</t>
        </is>
      </c>
      <c r="O74" s="488" t="inlineStr">
        <is>
          <t>2.0489096641540527e-08</t>
        </is>
      </c>
      <c r="P74" t="inlineStr">
        <is>
          <t>False</t>
        </is>
      </c>
      <c r="Q74" t="inlineStr">
        <is>
          <t>1.5</t>
        </is>
      </c>
    </row>
    <row r="75">
      <c r="A75" t="n">
        <v>74</v>
      </c>
      <c r="B75">
        <f>'Amortisation and Repayments'!C4056</f>
        <v/>
      </c>
      <c r="C75" s="488">
        <f>'Amortisation and Repayments'!D4058</f>
        <v/>
      </c>
      <c r="D75">
        <f>IF('Amortisation and Repayments'!D4059&lt;1,'Amortisation and Repayments'!D4059*100,'Amortisation and Repayments'!D4059)</f>
        <v/>
      </c>
      <c r="E75" t="n">
        <v>4056</v>
      </c>
      <c r="F75">
        <f>HYPERLINK("#'Amortisation and Repayments'!C4056","open")</f>
        <v/>
      </c>
      <c r="G75" t="n">
        <v>81</v>
      </c>
      <c r="H75">
        <f>'Loan Book'!E81</f>
        <v/>
      </c>
      <c r="I75">
        <f>'Mapping'!J78</f>
        <v/>
      </c>
      <c r="J75" t="inlineStr">
        <is>
          <t>False</t>
        </is>
      </c>
      <c r="K75" t="inlineStr">
        <is>
          <t>0</t>
        </is>
      </c>
      <c r="L75" t="inlineStr">
        <is>
          <t>37</t>
        </is>
      </c>
      <c r="M75" t="inlineStr">
        <is>
          <t>2023-08-15</t>
        </is>
      </c>
      <c r="N75" t="inlineStr">
        <is>
          <t>2026-03-02</t>
        </is>
      </c>
      <c r="O75" s="488" t="inlineStr">
        <is>
          <t>0.0</t>
        </is>
      </c>
      <c r="P75" t="inlineStr">
        <is>
          <t>False</t>
        </is>
      </c>
      <c r="Q75" t="inlineStr">
        <is>
          <t>1.46</t>
        </is>
      </c>
    </row>
    <row r="76">
      <c r="A76" t="n">
        <v>75</v>
      </c>
      <c r="B76">
        <f>'Amortisation and Repayments'!C4109</f>
        <v/>
      </c>
      <c r="C76" s="488">
        <f>'Amortisation and Repayments'!D4111</f>
        <v/>
      </c>
      <c r="D76">
        <f>IF('Amortisation and Repayments'!D4112&lt;1,'Amortisation and Repayments'!D4112*100,'Amortisation and Repayments'!D4112)</f>
        <v/>
      </c>
      <c r="E76" t="n">
        <v>4109</v>
      </c>
      <c r="F76">
        <f>HYPERLINK("#'Amortisation and Repayments'!C4109","open")</f>
        <v/>
      </c>
      <c r="G76" t="n">
        <v>82</v>
      </c>
      <c r="H76">
        <f>'Loan Book'!E82</f>
        <v/>
      </c>
      <c r="I76">
        <f>'Mapping'!J79</f>
        <v/>
      </c>
      <c r="J76" t="inlineStr">
        <is>
          <t>False</t>
        </is>
      </c>
      <c r="K76" t="inlineStr">
        <is>
          <t>0</t>
        </is>
      </c>
      <c r="L76" t="inlineStr">
        <is>
          <t>49</t>
        </is>
      </c>
      <c r="M76" t="inlineStr">
        <is>
          <t>2023-10-17</t>
        </is>
      </c>
      <c r="N76" t="inlineStr">
        <is>
          <t>2027-10-31</t>
        </is>
      </c>
      <c r="O76" s="488" t="inlineStr">
        <is>
          <t>-1.3969838619232178e-08</t>
        </is>
      </c>
      <c r="P76" t="inlineStr">
        <is>
          <t>False</t>
        </is>
      </c>
      <c r="Q76" t="inlineStr">
        <is>
          <t>1.17</t>
        </is>
      </c>
    </row>
    <row r="77">
      <c r="A77" t="n">
        <v>76</v>
      </c>
      <c r="B77">
        <f>'Amortisation and Repayments'!C4173</f>
        <v/>
      </c>
      <c r="C77" s="488">
        <f>'Amortisation and Repayments'!D4175</f>
        <v/>
      </c>
      <c r="D77">
        <f>IF('Amortisation and Repayments'!D4176&lt;1,'Amortisation and Repayments'!D4176*100,'Amortisation and Repayments'!D4176)</f>
        <v/>
      </c>
      <c r="E77" t="n">
        <v>4173</v>
      </c>
      <c r="F77">
        <f>HYPERLINK("#'Amortisation and Repayments'!C4173","open")</f>
        <v/>
      </c>
      <c r="G77" t="n">
        <v>83</v>
      </c>
      <c r="H77">
        <f>'Loan Book'!E83</f>
        <v/>
      </c>
      <c r="I77">
        <f>'Mapping'!J80</f>
        <v/>
      </c>
      <c r="J77" t="inlineStr">
        <is>
          <t>False</t>
        </is>
      </c>
      <c r="K77" t="inlineStr">
        <is>
          <t>0</t>
        </is>
      </c>
      <c r="L77" t="inlineStr">
        <is>
          <t>37</t>
        </is>
      </c>
      <c r="M77" t="inlineStr">
        <is>
          <t>2023-10-23</t>
        </is>
      </c>
      <c r="N77" t="inlineStr">
        <is>
          <t>2026-10-31</t>
        </is>
      </c>
      <c r="O77" s="488" t="inlineStr">
        <is>
          <t>-1.30385160446167e-08</t>
        </is>
      </c>
      <c r="P77" t="inlineStr">
        <is>
          <t>False</t>
        </is>
      </c>
      <c r="Q77" t="inlineStr">
        <is>
          <t>1.5</t>
        </is>
      </c>
    </row>
    <row r="78">
      <c r="A78" t="n">
        <v>77</v>
      </c>
      <c r="B78">
        <f>'Amortisation and Repayments'!C4224</f>
        <v/>
      </c>
      <c r="C78" s="488">
        <f>'Amortisation and Repayments'!D4226</f>
        <v/>
      </c>
      <c r="D78">
        <f>IF('Amortisation and Repayments'!D4227&lt;1,'Amortisation and Repayments'!D4227*100,'Amortisation and Repayments'!D4227)</f>
        <v/>
      </c>
      <c r="E78" t="n">
        <v>4224</v>
      </c>
      <c r="F78">
        <f>HYPERLINK("#'Amortisation and Repayments'!C4224","open")</f>
        <v/>
      </c>
      <c r="G78" t="n">
        <v>84</v>
      </c>
      <c r="H78">
        <f>'Loan Book'!E84</f>
        <v/>
      </c>
      <c r="I78">
        <f>'Mapping'!J81</f>
        <v/>
      </c>
      <c r="J78" t="inlineStr">
        <is>
          <t>False</t>
        </is>
      </c>
      <c r="K78" t="inlineStr">
        <is>
          <t>0</t>
        </is>
      </c>
      <c r="L78" t="inlineStr">
        <is>
          <t>49</t>
        </is>
      </c>
      <c r="M78" t="inlineStr">
        <is>
          <t>2023-10-18</t>
        </is>
      </c>
      <c r="N78" t="inlineStr">
        <is>
          <t>2027-10-31</t>
        </is>
      </c>
      <c r="O78" s="488" t="inlineStr">
        <is>
          <t>4.936009645462036e-08</t>
        </is>
      </c>
      <c r="P78" t="inlineStr">
        <is>
          <t>False</t>
        </is>
      </c>
      <c r="Q78" t="inlineStr">
        <is>
          <t>1.5</t>
        </is>
      </c>
    </row>
    <row r="79">
      <c r="A79" t="n">
        <v>78</v>
      </c>
      <c r="B79">
        <f>'Amortisation and Repayments'!C4286</f>
        <v/>
      </c>
      <c r="C79" s="488">
        <f>'Amortisation and Repayments'!D4288</f>
        <v/>
      </c>
      <c r="D79">
        <f>IF('Amortisation and Repayments'!D4289&lt;1,'Amortisation and Repayments'!D4289*100,'Amortisation and Repayments'!D4289)</f>
        <v/>
      </c>
      <c r="E79" t="n">
        <v>4286</v>
      </c>
      <c r="F79">
        <f>HYPERLINK("#'Amortisation and Repayments'!C4286","open")</f>
        <v/>
      </c>
      <c r="G79" t="n">
        <v>85</v>
      </c>
      <c r="H79">
        <f>'Loan Book'!E85</f>
        <v/>
      </c>
      <c r="I79">
        <f>'Mapping'!J82</f>
        <v/>
      </c>
      <c r="J79" t="inlineStr">
        <is>
          <t>False</t>
        </is>
      </c>
      <c r="K79" t="inlineStr">
        <is>
          <t>0</t>
        </is>
      </c>
      <c r="L79" t="inlineStr">
        <is>
          <t>49</t>
        </is>
      </c>
      <c r="M79" t="inlineStr">
        <is>
          <t>2023-10-18</t>
        </is>
      </c>
      <c r="N79" t="inlineStr">
        <is>
          <t>2027-10-31</t>
        </is>
      </c>
      <c r="O79" s="488" t="inlineStr">
        <is>
          <t>1.5832483768463135e-08</t>
        </is>
      </c>
      <c r="P79" t="inlineStr">
        <is>
          <t>False</t>
        </is>
      </c>
      <c r="Q79" t="inlineStr">
        <is>
          <t>1.5</t>
        </is>
      </c>
    </row>
    <row r="80">
      <c r="A80" t="n">
        <v>79</v>
      </c>
      <c r="B80">
        <f>'Amortisation and Repayments'!C4351</f>
        <v/>
      </c>
      <c r="C80" s="488">
        <f>'Amortisation and Repayments'!D4353</f>
        <v/>
      </c>
      <c r="D80">
        <f>IF('Amortisation and Repayments'!D4354&lt;1,'Amortisation and Repayments'!D4354*100,'Amortisation and Repayments'!D4354)</f>
        <v/>
      </c>
      <c r="E80" t="n">
        <v>4351</v>
      </c>
      <c r="F80">
        <f>HYPERLINK("#'Amortisation and Repayments'!C4351","open")</f>
        <v/>
      </c>
      <c r="G80" t="n">
        <v>86</v>
      </c>
      <c r="H80">
        <f>'Loan Book'!E86</f>
        <v/>
      </c>
      <c r="I80">
        <f>'Mapping'!J83</f>
        <v/>
      </c>
      <c r="J80" t="inlineStr">
        <is>
          <t>False</t>
        </is>
      </c>
      <c r="K80" t="inlineStr">
        <is>
          <t>0</t>
        </is>
      </c>
      <c r="L80" t="inlineStr">
        <is>
          <t>37</t>
        </is>
      </c>
      <c r="M80" t="inlineStr">
        <is>
          <t>2023-11-22</t>
        </is>
      </c>
      <c r="N80" t="inlineStr">
        <is>
          <t>2026-11-30</t>
        </is>
      </c>
      <c r="O80" s="488" t="inlineStr">
        <is>
          <t>-8.614733815193176e-09</t>
        </is>
      </c>
      <c r="P80" t="inlineStr">
        <is>
          <t>False</t>
        </is>
      </c>
      <c r="Q80" t="inlineStr">
        <is>
          <t>1.5</t>
        </is>
      </c>
    </row>
    <row r="81">
      <c r="A81" t="n">
        <v>80</v>
      </c>
      <c r="B81">
        <f>'Amortisation and Repayments'!C4404</f>
        <v/>
      </c>
      <c r="C81" s="488">
        <f>'Amortisation and Repayments'!D4406</f>
        <v/>
      </c>
      <c r="D81">
        <f>IF('Amortisation and Repayments'!D4407&lt;1,'Amortisation and Repayments'!D4407*100,'Amortisation and Repayments'!D4407)</f>
        <v/>
      </c>
      <c r="E81" t="n">
        <v>4404</v>
      </c>
      <c r="F81">
        <f>HYPERLINK("#'Amortisation and Repayments'!C4404","open")</f>
        <v/>
      </c>
      <c r="G81" t="n">
        <v>87</v>
      </c>
      <c r="H81">
        <f>'Loan Book'!E87</f>
        <v/>
      </c>
      <c r="I81">
        <f>'Mapping'!J84</f>
        <v/>
      </c>
      <c r="J81" t="inlineStr">
        <is>
          <t>False</t>
        </is>
      </c>
      <c r="K81" t="inlineStr">
        <is>
          <t>0</t>
        </is>
      </c>
      <c r="L81" t="inlineStr">
        <is>
          <t>12</t>
        </is>
      </c>
      <c r="M81" t="inlineStr">
        <is>
          <t>2023-12-01</t>
        </is>
      </c>
      <c r="N81" t="inlineStr">
        <is>
          <t>2024-11-30</t>
        </is>
      </c>
      <c r="O81" s="488" t="inlineStr">
        <is>
          <t>-7.916241884231567e-09</t>
        </is>
      </c>
      <c r="P81" t="inlineStr">
        <is>
          <t>False</t>
        </is>
      </c>
      <c r="Q81" t="inlineStr">
        <is>
          <t>1.04</t>
        </is>
      </c>
    </row>
    <row r="82">
      <c r="A82" t="n">
        <v>81</v>
      </c>
      <c r="B82">
        <f>'Amortisation and Repayments'!C4432</f>
        <v/>
      </c>
      <c r="C82" s="488">
        <f>'Amortisation and Repayments'!D4434</f>
        <v/>
      </c>
      <c r="D82">
        <f>IF('Amortisation and Repayments'!D4435&lt;1,'Amortisation and Repayments'!D4435*100,'Amortisation and Repayments'!D4435)</f>
        <v/>
      </c>
      <c r="E82" t="n">
        <v>4432</v>
      </c>
      <c r="F82">
        <f>HYPERLINK("#'Amortisation and Repayments'!C4432","open")</f>
        <v/>
      </c>
      <c r="G82" t="n">
        <v>88</v>
      </c>
      <c r="H82">
        <f>'Loan Book'!E88</f>
        <v/>
      </c>
      <c r="I82">
        <f>'Mapping'!J85</f>
        <v/>
      </c>
      <c r="J82" t="inlineStr">
        <is>
          <t>False</t>
        </is>
      </c>
      <c r="K82" t="inlineStr">
        <is>
          <t>0</t>
        </is>
      </c>
      <c r="L82" t="inlineStr">
        <is>
          <t>49</t>
        </is>
      </c>
      <c r="M82" t="inlineStr">
        <is>
          <t>2023-12-28</t>
        </is>
      </c>
      <c r="N82" t="inlineStr">
        <is>
          <t>2027-12-31</t>
        </is>
      </c>
      <c r="O82" s="488" t="inlineStr">
        <is>
          <t>0.0018284237012267113</t>
        </is>
      </c>
      <c r="P82" t="inlineStr">
        <is>
          <t>False</t>
        </is>
      </c>
      <c r="Q82" t="inlineStr">
        <is>
          <t>1.5</t>
        </is>
      </c>
    </row>
    <row r="83">
      <c r="A83" t="n">
        <v>82</v>
      </c>
      <c r="B83">
        <f>'Amortisation and Repayments'!C4498</f>
        <v/>
      </c>
      <c r="C83" s="488">
        <f>'Amortisation and Repayments'!D4500</f>
        <v/>
      </c>
      <c r="D83">
        <f>IF('Amortisation and Repayments'!D4501&lt;1,'Amortisation and Repayments'!D4501*100,'Amortisation and Repayments'!D4501)</f>
        <v/>
      </c>
      <c r="E83" t="n">
        <v>4498</v>
      </c>
      <c r="F83">
        <f>HYPERLINK("#'Amortisation and Repayments'!C4498","open")</f>
        <v/>
      </c>
      <c r="G83" t="n">
        <v>89</v>
      </c>
      <c r="H83">
        <f>'Loan Book'!E89</f>
        <v/>
      </c>
      <c r="I83">
        <f>'Mapping'!J86</f>
        <v/>
      </c>
      <c r="J83" t="inlineStr">
        <is>
          <t>False</t>
        </is>
      </c>
      <c r="K83" t="inlineStr">
        <is>
          <t>0</t>
        </is>
      </c>
      <c r="L83" t="inlineStr">
        <is>
          <t>25</t>
        </is>
      </c>
      <c r="M83" t="inlineStr">
        <is>
          <t>2023-12-13</t>
        </is>
      </c>
      <c r="N83" t="inlineStr">
        <is>
          <t>2025-12-31</t>
        </is>
      </c>
      <c r="O83" s="488" t="inlineStr">
        <is>
          <t>-5.820766091346741e-10</t>
        </is>
      </c>
      <c r="P83" t="inlineStr">
        <is>
          <t>False</t>
        </is>
      </c>
      <c r="Q83" t="inlineStr">
        <is>
          <t>1.48</t>
        </is>
      </c>
    </row>
    <row r="84">
      <c r="A84" t="n">
        <v>83</v>
      </c>
      <c r="B84">
        <f>'Amortisation and Repayments'!C4539</f>
        <v/>
      </c>
      <c r="C84" s="488">
        <f>'Amortisation and Repayments'!D4541</f>
        <v/>
      </c>
      <c r="D84">
        <f>IF('Amortisation and Repayments'!D4542&lt;1,'Amortisation and Repayments'!D4542*100,'Amortisation and Repayments'!D4542)</f>
        <v/>
      </c>
      <c r="E84" t="n">
        <v>4539</v>
      </c>
      <c r="F84">
        <f>HYPERLINK("#'Amortisation and Repayments'!C4539","open")</f>
        <v/>
      </c>
      <c r="G84" t="n">
        <v>90</v>
      </c>
      <c r="H84">
        <f>'Loan Book'!E90</f>
        <v/>
      </c>
      <c r="I84">
        <f>'Mapping'!J87</f>
        <v/>
      </c>
      <c r="J84" t="inlineStr">
        <is>
          <t>False</t>
        </is>
      </c>
      <c r="K84" t="inlineStr">
        <is>
          <t>0</t>
        </is>
      </c>
      <c r="L84" t="inlineStr">
        <is>
          <t>37</t>
        </is>
      </c>
      <c r="M84" t="inlineStr">
        <is>
          <t>2024-01-26</t>
        </is>
      </c>
      <c r="N84" t="inlineStr">
        <is>
          <t>2027-01-31</t>
        </is>
      </c>
      <c r="O84" s="488" t="inlineStr">
        <is>
          <t>4.470348358154297e-08</t>
        </is>
      </c>
      <c r="P84" t="inlineStr">
        <is>
          <t>False</t>
        </is>
      </c>
      <c r="Q84" t="inlineStr">
        <is>
          <t>1.5</t>
        </is>
      </c>
    </row>
    <row r="85">
      <c r="A85" t="n">
        <v>84</v>
      </c>
      <c r="B85">
        <f>'Amortisation and Repayments'!C4591</f>
        <v/>
      </c>
      <c r="C85" s="488">
        <f>'Amortisation and Repayments'!D4593</f>
        <v/>
      </c>
      <c r="D85">
        <f>IF('Amortisation and Repayments'!D4594&lt;1,'Amortisation and Repayments'!D4594*100,'Amortisation and Repayments'!D4594)</f>
        <v/>
      </c>
      <c r="E85" t="n">
        <v>4591</v>
      </c>
      <c r="F85">
        <f>HYPERLINK("#'Amortisation and Repayments'!C4591","open")</f>
        <v/>
      </c>
      <c r="G85" t="n">
        <v>91</v>
      </c>
      <c r="H85">
        <f>'Loan Book'!E91</f>
        <v/>
      </c>
      <c r="I85">
        <f>'Mapping'!J88</f>
        <v/>
      </c>
      <c r="J85" t="inlineStr">
        <is>
          <t>False</t>
        </is>
      </c>
      <c r="K85" t="inlineStr">
        <is>
          <t>0</t>
        </is>
      </c>
      <c r="L85" t="inlineStr">
        <is>
          <t>60</t>
        </is>
      </c>
      <c r="M85" t="inlineStr">
        <is>
          <t>2024-02-01</t>
        </is>
      </c>
      <c r="N85" t="inlineStr">
        <is>
          <t>2029-01-31</t>
        </is>
      </c>
      <c r="O85" s="488" t="inlineStr">
        <is>
          <t>5.029141902923584e-08</t>
        </is>
      </c>
      <c r="P85" t="inlineStr">
        <is>
          <t>False</t>
        </is>
      </c>
      <c r="Q85" t="inlineStr">
        <is>
          <t>1.5</t>
        </is>
      </c>
    </row>
    <row r="86">
      <c r="A86" t="n">
        <v>85</v>
      </c>
      <c r="B86">
        <f>'Amortisation and Repayments'!C4667</f>
        <v/>
      </c>
      <c r="C86" s="488">
        <f>'Amortisation and Repayments'!D4669</f>
        <v/>
      </c>
      <c r="D86">
        <f>IF('Amortisation and Repayments'!D4670&lt;1,'Amortisation and Repayments'!D4670*100,'Amortisation and Repayments'!D4670)</f>
        <v/>
      </c>
      <c r="E86" t="n">
        <v>4667</v>
      </c>
      <c r="F86">
        <f>HYPERLINK("#'Amortisation and Repayments'!C4667","open")</f>
        <v/>
      </c>
      <c r="G86" t="n">
        <v>92</v>
      </c>
      <c r="H86">
        <f>'Loan Book'!E92</f>
        <v/>
      </c>
      <c r="I86">
        <f>'Mapping'!J89</f>
        <v/>
      </c>
      <c r="J86" t="inlineStr">
        <is>
          <t>False</t>
        </is>
      </c>
      <c r="K86" t="inlineStr">
        <is>
          <t>0</t>
        </is>
      </c>
      <c r="L86" t="inlineStr">
        <is>
          <t>48</t>
        </is>
      </c>
      <c r="M86" t="inlineStr">
        <is>
          <t>2024-02-01</t>
        </is>
      </c>
      <c r="N86" t="inlineStr">
        <is>
          <t>2028-01-31</t>
        </is>
      </c>
      <c r="O86" s="488" t="inlineStr">
        <is>
          <t>-3.259629011154175e-08</t>
        </is>
      </c>
      <c r="P86" t="inlineStr">
        <is>
          <t>False</t>
        </is>
      </c>
      <c r="Q86" t="inlineStr">
        <is>
          <t>1.46</t>
        </is>
      </c>
    </row>
    <row r="87">
      <c r="A87" t="n">
        <v>86</v>
      </c>
      <c r="B87">
        <f>'Amortisation and Repayments'!C4731</f>
        <v/>
      </c>
      <c r="C87" s="488">
        <f>'Amortisation and Repayments'!D4733</f>
        <v/>
      </c>
      <c r="D87">
        <f>IF('Amortisation and Repayments'!D4734&lt;1,'Amortisation and Repayments'!D4734*100,'Amortisation and Repayments'!D4734)</f>
        <v/>
      </c>
      <c r="E87" t="n">
        <v>4731</v>
      </c>
      <c r="F87">
        <f>HYPERLINK("#'Amortisation and Repayments'!C4731","open")</f>
        <v/>
      </c>
      <c r="G87" t="n">
        <v>93</v>
      </c>
      <c r="H87">
        <f>'Loan Book'!E93</f>
        <v/>
      </c>
      <c r="I87">
        <f>'Mapping'!J90</f>
        <v/>
      </c>
      <c r="J87" t="inlineStr">
        <is>
          <t>False</t>
        </is>
      </c>
      <c r="K87" t="inlineStr">
        <is>
          <t>0</t>
        </is>
      </c>
      <c r="L87" t="inlineStr">
        <is>
          <t>24</t>
        </is>
      </c>
      <c r="M87" t="inlineStr">
        <is>
          <t>2024-02-01</t>
        </is>
      </c>
      <c r="N87" t="inlineStr">
        <is>
          <t>2026-01-31</t>
        </is>
      </c>
      <c r="O87" s="488" t="inlineStr">
        <is>
          <t>-3.4924596548080444e-09</t>
        </is>
      </c>
      <c r="P87" t="inlineStr">
        <is>
          <t>False</t>
        </is>
      </c>
      <c r="Q87" t="inlineStr">
        <is>
          <t>1.5</t>
        </is>
      </c>
    </row>
    <row r="88">
      <c r="A88" t="n">
        <v>87</v>
      </c>
      <c r="B88">
        <f>'Amortisation and Repayments'!C4769</f>
        <v/>
      </c>
      <c r="C88" s="488">
        <f>'Amortisation and Repayments'!D4771</f>
        <v/>
      </c>
      <c r="D88">
        <f>IF('Amortisation and Repayments'!D4772&lt;1,'Amortisation and Repayments'!D4772*100,'Amortisation and Repayments'!D4772)</f>
        <v/>
      </c>
      <c r="E88" t="n">
        <v>4769</v>
      </c>
      <c r="F88">
        <f>HYPERLINK("#'Amortisation and Repayments'!C4769","open")</f>
        <v/>
      </c>
      <c r="G88" t="n">
        <v>94</v>
      </c>
      <c r="H88">
        <f>'Loan Book'!E94</f>
        <v/>
      </c>
      <c r="I88">
        <f>'Mapping'!J91</f>
        <v/>
      </c>
      <c r="J88" t="inlineStr">
        <is>
          <t>False</t>
        </is>
      </c>
      <c r="K88" t="inlineStr">
        <is>
          <t>0</t>
        </is>
      </c>
      <c r="L88" t="inlineStr">
        <is>
          <t>48</t>
        </is>
      </c>
      <c r="M88" t="inlineStr">
        <is>
          <t>2024-02-20</t>
        </is>
      </c>
      <c r="N88" t="inlineStr">
        <is>
          <t>2028-01-31</t>
        </is>
      </c>
      <c r="O88" s="488" t="inlineStr">
        <is>
          <t>4.842877388000488e-08</t>
        </is>
      </c>
      <c r="P88" t="inlineStr">
        <is>
          <t>False</t>
        </is>
      </c>
      <c r="Q88" t="inlineStr">
        <is>
          <t>1.5</t>
        </is>
      </c>
    </row>
    <row r="89">
      <c r="A89" t="n">
        <v>88</v>
      </c>
      <c r="B89">
        <f>'Amortisation and Repayments'!C4834</f>
        <v/>
      </c>
      <c r="C89" s="488">
        <f>'Amortisation and Repayments'!D4836</f>
        <v/>
      </c>
      <c r="D89">
        <f>IF('Amortisation and Repayments'!D4837&lt;1,'Amortisation and Repayments'!D4837*100,'Amortisation and Repayments'!D4837)</f>
        <v/>
      </c>
      <c r="E89" t="n">
        <v>4834</v>
      </c>
      <c r="F89">
        <f>HYPERLINK("#'Amortisation and Repayments'!C4834","open")</f>
        <v/>
      </c>
      <c r="G89" t="n">
        <v>95</v>
      </c>
      <c r="H89">
        <f>'Loan Book'!E95</f>
        <v/>
      </c>
      <c r="I89">
        <f>'Mapping'!J92</f>
        <v/>
      </c>
      <c r="J89" t="inlineStr">
        <is>
          <t>False</t>
        </is>
      </c>
      <c r="K89" t="inlineStr">
        <is>
          <t>0</t>
        </is>
      </c>
      <c r="L89" t="inlineStr">
        <is>
          <t>48</t>
        </is>
      </c>
      <c r="M89" t="inlineStr">
        <is>
          <t>2024-02-08</t>
        </is>
      </c>
      <c r="N89" t="inlineStr">
        <is>
          <t>2028-01-31</t>
        </is>
      </c>
      <c r="O89" s="488" t="inlineStr">
        <is>
          <t>-2.9336661100387573e-08</t>
        </is>
      </c>
      <c r="P89" t="inlineStr">
        <is>
          <t>False</t>
        </is>
      </c>
      <c r="Q89" t="inlineStr">
        <is>
          <t>1.5</t>
        </is>
      </c>
    </row>
    <row r="90">
      <c r="A90" t="n">
        <v>89</v>
      </c>
      <c r="B90">
        <f>'Amortisation and Repayments'!C4896</f>
        <v/>
      </c>
      <c r="C90" s="488">
        <f>'Amortisation and Repayments'!D4898</f>
        <v/>
      </c>
      <c r="D90">
        <f>IF('Amortisation and Repayments'!D4899&lt;1,'Amortisation and Repayments'!D4899*100,'Amortisation and Repayments'!D4899)</f>
        <v/>
      </c>
      <c r="E90" t="n">
        <v>4896</v>
      </c>
      <c r="F90">
        <f>HYPERLINK("#'Amortisation and Repayments'!C4896","open")</f>
        <v/>
      </c>
      <c r="G90" t="n">
        <v>96</v>
      </c>
      <c r="H90">
        <f>'Loan Book'!E96</f>
        <v/>
      </c>
      <c r="I90">
        <f>'Mapping'!J93</f>
        <v/>
      </c>
      <c r="J90" t="inlineStr">
        <is>
          <t>False</t>
        </is>
      </c>
      <c r="K90" t="inlineStr">
        <is>
          <t>0</t>
        </is>
      </c>
      <c r="L90" t="inlineStr">
        <is>
          <t>49</t>
        </is>
      </c>
      <c r="M90" t="inlineStr">
        <is>
          <t>2024-02-29</t>
        </is>
      </c>
      <c r="N90" t="inlineStr">
        <is>
          <t>2028-02-29</t>
        </is>
      </c>
      <c r="O90" s="488" t="inlineStr">
        <is>
          <t>4.190951585769653e-08</t>
        </is>
      </c>
      <c r="P90" t="inlineStr">
        <is>
          <t>False</t>
        </is>
      </c>
      <c r="Q90" t="inlineStr">
        <is>
          <t>1.5</t>
        </is>
      </c>
    </row>
    <row r="91">
      <c r="A91" t="n">
        <v>90</v>
      </c>
      <c r="B91">
        <f>'Amortisation and Repayments'!C4962</f>
        <v/>
      </c>
      <c r="C91" s="488">
        <f>'Amortisation and Repayments'!D4964</f>
        <v/>
      </c>
      <c r="D91">
        <f>IF('Amortisation and Repayments'!D4965&lt;1,'Amortisation and Repayments'!D4965*100,'Amortisation and Repayments'!D4965)</f>
        <v/>
      </c>
      <c r="E91" t="n">
        <v>4962</v>
      </c>
      <c r="F91">
        <f>HYPERLINK("#'Amortisation and Repayments'!C4962","open")</f>
        <v/>
      </c>
      <c r="G91" t="n">
        <v>97</v>
      </c>
      <c r="H91">
        <f>'Loan Book'!E97</f>
        <v/>
      </c>
      <c r="I91">
        <f>'Mapping'!J94</f>
        <v/>
      </c>
      <c r="J91" t="inlineStr">
        <is>
          <t>False</t>
        </is>
      </c>
      <c r="K91" t="inlineStr">
        <is>
          <t>0</t>
        </is>
      </c>
      <c r="L91" t="inlineStr">
        <is>
          <t>25</t>
        </is>
      </c>
      <c r="M91" t="inlineStr">
        <is>
          <t>2024-03-25</t>
        </is>
      </c>
      <c r="N91" t="inlineStr">
        <is>
          <t>2026-03-31</t>
        </is>
      </c>
      <c r="O91" s="488" t="inlineStr">
        <is>
          <t>-6.28642737865448e-09</t>
        </is>
      </c>
      <c r="P91" t="inlineStr">
        <is>
          <t>False</t>
        </is>
      </c>
      <c r="Q91" t="inlineStr">
        <is>
          <t>1.48</t>
        </is>
      </c>
    </row>
    <row r="92">
      <c r="A92" t="n">
        <v>91</v>
      </c>
      <c r="B92">
        <f>'Amortisation and Repayments'!C5002</f>
        <v/>
      </c>
      <c r="C92" s="488">
        <f>'Amortisation and Repayments'!D5004</f>
        <v/>
      </c>
      <c r="D92">
        <f>IF('Amortisation and Repayments'!D5005&lt;1,'Amortisation and Repayments'!D5005*100,'Amortisation and Repayments'!D5005)</f>
        <v/>
      </c>
      <c r="E92" t="n">
        <v>5002</v>
      </c>
      <c r="F92">
        <f>HYPERLINK("#'Amortisation and Repayments'!C5002","open")</f>
        <v/>
      </c>
      <c r="G92" t="n">
        <v>98</v>
      </c>
      <c r="H92">
        <f>'Loan Book'!E98</f>
        <v/>
      </c>
      <c r="I92">
        <f>'Mapping'!J95</f>
        <v/>
      </c>
      <c r="J92" t="inlineStr">
        <is>
          <t>False</t>
        </is>
      </c>
      <c r="K92" t="inlineStr">
        <is>
          <t>0</t>
        </is>
      </c>
      <c r="L92" t="inlineStr">
        <is>
          <t>37</t>
        </is>
      </c>
      <c r="M92" t="inlineStr">
        <is>
          <t>2024-03-28</t>
        </is>
      </c>
      <c r="N92" t="inlineStr">
        <is>
          <t>2027-03-31</t>
        </is>
      </c>
      <c r="O92" s="488" t="inlineStr">
        <is>
          <t>-3.166496753692627e-08</t>
        </is>
      </c>
      <c r="P92" t="inlineStr">
        <is>
          <t>False</t>
        </is>
      </c>
      <c r="Q92" t="inlineStr">
        <is>
          <t>1.48</t>
        </is>
      </c>
    </row>
    <row r="93">
      <c r="A93" t="n">
        <v>92</v>
      </c>
      <c r="B93">
        <f>'Amortisation and Repayments'!C5054</f>
        <v/>
      </c>
      <c r="C93" s="488">
        <f>'Amortisation and Repayments'!D5056</f>
        <v/>
      </c>
      <c r="D93">
        <f>IF('Amortisation and Repayments'!D5057&lt;1,'Amortisation and Repayments'!D5057*100,'Amortisation and Repayments'!D5057)</f>
        <v/>
      </c>
      <c r="E93" t="n">
        <v>5054</v>
      </c>
      <c r="F93">
        <f>HYPERLINK("#'Amortisation and Repayments'!C5054","open")</f>
        <v/>
      </c>
      <c r="G93" t="n">
        <v>99</v>
      </c>
      <c r="H93">
        <f>'Loan Book'!E99</f>
        <v/>
      </c>
      <c r="I93">
        <f>'Mapping'!J96</f>
        <v/>
      </c>
      <c r="J93" t="inlineStr">
        <is>
          <t>False</t>
        </is>
      </c>
      <c r="K93" t="inlineStr">
        <is>
          <t>0</t>
        </is>
      </c>
      <c r="L93" t="inlineStr">
        <is>
          <t>25</t>
        </is>
      </c>
      <c r="M93" t="inlineStr">
        <is>
          <t>2024-04-25</t>
        </is>
      </c>
      <c r="N93" t="inlineStr">
        <is>
          <t>2026-04-30</t>
        </is>
      </c>
      <c r="O93" s="488" t="inlineStr">
        <is>
          <t>-1.1641532182693481e-08</t>
        </is>
      </c>
      <c r="P93" t="inlineStr">
        <is>
          <t>False</t>
        </is>
      </c>
      <c r="Q93" t="inlineStr">
        <is>
          <t>1.5</t>
        </is>
      </c>
    </row>
    <row r="94">
      <c r="A94" t="n">
        <v>93</v>
      </c>
      <c r="B94">
        <f>'Amortisation and Repayments'!C5094</f>
        <v/>
      </c>
      <c r="C94" s="488">
        <f>'Amortisation and Repayments'!D5096</f>
        <v/>
      </c>
      <c r="D94">
        <f>IF('Amortisation and Repayments'!D5097&lt;1,'Amortisation and Repayments'!D5097*100,'Amortisation and Repayments'!D5097)</f>
        <v/>
      </c>
      <c r="E94" t="n">
        <v>5094</v>
      </c>
      <c r="F94">
        <f>HYPERLINK("#'Amortisation and Repayments'!C5094","open")</f>
        <v/>
      </c>
      <c r="G94" t="n">
        <v>100</v>
      </c>
      <c r="H94">
        <f>'Loan Book'!E100</f>
        <v/>
      </c>
      <c r="I94">
        <f>'Mapping'!J97</f>
        <v/>
      </c>
      <c r="J94" t="inlineStr">
        <is>
          <t>False</t>
        </is>
      </c>
      <c r="K94" t="inlineStr">
        <is>
          <t>0</t>
        </is>
      </c>
      <c r="L94" t="inlineStr">
        <is>
          <t>25</t>
        </is>
      </c>
      <c r="M94" t="inlineStr">
        <is>
          <t>2024-04-30</t>
        </is>
      </c>
      <c r="N94" t="inlineStr">
        <is>
          <t>2026-04-30</t>
        </is>
      </c>
      <c r="O94" s="488" t="inlineStr">
        <is>
          <t>7.916241884231567e-09</t>
        </is>
      </c>
      <c r="P94" t="inlineStr">
        <is>
          <t>False</t>
        </is>
      </c>
      <c r="Q94" t="inlineStr">
        <is>
          <t>1.5</t>
        </is>
      </c>
    </row>
    <row r="95">
      <c r="A95" t="n">
        <v>94</v>
      </c>
      <c r="B95">
        <f>'Amortisation and Repayments'!C5132</f>
        <v/>
      </c>
      <c r="C95" s="488">
        <f>'Amortisation and Repayments'!D5134</f>
        <v/>
      </c>
      <c r="D95">
        <f>IF('Amortisation and Repayments'!D5135&lt;1,'Amortisation and Repayments'!D5135*100,'Amortisation and Repayments'!D5135)</f>
        <v/>
      </c>
      <c r="E95" t="n">
        <v>5132</v>
      </c>
      <c r="F95">
        <f>HYPERLINK("#'Amortisation and Repayments'!C5132","open")</f>
        <v/>
      </c>
      <c r="G95" t="n">
        <v>101</v>
      </c>
      <c r="H95">
        <f>'Loan Book'!E101</f>
        <v/>
      </c>
      <c r="I95">
        <f>'Mapping'!J98</f>
        <v/>
      </c>
      <c r="J95" t="inlineStr">
        <is>
          <t>False</t>
        </is>
      </c>
      <c r="K95" t="inlineStr">
        <is>
          <t>0</t>
        </is>
      </c>
      <c r="L95" t="inlineStr">
        <is>
          <t>61</t>
        </is>
      </c>
      <c r="M95" t="inlineStr">
        <is>
          <t>2024-04-30</t>
        </is>
      </c>
      <c r="N95" t="inlineStr">
        <is>
          <t>2029-04-30</t>
        </is>
      </c>
      <c r="O95" s="488" t="inlineStr">
        <is>
          <t>-1.792795956134796e-08</t>
        </is>
      </c>
      <c r="P95" t="inlineStr">
        <is>
          <t>False</t>
        </is>
      </c>
      <c r="Q95" t="inlineStr">
        <is>
          <t>1.5</t>
        </is>
      </c>
    </row>
    <row r="96">
      <c r="A96" t="n">
        <v>95</v>
      </c>
      <c r="B96">
        <f>'Amortisation and Repayments'!C5208</f>
        <v/>
      </c>
      <c r="C96" s="488">
        <f>'Amortisation and Repayments'!D5210</f>
        <v/>
      </c>
      <c r="D96">
        <f>IF('Amortisation and Repayments'!D5211&lt;1,'Amortisation and Repayments'!D5211*100,'Amortisation and Repayments'!D5211)</f>
        <v/>
      </c>
      <c r="E96" t="n">
        <v>5208</v>
      </c>
      <c r="F96">
        <f>HYPERLINK("#'Amortisation and Repayments'!C5208","open")</f>
        <v/>
      </c>
      <c r="G96" t="n">
        <v>102</v>
      </c>
      <c r="H96">
        <f>'Loan Book'!E102</f>
        <v/>
      </c>
      <c r="I96">
        <f>'Mapping'!J99</f>
        <v/>
      </c>
      <c r="J96" t="inlineStr">
        <is>
          <t>False</t>
        </is>
      </c>
      <c r="K96" t="inlineStr">
        <is>
          <t>2</t>
        </is>
      </c>
      <c r="L96" t="inlineStr">
        <is>
          <t>61</t>
        </is>
      </c>
      <c r="M96" t="inlineStr">
        <is>
          <t>2024-05-13</t>
        </is>
      </c>
      <c r="N96" t="inlineStr">
        <is>
          <t>2029-04-30</t>
        </is>
      </c>
      <c r="O96" s="488" t="inlineStr">
        <is>
          <t>-4.0978193283081055e-08</t>
        </is>
      </c>
      <c r="P96" t="inlineStr">
        <is>
          <t>False</t>
        </is>
      </c>
      <c r="Q96" t="inlineStr">
        <is>
          <t>0.93</t>
        </is>
      </c>
    </row>
    <row r="97">
      <c r="A97" t="n">
        <v>96</v>
      </c>
      <c r="B97">
        <f>'Amortisation and Repayments'!C5284</f>
        <v/>
      </c>
      <c r="C97" s="488">
        <f>'Amortisation and Repayments'!D5286</f>
        <v/>
      </c>
      <c r="D97">
        <f>IF('Amortisation and Repayments'!D5287&lt;1,'Amortisation and Repayments'!D5287*100,'Amortisation and Repayments'!D5287)</f>
        <v/>
      </c>
      <c r="E97" t="n">
        <v>5284</v>
      </c>
      <c r="F97">
        <f>HYPERLINK("#'Amortisation and Repayments'!C5284","open")</f>
        <v/>
      </c>
      <c r="G97" t="n">
        <v>103</v>
      </c>
      <c r="H97">
        <f>'Loan Book'!E103</f>
        <v/>
      </c>
      <c r="I97">
        <f>'Mapping'!J100</f>
        <v/>
      </c>
      <c r="J97" t="inlineStr">
        <is>
          <t>False</t>
        </is>
      </c>
      <c r="K97" t="inlineStr">
        <is>
          <t>0</t>
        </is>
      </c>
      <c r="L97" t="inlineStr">
        <is>
          <t>49</t>
        </is>
      </c>
      <c r="M97" t="inlineStr">
        <is>
          <t>2024-05-29</t>
        </is>
      </c>
      <c r="N97" t="inlineStr">
        <is>
          <t>2028-05-31</t>
        </is>
      </c>
      <c r="O97" s="488" t="inlineStr">
        <is>
          <t>0.0</t>
        </is>
      </c>
      <c r="P97" t="inlineStr">
        <is>
          <t>False</t>
        </is>
      </c>
      <c r="Q97" t="inlineStr">
        <is>
          <t>1.42</t>
        </is>
      </c>
    </row>
    <row r="98">
      <c r="A98" t="n">
        <v>97</v>
      </c>
      <c r="B98">
        <f>'Amortisation and Repayments'!C5347</f>
        <v/>
      </c>
      <c r="C98" s="488">
        <f>'Amortisation and Repayments'!D5349</f>
        <v/>
      </c>
      <c r="D98">
        <f>IF('Amortisation and Repayments'!D5350&lt;1,'Amortisation and Repayments'!D5350*100,'Amortisation and Repayments'!D5350)</f>
        <v/>
      </c>
      <c r="E98" t="n">
        <v>5347</v>
      </c>
      <c r="F98">
        <f>HYPERLINK("#'Amortisation and Repayments'!C5347","open")</f>
        <v/>
      </c>
      <c r="G98" t="n">
        <v>104</v>
      </c>
      <c r="H98">
        <f>'Loan Book'!E104</f>
        <v/>
      </c>
      <c r="I98">
        <f>'Mapping'!J101</f>
        <v/>
      </c>
      <c r="J98" t="inlineStr">
        <is>
          <t>False</t>
        </is>
      </c>
      <c r="K98" t="inlineStr">
        <is>
          <t>0</t>
        </is>
      </c>
      <c r="L98" t="inlineStr">
        <is>
          <t>48</t>
        </is>
      </c>
      <c r="M98" t="inlineStr">
        <is>
          <t>2024-06-05</t>
        </is>
      </c>
      <c r="N98" t="inlineStr">
        <is>
          <t>2028-05-31</t>
        </is>
      </c>
      <c r="O98" s="488" t="inlineStr">
        <is>
          <t>3.585591912269592e-08</t>
        </is>
      </c>
      <c r="P98" t="inlineStr">
        <is>
          <t>False</t>
        </is>
      </c>
      <c r="Q98" t="inlineStr">
        <is>
          <t>1.47</t>
        </is>
      </c>
    </row>
    <row r="99">
      <c r="A99" t="n">
        <v>98</v>
      </c>
      <c r="B99">
        <f>'Amortisation and Repayments'!C5414</f>
        <v/>
      </c>
      <c r="C99" s="488">
        <f>'Amortisation and Repayments'!D5416</f>
        <v/>
      </c>
      <c r="D99">
        <f>IF('Amortisation and Repayments'!D5417&lt;1,'Amortisation and Repayments'!D5417*100,'Amortisation and Repayments'!D5417)</f>
        <v/>
      </c>
      <c r="E99" t="n">
        <v>5414</v>
      </c>
      <c r="F99">
        <f>HYPERLINK("#'Amortisation and Repayments'!C5414","open")</f>
        <v/>
      </c>
      <c r="G99" t="n">
        <v>105</v>
      </c>
      <c r="H99">
        <f>'Loan Book'!E105</f>
        <v/>
      </c>
      <c r="I99">
        <f>'Mapping'!J102</f>
        <v/>
      </c>
      <c r="J99" t="inlineStr">
        <is>
          <t>False</t>
        </is>
      </c>
      <c r="K99" t="inlineStr">
        <is>
          <t>0</t>
        </is>
      </c>
      <c r="L99" t="inlineStr">
        <is>
          <t>48</t>
        </is>
      </c>
      <c r="M99" t="inlineStr">
        <is>
          <t>2024-07-24</t>
        </is>
      </c>
      <c r="N99" t="inlineStr">
        <is>
          <t>2028-06-30</t>
        </is>
      </c>
      <c r="O99" s="488" t="inlineStr">
        <is>
          <t>-9.313225746154785e-09</t>
        </is>
      </c>
      <c r="P99" t="inlineStr">
        <is>
          <t>False</t>
        </is>
      </c>
      <c r="Q99" t="inlineStr">
        <is>
          <t>1.5</t>
        </is>
      </c>
    </row>
    <row r="100">
      <c r="A100" t="n">
        <v>99</v>
      </c>
      <c r="B100">
        <f>'Amortisation and Repayments'!C5477</f>
        <v/>
      </c>
      <c r="C100" s="488">
        <f>'Amortisation and Repayments'!D5479</f>
        <v/>
      </c>
      <c r="D100">
        <f>IF('Amortisation and Repayments'!D5480&lt;1,'Amortisation and Repayments'!D5480*100,'Amortisation and Repayments'!D5480)</f>
        <v/>
      </c>
      <c r="E100" t="n">
        <v>5477</v>
      </c>
      <c r="F100">
        <f>HYPERLINK("#'Amortisation and Repayments'!C5477","open")</f>
        <v/>
      </c>
      <c r="G100" t="n">
        <v>106</v>
      </c>
      <c r="H100">
        <f>'Loan Book'!E106</f>
        <v/>
      </c>
      <c r="I100">
        <f>'Mapping'!J103</f>
        <v/>
      </c>
      <c r="J100" t="inlineStr">
        <is>
          <t>False</t>
        </is>
      </c>
      <c r="K100" t="inlineStr">
        <is>
          <t>0</t>
        </is>
      </c>
      <c r="L100" t="inlineStr">
        <is>
          <t>60</t>
        </is>
      </c>
      <c r="M100" t="inlineStr">
        <is>
          <t>2024-10-02</t>
        </is>
      </c>
      <c r="N100" t="inlineStr">
        <is>
          <t>2029-06-30</t>
        </is>
      </c>
      <c r="O100" s="488" t="inlineStr">
        <is>
          <t>1.6763806343078613e-08</t>
        </is>
      </c>
      <c r="P100" t="inlineStr">
        <is>
          <t>False</t>
        </is>
      </c>
      <c r="Q100" t="inlineStr">
        <is>
          <t>1.5</t>
        </is>
      </c>
    </row>
    <row r="101">
      <c r="A101" t="n">
        <v>100</v>
      </c>
      <c r="B101">
        <f>'Amortisation and Repayments'!C5553</f>
        <v/>
      </c>
      <c r="C101" s="488">
        <f>'Amortisation and Repayments'!D5555</f>
        <v/>
      </c>
      <c r="D101">
        <f>IF('Amortisation and Repayments'!D5556&lt;1,'Amortisation and Repayments'!D5556*100,'Amortisation and Repayments'!D5556)</f>
        <v/>
      </c>
      <c r="E101" t="n">
        <v>5553</v>
      </c>
      <c r="F101">
        <f>HYPERLINK("#'Amortisation and Repayments'!C5553","open")</f>
        <v/>
      </c>
      <c r="G101" t="n">
        <v>107</v>
      </c>
      <c r="H101">
        <f>'Loan Book'!E107</f>
        <v/>
      </c>
      <c r="I101">
        <f>'Mapping'!J104</f>
        <v/>
      </c>
      <c r="J101" t="inlineStr">
        <is>
          <t>False</t>
        </is>
      </c>
      <c r="K101" t="inlineStr">
        <is>
          <t>0</t>
        </is>
      </c>
      <c r="L101" t="inlineStr">
        <is>
          <t>25</t>
        </is>
      </c>
      <c r="M101" t="inlineStr">
        <is>
          <t>2024-10-22</t>
        </is>
      </c>
      <c r="N101" t="inlineStr">
        <is>
          <t>2026-10-31</t>
        </is>
      </c>
      <c r="O101" s="488" t="inlineStr">
        <is>
          <t>-3.4924596548080444e-09</t>
        </is>
      </c>
      <c r="P101" t="inlineStr">
        <is>
          <t>False</t>
        </is>
      </c>
      <c r="Q101" t="inlineStr">
        <is>
          <t>1.5</t>
        </is>
      </c>
    </row>
    <row r="103">
      <c r="A103" t="inlineStr">
        <is>
          <t>Columns B to D are formulas into 'Amortisation and Repayments'; F opens the block; H and I are formulas into 'Loan Book' and 'Mapping'. Columns J to Q were parsed from the block by script and are values.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8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ht="42" customHeight="1">
      <c r="A1" s="486" t="inlineStr">
        <is>
          <t>Account</t>
        </is>
      </c>
      <c r="B1" s="486" t="inlineStr">
        <is>
          <t>Name</t>
        </is>
      </c>
      <c r="C1" s="486" t="inlineStr">
        <is>
          <t>Scheme id</t>
        </is>
      </c>
      <c r="D1" s="486" t="inlineStr">
        <is>
          <t>GL code</t>
        </is>
      </c>
      <c r="E1" s="486" t="inlineStr">
        <is>
          <t>Status</t>
        </is>
      </c>
      <c r="F1" s="486" t="inlineStr">
        <is>
          <t>Interest policy</t>
        </is>
      </c>
      <c r="G1" s="486" t="inlineStr">
        <is>
          <t>Rate now %</t>
        </is>
      </c>
      <c r="H1" s="486" t="inlineStr">
        <is>
          <t>Opening date</t>
        </is>
      </c>
      <c r="I1" s="486" t="inlineStr">
        <is>
          <t>Sanction</t>
        </is>
      </c>
      <c r="J1" s="486" t="inlineStr">
        <is>
          <t>Sanction date</t>
        </is>
      </c>
      <c r="K1" s="486" t="inlineStr">
        <is>
          <t>Expiry</t>
        </is>
      </c>
      <c r="L1" s="486" t="inlineStr">
        <is>
          <t>P moratorium</t>
        </is>
      </c>
      <c r="M1" s="486" t="inlineStr">
        <is>
          <t>I moratorium</t>
        </is>
      </c>
      <c r="N1" s="486" t="inlineStr">
        <is>
          <t>Take-on posting 31 Jul 2024</t>
        </is>
      </c>
      <c r="O1" s="486" t="inlineStr">
        <is>
          <t>Opening interest 31 Jul 2024</t>
        </is>
      </c>
      <c r="P1" s="486" t="inlineStr">
        <is>
          <t>Balance 31 Oct 2024</t>
        </is>
      </c>
      <c r="Q1" s="486" t="inlineStr">
        <is>
          <t>First disbursement schedule date</t>
        </is>
      </c>
    </row>
    <row r="2">
      <c r="A2" t="inlineStr">
        <is>
          <t>000104420000003</t>
        </is>
      </c>
      <c r="B2" t="inlineStr">
        <is>
          <t>Micholess Creamery</t>
        </is>
      </c>
      <c r="C2" t="n">
        <v>84</v>
      </c>
      <c r="D2" t="inlineStr">
        <is>
          <t>1050101</t>
        </is>
      </c>
      <c r="E2" t="inlineStr">
        <is>
          <t>A</t>
        </is>
      </c>
      <c r="F2" t="inlineStr">
        <is>
          <t>M</t>
        </is>
      </c>
      <c r="G2" t="n">
        <v>20.2</v>
      </c>
      <c r="H2" s="487" t="n">
        <v>44040</v>
      </c>
      <c r="I2" t="n">
        <v>20000000</v>
      </c>
      <c r="J2" s="487" t="n">
        <v>44040</v>
      </c>
      <c r="K2" s="487" t="n">
        <v>44769</v>
      </c>
      <c r="L2" t="n">
        <v>6</v>
      </c>
      <c r="M2" t="n">
        <v>6</v>
      </c>
      <c r="N2" t="n">
        <v>18240000</v>
      </c>
      <c r="O2" t="n">
        <v>1004624.69</v>
      </c>
      <c r="Q2" s="487" t="n">
        <v>44040</v>
      </c>
    </row>
    <row r="3">
      <c r="A3" t="inlineStr">
        <is>
          <t>000104420000005</t>
        </is>
      </c>
      <c r="B3" t="inlineStr">
        <is>
          <t>MUSECO</t>
        </is>
      </c>
      <c r="C3" t="n">
        <v>84</v>
      </c>
      <c r="D3" t="inlineStr">
        <is>
          <t>1050101</t>
        </is>
      </c>
      <c r="E3" t="inlineStr">
        <is>
          <t>D</t>
        </is>
      </c>
      <c r="F3" t="inlineStr">
        <is>
          <t>P</t>
        </is>
      </c>
      <c r="G3" t="n">
        <v>30.35</v>
      </c>
      <c r="H3" s="487" t="n">
        <v>43964</v>
      </c>
      <c r="I3" t="n">
        <v>370000000</v>
      </c>
      <c r="J3" s="487" t="n">
        <v>43964</v>
      </c>
      <c r="K3" s="487" t="n">
        <v>46225</v>
      </c>
      <c r="L3" t="n">
        <v>13</v>
      </c>
      <c r="M3" t="n">
        <v>0</v>
      </c>
      <c r="N3" t="n">
        <v>405097989.86</v>
      </c>
      <c r="O3" t="n">
        <v>237378159.64</v>
      </c>
      <c r="P3" t="n">
        <v>399243507.07</v>
      </c>
      <c r="Q3" s="487" t="n">
        <v>44035</v>
      </c>
    </row>
    <row r="4">
      <c r="A4" t="inlineStr">
        <is>
          <t>000104420000006</t>
        </is>
      </c>
      <c r="B4" t="inlineStr">
        <is>
          <t>Nsanama Women Cooperatives</t>
        </is>
      </c>
      <c r="C4" t="n">
        <v>84</v>
      </c>
      <c r="D4" t="inlineStr">
        <is>
          <t>1050101</t>
        </is>
      </c>
      <c r="E4" t="inlineStr">
        <is>
          <t>D</t>
        </is>
      </c>
      <c r="F4" t="inlineStr">
        <is>
          <t>P</t>
        </is>
      </c>
      <c r="G4" t="n">
        <v>31.82</v>
      </c>
      <c r="H4" s="487" t="n">
        <v>44076</v>
      </c>
      <c r="I4" t="n">
        <v>17000000</v>
      </c>
      <c r="J4" s="487" t="n">
        <v>44076</v>
      </c>
      <c r="K4" s="487" t="n">
        <v>44805</v>
      </c>
      <c r="L4" t="n">
        <v>6</v>
      </c>
      <c r="M4" t="n">
        <v>0</v>
      </c>
      <c r="N4" t="n">
        <v>12055000</v>
      </c>
      <c r="O4" t="n">
        <v>2792906.89</v>
      </c>
      <c r="P4" t="n">
        <v>13568451.13</v>
      </c>
      <c r="Q4" s="487" t="n">
        <v>44076</v>
      </c>
    </row>
    <row r="5">
      <c r="A5" t="inlineStr">
        <is>
          <t>000104420000007</t>
        </is>
      </c>
      <c r="B5" t="inlineStr">
        <is>
          <t>LENZIEMILL MILLING LIMITED</t>
        </is>
      </c>
      <c r="C5" t="n">
        <v>84</v>
      </c>
      <c r="D5" t="inlineStr">
        <is>
          <t>1050101</t>
        </is>
      </c>
      <c r="E5" t="inlineStr">
        <is>
          <t>H</t>
        </is>
      </c>
      <c r="F5" t="inlineStr">
        <is>
          <t>P</t>
        </is>
      </c>
      <c r="G5" t="n">
        <v>32</v>
      </c>
      <c r="H5" s="487" t="n">
        <v>44075</v>
      </c>
      <c r="I5" t="n">
        <v>460000000</v>
      </c>
      <c r="J5" s="487" t="n">
        <v>44075</v>
      </c>
      <c r="K5" s="487" t="n">
        <v>45901</v>
      </c>
      <c r="L5" t="n">
        <v>6</v>
      </c>
      <c r="M5" t="n">
        <v>0</v>
      </c>
      <c r="N5" t="n">
        <v>297400000</v>
      </c>
      <c r="O5" t="n">
        <v>219654186.92</v>
      </c>
      <c r="P5" t="n">
        <v>167976520.65</v>
      </c>
      <c r="Q5" s="487" t="n">
        <v>44075</v>
      </c>
    </row>
    <row r="6">
      <c r="A6" t="inlineStr">
        <is>
          <t>000104420000009</t>
        </is>
      </c>
      <c r="B6" t="inlineStr">
        <is>
          <t>Mach Milk Limited</t>
        </is>
      </c>
      <c r="C6" t="n">
        <v>84</v>
      </c>
      <c r="D6" t="inlineStr">
        <is>
          <t>1050101</t>
        </is>
      </c>
      <c r="E6" t="inlineStr">
        <is>
          <t>D</t>
        </is>
      </c>
      <c r="F6" t="inlineStr">
        <is>
          <t>P</t>
        </is>
      </c>
      <c r="G6" t="n">
        <v>33.9</v>
      </c>
      <c r="H6" s="487" t="n">
        <v>44117</v>
      </c>
      <c r="I6" t="n">
        <v>65023440</v>
      </c>
      <c r="J6" s="487" t="n">
        <v>44117</v>
      </c>
      <c r="K6" s="487" t="n">
        <v>45760</v>
      </c>
      <c r="L6" t="n">
        <v>6</v>
      </c>
      <c r="M6" t="n">
        <v>0</v>
      </c>
      <c r="N6" t="n">
        <v>81075926.78</v>
      </c>
      <c r="O6" t="n">
        <v>56575015.3</v>
      </c>
      <c r="P6" t="n">
        <v>135070553.4</v>
      </c>
      <c r="Q6" s="487" t="n">
        <v>44117</v>
      </c>
    </row>
    <row r="7">
      <c r="A7" t="inlineStr">
        <is>
          <t>000104420000010</t>
        </is>
      </c>
      <c r="B7" t="inlineStr">
        <is>
          <t>Nature's Gift Limited</t>
        </is>
      </c>
      <c r="C7" t="n">
        <v>84</v>
      </c>
      <c r="D7" t="inlineStr">
        <is>
          <t>1050101</t>
        </is>
      </c>
      <c r="E7" t="inlineStr">
        <is>
          <t>A</t>
        </is>
      </c>
      <c r="F7" t="inlineStr">
        <is>
          <t>M</t>
        </is>
      </c>
      <c r="G7" t="n">
        <v>26.8</v>
      </c>
      <c r="H7" s="487" t="n">
        <v>44307</v>
      </c>
      <c r="I7" t="n">
        <v>80000000</v>
      </c>
      <c r="J7" s="487" t="n">
        <v>44307</v>
      </c>
      <c r="K7" s="487" t="n">
        <v>46133</v>
      </c>
      <c r="L7" t="n">
        <v>0</v>
      </c>
      <c r="M7" t="n">
        <v>0</v>
      </c>
      <c r="N7" t="n">
        <v>80000000</v>
      </c>
      <c r="O7" t="n">
        <v>46627490.1</v>
      </c>
      <c r="P7" t="n">
        <v>50784761.8</v>
      </c>
      <c r="Q7" s="487" t="n">
        <v>44307</v>
      </c>
    </row>
    <row r="8">
      <c r="A8" t="inlineStr">
        <is>
          <t>000104420000011</t>
        </is>
      </c>
      <c r="B8" t="inlineStr">
        <is>
          <t>Kajikhomele Foundation Ltd</t>
        </is>
      </c>
      <c r="C8" t="n">
        <v>84</v>
      </c>
      <c r="D8" t="inlineStr">
        <is>
          <t>1050101</t>
        </is>
      </c>
      <c r="E8" t="inlineStr">
        <is>
          <t>D</t>
        </is>
      </c>
      <c r="F8" t="inlineStr">
        <is>
          <t>P</t>
        </is>
      </c>
      <c r="G8" t="n">
        <v>32.3</v>
      </c>
      <c r="H8" s="487" t="n">
        <v>44266</v>
      </c>
      <c r="I8" t="n">
        <v>96552500</v>
      </c>
      <c r="J8" s="487" t="n">
        <v>44266</v>
      </c>
      <c r="K8" s="487" t="n">
        <v>45727</v>
      </c>
      <c r="L8" t="n">
        <v>12</v>
      </c>
      <c r="M8" t="n">
        <v>12</v>
      </c>
      <c r="N8" t="n">
        <v>96552500</v>
      </c>
      <c r="O8" t="n">
        <v>75812661.70999999</v>
      </c>
      <c r="P8" t="n">
        <v>162085543.34</v>
      </c>
      <c r="Q8" s="487" t="n">
        <v>44266</v>
      </c>
    </row>
    <row r="9">
      <c r="A9" t="inlineStr">
        <is>
          <t>000104420000012</t>
        </is>
      </c>
      <c r="B9" t="inlineStr">
        <is>
          <t>Nature's Gift Limited</t>
        </is>
      </c>
      <c r="C9" t="n">
        <v>84</v>
      </c>
      <c r="D9" t="inlineStr">
        <is>
          <t>1050101</t>
        </is>
      </c>
      <c r="E9" t="inlineStr">
        <is>
          <t>A</t>
        </is>
      </c>
      <c r="F9" t="inlineStr">
        <is>
          <t>M</t>
        </is>
      </c>
      <c r="G9" t="n">
        <v>26.5</v>
      </c>
      <c r="H9" s="487" t="n">
        <v>44400</v>
      </c>
      <c r="I9" t="n">
        <v>85000000</v>
      </c>
      <c r="J9" s="487" t="n">
        <v>44400</v>
      </c>
      <c r="K9" s="487" t="n">
        <v>46226</v>
      </c>
      <c r="L9" t="n">
        <v>0</v>
      </c>
      <c r="M9" t="n">
        <v>0</v>
      </c>
      <c r="N9" t="n">
        <v>85000000</v>
      </c>
      <c r="O9" t="n">
        <v>45506488.99</v>
      </c>
      <c r="P9" t="n">
        <v>42742352.29</v>
      </c>
      <c r="Q9" s="487" t="n">
        <v>44400</v>
      </c>
    </row>
    <row r="10">
      <c r="A10" t="inlineStr">
        <is>
          <t>000104420000032</t>
        </is>
      </c>
      <c r="B10" t="inlineStr">
        <is>
          <t>African Honey products Industries</t>
        </is>
      </c>
      <c r="C10" t="n">
        <v>84</v>
      </c>
      <c r="D10" t="inlineStr">
        <is>
          <t>1050101</t>
        </is>
      </c>
      <c r="E10" t="inlineStr">
        <is>
          <t>A</t>
        </is>
      </c>
      <c r="F10" t="inlineStr">
        <is>
          <t>M</t>
        </is>
      </c>
      <c r="G10" t="n">
        <v>29.2</v>
      </c>
      <c r="H10" s="487" t="n">
        <v>44699</v>
      </c>
      <c r="I10" t="n">
        <v>104979420</v>
      </c>
      <c r="J10" s="487" t="n">
        <v>44699</v>
      </c>
      <c r="K10" s="487" t="n">
        <v>46525</v>
      </c>
      <c r="L10" t="n">
        <v>0</v>
      </c>
      <c r="M10" t="n">
        <v>0</v>
      </c>
      <c r="N10" t="n">
        <v>104979420</v>
      </c>
      <c r="O10" t="n">
        <v>61336125.58</v>
      </c>
      <c r="P10" t="n">
        <v>108314465.96</v>
      </c>
      <c r="Q10" s="487" t="n">
        <v>44699</v>
      </c>
    </row>
    <row r="11">
      <c r="A11" t="inlineStr">
        <is>
          <t>000104420000040</t>
        </is>
      </c>
      <c r="B11" t="inlineStr">
        <is>
          <t>Ziweto Enterprise</t>
        </is>
      </c>
      <c r="C11" t="n">
        <v>84</v>
      </c>
      <c r="D11" t="inlineStr">
        <is>
          <t>1050101</t>
        </is>
      </c>
      <c r="E11" t="inlineStr">
        <is>
          <t>C</t>
        </is>
      </c>
      <c r="F11" t="inlineStr">
        <is>
          <t>M</t>
        </is>
      </c>
      <c r="G11" t="n">
        <v>30.95</v>
      </c>
      <c r="H11" s="487" t="n">
        <v>44761</v>
      </c>
      <c r="I11" t="n">
        <v>152910000</v>
      </c>
      <c r="J11" s="487" t="n">
        <v>44761</v>
      </c>
      <c r="K11" s="487" t="n">
        <v>46221</v>
      </c>
      <c r="L11" t="n">
        <v>12</v>
      </c>
      <c r="M11" t="n">
        <v>0</v>
      </c>
      <c r="Q11" s="487" t="n">
        <v>44761</v>
      </c>
    </row>
    <row r="12">
      <c r="A12" t="inlineStr">
        <is>
          <t>000104420000043</t>
        </is>
      </c>
      <c r="B12" t="inlineStr">
        <is>
          <t>The Food Empire Limited</t>
        </is>
      </c>
      <c r="C12" t="n">
        <v>84</v>
      </c>
      <c r="D12" t="inlineStr">
        <is>
          <t>1050101</t>
        </is>
      </c>
      <c r="E12" t="inlineStr">
        <is>
          <t>F</t>
        </is>
      </c>
      <c r="F12" t="inlineStr">
        <is>
          <t>P</t>
        </is>
      </c>
      <c r="G12" t="n">
        <v>0</v>
      </c>
      <c r="H12" s="487" t="n">
        <v>44746</v>
      </c>
      <c r="I12" t="n">
        <v>154724500</v>
      </c>
      <c r="J12" s="487" t="n">
        <v>44746</v>
      </c>
      <c r="K12" s="487" t="n">
        <v>46207</v>
      </c>
      <c r="L12" t="n">
        <v>0</v>
      </c>
      <c r="M12" t="n">
        <v>0</v>
      </c>
      <c r="N12" t="n">
        <v>154724500</v>
      </c>
      <c r="O12" t="n">
        <v>79996060.14</v>
      </c>
      <c r="P12" t="n">
        <v>101427841.37</v>
      </c>
      <c r="Q12" s="487" t="n">
        <v>44746</v>
      </c>
    </row>
    <row r="13">
      <c r="A13" t="inlineStr">
        <is>
          <t>000104420000044</t>
        </is>
      </c>
      <c r="B13" t="inlineStr">
        <is>
          <t>Global Seeds Limited FInES</t>
        </is>
      </c>
      <c r="C13" t="n">
        <v>84</v>
      </c>
      <c r="D13" t="inlineStr">
        <is>
          <t>1050101</t>
        </is>
      </c>
      <c r="E13" t="inlineStr">
        <is>
          <t>C</t>
        </is>
      </c>
      <c r="F13" t="inlineStr">
        <is>
          <t>M</t>
        </is>
      </c>
      <c r="G13" t="n">
        <v>33.7</v>
      </c>
      <c r="H13" s="487" t="n">
        <v>44803</v>
      </c>
      <c r="I13" t="n">
        <v>103225546</v>
      </c>
      <c r="J13" s="487" t="n">
        <v>44803</v>
      </c>
      <c r="K13" s="487" t="n">
        <v>45898</v>
      </c>
      <c r="L13" t="n">
        <v>0</v>
      </c>
      <c r="M13" t="n">
        <v>0</v>
      </c>
      <c r="Q13" s="487" t="n">
        <v>44803</v>
      </c>
    </row>
    <row r="14">
      <c r="A14" t="inlineStr">
        <is>
          <t>000104420000052</t>
        </is>
      </c>
      <c r="B14" t="inlineStr">
        <is>
          <t>Kambewu Organic Fertilizer Investments</t>
        </is>
      </c>
      <c r="C14" t="n">
        <v>84</v>
      </c>
      <c r="D14" t="inlineStr">
        <is>
          <t>1050101</t>
        </is>
      </c>
      <c r="E14" t="inlineStr">
        <is>
          <t>A</t>
        </is>
      </c>
      <c r="F14" t="inlineStr">
        <is>
          <t>M</t>
        </is>
      </c>
      <c r="G14" t="n">
        <v>28.8</v>
      </c>
      <c r="H14" s="487" t="n">
        <v>44789</v>
      </c>
      <c r="I14" t="n">
        <v>103166500</v>
      </c>
      <c r="J14" s="487" t="n">
        <v>44789</v>
      </c>
      <c r="K14" s="487" t="n">
        <v>46250</v>
      </c>
      <c r="L14" t="n">
        <v>12</v>
      </c>
      <c r="M14" t="n">
        <v>12</v>
      </c>
      <c r="N14" t="n">
        <v>103166500</v>
      </c>
      <c r="O14" t="n">
        <v>54797857.67</v>
      </c>
      <c r="P14" t="n">
        <v>172069095.46</v>
      </c>
      <c r="Q14" s="487" t="n">
        <v>44789</v>
      </c>
    </row>
    <row r="15">
      <c r="A15" t="inlineStr">
        <is>
          <t>000104420000062</t>
        </is>
      </c>
      <c r="B15" t="inlineStr">
        <is>
          <t>Happie Foods Limited</t>
        </is>
      </c>
      <c r="C15" t="n">
        <v>84</v>
      </c>
      <c r="D15" t="inlineStr">
        <is>
          <t>1050101</t>
        </is>
      </c>
      <c r="E15" t="inlineStr">
        <is>
          <t>A</t>
        </is>
      </c>
      <c r="F15" t="inlineStr">
        <is>
          <t>M</t>
        </is>
      </c>
      <c r="G15" t="n">
        <v>29.2</v>
      </c>
      <c r="H15" s="487" t="n">
        <v>44818</v>
      </c>
      <c r="I15" t="n">
        <v>257860750</v>
      </c>
      <c r="J15" s="487" t="n">
        <v>44818</v>
      </c>
      <c r="K15" s="487" t="n">
        <v>46279</v>
      </c>
      <c r="L15" t="n">
        <v>8</v>
      </c>
      <c r="M15" t="n">
        <v>8</v>
      </c>
      <c r="N15" t="n">
        <v>257860750</v>
      </c>
      <c r="O15" t="n">
        <v>72305459.26000001</v>
      </c>
      <c r="P15" t="n">
        <v>135721912.32</v>
      </c>
      <c r="Q15" s="487" t="n">
        <v>44818</v>
      </c>
    </row>
    <row r="16">
      <c r="A16" t="inlineStr">
        <is>
          <t>000104420000063</t>
        </is>
      </c>
      <c r="B16" t="inlineStr">
        <is>
          <t>HORTINET FOODS LTD</t>
        </is>
      </c>
      <c r="C16" t="n">
        <v>84</v>
      </c>
      <c r="D16" t="inlineStr">
        <is>
          <t>1050101</t>
        </is>
      </c>
      <c r="E16" t="inlineStr">
        <is>
          <t>D</t>
        </is>
      </c>
      <c r="F16" t="inlineStr">
        <is>
          <t>P</t>
        </is>
      </c>
      <c r="G16" t="n">
        <v>33.3</v>
      </c>
      <c r="H16" s="487" t="n">
        <v>45489</v>
      </c>
      <c r="I16" t="n">
        <v>150000000</v>
      </c>
      <c r="J16" s="487" t="n">
        <v>45489</v>
      </c>
      <c r="K16" s="487" t="n">
        <v>46950</v>
      </c>
      <c r="L16" t="n">
        <v>0</v>
      </c>
      <c r="M16" t="n">
        <v>0</v>
      </c>
      <c r="N16" t="n">
        <v>150000000</v>
      </c>
      <c r="O16" t="n">
        <v>1692093.19</v>
      </c>
      <c r="P16" t="n">
        <v>164662573.23</v>
      </c>
      <c r="Q16" s="487" t="n">
        <v>45489</v>
      </c>
    </row>
    <row r="17">
      <c r="A17" t="inlineStr">
        <is>
          <t>000104420000064</t>
        </is>
      </c>
      <c r="B17" t="inlineStr">
        <is>
          <t>Namalowe Eco Farm Limited</t>
        </is>
      </c>
      <c r="C17" t="n">
        <v>84</v>
      </c>
      <c r="D17" t="inlineStr">
        <is>
          <t>1050101</t>
        </is>
      </c>
      <c r="E17" t="inlineStr">
        <is>
          <t>A</t>
        </is>
      </c>
      <c r="F17" t="inlineStr">
        <is>
          <t>P</t>
        </is>
      </c>
      <c r="G17" t="n">
        <v>29.2</v>
      </c>
      <c r="H17" s="487" t="n">
        <v>45903</v>
      </c>
      <c r="I17" t="n">
        <v>250000000</v>
      </c>
      <c r="J17" s="487" t="n">
        <v>45903</v>
      </c>
      <c r="K17" s="487" t="n">
        <v>47729</v>
      </c>
      <c r="L17" t="n">
        <v>0</v>
      </c>
      <c r="M17" t="n">
        <v>0</v>
      </c>
      <c r="Q17" s="487" t="n">
        <v>45903</v>
      </c>
    </row>
    <row r="18">
      <c r="A18" t="inlineStr">
        <is>
          <t>000104430000001</t>
        </is>
      </c>
      <c r="B18" t="inlineStr">
        <is>
          <t>CHIKHO HOTEL</t>
        </is>
      </c>
      <c r="C18" t="n">
        <v>86</v>
      </c>
      <c r="D18" t="inlineStr">
        <is>
          <t>1050102</t>
        </is>
      </c>
      <c r="E18" t="inlineStr">
        <is>
          <t>C</t>
        </is>
      </c>
      <c r="F18" t="inlineStr">
        <is>
          <t>M</t>
        </is>
      </c>
      <c r="G18" t="n">
        <v>30.8</v>
      </c>
      <c r="H18" s="487" t="n">
        <v>44652</v>
      </c>
      <c r="I18" t="n">
        <v>620855897.54</v>
      </c>
      <c r="J18" s="487" t="n">
        <v>44652</v>
      </c>
      <c r="K18" s="487" t="n">
        <v>47026</v>
      </c>
      <c r="L18" t="n">
        <v>0</v>
      </c>
      <c r="M18" t="n">
        <v>0</v>
      </c>
      <c r="Q18" s="487" t="n">
        <v>44470</v>
      </c>
    </row>
    <row r="19">
      <c r="A19" t="inlineStr">
        <is>
          <t>000104430000002</t>
        </is>
      </c>
      <c r="B19" t="inlineStr">
        <is>
          <t>Edge View Academy Limited</t>
        </is>
      </c>
      <c r="C19" t="n">
        <v>86</v>
      </c>
      <c r="D19" t="inlineStr">
        <is>
          <t>1050102</t>
        </is>
      </c>
      <c r="E19" t="inlineStr">
        <is>
          <t>A</t>
        </is>
      </c>
      <c r="F19" t="inlineStr">
        <is>
          <t>M</t>
        </is>
      </c>
      <c r="G19" t="n">
        <v>31.09</v>
      </c>
      <c r="H19" s="487" t="n">
        <v>43894</v>
      </c>
      <c r="I19" t="n">
        <v>300000000</v>
      </c>
      <c r="J19" s="487" t="n">
        <v>43894</v>
      </c>
      <c r="K19" s="487" t="n">
        <v>45720</v>
      </c>
      <c r="L19" t="n">
        <v>12</v>
      </c>
      <c r="M19" t="n">
        <v>0</v>
      </c>
      <c r="N19" t="n">
        <v>331395845.48</v>
      </c>
      <c r="O19" t="n">
        <v>207471430.42</v>
      </c>
      <c r="P19" t="n">
        <v>378644731.35</v>
      </c>
      <c r="Q19" s="487" t="n">
        <v>43894</v>
      </c>
    </row>
    <row r="20">
      <c r="A20" t="inlineStr">
        <is>
          <t>000104430000004</t>
        </is>
      </c>
      <c r="B20" t="inlineStr">
        <is>
          <t>COMSIV Limited</t>
        </is>
      </c>
      <c r="C20" t="n">
        <v>86</v>
      </c>
      <c r="D20" t="inlineStr">
        <is>
          <t>1050102</t>
        </is>
      </c>
      <c r="E20" t="inlineStr">
        <is>
          <t>H</t>
        </is>
      </c>
      <c r="F20" t="inlineStr">
        <is>
          <t>M</t>
        </is>
      </c>
      <c r="G20" t="n">
        <v>33.3</v>
      </c>
      <c r="H20" s="487" t="n">
        <v>44525</v>
      </c>
      <c r="I20" t="n">
        <v>309523514</v>
      </c>
      <c r="J20" s="487" t="n">
        <v>44525</v>
      </c>
      <c r="K20" s="487" t="n">
        <v>45255</v>
      </c>
      <c r="L20" t="n">
        <v>0</v>
      </c>
      <c r="M20" t="n">
        <v>0</v>
      </c>
      <c r="N20" t="n">
        <v>309523514</v>
      </c>
      <c r="O20" t="n">
        <v>32916948.49</v>
      </c>
      <c r="P20" t="n">
        <v>8318966.49</v>
      </c>
      <c r="Q20" s="487" t="n">
        <v>44525</v>
      </c>
    </row>
    <row r="21">
      <c r="A21" t="inlineStr">
        <is>
          <t>000104430000008</t>
        </is>
      </c>
      <c r="B21" t="inlineStr">
        <is>
          <t>Corran Farming Limited</t>
        </is>
      </c>
      <c r="C21" t="n">
        <v>86</v>
      </c>
      <c r="D21" t="inlineStr">
        <is>
          <t>1050102</t>
        </is>
      </c>
      <c r="E21" t="inlineStr">
        <is>
          <t>C</t>
        </is>
      </c>
      <c r="F21" t="inlineStr">
        <is>
          <t>M</t>
        </is>
      </c>
      <c r="G21" t="n">
        <v>32.1</v>
      </c>
      <c r="H21" s="487" t="n">
        <v>44501</v>
      </c>
      <c r="I21" t="n">
        <v>395623962</v>
      </c>
      <c r="J21" s="487" t="n">
        <v>44501</v>
      </c>
      <c r="K21" s="487" t="n">
        <v>46012</v>
      </c>
      <c r="L21" t="n">
        <v>6</v>
      </c>
      <c r="M21" t="n">
        <v>0</v>
      </c>
      <c r="Q21" s="487" t="n">
        <v>44187</v>
      </c>
    </row>
    <row r="22">
      <c r="A22" t="inlineStr">
        <is>
          <t>000104430000021</t>
        </is>
      </c>
      <c r="B22" t="inlineStr">
        <is>
          <t>Malawi Fertilizer Company</t>
        </is>
      </c>
      <c r="C22" t="n">
        <v>86</v>
      </c>
      <c r="D22" t="inlineStr">
        <is>
          <t>1050102</t>
        </is>
      </c>
      <c r="E22" t="inlineStr">
        <is>
          <t>C</t>
        </is>
      </c>
      <c r="F22" t="inlineStr">
        <is>
          <t>M</t>
        </is>
      </c>
      <c r="G22" t="n">
        <v>9.460000000000001</v>
      </c>
      <c r="H22" s="487" t="n">
        <v>44631</v>
      </c>
      <c r="I22" t="n">
        <v>881153952.35</v>
      </c>
      <c r="J22" s="487" t="n">
        <v>44631</v>
      </c>
      <c r="K22" s="487" t="n">
        <v>46822</v>
      </c>
      <c r="L22" t="n">
        <v>9</v>
      </c>
      <c r="M22" t="n">
        <v>9</v>
      </c>
      <c r="Q22" s="487" t="n">
        <v>44631</v>
      </c>
    </row>
    <row r="23">
      <c r="A23" t="inlineStr">
        <is>
          <t>000104430000054</t>
        </is>
      </c>
      <c r="B23" t="inlineStr">
        <is>
          <t>VNC Bricks &amp; Construction Group Ltd</t>
        </is>
      </c>
      <c r="C23" t="n">
        <v>86</v>
      </c>
      <c r="D23" t="inlineStr">
        <is>
          <t>1050102</t>
        </is>
      </c>
      <c r="E23" t="inlineStr">
        <is>
          <t>D</t>
        </is>
      </c>
      <c r="F23" t="inlineStr">
        <is>
          <t>M</t>
        </is>
      </c>
      <c r="G23" t="n">
        <v>29.2</v>
      </c>
      <c r="H23" s="487" t="n">
        <v>44853</v>
      </c>
      <c r="I23" t="n">
        <v>20000000</v>
      </c>
      <c r="J23" s="487" t="n">
        <v>44853</v>
      </c>
      <c r="K23" s="487" t="n">
        <v>46314</v>
      </c>
      <c r="L23" t="n">
        <v>0</v>
      </c>
      <c r="M23" t="n">
        <v>0</v>
      </c>
      <c r="N23" t="n">
        <v>200000000</v>
      </c>
      <c r="O23" t="n">
        <v>97264936.48</v>
      </c>
      <c r="P23" t="n">
        <v>235751878.35</v>
      </c>
      <c r="Q23" s="487" t="n">
        <v>44853</v>
      </c>
    </row>
    <row r="24">
      <c r="A24" t="inlineStr">
        <is>
          <t>000104430000055</t>
        </is>
      </c>
      <c r="B24" t="inlineStr">
        <is>
          <t>NASCOMEX LIMITED</t>
        </is>
      </c>
      <c r="C24" t="n">
        <v>86</v>
      </c>
      <c r="D24" t="inlineStr">
        <is>
          <t>1050102</t>
        </is>
      </c>
      <c r="E24" t="inlineStr">
        <is>
          <t>C</t>
        </is>
      </c>
      <c r="F24" t="inlineStr">
        <is>
          <t>P</t>
        </is>
      </c>
      <c r="G24" t="n">
        <v>0</v>
      </c>
      <c r="H24" s="487" t="n">
        <v>45446</v>
      </c>
      <c r="I24" t="n">
        <v>1762000051</v>
      </c>
      <c r="J24" s="487" t="n">
        <v>45446</v>
      </c>
      <c r="K24" s="487" t="n">
        <v>48002</v>
      </c>
      <c r="L24" t="n">
        <v>0</v>
      </c>
      <c r="M24" t="n">
        <v>0</v>
      </c>
      <c r="Q24" s="487" t="n">
        <v>45446</v>
      </c>
    </row>
    <row r="25">
      <c r="A25" t="inlineStr">
        <is>
          <t>000104430000056</t>
        </is>
      </c>
      <c r="B25" t="inlineStr">
        <is>
          <t>NATURES GIFT LIMITED</t>
        </is>
      </c>
      <c r="C25" t="n">
        <v>86</v>
      </c>
      <c r="D25" t="inlineStr">
        <is>
          <t>1050102</t>
        </is>
      </c>
      <c r="E25" t="inlineStr">
        <is>
          <t>C</t>
        </is>
      </c>
      <c r="F25" t="inlineStr">
        <is>
          <t>P</t>
        </is>
      </c>
      <c r="G25" t="n">
        <v>13</v>
      </c>
      <c r="H25" s="487" t="n">
        <v>45446</v>
      </c>
      <c r="I25" t="n">
        <v>481899500</v>
      </c>
      <c r="J25" s="487" t="n">
        <v>45446</v>
      </c>
      <c r="K25" s="487" t="n">
        <v>47272</v>
      </c>
      <c r="L25" t="n">
        <v>0</v>
      </c>
      <c r="M25" t="n">
        <v>0</v>
      </c>
    </row>
    <row r="26">
      <c r="A26" t="inlineStr">
        <is>
          <t>000104430000057</t>
        </is>
      </c>
      <c r="B26" t="inlineStr">
        <is>
          <t>NATURES GIFT LIMITED</t>
        </is>
      </c>
      <c r="C26" t="n">
        <v>86</v>
      </c>
      <c r="D26" t="inlineStr">
        <is>
          <t>1050102</t>
        </is>
      </c>
      <c r="E26" t="inlineStr">
        <is>
          <t>C</t>
        </is>
      </c>
      <c r="F26" t="inlineStr">
        <is>
          <t>P</t>
        </is>
      </c>
      <c r="G26" t="n">
        <v>13</v>
      </c>
      <c r="H26" s="487" t="n">
        <v>45446</v>
      </c>
      <c r="I26" t="n">
        <v>500000000</v>
      </c>
      <c r="J26" s="487" t="n">
        <v>45446</v>
      </c>
      <c r="K26" s="487" t="n">
        <v>47272</v>
      </c>
      <c r="L26" t="n">
        <v>0</v>
      </c>
      <c r="M26" t="n">
        <v>0</v>
      </c>
      <c r="Q26" s="487" t="n">
        <v>45446</v>
      </c>
    </row>
    <row r="27">
      <c r="A27" t="inlineStr">
        <is>
          <t>000104430000058</t>
        </is>
      </c>
      <c r="B27" t="inlineStr">
        <is>
          <t>MCHINJI CIVIL SERVANTS SACCO</t>
        </is>
      </c>
      <c r="C27" t="n">
        <v>86</v>
      </c>
      <c r="D27" t="inlineStr">
        <is>
          <t>1050102</t>
        </is>
      </c>
      <c r="E27" t="inlineStr">
        <is>
          <t>C</t>
        </is>
      </c>
      <c r="F27" t="inlineStr">
        <is>
          <t>P</t>
        </is>
      </c>
      <c r="G27" t="n">
        <v>10</v>
      </c>
      <c r="H27" s="487" t="n">
        <v>45448</v>
      </c>
      <c r="I27" t="n">
        <v>50000000</v>
      </c>
      <c r="J27" s="487" t="n">
        <v>45448</v>
      </c>
      <c r="K27" s="487" t="n">
        <v>46178</v>
      </c>
      <c r="L27" t="n">
        <v>0</v>
      </c>
      <c r="M27" t="n">
        <v>0</v>
      </c>
    </row>
    <row r="28">
      <c r="A28" t="inlineStr">
        <is>
          <t>000104430000059</t>
        </is>
      </c>
      <c r="B28" t="inlineStr">
        <is>
          <t>INFRACON LIMITED</t>
        </is>
      </c>
      <c r="C28" t="n">
        <v>86</v>
      </c>
      <c r="D28" t="inlineStr">
        <is>
          <t>1050102</t>
        </is>
      </c>
      <c r="E28" t="inlineStr">
        <is>
          <t>C</t>
        </is>
      </c>
      <c r="F28" t="inlineStr">
        <is>
          <t>P</t>
        </is>
      </c>
      <c r="G28" t="n">
        <v>33.3</v>
      </c>
      <c r="H28" s="487" t="n">
        <v>45421</v>
      </c>
      <c r="I28" t="n">
        <v>265656500</v>
      </c>
      <c r="J28" s="487" t="n">
        <v>45421</v>
      </c>
      <c r="K28" s="487" t="n">
        <v>47238</v>
      </c>
      <c r="L28" t="n">
        <v>0</v>
      </c>
      <c r="M28" t="n">
        <v>0</v>
      </c>
      <c r="Q28" s="487" t="n">
        <v>45421</v>
      </c>
    </row>
    <row r="29">
      <c r="A29" t="inlineStr">
        <is>
          <t>000104430000060</t>
        </is>
      </c>
      <c r="B29" t="inlineStr">
        <is>
          <t>SMALL FARM CITIES AFRICA LIMITED</t>
        </is>
      </c>
      <c r="C29" t="n">
        <v>86</v>
      </c>
      <c r="D29" t="inlineStr">
        <is>
          <t>1050102</t>
        </is>
      </c>
      <c r="E29" t="inlineStr">
        <is>
          <t>C</t>
        </is>
      </c>
      <c r="F29" t="inlineStr">
        <is>
          <t>P</t>
        </is>
      </c>
      <c r="G29" t="n">
        <v>0</v>
      </c>
      <c r="H29" s="487" t="n">
        <v>45474</v>
      </c>
      <c r="I29" t="n">
        <v>250000000</v>
      </c>
      <c r="J29" s="487" t="n">
        <v>45474</v>
      </c>
      <c r="K29" s="487" t="n">
        <v>45778</v>
      </c>
      <c r="L29" t="n">
        <v>0</v>
      </c>
      <c r="M29" t="n">
        <v>0</v>
      </c>
      <c r="Q29" s="487" t="n">
        <v>45474</v>
      </c>
    </row>
    <row r="30">
      <c r="A30" t="inlineStr">
        <is>
          <t>000104430000061</t>
        </is>
      </c>
      <c r="B30" t="inlineStr">
        <is>
          <t>TAPEMPHA MEDICAL CARE LIMITED</t>
        </is>
      </c>
      <c r="C30" t="n">
        <v>86</v>
      </c>
      <c r="D30" t="inlineStr">
        <is>
          <t>1050102</t>
        </is>
      </c>
      <c r="E30" t="inlineStr">
        <is>
          <t>D</t>
        </is>
      </c>
      <c r="F30" t="inlineStr">
        <is>
          <t>P</t>
        </is>
      </c>
      <c r="G30" t="n">
        <v>32</v>
      </c>
      <c r="H30" s="487" t="n">
        <v>44970</v>
      </c>
      <c r="I30" t="n">
        <v>53391150</v>
      </c>
      <c r="J30" s="487" t="n">
        <v>44970</v>
      </c>
      <c r="K30" s="487" t="n">
        <v>45701</v>
      </c>
      <c r="L30" t="n">
        <v>0</v>
      </c>
      <c r="M30" t="n">
        <v>0</v>
      </c>
      <c r="N30" t="n">
        <v>53391150</v>
      </c>
      <c r="O30" t="n">
        <v>17540998.41</v>
      </c>
      <c r="P30" t="n">
        <v>66920142.2</v>
      </c>
      <c r="Q30" s="487" t="n">
        <v>44970</v>
      </c>
    </row>
    <row r="31">
      <c r="A31" t="inlineStr">
        <is>
          <t>000104430000062</t>
        </is>
      </c>
      <c r="B31" t="inlineStr">
        <is>
          <t>Ifracon Limited</t>
        </is>
      </c>
      <c r="C31" t="n">
        <v>86</v>
      </c>
      <c r="D31" t="inlineStr">
        <is>
          <t>1050102</t>
        </is>
      </c>
      <c r="E31" t="inlineStr">
        <is>
          <t>A</t>
        </is>
      </c>
      <c r="F31" t="inlineStr">
        <is>
          <t>M</t>
        </is>
      </c>
      <c r="G31" t="n">
        <v>29.2</v>
      </c>
      <c r="H31" s="487" t="n">
        <v>45425</v>
      </c>
      <c r="I31" t="n">
        <v>627746500</v>
      </c>
      <c r="J31" s="487" t="n">
        <v>45425</v>
      </c>
      <c r="K31" s="487" t="n">
        <v>47238</v>
      </c>
      <c r="L31" t="n">
        <v>0</v>
      </c>
      <c r="M31" t="n">
        <v>0</v>
      </c>
      <c r="N31" t="n">
        <v>627746500</v>
      </c>
      <c r="O31" t="n">
        <v>41452059.16</v>
      </c>
      <c r="P31" t="n">
        <v>726418591.95</v>
      </c>
      <c r="Q31" s="487" t="n">
        <v>45425</v>
      </c>
    </row>
    <row r="32">
      <c r="A32" t="inlineStr">
        <is>
          <t>000104430000063</t>
        </is>
      </c>
      <c r="B32" t="inlineStr">
        <is>
          <t>infotech private limited</t>
        </is>
      </c>
      <c r="C32" t="n">
        <v>86</v>
      </c>
      <c r="D32" t="inlineStr">
        <is>
          <t>1050102</t>
        </is>
      </c>
      <c r="E32" t="inlineStr">
        <is>
          <t>C</t>
        </is>
      </c>
      <c r="F32" t="inlineStr">
        <is>
          <t>P</t>
        </is>
      </c>
      <c r="G32" t="n">
        <v>30</v>
      </c>
      <c r="H32" s="487" t="n">
        <v>45586</v>
      </c>
      <c r="I32" t="n">
        <v>8000000</v>
      </c>
      <c r="J32" s="487" t="n">
        <v>45586</v>
      </c>
      <c r="K32" s="487" t="n">
        <v>46681</v>
      </c>
      <c r="L32" t="n">
        <v>0</v>
      </c>
      <c r="M32" t="n">
        <v>0</v>
      </c>
    </row>
    <row r="33">
      <c r="A33" t="inlineStr">
        <is>
          <t>000104430000064</t>
        </is>
      </c>
      <c r="B33" t="inlineStr">
        <is>
          <t xml:space="preserve">agwenda investments limited </t>
        </is>
      </c>
      <c r="C33" t="n">
        <v>86</v>
      </c>
      <c r="D33" t="inlineStr">
        <is>
          <t>1050102</t>
        </is>
      </c>
      <c r="E33" t="inlineStr">
        <is>
          <t>A</t>
        </is>
      </c>
      <c r="F33" t="inlineStr">
        <is>
          <t>P</t>
        </is>
      </c>
      <c r="G33" t="n">
        <v>28.9</v>
      </c>
      <c r="H33" s="487" t="n">
        <v>45587</v>
      </c>
      <c r="I33" t="n">
        <v>50000000</v>
      </c>
      <c r="J33" s="487" t="n">
        <v>45587</v>
      </c>
      <c r="K33" s="487" t="n">
        <v>46326</v>
      </c>
      <c r="L33" t="n">
        <v>4</v>
      </c>
      <c r="M33" t="n">
        <v>0</v>
      </c>
      <c r="P33" t="n">
        <v>21295000</v>
      </c>
      <c r="Q33" s="487" t="n">
        <v>45587</v>
      </c>
    </row>
    <row r="34">
      <c r="A34" t="inlineStr">
        <is>
          <t>000104430000065</t>
        </is>
      </c>
      <c r="B34" t="inlineStr">
        <is>
          <t>wix ltd</t>
        </is>
      </c>
      <c r="C34" t="n">
        <v>86</v>
      </c>
      <c r="D34" t="inlineStr">
        <is>
          <t>1050102</t>
        </is>
      </c>
      <c r="E34" t="inlineStr">
        <is>
          <t>C</t>
        </is>
      </c>
      <c r="F34" t="inlineStr">
        <is>
          <t>P</t>
        </is>
      </c>
      <c r="G34" t="n">
        <v>25</v>
      </c>
      <c r="H34" s="487" t="n">
        <v>45600</v>
      </c>
      <c r="I34" t="n">
        <v>74000000</v>
      </c>
      <c r="J34" s="487" t="n">
        <v>45600</v>
      </c>
      <c r="K34" s="487" t="n">
        <v>45965</v>
      </c>
      <c r="L34" t="n">
        <v>0</v>
      </c>
      <c r="M34" t="n">
        <v>0</v>
      </c>
    </row>
    <row r="35">
      <c r="A35" t="inlineStr">
        <is>
          <t>000104430000066</t>
        </is>
      </c>
      <c r="B35" t="inlineStr">
        <is>
          <t>Doorbell services</t>
        </is>
      </c>
      <c r="C35" t="n">
        <v>86</v>
      </c>
      <c r="D35" t="inlineStr">
        <is>
          <t>1050102</t>
        </is>
      </c>
      <c r="E35" t="inlineStr">
        <is>
          <t>C</t>
        </is>
      </c>
      <c r="F35" t="inlineStr">
        <is>
          <t>P</t>
        </is>
      </c>
      <c r="G35" t="n">
        <v>25</v>
      </c>
      <c r="H35" s="487" t="n">
        <v>45608</v>
      </c>
      <c r="I35" t="n">
        <v>60000000</v>
      </c>
      <c r="J35" s="487" t="n">
        <v>45608</v>
      </c>
      <c r="K35" s="487" t="n">
        <v>46703</v>
      </c>
      <c r="L35" t="n">
        <v>0</v>
      </c>
      <c r="M35" t="n">
        <v>0</v>
      </c>
    </row>
    <row r="36">
      <c r="A36" t="inlineStr">
        <is>
          <t>000104430000067</t>
        </is>
      </c>
      <c r="B36" t="inlineStr">
        <is>
          <t>Nyamnyam processors limited</t>
        </is>
      </c>
      <c r="C36" t="n">
        <v>86</v>
      </c>
      <c r="D36" t="inlineStr">
        <is>
          <t>1050102</t>
        </is>
      </c>
      <c r="E36" t="inlineStr">
        <is>
          <t>C</t>
        </is>
      </c>
      <c r="F36" t="inlineStr">
        <is>
          <t>P</t>
        </is>
      </c>
      <c r="G36" t="n">
        <v>33</v>
      </c>
      <c r="H36" s="487" t="n">
        <v>45616</v>
      </c>
      <c r="I36" t="n">
        <v>200</v>
      </c>
      <c r="J36" s="487" t="n">
        <v>45616</v>
      </c>
      <c r="K36" s="487" t="n">
        <v>47077</v>
      </c>
      <c r="L36" t="n">
        <v>0</v>
      </c>
      <c r="M36" t="n">
        <v>0</v>
      </c>
    </row>
    <row r="37">
      <c r="A37" t="inlineStr">
        <is>
          <t>000104430000068</t>
        </is>
      </c>
      <c r="B37" t="inlineStr">
        <is>
          <t>Nyamunyamu processors limited</t>
        </is>
      </c>
      <c r="C37" t="n">
        <v>86</v>
      </c>
      <c r="D37" t="inlineStr">
        <is>
          <t>1050102</t>
        </is>
      </c>
      <c r="E37" t="inlineStr">
        <is>
          <t>A</t>
        </is>
      </c>
      <c r="F37" t="inlineStr">
        <is>
          <t>P</t>
        </is>
      </c>
      <c r="G37" t="n">
        <v>29.2</v>
      </c>
      <c r="H37" s="487" t="n">
        <v>45518</v>
      </c>
      <c r="I37" t="n">
        <v>200000000</v>
      </c>
      <c r="J37" s="487" t="n">
        <v>45518</v>
      </c>
      <c r="K37" s="487" t="n">
        <v>46979</v>
      </c>
      <c r="L37" t="n">
        <v>0</v>
      </c>
      <c r="M37" t="n">
        <v>0</v>
      </c>
      <c r="Q37" s="487" t="n">
        <v>45518</v>
      </c>
    </row>
    <row r="38">
      <c r="A38" t="inlineStr">
        <is>
          <t>000104430000069</t>
        </is>
      </c>
      <c r="B38" t="inlineStr">
        <is>
          <t>Microloan Foundation Limited</t>
        </is>
      </c>
      <c r="C38" t="n">
        <v>86</v>
      </c>
      <c r="D38" t="inlineStr">
        <is>
          <t>1050102</t>
        </is>
      </c>
      <c r="E38" t="inlineStr">
        <is>
          <t>A</t>
        </is>
      </c>
      <c r="F38" t="inlineStr">
        <is>
          <t>P</t>
        </is>
      </c>
      <c r="G38" t="n">
        <v>25.7</v>
      </c>
      <c r="H38" s="487" t="n">
        <v>45635</v>
      </c>
      <c r="I38" t="n">
        <v>400000000</v>
      </c>
      <c r="J38" s="487" t="n">
        <v>45635</v>
      </c>
      <c r="K38" s="487" t="n">
        <v>46365</v>
      </c>
      <c r="L38" t="n">
        <v>0</v>
      </c>
      <c r="M38" t="n">
        <v>0</v>
      </c>
      <c r="Q38" s="487" t="n">
        <v>45649</v>
      </c>
    </row>
    <row r="39">
      <c r="A39" t="inlineStr">
        <is>
          <t>000104430000070</t>
        </is>
      </c>
      <c r="B39" t="inlineStr">
        <is>
          <t>Ebenezer midian ltd</t>
        </is>
      </c>
      <c r="C39" t="n">
        <v>86</v>
      </c>
      <c r="D39" t="inlineStr">
        <is>
          <t>1050102</t>
        </is>
      </c>
      <c r="E39" t="inlineStr">
        <is>
          <t>A</t>
        </is>
      </c>
      <c r="F39" t="inlineStr">
        <is>
          <t>P</t>
        </is>
      </c>
      <c r="G39" t="n">
        <v>27.2</v>
      </c>
      <c r="H39" s="487" t="n">
        <v>45635</v>
      </c>
      <c r="I39" t="n">
        <v>500000000</v>
      </c>
      <c r="J39" s="487" t="n">
        <v>45635</v>
      </c>
      <c r="K39" s="487" t="n">
        <v>47461</v>
      </c>
      <c r="L39" t="n">
        <v>0</v>
      </c>
      <c r="M39" t="n">
        <v>0</v>
      </c>
      <c r="Q39" s="487" t="n">
        <v>45635</v>
      </c>
    </row>
    <row r="40">
      <c r="A40" t="inlineStr">
        <is>
          <t>000104430000071</t>
        </is>
      </c>
      <c r="B40" t="inlineStr">
        <is>
          <t>CHIPALA INVESTMENT LIMITED</t>
        </is>
      </c>
      <c r="C40" t="n">
        <v>86</v>
      </c>
      <c r="D40" t="inlineStr">
        <is>
          <t>1050102</t>
        </is>
      </c>
      <c r="E40" t="inlineStr">
        <is>
          <t>A</t>
        </is>
      </c>
      <c r="F40" t="inlineStr">
        <is>
          <t>P</t>
        </is>
      </c>
      <c r="G40" t="n">
        <v>26.1</v>
      </c>
      <c r="H40" s="487" t="n">
        <v>45763</v>
      </c>
      <c r="I40" t="n">
        <v>1045291724</v>
      </c>
      <c r="J40" s="487" t="n">
        <v>45763</v>
      </c>
      <c r="K40" s="487" t="n">
        <v>47589</v>
      </c>
      <c r="L40" t="n">
        <v>0</v>
      </c>
      <c r="M40" t="n">
        <v>0</v>
      </c>
      <c r="Q40" s="487" t="n">
        <v>45763</v>
      </c>
    </row>
    <row r="41">
      <c r="A41" t="inlineStr">
        <is>
          <t>000104430000072</t>
        </is>
      </c>
      <c r="B41" t="inlineStr">
        <is>
          <t>MALAWI POLICE SACCO</t>
        </is>
      </c>
      <c r="C41" t="n">
        <v>86</v>
      </c>
      <c r="D41" t="inlineStr">
        <is>
          <t>1050102</t>
        </is>
      </c>
      <c r="E41" t="inlineStr">
        <is>
          <t>D</t>
        </is>
      </c>
      <c r="F41" t="inlineStr">
        <is>
          <t>P</t>
        </is>
      </c>
      <c r="G41" t="n">
        <v>0</v>
      </c>
      <c r="H41" s="487" t="n">
        <v>45769</v>
      </c>
      <c r="I41" t="n">
        <v>1046210000</v>
      </c>
      <c r="J41" s="487" t="n">
        <v>45769</v>
      </c>
      <c r="K41" s="487" t="n">
        <v>46134</v>
      </c>
      <c r="L41" t="n">
        <v>0</v>
      </c>
      <c r="M41" t="n">
        <v>0</v>
      </c>
      <c r="Q41" s="487" t="n">
        <v>45769</v>
      </c>
    </row>
    <row r="42">
      <c r="A42" t="inlineStr">
        <is>
          <t>000104430000073</t>
        </is>
      </c>
      <c r="B42" t="inlineStr">
        <is>
          <t>SAILE FINANCIAL SERVICES LIMITED COMPANY</t>
        </is>
      </c>
      <c r="C42" t="n">
        <v>86</v>
      </c>
      <c r="D42" t="inlineStr">
        <is>
          <t>1050102</t>
        </is>
      </c>
      <c r="E42" t="inlineStr">
        <is>
          <t>A</t>
        </is>
      </c>
      <c r="F42" t="inlineStr">
        <is>
          <t>P</t>
        </is>
      </c>
      <c r="G42" t="n">
        <v>26.2</v>
      </c>
      <c r="H42" s="487" t="n">
        <v>45770</v>
      </c>
      <c r="I42" t="n">
        <v>500000000</v>
      </c>
      <c r="J42" s="487" t="n">
        <v>45770</v>
      </c>
      <c r="K42" s="487" t="n">
        <v>46500</v>
      </c>
      <c r="L42" t="n">
        <v>0</v>
      </c>
      <c r="M42" t="n">
        <v>0</v>
      </c>
      <c r="Q42" s="487" t="n">
        <v>45770</v>
      </c>
    </row>
    <row r="43">
      <c r="A43" t="inlineStr">
        <is>
          <t>000104430000074</t>
        </is>
      </c>
      <c r="B43" t="inlineStr">
        <is>
          <t>SYCAMORE CREDIT LIMITED</t>
        </is>
      </c>
      <c r="C43" t="n">
        <v>86</v>
      </c>
      <c r="D43" t="inlineStr">
        <is>
          <t>1050102</t>
        </is>
      </c>
      <c r="E43" t="inlineStr">
        <is>
          <t>A</t>
        </is>
      </c>
      <c r="F43" t="inlineStr">
        <is>
          <t>P</t>
        </is>
      </c>
      <c r="G43" t="n">
        <v>26.1</v>
      </c>
      <c r="H43" s="487" t="n">
        <v>45777</v>
      </c>
      <c r="I43" t="n">
        <v>300000000</v>
      </c>
      <c r="J43" s="487" t="n">
        <v>45777</v>
      </c>
      <c r="K43" s="487" t="n">
        <v>46507</v>
      </c>
      <c r="L43" t="n">
        <v>0</v>
      </c>
      <c r="M43" t="n">
        <v>0</v>
      </c>
      <c r="Q43" s="487" t="n">
        <v>45777</v>
      </c>
    </row>
    <row r="44">
      <c r="A44" t="inlineStr">
        <is>
          <t>000104430000075</t>
        </is>
      </c>
      <c r="B44" t="inlineStr">
        <is>
          <t>Chigra Limited</t>
        </is>
      </c>
      <c r="C44" t="n">
        <v>86</v>
      </c>
      <c r="D44" t="inlineStr">
        <is>
          <t>1050102</t>
        </is>
      </c>
      <c r="E44" t="inlineStr">
        <is>
          <t>A</t>
        </is>
      </c>
      <c r="F44" t="inlineStr">
        <is>
          <t>P</t>
        </is>
      </c>
      <c r="G44" t="n">
        <v>28.2</v>
      </c>
      <c r="H44" s="487" t="n">
        <v>45761</v>
      </c>
      <c r="I44" t="n">
        <v>100000000</v>
      </c>
      <c r="J44" s="487" t="n">
        <v>45761</v>
      </c>
      <c r="K44" s="487" t="n">
        <v>46491</v>
      </c>
      <c r="L44" t="n">
        <v>0</v>
      </c>
      <c r="M44" t="n">
        <v>0</v>
      </c>
      <c r="Q44" s="487" t="n">
        <v>45761</v>
      </c>
    </row>
    <row r="45">
      <c r="A45" t="inlineStr">
        <is>
          <t>000104430000076</t>
        </is>
      </c>
      <c r="B45" t="inlineStr">
        <is>
          <t>CHIKOMAnYAMA FARMS</t>
        </is>
      </c>
      <c r="C45" t="n">
        <v>86</v>
      </c>
      <c r="D45" t="inlineStr">
        <is>
          <t>1050102</t>
        </is>
      </c>
      <c r="E45" t="inlineStr">
        <is>
          <t>A</t>
        </is>
      </c>
      <c r="F45" t="inlineStr">
        <is>
          <t>P</t>
        </is>
      </c>
      <c r="G45" t="n">
        <v>29.2</v>
      </c>
      <c r="H45" s="487" t="n">
        <v>45764</v>
      </c>
      <c r="I45" t="n">
        <v>150000000</v>
      </c>
      <c r="J45" s="487" t="n">
        <v>45764</v>
      </c>
      <c r="K45" s="487" t="n">
        <v>47590</v>
      </c>
      <c r="L45" t="n">
        <v>0</v>
      </c>
      <c r="M45" t="n">
        <v>0</v>
      </c>
      <c r="Q45" s="487" t="n">
        <v>45764</v>
      </c>
    </row>
    <row r="46">
      <c r="A46" t="inlineStr">
        <is>
          <t>000104430000077</t>
        </is>
      </c>
      <c r="B46" t="inlineStr">
        <is>
          <t>MTHIRAKUWIRI FARM</t>
        </is>
      </c>
      <c r="C46" t="n">
        <v>86</v>
      </c>
      <c r="D46" t="inlineStr">
        <is>
          <t>1050102</t>
        </is>
      </c>
      <c r="E46" t="inlineStr">
        <is>
          <t>D</t>
        </is>
      </c>
      <c r="F46" t="inlineStr">
        <is>
          <t>P</t>
        </is>
      </c>
      <c r="G46" t="n">
        <v>26.2</v>
      </c>
      <c r="H46" s="487" t="n">
        <v>45813</v>
      </c>
      <c r="I46" t="n">
        <v>160000000</v>
      </c>
      <c r="J46" s="487" t="n">
        <v>45813</v>
      </c>
      <c r="K46" s="487" t="n">
        <v>47639</v>
      </c>
      <c r="L46" t="n">
        <v>0</v>
      </c>
      <c r="M46" t="n">
        <v>0</v>
      </c>
      <c r="Q46" s="487" t="n">
        <v>45813</v>
      </c>
    </row>
    <row r="47">
      <c r="A47" t="inlineStr">
        <is>
          <t>000104430000078</t>
        </is>
      </c>
      <c r="B47" t="inlineStr">
        <is>
          <t>AB MWALE</t>
        </is>
      </c>
      <c r="C47" t="n">
        <v>86</v>
      </c>
      <c r="D47" t="inlineStr">
        <is>
          <t>1050102</t>
        </is>
      </c>
      <c r="E47" t="inlineStr">
        <is>
          <t>A</t>
        </is>
      </c>
      <c r="F47" t="inlineStr">
        <is>
          <t>P</t>
        </is>
      </c>
      <c r="G47" t="n">
        <v>27.6</v>
      </c>
      <c r="H47" s="487" t="n">
        <v>45805</v>
      </c>
      <c r="I47" t="n">
        <v>50000000</v>
      </c>
      <c r="J47" s="487" t="n">
        <v>45805</v>
      </c>
      <c r="K47" s="487" t="n">
        <v>46170</v>
      </c>
      <c r="L47" t="n">
        <v>0</v>
      </c>
      <c r="M47" t="n">
        <v>0</v>
      </c>
      <c r="Q47" s="487" t="n">
        <v>45805</v>
      </c>
    </row>
    <row r="48">
      <c r="A48" t="inlineStr">
        <is>
          <t>000104430000079</t>
        </is>
      </c>
      <c r="B48" t="inlineStr">
        <is>
          <t>ACADES HOLDING LTD</t>
        </is>
      </c>
      <c r="C48" t="n">
        <v>86</v>
      </c>
      <c r="D48" t="inlineStr">
        <is>
          <t>1050102</t>
        </is>
      </c>
      <c r="E48" t="inlineStr">
        <is>
          <t>A</t>
        </is>
      </c>
      <c r="F48" t="inlineStr">
        <is>
          <t>P</t>
        </is>
      </c>
      <c r="G48" t="n">
        <v>28.2</v>
      </c>
      <c r="H48" s="487" t="n">
        <v>45799</v>
      </c>
      <c r="I48" t="n">
        <v>100000000</v>
      </c>
      <c r="J48" s="487" t="n">
        <v>45799</v>
      </c>
      <c r="K48" s="487" t="n">
        <v>46529</v>
      </c>
      <c r="L48" t="n">
        <v>0</v>
      </c>
      <c r="M48" t="n">
        <v>0</v>
      </c>
      <c r="Q48" s="487" t="n">
        <v>45799</v>
      </c>
    </row>
    <row r="49">
      <c r="A49" t="inlineStr">
        <is>
          <t>000104430000080</t>
        </is>
      </c>
      <c r="B49" t="inlineStr">
        <is>
          <t>BARNET AGRICULTURE RESOURCE CENTRE</t>
        </is>
      </c>
      <c r="C49" t="n">
        <v>86</v>
      </c>
      <c r="D49" t="inlineStr">
        <is>
          <t>1050102</t>
        </is>
      </c>
      <c r="E49" t="inlineStr">
        <is>
          <t>D</t>
        </is>
      </c>
      <c r="F49" t="inlineStr">
        <is>
          <t>P</t>
        </is>
      </c>
      <c r="G49" t="n">
        <v>33.2</v>
      </c>
      <c r="H49" s="487" t="n">
        <v>45804</v>
      </c>
      <c r="I49" t="n">
        <v>50000000</v>
      </c>
      <c r="J49" s="487" t="n">
        <v>45804</v>
      </c>
      <c r="K49" s="487" t="n">
        <v>46534</v>
      </c>
      <c r="L49" t="n">
        <v>0</v>
      </c>
      <c r="M49" t="n">
        <v>0</v>
      </c>
      <c r="Q49" s="487" t="n">
        <v>45804</v>
      </c>
    </row>
    <row r="50">
      <c r="A50" t="inlineStr">
        <is>
          <t>000104430000081</t>
        </is>
      </c>
      <c r="B50" t="inlineStr">
        <is>
          <t>PINNACLE FINANCIAL SERVICES LIMITED</t>
        </is>
      </c>
      <c r="C50" t="n">
        <v>86</v>
      </c>
      <c r="D50" t="inlineStr">
        <is>
          <t>1050102</t>
        </is>
      </c>
      <c r="E50" t="inlineStr">
        <is>
          <t>A</t>
        </is>
      </c>
      <c r="F50" t="inlineStr">
        <is>
          <t>P</t>
        </is>
      </c>
      <c r="G50" t="n">
        <v>26.9</v>
      </c>
      <c r="H50" s="487" t="n">
        <v>45862</v>
      </c>
      <c r="I50" t="n">
        <v>1000000000</v>
      </c>
      <c r="J50" s="487" t="n">
        <v>45862</v>
      </c>
      <c r="K50" s="487" t="n">
        <v>46592</v>
      </c>
      <c r="L50" t="n">
        <v>0</v>
      </c>
      <c r="M50" t="n">
        <v>0</v>
      </c>
    </row>
    <row r="51">
      <c r="A51" t="inlineStr">
        <is>
          <t>000104430000082</t>
        </is>
      </c>
      <c r="B51" t="inlineStr">
        <is>
          <t>PINNACLE FINANCIAL SERVICES LIMITED</t>
        </is>
      </c>
      <c r="C51" t="n">
        <v>86</v>
      </c>
      <c r="D51" t="inlineStr">
        <is>
          <t>1050102</t>
        </is>
      </c>
      <c r="E51" t="inlineStr">
        <is>
          <t>A</t>
        </is>
      </c>
      <c r="F51" t="inlineStr">
        <is>
          <t>P</t>
        </is>
      </c>
      <c r="G51" t="n">
        <v>27.1</v>
      </c>
      <c r="H51" s="487" t="n">
        <v>45796</v>
      </c>
      <c r="I51" t="n">
        <v>1046111250</v>
      </c>
      <c r="J51" s="487" t="n">
        <v>45796</v>
      </c>
      <c r="K51" s="487" t="n">
        <v>46526</v>
      </c>
      <c r="L51" t="n">
        <v>0</v>
      </c>
      <c r="M51" t="n">
        <v>0</v>
      </c>
      <c r="Q51" s="487" t="n">
        <v>45796</v>
      </c>
    </row>
    <row r="52">
      <c r="A52" t="inlineStr">
        <is>
          <t>000104430000083</t>
        </is>
      </c>
      <c r="B52" t="inlineStr">
        <is>
          <t>JAT GROUP LTD</t>
        </is>
      </c>
      <c r="C52" t="n">
        <v>86</v>
      </c>
      <c r="D52" t="inlineStr">
        <is>
          <t>1050102</t>
        </is>
      </c>
      <c r="E52" t="inlineStr">
        <is>
          <t>A</t>
        </is>
      </c>
      <c r="F52" t="inlineStr">
        <is>
          <t>P</t>
        </is>
      </c>
      <c r="G52" t="n">
        <v>28.8</v>
      </c>
      <c r="H52" s="487" t="n">
        <v>45874</v>
      </c>
      <c r="I52" t="n">
        <v>209270000</v>
      </c>
      <c r="J52" s="487" t="n">
        <v>45874</v>
      </c>
      <c r="K52" s="487" t="n">
        <v>46970</v>
      </c>
      <c r="L52" t="n">
        <v>0</v>
      </c>
      <c r="M52" t="n">
        <v>0</v>
      </c>
    </row>
    <row r="53">
      <c r="A53" t="inlineStr">
        <is>
          <t>000104430000084</t>
        </is>
      </c>
      <c r="B53" t="inlineStr">
        <is>
          <t>EBENEZER MIDIAN LTD</t>
        </is>
      </c>
      <c r="C53" t="n">
        <v>86</v>
      </c>
      <c r="D53" t="inlineStr">
        <is>
          <t>1050102</t>
        </is>
      </c>
      <c r="E53" t="inlineStr">
        <is>
          <t>A</t>
        </is>
      </c>
      <c r="F53" t="inlineStr">
        <is>
          <t>P</t>
        </is>
      </c>
      <c r="G53" t="n">
        <v>27.1</v>
      </c>
      <c r="H53" s="487" t="n">
        <v>45853</v>
      </c>
      <c r="I53" t="n">
        <v>314900900</v>
      </c>
      <c r="J53" s="487" t="n">
        <v>45853</v>
      </c>
      <c r="K53" s="487" t="n">
        <v>47679</v>
      </c>
      <c r="L53" t="n">
        <v>0</v>
      </c>
      <c r="M53" t="n">
        <v>0</v>
      </c>
      <c r="Q53" s="487" t="n">
        <v>45853</v>
      </c>
    </row>
    <row r="54">
      <c r="A54" t="inlineStr">
        <is>
          <t>000104430000085</t>
        </is>
      </c>
      <c r="B54" t="inlineStr">
        <is>
          <t>Mphunzitsi SACCO</t>
        </is>
      </c>
      <c r="C54" t="n">
        <v>86</v>
      </c>
      <c r="D54" t="inlineStr">
        <is>
          <t>1050102</t>
        </is>
      </c>
      <c r="E54" t="inlineStr">
        <is>
          <t>A</t>
        </is>
      </c>
      <c r="F54" t="inlineStr">
        <is>
          <t>P</t>
        </is>
      </c>
      <c r="G54" t="n">
        <v>29</v>
      </c>
      <c r="H54" s="487" t="n">
        <v>45853</v>
      </c>
      <c r="I54" t="n">
        <v>1047653000</v>
      </c>
      <c r="J54" s="487" t="n">
        <v>45853</v>
      </c>
      <c r="K54" s="487" t="n">
        <v>46583</v>
      </c>
      <c r="L54" t="n">
        <v>0</v>
      </c>
      <c r="M54" t="n">
        <v>0</v>
      </c>
      <c r="Q54" s="487" t="n">
        <v>45853</v>
      </c>
    </row>
    <row r="55">
      <c r="A55" t="inlineStr">
        <is>
          <t>000104430000086</t>
        </is>
      </c>
      <c r="B55" t="inlineStr">
        <is>
          <t>MCHINJI CIVIL SERVICE SAVINGS AND CREDIT COOPERATIVE</t>
        </is>
      </c>
      <c r="C55" t="n">
        <v>86</v>
      </c>
      <c r="D55" t="inlineStr">
        <is>
          <t>1050102</t>
        </is>
      </c>
      <c r="E55" t="inlineStr">
        <is>
          <t>A</t>
        </is>
      </c>
      <c r="F55" t="inlineStr">
        <is>
          <t>P</t>
        </is>
      </c>
      <c r="G55" t="n">
        <v>27.2</v>
      </c>
      <c r="H55" s="487" t="n">
        <v>45846</v>
      </c>
      <c r="I55" t="n">
        <v>250000000</v>
      </c>
      <c r="J55" s="487" t="n">
        <v>45846</v>
      </c>
      <c r="K55" s="487" t="n">
        <v>46942</v>
      </c>
      <c r="L55" t="n">
        <v>0</v>
      </c>
      <c r="M55" t="n">
        <v>0</v>
      </c>
      <c r="Q55" s="487" t="n">
        <v>45846</v>
      </c>
    </row>
    <row r="56">
      <c r="A56" t="inlineStr">
        <is>
          <t>000104430000087</t>
        </is>
      </c>
      <c r="B56" t="inlineStr">
        <is>
          <t>JAT GROUP LTD</t>
        </is>
      </c>
      <c r="C56" t="n">
        <v>86</v>
      </c>
      <c r="D56" t="inlineStr">
        <is>
          <t>1050102</t>
        </is>
      </c>
      <c r="E56" t="inlineStr">
        <is>
          <t>A</t>
        </is>
      </c>
      <c r="F56" t="inlineStr">
        <is>
          <t>P</t>
        </is>
      </c>
      <c r="G56" t="n">
        <v>29.2</v>
      </c>
      <c r="H56" s="487" t="n">
        <v>45861</v>
      </c>
      <c r="I56" t="n">
        <v>209336236</v>
      </c>
      <c r="J56" s="487" t="n">
        <v>45861</v>
      </c>
      <c r="K56" s="487" t="n">
        <v>46957</v>
      </c>
      <c r="L56" t="n">
        <v>0</v>
      </c>
      <c r="M56" t="n">
        <v>0</v>
      </c>
      <c r="Q56" s="487" t="n">
        <v>45861</v>
      </c>
    </row>
    <row r="57">
      <c r="A57" t="inlineStr">
        <is>
          <t>000104430000088</t>
        </is>
      </c>
      <c r="B57" t="inlineStr">
        <is>
          <t>ANCHOR PROCESSORS LIMITED</t>
        </is>
      </c>
      <c r="C57" t="n">
        <v>86</v>
      </c>
      <c r="D57" t="inlineStr">
        <is>
          <t>1050102</t>
        </is>
      </c>
      <c r="E57" t="inlineStr">
        <is>
          <t>A</t>
        </is>
      </c>
      <c r="F57" t="inlineStr">
        <is>
          <t>P</t>
        </is>
      </c>
      <c r="G57" t="n">
        <v>27.9</v>
      </c>
      <c r="H57" s="487" t="n">
        <v>45959</v>
      </c>
      <c r="I57" t="n">
        <v>300000000</v>
      </c>
      <c r="J57" s="487" t="n">
        <v>45959</v>
      </c>
      <c r="K57" s="487" t="n">
        <v>48150</v>
      </c>
      <c r="L57" t="n">
        <v>0</v>
      </c>
      <c r="M57" t="n">
        <v>0</v>
      </c>
    </row>
    <row r="58">
      <c r="A58" t="inlineStr">
        <is>
          <t>000104430000089</t>
        </is>
      </c>
      <c r="B58" t="inlineStr">
        <is>
          <t>ANCHOR PROCESSORS LIMITED</t>
        </is>
      </c>
      <c r="C58" t="n">
        <v>86</v>
      </c>
      <c r="D58" t="inlineStr">
        <is>
          <t>1050102</t>
        </is>
      </c>
      <c r="E58" t="inlineStr">
        <is>
          <t>A</t>
        </is>
      </c>
      <c r="F58" t="inlineStr">
        <is>
          <t>P</t>
        </is>
      </c>
      <c r="G58" t="n">
        <v>28.2</v>
      </c>
      <c r="H58" s="487" t="n">
        <v>45824</v>
      </c>
      <c r="I58" t="n">
        <v>300000000</v>
      </c>
      <c r="J58" s="487" t="n">
        <v>45824</v>
      </c>
      <c r="K58" s="487" t="n">
        <v>48015</v>
      </c>
      <c r="L58" t="n">
        <v>0</v>
      </c>
      <c r="M58" t="n">
        <v>0</v>
      </c>
      <c r="Q58" s="487" t="n">
        <v>45824</v>
      </c>
    </row>
    <row r="59">
      <c r="A59" t="inlineStr">
        <is>
          <t>000104440000004</t>
        </is>
      </c>
      <c r="B59" t="inlineStr">
        <is>
          <t>A.A Mirza General Traders</t>
        </is>
      </c>
      <c r="C59" t="n">
        <v>88</v>
      </c>
      <c r="D59" t="inlineStr">
        <is>
          <t>1050103</t>
        </is>
      </c>
      <c r="E59" t="inlineStr">
        <is>
          <t>C</t>
        </is>
      </c>
      <c r="F59" t="inlineStr">
        <is>
          <t>S</t>
        </is>
      </c>
      <c r="G59" t="n">
        <v>0</v>
      </c>
      <c r="H59" s="487" t="n">
        <v>45383</v>
      </c>
      <c r="I59" t="n">
        <v>0</v>
      </c>
      <c r="J59" s="490" t="n"/>
      <c r="K59" s="490" t="n"/>
      <c r="L59" t="n">
        <v>0</v>
      </c>
      <c r="M59" t="n">
        <v>0</v>
      </c>
    </row>
    <row r="60">
      <c r="A60" t="inlineStr">
        <is>
          <t>000104440000005</t>
        </is>
      </c>
      <c r="B60" t="inlineStr">
        <is>
          <t>Belk Inc</t>
        </is>
      </c>
      <c r="C60" t="n">
        <v>88</v>
      </c>
      <c r="D60" t="inlineStr">
        <is>
          <t>1050103</t>
        </is>
      </c>
      <c r="E60" t="inlineStr">
        <is>
          <t>A</t>
        </is>
      </c>
      <c r="F60" t="inlineStr">
        <is>
          <t>S</t>
        </is>
      </c>
      <c r="G60" t="n">
        <v>19</v>
      </c>
      <c r="H60" s="487" t="n">
        <v>45566</v>
      </c>
      <c r="I60" t="n">
        <v>69000000</v>
      </c>
      <c r="J60" s="487" t="n">
        <v>45589</v>
      </c>
      <c r="K60" s="487" t="n">
        <v>45801</v>
      </c>
      <c r="L60" t="n">
        <v>0</v>
      </c>
      <c r="M60" t="n">
        <v>0</v>
      </c>
    </row>
    <row r="61">
      <c r="A61" t="inlineStr">
        <is>
          <t>000104440000006</t>
        </is>
      </c>
      <c r="B61" t="inlineStr">
        <is>
          <t>DIVYANI ENTERPRISE</t>
        </is>
      </c>
      <c r="C61" t="n">
        <v>88</v>
      </c>
      <c r="D61" t="inlineStr">
        <is>
          <t>1050103</t>
        </is>
      </c>
      <c r="E61" t="inlineStr">
        <is>
          <t>C</t>
        </is>
      </c>
      <c r="F61" t="inlineStr">
        <is>
          <t>S</t>
        </is>
      </c>
      <c r="G61" t="n">
        <v>24</v>
      </c>
      <c r="H61" s="487" t="n">
        <v>45566</v>
      </c>
      <c r="I61" t="n">
        <v>3000000</v>
      </c>
      <c r="J61" s="487" t="n">
        <v>45589</v>
      </c>
      <c r="K61" s="487" t="n">
        <v>47173</v>
      </c>
      <c r="L61" t="n">
        <v>0</v>
      </c>
      <c r="M61" t="n">
        <v>0</v>
      </c>
    </row>
    <row r="62">
      <c r="A62" t="inlineStr">
        <is>
          <t>000104440000007</t>
        </is>
      </c>
      <c r="B62" t="inlineStr">
        <is>
          <t>4G Tech Systems</t>
        </is>
      </c>
      <c r="C62" t="n">
        <v>88</v>
      </c>
      <c r="D62" t="inlineStr">
        <is>
          <t>1050103</t>
        </is>
      </c>
      <c r="E62" t="inlineStr">
        <is>
          <t>C</t>
        </is>
      </c>
      <c r="F62" t="inlineStr">
        <is>
          <t>S</t>
        </is>
      </c>
      <c r="G62" t="n">
        <v>19</v>
      </c>
      <c r="H62" s="487" t="n">
        <v>45614</v>
      </c>
      <c r="I62" t="n">
        <v>300000000</v>
      </c>
      <c r="J62" s="487" t="n">
        <v>45614</v>
      </c>
      <c r="K62" s="487" t="n">
        <v>46708</v>
      </c>
      <c r="L62" t="n">
        <v>0</v>
      </c>
      <c r="M62" t="n">
        <v>0</v>
      </c>
    </row>
    <row r="63">
      <c r="A63" t="inlineStr">
        <is>
          <t>000104440000008</t>
        </is>
      </c>
      <c r="B63" t="inlineStr">
        <is>
          <t>Bosch</t>
        </is>
      </c>
      <c r="C63" t="n">
        <v>88</v>
      </c>
      <c r="D63" t="inlineStr">
        <is>
          <t>1050103</t>
        </is>
      </c>
      <c r="E63" t="inlineStr">
        <is>
          <t>C</t>
        </is>
      </c>
      <c r="F63" t="inlineStr">
        <is>
          <t>S</t>
        </is>
      </c>
      <c r="G63" t="n">
        <v>19</v>
      </c>
      <c r="H63" s="487" t="n">
        <v>45614</v>
      </c>
      <c r="I63" t="n">
        <v>800000000</v>
      </c>
      <c r="J63" s="487" t="n">
        <v>45614</v>
      </c>
      <c r="K63" s="487" t="n">
        <v>46343</v>
      </c>
      <c r="L63" t="n">
        <v>0</v>
      </c>
      <c r="M63" t="n">
        <v>0</v>
      </c>
    </row>
    <row r="64">
      <c r="A64" t="inlineStr">
        <is>
          <t>000104450000012</t>
        </is>
      </c>
      <c r="B64" t="inlineStr">
        <is>
          <t>Maluso Cooperative Union</t>
        </is>
      </c>
      <c r="C64" t="n">
        <v>90</v>
      </c>
      <c r="D64" t="inlineStr">
        <is>
          <t>1050201</t>
        </is>
      </c>
      <c r="E64" t="inlineStr">
        <is>
          <t>A</t>
        </is>
      </c>
      <c r="F64" t="inlineStr">
        <is>
          <t>S</t>
        </is>
      </c>
      <c r="G64" t="n">
        <v>10</v>
      </c>
      <c r="H64" s="487" t="n">
        <v>44552</v>
      </c>
      <c r="I64" t="n">
        <v>11511500</v>
      </c>
      <c r="J64" s="487" t="n">
        <v>44553</v>
      </c>
      <c r="K64" s="487" t="n">
        <v>45282</v>
      </c>
      <c r="L64" t="n">
        <v>3</v>
      </c>
      <c r="M64" t="n">
        <v>3</v>
      </c>
      <c r="N64" t="n">
        <v>11511500</v>
      </c>
      <c r="O64" t="n">
        <v>1430309.63</v>
      </c>
      <c r="Q64" s="487" t="n">
        <v>44553</v>
      </c>
    </row>
    <row r="65">
      <c r="A65" t="inlineStr">
        <is>
          <t>000104450000013</t>
        </is>
      </c>
      <c r="B65" t="inlineStr">
        <is>
          <t>Ndagha Sustainable Foods Limited</t>
        </is>
      </c>
      <c r="C65" t="n">
        <v>90</v>
      </c>
      <c r="D65" t="inlineStr">
        <is>
          <t>1050201</t>
        </is>
      </c>
      <c r="E65" t="inlineStr">
        <is>
          <t>C</t>
        </is>
      </c>
      <c r="F65" t="inlineStr">
        <is>
          <t>S</t>
        </is>
      </c>
      <c r="G65" t="n">
        <v>10</v>
      </c>
      <c r="H65" s="487" t="n">
        <v>44552</v>
      </c>
      <c r="I65" t="n">
        <v>10000000</v>
      </c>
      <c r="J65" s="487" t="n">
        <v>44554</v>
      </c>
      <c r="K65" s="487" t="n">
        <v>45283</v>
      </c>
      <c r="L65" t="n">
        <v>0</v>
      </c>
      <c r="M65" t="n">
        <v>0</v>
      </c>
      <c r="Q65" s="487" t="n">
        <v>44554</v>
      </c>
    </row>
    <row r="66">
      <c r="A66" t="inlineStr">
        <is>
          <t>000104450000015</t>
        </is>
      </c>
      <c r="B66" t="inlineStr">
        <is>
          <t>Zaithwa Farms</t>
        </is>
      </c>
      <c r="C66" t="n">
        <v>90</v>
      </c>
      <c r="D66" t="inlineStr">
        <is>
          <t>1050201</t>
        </is>
      </c>
      <c r="E66" t="inlineStr">
        <is>
          <t>D</t>
        </is>
      </c>
      <c r="F66" t="inlineStr">
        <is>
          <t>S</t>
        </is>
      </c>
      <c r="G66" t="n">
        <v>10</v>
      </c>
      <c r="H66" s="487" t="n">
        <v>44547</v>
      </c>
      <c r="I66" t="n">
        <v>10000000</v>
      </c>
      <c r="J66" s="487" t="n">
        <v>44551</v>
      </c>
      <c r="K66" s="487" t="n">
        <v>45280</v>
      </c>
      <c r="L66" t="n">
        <v>0</v>
      </c>
      <c r="M66" t="n">
        <v>0</v>
      </c>
      <c r="N66" t="n">
        <v>10000000</v>
      </c>
      <c r="O66" t="n">
        <v>1104919.31</v>
      </c>
      <c r="P66" t="n">
        <v>11387182.14</v>
      </c>
      <c r="Q66" s="487" t="n">
        <v>44551</v>
      </c>
    </row>
    <row r="67">
      <c r="A67" t="inlineStr">
        <is>
          <t>000104450000016</t>
        </is>
      </c>
      <c r="B67" t="inlineStr">
        <is>
          <t>Beaulaland Food Processors</t>
        </is>
      </c>
      <c r="C67" t="n">
        <v>90</v>
      </c>
      <c r="D67" t="inlineStr">
        <is>
          <t>1050201</t>
        </is>
      </c>
      <c r="E67" t="inlineStr">
        <is>
          <t>C</t>
        </is>
      </c>
      <c r="F67" t="inlineStr">
        <is>
          <t>S</t>
        </is>
      </c>
      <c r="G67" t="n">
        <v>10</v>
      </c>
      <c r="H67" s="487" t="n">
        <v>44573</v>
      </c>
      <c r="I67" t="n">
        <v>23616000</v>
      </c>
      <c r="J67" s="487" t="n">
        <v>44208</v>
      </c>
      <c r="K67" s="487" t="n">
        <v>45302</v>
      </c>
      <c r="L67" t="n">
        <v>3</v>
      </c>
      <c r="M67" t="n">
        <v>3</v>
      </c>
      <c r="Q67" s="487" t="n">
        <v>44208</v>
      </c>
    </row>
    <row r="68">
      <c r="A68" t="inlineStr">
        <is>
          <t>000104450000018</t>
        </is>
      </c>
      <c r="B68" t="inlineStr">
        <is>
          <t>Muddy Boots</t>
        </is>
      </c>
      <c r="C68" t="n">
        <v>90</v>
      </c>
      <c r="D68" t="inlineStr">
        <is>
          <t>1050201</t>
        </is>
      </c>
      <c r="E68" t="inlineStr">
        <is>
          <t>C</t>
        </is>
      </c>
      <c r="F68" t="inlineStr">
        <is>
          <t>S</t>
        </is>
      </c>
      <c r="G68" t="n">
        <v>10</v>
      </c>
      <c r="H68" s="487" t="n">
        <v>44593</v>
      </c>
      <c r="I68" t="n">
        <v>13000000</v>
      </c>
      <c r="J68" s="487" t="n">
        <v>44230</v>
      </c>
      <c r="K68" s="487" t="n">
        <v>44959</v>
      </c>
      <c r="L68" t="n">
        <v>0</v>
      </c>
      <c r="M68" t="n">
        <v>0</v>
      </c>
      <c r="Q68" s="487" t="n">
        <v>44230</v>
      </c>
    </row>
    <row r="69">
      <c r="A69" t="inlineStr">
        <is>
          <t>000104450000020</t>
        </is>
      </c>
      <c r="B69" t="inlineStr">
        <is>
          <t>Kayola Processors</t>
        </is>
      </c>
      <c r="C69" t="n">
        <v>90</v>
      </c>
      <c r="D69" t="inlineStr">
        <is>
          <t>1050201</t>
        </is>
      </c>
      <c r="E69" t="inlineStr">
        <is>
          <t>H</t>
        </is>
      </c>
      <c r="F69" t="inlineStr">
        <is>
          <t>S</t>
        </is>
      </c>
      <c r="G69" t="n">
        <v>10</v>
      </c>
      <c r="H69" s="487" t="n">
        <v>45352</v>
      </c>
      <c r="I69" t="n">
        <v>12543063.04</v>
      </c>
      <c r="J69" s="487" t="n">
        <v>45352</v>
      </c>
      <c r="K69" s="487" t="n">
        <v>45716</v>
      </c>
      <c r="L69" t="n">
        <v>3</v>
      </c>
      <c r="M69" t="n">
        <v>3</v>
      </c>
      <c r="N69" t="n">
        <v>12543065</v>
      </c>
      <c r="O69" t="n">
        <v>470669.82</v>
      </c>
      <c r="P69" t="n">
        <v>6954076.17</v>
      </c>
      <c r="Q69" s="487" t="n">
        <v>44609</v>
      </c>
    </row>
    <row r="70">
      <c r="A70" t="inlineStr">
        <is>
          <t>000104450000022</t>
        </is>
      </c>
      <c r="B70" t="inlineStr">
        <is>
          <t>Mwachisosa Women Producers &amp; Marketing Co</t>
        </is>
      </c>
      <c r="C70" t="n">
        <v>90</v>
      </c>
      <c r="D70" t="inlineStr">
        <is>
          <t>1050201</t>
        </is>
      </c>
      <c r="E70" t="inlineStr">
        <is>
          <t>H</t>
        </is>
      </c>
      <c r="F70" t="inlineStr">
        <is>
          <t>S</t>
        </is>
      </c>
      <c r="G70" t="n">
        <v>10</v>
      </c>
      <c r="H70" s="487" t="n">
        <v>44641</v>
      </c>
      <c r="I70" t="n">
        <v>13270993.89</v>
      </c>
      <c r="J70" s="487" t="n">
        <v>45230</v>
      </c>
      <c r="K70" s="487" t="n">
        <v>45717</v>
      </c>
      <c r="L70" t="n">
        <v>3</v>
      </c>
      <c r="M70" t="n">
        <v>3</v>
      </c>
      <c r="N70" t="n">
        <v>12500000</v>
      </c>
      <c r="O70" t="n">
        <v>2243037.37</v>
      </c>
      <c r="P70" t="n">
        <v>10117945.74</v>
      </c>
      <c r="Q70" s="487" t="n">
        <v>44644</v>
      </c>
    </row>
    <row r="71">
      <c r="A71" t="inlineStr">
        <is>
          <t>000104450000023</t>
        </is>
      </c>
      <c r="B71" t="inlineStr">
        <is>
          <t>Nature's Gift Limited</t>
        </is>
      </c>
      <c r="C71" t="n">
        <v>90</v>
      </c>
      <c r="D71" t="inlineStr">
        <is>
          <t>1050201</t>
        </is>
      </c>
      <c r="E71" t="inlineStr">
        <is>
          <t>H</t>
        </is>
      </c>
      <c r="F71" t="inlineStr">
        <is>
          <t>S</t>
        </is>
      </c>
      <c r="G71" t="n">
        <v>10</v>
      </c>
      <c r="H71" s="487" t="n">
        <v>44673</v>
      </c>
      <c r="I71" t="n">
        <v>24600000</v>
      </c>
      <c r="J71" s="487" t="n">
        <v>44673</v>
      </c>
      <c r="K71" s="487" t="n">
        <v>45768</v>
      </c>
      <c r="L71" t="n">
        <v>0</v>
      </c>
      <c r="M71" t="n">
        <v>0</v>
      </c>
      <c r="N71" t="n">
        <v>24600000</v>
      </c>
      <c r="O71" t="n">
        <v>3747686.47</v>
      </c>
      <c r="P71" t="n">
        <v>9471253.039999999</v>
      </c>
      <c r="Q71" s="487" t="n">
        <v>44673</v>
      </c>
    </row>
    <row r="72">
      <c r="A72" t="inlineStr">
        <is>
          <t>000104450000025</t>
        </is>
      </c>
      <c r="B72" t="inlineStr">
        <is>
          <t>Lapani Farms</t>
        </is>
      </c>
      <c r="C72" t="n">
        <v>90</v>
      </c>
      <c r="D72" t="inlineStr">
        <is>
          <t>1050201</t>
        </is>
      </c>
      <c r="E72" t="inlineStr">
        <is>
          <t>C</t>
        </is>
      </c>
      <c r="F72" t="inlineStr">
        <is>
          <t>S</t>
        </is>
      </c>
      <c r="G72" t="n">
        <v>10</v>
      </c>
      <c r="H72" s="487" t="n">
        <v>44713</v>
      </c>
      <c r="I72" t="n">
        <v>10900000</v>
      </c>
      <c r="J72" s="487" t="n">
        <v>44715</v>
      </c>
      <c r="K72" s="487" t="n">
        <v>45445</v>
      </c>
      <c r="L72" t="n">
        <v>3</v>
      </c>
      <c r="M72" t="n">
        <v>3</v>
      </c>
      <c r="Q72" s="487" t="n">
        <v>44715</v>
      </c>
    </row>
    <row r="73">
      <c r="A73" t="inlineStr">
        <is>
          <t>000104450000026</t>
        </is>
      </c>
      <c r="B73" t="inlineStr">
        <is>
          <t>Mawindo Enterprise</t>
        </is>
      </c>
      <c r="C73" t="n">
        <v>90</v>
      </c>
      <c r="D73" t="inlineStr">
        <is>
          <t>1050201</t>
        </is>
      </c>
      <c r="E73" t="inlineStr">
        <is>
          <t>C</t>
        </is>
      </c>
      <c r="F73" t="inlineStr">
        <is>
          <t>S</t>
        </is>
      </c>
      <c r="G73" t="n">
        <v>10</v>
      </c>
      <c r="H73" s="487" t="n">
        <v>44713</v>
      </c>
      <c r="I73" t="n">
        <v>20000000</v>
      </c>
      <c r="J73" s="487" t="n">
        <v>44715</v>
      </c>
      <c r="K73" s="487" t="n">
        <v>45445</v>
      </c>
      <c r="L73" t="n">
        <v>3</v>
      </c>
      <c r="M73" t="n">
        <v>3</v>
      </c>
      <c r="Q73" s="487" t="n">
        <v>44715</v>
      </c>
    </row>
    <row r="74">
      <c r="A74" t="inlineStr">
        <is>
          <t>000104450000027</t>
        </is>
      </c>
      <c r="B74" t="inlineStr">
        <is>
          <t>L. J Traders &amp; Suppliers</t>
        </is>
      </c>
      <c r="C74" t="n">
        <v>90</v>
      </c>
      <c r="D74" t="inlineStr">
        <is>
          <t>1050201</t>
        </is>
      </c>
      <c r="E74" t="inlineStr">
        <is>
          <t>C</t>
        </is>
      </c>
      <c r="F74" t="inlineStr">
        <is>
          <t>S</t>
        </is>
      </c>
      <c r="G74" t="n">
        <v>10</v>
      </c>
      <c r="H74" s="487" t="n">
        <v>44713</v>
      </c>
      <c r="I74" t="n">
        <v>10000000</v>
      </c>
      <c r="J74" s="487" t="n">
        <v>44715</v>
      </c>
      <c r="K74" s="487" t="n">
        <v>45445</v>
      </c>
      <c r="L74" t="n">
        <v>3</v>
      </c>
      <c r="M74" t="n">
        <v>3</v>
      </c>
      <c r="Q74" s="487" t="n">
        <v>44715</v>
      </c>
    </row>
    <row r="75">
      <c r="A75" t="inlineStr">
        <is>
          <t>000104450000028</t>
        </is>
      </c>
      <c r="B75" t="inlineStr">
        <is>
          <t>Chikwendeni General Dealers</t>
        </is>
      </c>
      <c r="C75" t="n">
        <v>90</v>
      </c>
      <c r="D75" t="inlineStr">
        <is>
          <t>1050201</t>
        </is>
      </c>
      <c r="E75" t="inlineStr">
        <is>
          <t>C</t>
        </is>
      </c>
      <c r="F75" t="inlineStr">
        <is>
          <t>S</t>
        </is>
      </c>
      <c r="G75" t="n">
        <v>10</v>
      </c>
      <c r="H75" s="487" t="n">
        <v>44713</v>
      </c>
      <c r="I75" t="n">
        <v>24000000</v>
      </c>
      <c r="J75" s="487" t="n">
        <v>44715</v>
      </c>
      <c r="K75" s="487" t="n">
        <v>45445</v>
      </c>
      <c r="L75" t="n">
        <v>3</v>
      </c>
      <c r="M75" t="n">
        <v>3</v>
      </c>
      <c r="Q75" s="487" t="n">
        <v>44715</v>
      </c>
    </row>
    <row r="76">
      <c r="A76" t="inlineStr">
        <is>
          <t>000104450000030</t>
        </is>
      </c>
      <c r="B76" t="inlineStr">
        <is>
          <t>Perisha Agro and packaging Enterprise</t>
        </is>
      </c>
      <c r="C76" t="n">
        <v>90</v>
      </c>
      <c r="D76" t="inlineStr">
        <is>
          <t>1050201</t>
        </is>
      </c>
      <c r="E76" t="inlineStr">
        <is>
          <t>H</t>
        </is>
      </c>
      <c r="F76" t="inlineStr">
        <is>
          <t>S</t>
        </is>
      </c>
      <c r="G76" t="n">
        <v>10</v>
      </c>
      <c r="H76" s="487" t="n">
        <v>44713</v>
      </c>
      <c r="I76" t="n">
        <v>12000000</v>
      </c>
      <c r="J76" s="487" t="n">
        <v>44728</v>
      </c>
      <c r="K76" s="487" t="n">
        <v>45565</v>
      </c>
      <c r="L76" t="n">
        <v>3</v>
      </c>
      <c r="M76" t="n">
        <v>3</v>
      </c>
      <c r="N76" t="n">
        <v>12000000</v>
      </c>
      <c r="O76" t="n">
        <v>1849609.36</v>
      </c>
      <c r="P76" t="n">
        <v>1358.4</v>
      </c>
      <c r="Q76" s="487" t="n">
        <v>44728</v>
      </c>
    </row>
    <row r="77">
      <c r="A77" t="inlineStr">
        <is>
          <t>000104450000033</t>
        </is>
      </c>
      <c r="B77" t="inlineStr">
        <is>
          <t>Mtengo wa Kumunda</t>
        </is>
      </c>
      <c r="C77" t="n">
        <v>90</v>
      </c>
      <c r="D77" t="inlineStr">
        <is>
          <t>1050201</t>
        </is>
      </c>
      <c r="E77" t="inlineStr">
        <is>
          <t>D</t>
        </is>
      </c>
      <c r="F77" t="inlineStr">
        <is>
          <t>S</t>
        </is>
      </c>
      <c r="G77" t="n">
        <v>10</v>
      </c>
      <c r="H77" s="487" t="n">
        <v>44742</v>
      </c>
      <c r="I77" t="n">
        <v>12000000</v>
      </c>
      <c r="J77" s="487" t="n">
        <v>44747</v>
      </c>
      <c r="K77" s="487" t="n">
        <v>45477</v>
      </c>
      <c r="L77" t="n">
        <v>3</v>
      </c>
      <c r="M77" t="n">
        <v>3</v>
      </c>
      <c r="N77" t="n">
        <v>12000000</v>
      </c>
      <c r="O77" t="n">
        <v>1482649.53</v>
      </c>
      <c r="P77" t="n">
        <v>-83.06999999999999</v>
      </c>
      <c r="Q77" s="487" t="n">
        <v>44747</v>
      </c>
    </row>
    <row r="78">
      <c r="A78" t="inlineStr">
        <is>
          <t>000104450000034</t>
        </is>
      </c>
      <c r="B78" t="inlineStr">
        <is>
          <t>MMM Investments</t>
        </is>
      </c>
      <c r="C78" t="n">
        <v>90</v>
      </c>
      <c r="D78" t="inlineStr">
        <is>
          <t>1050201</t>
        </is>
      </c>
      <c r="E78" t="inlineStr">
        <is>
          <t>H</t>
        </is>
      </c>
      <c r="F78" t="inlineStr">
        <is>
          <t>S</t>
        </is>
      </c>
      <c r="G78" t="n">
        <v>10</v>
      </c>
      <c r="H78" s="487" t="n">
        <v>44746</v>
      </c>
      <c r="I78" t="n">
        <v>10000000</v>
      </c>
      <c r="J78" s="487" t="n">
        <v>44749</v>
      </c>
      <c r="K78" s="487" t="n">
        <v>45113</v>
      </c>
      <c r="L78" t="n">
        <v>3</v>
      </c>
      <c r="M78" t="n">
        <v>3</v>
      </c>
      <c r="N78" t="n">
        <v>10000000</v>
      </c>
      <c r="O78" t="n">
        <v>781375.0699999999</v>
      </c>
      <c r="P78" t="n">
        <v>268800.7</v>
      </c>
      <c r="Q78" s="487" t="n">
        <v>44749</v>
      </c>
    </row>
    <row r="79">
      <c r="A79" t="inlineStr">
        <is>
          <t>000104450000035</t>
        </is>
      </c>
      <c r="B79" t="inlineStr">
        <is>
          <t>Sekuru Enterprise</t>
        </is>
      </c>
      <c r="C79" t="n">
        <v>90</v>
      </c>
      <c r="D79" t="inlineStr">
        <is>
          <t>1050201</t>
        </is>
      </c>
      <c r="E79" t="inlineStr">
        <is>
          <t>C</t>
        </is>
      </c>
      <c r="F79" t="inlineStr">
        <is>
          <t>S</t>
        </is>
      </c>
      <c r="G79" t="n">
        <v>10</v>
      </c>
      <c r="H79" s="487" t="n">
        <v>44746</v>
      </c>
      <c r="I79" t="n">
        <v>10000000</v>
      </c>
      <c r="J79" s="487" t="n">
        <v>44749</v>
      </c>
      <c r="K79" s="487" t="n">
        <v>45479</v>
      </c>
      <c r="L79" t="n">
        <v>3</v>
      </c>
      <c r="M79" t="n">
        <v>3</v>
      </c>
      <c r="Q79" s="487" t="n">
        <v>44749</v>
      </c>
    </row>
    <row r="80">
      <c r="A80" t="inlineStr">
        <is>
          <t>000104450000036</t>
        </is>
      </c>
      <c r="B80" t="inlineStr">
        <is>
          <t>Agribusiness Solutions Limited</t>
        </is>
      </c>
      <c r="C80" t="n">
        <v>90</v>
      </c>
      <c r="D80" t="inlineStr">
        <is>
          <t>1050201</t>
        </is>
      </c>
      <c r="E80" t="inlineStr">
        <is>
          <t>C</t>
        </is>
      </c>
      <c r="F80" t="inlineStr">
        <is>
          <t>S</t>
        </is>
      </c>
      <c r="G80" t="n">
        <v>10</v>
      </c>
      <c r="H80" s="487" t="n">
        <v>44753</v>
      </c>
      <c r="I80" t="n">
        <v>24000000</v>
      </c>
      <c r="J80" s="487" t="n">
        <v>44755</v>
      </c>
      <c r="K80" s="487" t="n">
        <v>45485</v>
      </c>
      <c r="L80" t="n">
        <v>3</v>
      </c>
      <c r="M80" t="n">
        <v>3</v>
      </c>
      <c r="Q80" s="487" t="n">
        <v>44755</v>
      </c>
    </row>
    <row r="81">
      <c r="A81" t="inlineStr">
        <is>
          <t>000104450000037</t>
        </is>
      </c>
      <c r="B81" t="inlineStr">
        <is>
          <t>Favoured Farms</t>
        </is>
      </c>
      <c r="C81" t="n">
        <v>90</v>
      </c>
      <c r="D81" t="inlineStr">
        <is>
          <t>1050201</t>
        </is>
      </c>
      <c r="E81" t="inlineStr">
        <is>
          <t>D</t>
        </is>
      </c>
      <c r="F81" t="inlineStr">
        <is>
          <t>S</t>
        </is>
      </c>
      <c r="G81" t="n">
        <v>10</v>
      </c>
      <c r="H81" s="487" t="n">
        <v>45407</v>
      </c>
      <c r="I81" t="n">
        <v>30000000</v>
      </c>
      <c r="J81" s="487" t="n">
        <v>45407</v>
      </c>
      <c r="K81" s="487" t="n">
        <v>46142</v>
      </c>
      <c r="L81" t="n">
        <v>3</v>
      </c>
      <c r="M81" t="n">
        <v>3</v>
      </c>
      <c r="N81" t="n">
        <v>30000000</v>
      </c>
      <c r="O81" t="n">
        <v>807527.8100000001</v>
      </c>
      <c r="P81" t="n">
        <v>27353908.27</v>
      </c>
      <c r="Q81" s="487" t="n">
        <v>44755</v>
      </c>
    </row>
    <row r="82">
      <c r="A82" t="inlineStr">
        <is>
          <t>000104450000038</t>
        </is>
      </c>
      <c r="B82" t="inlineStr">
        <is>
          <t>Tac-Maz Investment</t>
        </is>
      </c>
      <c r="C82" t="n">
        <v>90</v>
      </c>
      <c r="D82" t="inlineStr">
        <is>
          <t>1050201</t>
        </is>
      </c>
      <c r="E82" t="inlineStr">
        <is>
          <t>H</t>
        </is>
      </c>
      <c r="F82" t="inlineStr">
        <is>
          <t>S</t>
        </is>
      </c>
      <c r="G82" t="n">
        <v>10</v>
      </c>
      <c r="H82" s="487" t="n">
        <v>44754</v>
      </c>
      <c r="I82" t="n">
        <v>10000000</v>
      </c>
      <c r="J82" s="487" t="n">
        <v>44755</v>
      </c>
      <c r="K82" s="487" t="n">
        <v>45485</v>
      </c>
      <c r="L82" t="n">
        <v>3</v>
      </c>
      <c r="M82" t="n">
        <v>3</v>
      </c>
      <c r="N82" t="n">
        <v>10000000</v>
      </c>
      <c r="O82" t="n">
        <v>1771854.1</v>
      </c>
      <c r="P82" t="n">
        <v>5917617.5</v>
      </c>
      <c r="Q82" s="487" t="n">
        <v>44755</v>
      </c>
    </row>
    <row r="83">
      <c r="A83" t="inlineStr">
        <is>
          <t>000104450000039</t>
        </is>
      </c>
      <c r="B83" t="inlineStr">
        <is>
          <t>G&amp;S HomeMart and Agrodealer</t>
        </is>
      </c>
      <c r="C83" t="n">
        <v>90</v>
      </c>
      <c r="D83" t="inlineStr">
        <is>
          <t>1050201</t>
        </is>
      </c>
      <c r="E83" t="inlineStr">
        <is>
          <t>C</t>
        </is>
      </c>
      <c r="F83" t="inlineStr">
        <is>
          <t>S</t>
        </is>
      </c>
      <c r="G83" t="n">
        <v>10</v>
      </c>
      <c r="H83" s="487" t="n">
        <v>44754</v>
      </c>
      <c r="I83" t="n">
        <v>10000000</v>
      </c>
      <c r="J83" s="487" t="n">
        <v>44755</v>
      </c>
      <c r="K83" s="487" t="n">
        <v>45485</v>
      </c>
      <c r="L83" t="n">
        <v>3</v>
      </c>
      <c r="M83" t="n">
        <v>3</v>
      </c>
      <c r="Q83" s="487" t="n">
        <v>44755</v>
      </c>
    </row>
    <row r="84">
      <c r="A84" t="inlineStr">
        <is>
          <t>000104450000041</t>
        </is>
      </c>
      <c r="B84" t="inlineStr">
        <is>
          <t>Kadava Investment Limited</t>
        </is>
      </c>
      <c r="C84" t="n">
        <v>90</v>
      </c>
      <c r="D84" t="inlineStr">
        <is>
          <t>1050201</t>
        </is>
      </c>
      <c r="E84" t="inlineStr">
        <is>
          <t>H</t>
        </is>
      </c>
      <c r="F84" t="inlineStr">
        <is>
          <t>S</t>
        </is>
      </c>
      <c r="G84" t="n">
        <v>10</v>
      </c>
      <c r="H84" s="487" t="n">
        <v>44785</v>
      </c>
      <c r="I84" t="n">
        <v>12000000</v>
      </c>
      <c r="J84" s="487" t="n">
        <v>44775</v>
      </c>
      <c r="K84" s="487" t="n">
        <v>45505</v>
      </c>
      <c r="L84" t="n">
        <v>0</v>
      </c>
      <c r="M84" t="n">
        <v>0</v>
      </c>
      <c r="N84" t="n">
        <v>12000000</v>
      </c>
      <c r="O84" t="n">
        <v>1543533.22</v>
      </c>
      <c r="P84" t="n">
        <v>4496798.69</v>
      </c>
      <c r="Q84" s="487" t="n">
        <v>44775</v>
      </c>
    </row>
    <row r="85">
      <c r="A85" t="inlineStr">
        <is>
          <t>000104450000042</t>
        </is>
      </c>
      <c r="B85" t="inlineStr">
        <is>
          <t>Zikometso Smallholder Farmers Association</t>
        </is>
      </c>
      <c r="C85" t="n">
        <v>90</v>
      </c>
      <c r="D85" t="inlineStr">
        <is>
          <t>1050201</t>
        </is>
      </c>
      <c r="E85" t="inlineStr">
        <is>
          <t>H</t>
        </is>
      </c>
      <c r="F85" t="inlineStr">
        <is>
          <t>S</t>
        </is>
      </c>
      <c r="G85" t="n">
        <v>10</v>
      </c>
      <c r="H85" s="487" t="n">
        <v>44785</v>
      </c>
      <c r="I85" t="n">
        <v>24000000</v>
      </c>
      <c r="J85" s="487" t="n">
        <v>44775</v>
      </c>
      <c r="K85" s="487" t="n">
        <v>45505</v>
      </c>
      <c r="L85" t="n">
        <v>3</v>
      </c>
      <c r="M85" t="n">
        <v>3</v>
      </c>
      <c r="N85" t="n">
        <v>11423340</v>
      </c>
      <c r="O85" t="n">
        <v>1489447.76</v>
      </c>
      <c r="P85" t="n">
        <v>8338.120000000001</v>
      </c>
      <c r="Q85" s="487" t="n">
        <v>44775</v>
      </c>
    </row>
    <row r="86">
      <c r="A86" t="inlineStr">
        <is>
          <t>000104450000045</t>
        </is>
      </c>
      <c r="B86" t="inlineStr">
        <is>
          <t>Walusiya Investment</t>
        </is>
      </c>
      <c r="C86" t="n">
        <v>90</v>
      </c>
      <c r="D86" t="inlineStr">
        <is>
          <t>1050201</t>
        </is>
      </c>
      <c r="E86" t="inlineStr">
        <is>
          <t>H</t>
        </is>
      </c>
      <c r="F86" t="inlineStr">
        <is>
          <t>S</t>
        </is>
      </c>
      <c r="G86" t="n">
        <v>10</v>
      </c>
      <c r="H86" s="487" t="n">
        <v>44841</v>
      </c>
      <c r="I86" t="n">
        <v>10000000</v>
      </c>
      <c r="J86" s="487" t="n">
        <v>44844</v>
      </c>
      <c r="K86" s="487" t="n">
        <v>45574</v>
      </c>
      <c r="L86" t="n">
        <v>3</v>
      </c>
      <c r="M86" t="n">
        <v>3</v>
      </c>
      <c r="N86" t="n">
        <v>10000000</v>
      </c>
      <c r="O86" t="n">
        <v>1270903.74</v>
      </c>
      <c r="P86" t="n">
        <v>9371307</v>
      </c>
      <c r="Q86" s="487" t="n">
        <v>44844</v>
      </c>
    </row>
    <row r="87">
      <c r="A87" t="inlineStr">
        <is>
          <t>000104450000046</t>
        </is>
      </c>
      <c r="B87" t="inlineStr">
        <is>
          <t>G&amp;T General Dealers</t>
        </is>
      </c>
      <c r="C87" t="n">
        <v>90</v>
      </c>
      <c r="D87" t="inlineStr">
        <is>
          <t>1050201</t>
        </is>
      </c>
      <c r="E87" t="inlineStr">
        <is>
          <t>H</t>
        </is>
      </c>
      <c r="F87" t="inlineStr">
        <is>
          <t>S</t>
        </is>
      </c>
      <c r="G87" t="n">
        <v>10</v>
      </c>
      <c r="H87" s="487" t="n">
        <v>44713</v>
      </c>
      <c r="I87" t="n">
        <v>12000000</v>
      </c>
      <c r="J87" s="487" t="n">
        <v>44844</v>
      </c>
      <c r="K87" s="487" t="n">
        <v>45574</v>
      </c>
      <c r="L87" t="n">
        <v>3</v>
      </c>
      <c r="M87" t="n">
        <v>3</v>
      </c>
      <c r="N87" t="n">
        <v>12000000</v>
      </c>
      <c r="O87" t="n">
        <v>1509229.2</v>
      </c>
      <c r="P87" t="n">
        <v>7207695.95</v>
      </c>
      <c r="Q87" s="487" t="n">
        <v>44844</v>
      </c>
    </row>
    <row r="88">
      <c r="A88" t="inlineStr">
        <is>
          <t>000104450000047</t>
        </is>
      </c>
      <c r="B88" t="inlineStr">
        <is>
          <t>Rose Harris Investment</t>
        </is>
      </c>
      <c r="C88" t="n">
        <v>90</v>
      </c>
      <c r="D88" t="inlineStr">
        <is>
          <t>1050201</t>
        </is>
      </c>
      <c r="E88" t="inlineStr">
        <is>
          <t>C</t>
        </is>
      </c>
      <c r="F88" t="inlineStr">
        <is>
          <t>S</t>
        </is>
      </c>
      <c r="G88" t="n">
        <v>10</v>
      </c>
      <c r="H88" s="487" t="n">
        <v>44847</v>
      </c>
      <c r="I88" t="n">
        <v>24000000</v>
      </c>
      <c r="J88" s="487" t="n">
        <v>44852</v>
      </c>
      <c r="K88" s="487" t="n">
        <v>45582</v>
      </c>
      <c r="L88" t="n">
        <v>3</v>
      </c>
      <c r="M88" t="n">
        <v>3</v>
      </c>
      <c r="Q88" s="487" t="n">
        <v>44852</v>
      </c>
    </row>
    <row r="89">
      <c r="A89" t="inlineStr">
        <is>
          <t>000104450000048</t>
        </is>
      </c>
      <c r="B89" t="inlineStr">
        <is>
          <t>KANING'A GENERAL DEALER</t>
        </is>
      </c>
      <c r="C89" t="n">
        <v>90</v>
      </c>
      <c r="D89" t="inlineStr">
        <is>
          <t>1050201</t>
        </is>
      </c>
      <c r="E89" t="inlineStr">
        <is>
          <t>H</t>
        </is>
      </c>
      <c r="F89" t="inlineStr">
        <is>
          <t>S</t>
        </is>
      </c>
      <c r="G89" t="n">
        <v>10</v>
      </c>
      <c r="H89" s="487" t="n">
        <v>44860</v>
      </c>
      <c r="I89" t="n">
        <v>24000000</v>
      </c>
      <c r="J89" s="487" t="n">
        <v>44861</v>
      </c>
      <c r="K89" s="487" t="n">
        <v>45591</v>
      </c>
      <c r="L89" t="n">
        <v>3</v>
      </c>
      <c r="M89" t="n">
        <v>3</v>
      </c>
      <c r="N89" t="n">
        <v>24000000</v>
      </c>
      <c r="O89" t="n">
        <v>2895712.86</v>
      </c>
      <c r="P89" t="n">
        <v>1685.92</v>
      </c>
      <c r="Q89" s="487" t="n">
        <v>44861</v>
      </c>
    </row>
    <row r="90">
      <c r="A90" t="inlineStr">
        <is>
          <t>000104450000049</t>
        </is>
      </c>
      <c r="B90" t="inlineStr">
        <is>
          <t>Uchi Conservation Limited</t>
        </is>
      </c>
      <c r="C90" t="n">
        <v>90</v>
      </c>
      <c r="D90" t="inlineStr">
        <is>
          <t>1050201</t>
        </is>
      </c>
      <c r="E90" t="inlineStr">
        <is>
          <t>D</t>
        </is>
      </c>
      <c r="F90" t="inlineStr">
        <is>
          <t>S</t>
        </is>
      </c>
      <c r="G90" t="n">
        <v>10</v>
      </c>
      <c r="H90" s="487" t="n">
        <v>44866</v>
      </c>
      <c r="I90" t="n">
        <v>10000000</v>
      </c>
      <c r="J90" s="487" t="n">
        <v>44867</v>
      </c>
      <c r="K90" s="487" t="n">
        <v>45597</v>
      </c>
      <c r="L90" t="n">
        <v>6</v>
      </c>
      <c r="M90" t="n">
        <v>6</v>
      </c>
      <c r="N90" t="n">
        <v>10000000</v>
      </c>
      <c r="O90" t="n">
        <v>1264076.73</v>
      </c>
      <c r="P90" t="n">
        <v>6882460.2</v>
      </c>
      <c r="Q90" s="487" t="n">
        <v>44867</v>
      </c>
    </row>
    <row r="91">
      <c r="A91" t="inlineStr">
        <is>
          <t>000104450000050</t>
        </is>
      </c>
      <c r="B91" t="inlineStr">
        <is>
          <t>Greendom Farming</t>
        </is>
      </c>
      <c r="C91" t="n">
        <v>90</v>
      </c>
      <c r="D91" t="inlineStr">
        <is>
          <t>1050201</t>
        </is>
      </c>
      <c r="E91" t="inlineStr">
        <is>
          <t>D</t>
        </is>
      </c>
      <c r="F91" t="inlineStr">
        <is>
          <t>S</t>
        </is>
      </c>
      <c r="G91" t="n">
        <v>10</v>
      </c>
      <c r="H91" s="487" t="n">
        <v>44866</v>
      </c>
      <c r="I91" t="n">
        <v>10000000</v>
      </c>
      <c r="J91" s="487" t="n">
        <v>44874</v>
      </c>
      <c r="K91" s="487" t="n">
        <v>45604</v>
      </c>
      <c r="L91" t="n">
        <v>3</v>
      </c>
      <c r="M91" t="n">
        <v>3</v>
      </c>
      <c r="N91" t="n">
        <v>10000000</v>
      </c>
      <c r="O91" t="n">
        <v>1242349.38</v>
      </c>
      <c r="P91" t="n">
        <v>1072059.38</v>
      </c>
      <c r="Q91" s="487" t="n">
        <v>44874</v>
      </c>
    </row>
    <row r="92">
      <c r="A92" t="inlineStr">
        <is>
          <t>000104450000051</t>
        </is>
      </c>
      <c r="B92" t="inlineStr">
        <is>
          <t>JAT Investments</t>
        </is>
      </c>
      <c r="C92" t="n">
        <v>90</v>
      </c>
      <c r="D92" t="inlineStr">
        <is>
          <t>1050201</t>
        </is>
      </c>
      <c r="E92" t="inlineStr">
        <is>
          <t>C</t>
        </is>
      </c>
      <c r="F92" t="inlineStr">
        <is>
          <t>S</t>
        </is>
      </c>
      <c r="G92" t="n">
        <v>10</v>
      </c>
      <c r="H92" s="487" t="n">
        <v>44873</v>
      </c>
      <c r="I92" t="n">
        <v>24000000</v>
      </c>
      <c r="J92" s="487" t="n">
        <v>44875</v>
      </c>
      <c r="K92" s="487" t="n">
        <v>45605</v>
      </c>
      <c r="L92" t="n">
        <v>3</v>
      </c>
      <c r="M92" t="n">
        <v>3</v>
      </c>
      <c r="Q92" s="487" t="n">
        <v>44875</v>
      </c>
    </row>
    <row r="93">
      <c r="A93" t="inlineStr">
        <is>
          <t>000104450000053</t>
        </is>
      </c>
      <c r="B93" t="inlineStr">
        <is>
          <t>Kwithu Producers and Marketing Co 2</t>
        </is>
      </c>
      <c r="C93" t="n">
        <v>90</v>
      </c>
      <c r="D93" t="inlineStr">
        <is>
          <t>1050201</t>
        </is>
      </c>
      <c r="E93" t="inlineStr">
        <is>
          <t>F</t>
        </is>
      </c>
      <c r="F93" t="inlineStr">
        <is>
          <t>S</t>
        </is>
      </c>
      <c r="G93" t="n">
        <v>10</v>
      </c>
      <c r="H93" s="487" t="n">
        <v>44949</v>
      </c>
      <c r="I93" t="n">
        <v>90900000</v>
      </c>
      <c r="J93" s="487" t="n">
        <v>44950</v>
      </c>
      <c r="K93" s="487" t="n">
        <v>46045</v>
      </c>
      <c r="L93" t="n">
        <v>3</v>
      </c>
      <c r="M93" t="n">
        <v>0</v>
      </c>
      <c r="N93" t="n">
        <v>90900000</v>
      </c>
      <c r="O93" t="n">
        <v>11648615.53</v>
      </c>
      <c r="P93" t="n">
        <v>44388654.57</v>
      </c>
      <c r="Q93" s="487" t="n">
        <v>44950</v>
      </c>
    </row>
    <row r="94">
      <c r="A94" t="inlineStr">
        <is>
          <t>000104450000056</t>
        </is>
      </c>
      <c r="B94" t="inlineStr">
        <is>
          <t>Udon Business</t>
        </is>
      </c>
      <c r="C94" t="n">
        <v>90</v>
      </c>
      <c r="D94" t="inlineStr">
        <is>
          <t>1050201</t>
        </is>
      </c>
      <c r="E94" t="inlineStr">
        <is>
          <t>A</t>
        </is>
      </c>
      <c r="F94" t="inlineStr">
        <is>
          <t>S</t>
        </is>
      </c>
      <c r="G94" t="n">
        <v>10</v>
      </c>
      <c r="H94" s="487" t="n">
        <v>44939</v>
      </c>
      <c r="I94" t="n">
        <v>134253000</v>
      </c>
      <c r="J94" s="487" t="n">
        <v>44959</v>
      </c>
      <c r="K94" s="487" t="n">
        <v>47150</v>
      </c>
      <c r="L94" t="n">
        <v>12</v>
      </c>
      <c r="M94" t="n">
        <v>12</v>
      </c>
      <c r="N94" t="n">
        <v>134253000</v>
      </c>
      <c r="O94" t="n">
        <v>21316880.46</v>
      </c>
      <c r="P94" t="n">
        <v>135843297.23</v>
      </c>
      <c r="Q94" s="487" t="n">
        <v>44959</v>
      </c>
    </row>
    <row r="95">
      <c r="A95" t="inlineStr">
        <is>
          <t>000104450000057</t>
        </is>
      </c>
      <c r="B95" t="inlineStr">
        <is>
          <t>Debs Agrodealers</t>
        </is>
      </c>
      <c r="C95" t="n">
        <v>90</v>
      </c>
      <c r="D95" t="inlineStr">
        <is>
          <t>1050201</t>
        </is>
      </c>
      <c r="E95" t="inlineStr">
        <is>
          <t>D</t>
        </is>
      </c>
      <c r="F95" t="inlineStr">
        <is>
          <t>S</t>
        </is>
      </c>
      <c r="G95" t="n">
        <v>10</v>
      </c>
      <c r="H95" s="487" t="n">
        <v>44963</v>
      </c>
      <c r="I95" t="n">
        <v>24000000</v>
      </c>
      <c r="J95" s="487" t="n">
        <v>44964</v>
      </c>
      <c r="K95" s="487" t="n">
        <v>45694</v>
      </c>
      <c r="L95" t="n">
        <v>3</v>
      </c>
      <c r="M95" t="n">
        <v>3</v>
      </c>
      <c r="N95" t="n">
        <v>24000000</v>
      </c>
      <c r="O95" t="n">
        <v>2805386.64</v>
      </c>
      <c r="P95" t="n">
        <v>7670357.56</v>
      </c>
      <c r="Q95" s="487" t="n">
        <v>44964</v>
      </c>
    </row>
    <row r="96">
      <c r="A96" t="inlineStr">
        <is>
          <t>000104450000060</t>
        </is>
      </c>
      <c r="B96" t="inlineStr">
        <is>
          <t>Chuma Mkandawire TA Chikoma Estates</t>
        </is>
      </c>
      <c r="C96" t="n">
        <v>90</v>
      </c>
      <c r="D96" t="inlineStr">
        <is>
          <t>1050201</t>
        </is>
      </c>
      <c r="E96" t="inlineStr">
        <is>
          <t>H</t>
        </is>
      </c>
      <c r="F96" t="inlineStr">
        <is>
          <t>S</t>
        </is>
      </c>
      <c r="G96" t="n">
        <v>10</v>
      </c>
      <c r="H96" s="487" t="n">
        <v>45261</v>
      </c>
      <c r="I96" t="n">
        <v>30000000</v>
      </c>
      <c r="J96" s="487" t="n">
        <v>45260</v>
      </c>
      <c r="K96" s="487" t="n">
        <v>45626</v>
      </c>
      <c r="L96" t="n">
        <v>0</v>
      </c>
      <c r="M96" t="n">
        <v>0</v>
      </c>
      <c r="N96" t="n">
        <v>30000000</v>
      </c>
      <c r="O96" t="n">
        <v>1433540.13</v>
      </c>
      <c r="P96" t="n">
        <v>32232512.18</v>
      </c>
      <c r="Q96" s="487" t="n">
        <v>44985</v>
      </c>
    </row>
    <row r="97">
      <c r="A97" t="inlineStr">
        <is>
          <t>000104450000063</t>
        </is>
      </c>
      <c r="B97" t="inlineStr">
        <is>
          <t>Msusa Investments Ltd</t>
        </is>
      </c>
      <c r="C97" t="n">
        <v>90</v>
      </c>
      <c r="D97" t="inlineStr">
        <is>
          <t>1050201</t>
        </is>
      </c>
      <c r="E97" t="inlineStr">
        <is>
          <t>A</t>
        </is>
      </c>
      <c r="F97" t="inlineStr">
        <is>
          <t>S</t>
        </is>
      </c>
      <c r="G97" t="n">
        <v>10</v>
      </c>
      <c r="H97" s="487" t="n">
        <v>45034</v>
      </c>
      <c r="I97" t="n">
        <v>250000000</v>
      </c>
      <c r="J97" s="487" t="n">
        <v>45034</v>
      </c>
      <c r="K97" s="487" t="n">
        <v>46494</v>
      </c>
      <c r="L97" t="n">
        <v>6</v>
      </c>
      <c r="M97" t="n">
        <v>0</v>
      </c>
      <c r="N97" t="n">
        <v>250000000</v>
      </c>
      <c r="O97" t="n">
        <v>30624506.41</v>
      </c>
      <c r="P97" t="n">
        <v>195249240.2</v>
      </c>
      <c r="Q97" s="487" t="n">
        <v>45034</v>
      </c>
    </row>
    <row r="98">
      <c r="A98" t="inlineStr">
        <is>
          <t>000104450000067</t>
        </is>
      </c>
      <c r="B98" t="inlineStr">
        <is>
          <t>Teren Agro Limited</t>
        </is>
      </c>
      <c r="C98" t="n">
        <v>90</v>
      </c>
      <c r="D98" t="inlineStr">
        <is>
          <t>1050201</t>
        </is>
      </c>
      <c r="E98" t="inlineStr">
        <is>
          <t>D</t>
        </is>
      </c>
      <c r="F98" t="inlineStr">
        <is>
          <t>S</t>
        </is>
      </c>
      <c r="G98" t="n">
        <v>10</v>
      </c>
      <c r="H98" s="487" t="n">
        <v>45064</v>
      </c>
      <c r="I98" t="n">
        <v>30000000</v>
      </c>
      <c r="J98" s="487" t="n">
        <v>45065</v>
      </c>
      <c r="K98" s="487" t="n">
        <v>45795</v>
      </c>
      <c r="L98" t="n">
        <v>3</v>
      </c>
      <c r="M98" t="n">
        <v>3</v>
      </c>
      <c r="N98" t="n">
        <v>30000000</v>
      </c>
      <c r="O98" t="n">
        <v>3057998.89</v>
      </c>
      <c r="P98" t="n">
        <v>14200437.57</v>
      </c>
      <c r="Q98" s="487" t="n">
        <v>45065</v>
      </c>
    </row>
    <row r="99">
      <c r="A99" t="inlineStr">
        <is>
          <t>000104450000068</t>
        </is>
      </c>
      <c r="B99" t="inlineStr">
        <is>
          <t>The Food Empire Limited</t>
        </is>
      </c>
      <c r="C99" t="n">
        <v>90</v>
      </c>
      <c r="D99" t="inlineStr">
        <is>
          <t>1050201</t>
        </is>
      </c>
      <c r="E99" t="inlineStr">
        <is>
          <t>F</t>
        </is>
      </c>
      <c r="F99" t="inlineStr">
        <is>
          <t>S</t>
        </is>
      </c>
      <c r="G99" t="n">
        <v>10</v>
      </c>
      <c r="H99" s="487" t="n">
        <v>45117</v>
      </c>
      <c r="I99" t="n">
        <v>250000000</v>
      </c>
      <c r="J99" s="487" t="n">
        <v>45117</v>
      </c>
      <c r="K99" s="487" t="n">
        <v>46577</v>
      </c>
      <c r="L99" t="n">
        <v>3</v>
      </c>
      <c r="M99" t="n">
        <v>3</v>
      </c>
      <c r="N99" t="n">
        <v>250000000</v>
      </c>
      <c r="O99" t="n">
        <v>25702633.92</v>
      </c>
      <c r="P99" t="n">
        <v>172097958.03</v>
      </c>
      <c r="Q99" s="487" t="n">
        <v>45117</v>
      </c>
    </row>
    <row r="100">
      <c r="A100" t="inlineStr">
        <is>
          <t>000104450000069</t>
        </is>
      </c>
      <c r="B100" t="inlineStr">
        <is>
          <t>Chisitu Tea Blenders and Packers Ltd</t>
        </is>
      </c>
      <c r="C100" t="n">
        <v>90</v>
      </c>
      <c r="D100" t="inlineStr">
        <is>
          <t>1050201</t>
        </is>
      </c>
      <c r="E100" t="inlineStr">
        <is>
          <t>A</t>
        </is>
      </c>
      <c r="F100" t="inlineStr">
        <is>
          <t>S</t>
        </is>
      </c>
      <c r="G100" t="n">
        <v>10</v>
      </c>
      <c r="H100" s="487" t="n">
        <v>45126</v>
      </c>
      <c r="I100" t="n">
        <v>200000000</v>
      </c>
      <c r="J100" s="487" t="n">
        <v>45127</v>
      </c>
      <c r="K100" s="487" t="n">
        <v>46587</v>
      </c>
      <c r="L100" t="n">
        <v>6</v>
      </c>
      <c r="M100" t="n">
        <v>6</v>
      </c>
      <c r="N100" t="n">
        <v>200000000</v>
      </c>
      <c r="O100" t="n">
        <v>20900523.19</v>
      </c>
      <c r="P100" t="n">
        <v>207088006.12</v>
      </c>
      <c r="Q100" s="487" t="n">
        <v>45127</v>
      </c>
    </row>
    <row r="101">
      <c r="A101" t="inlineStr">
        <is>
          <t>000104450000072</t>
        </is>
      </c>
      <c r="B101" t="inlineStr">
        <is>
          <t>Jescal Enterprise</t>
        </is>
      </c>
      <c r="C101" t="n">
        <v>90</v>
      </c>
      <c r="D101" t="inlineStr">
        <is>
          <t>1050201</t>
        </is>
      </c>
      <c r="E101" t="inlineStr">
        <is>
          <t>H</t>
        </is>
      </c>
      <c r="F101" t="inlineStr">
        <is>
          <t>S</t>
        </is>
      </c>
      <c r="G101" t="n">
        <v>10</v>
      </c>
      <c r="H101" s="487" t="n">
        <v>45134</v>
      </c>
      <c r="I101" t="n">
        <v>15000000</v>
      </c>
      <c r="J101" s="487" t="n">
        <v>45138</v>
      </c>
      <c r="K101" s="487" t="n">
        <v>45868</v>
      </c>
      <c r="L101" t="n">
        <v>3</v>
      </c>
      <c r="M101" t="n">
        <v>3</v>
      </c>
      <c r="N101" t="n">
        <v>15000000</v>
      </c>
      <c r="O101" t="n">
        <v>1214682.54</v>
      </c>
      <c r="P101" t="n">
        <v>6964564.77</v>
      </c>
      <c r="Q101" s="487" t="n">
        <v>45138</v>
      </c>
    </row>
    <row r="102">
      <c r="A102" t="inlineStr">
        <is>
          <t>000104450000074</t>
        </is>
      </c>
      <c r="B102" t="inlineStr">
        <is>
          <t>Pamela Investments</t>
        </is>
      </c>
      <c r="C102" t="n">
        <v>90</v>
      </c>
      <c r="D102" t="inlineStr">
        <is>
          <t>1050201</t>
        </is>
      </c>
      <c r="E102" t="inlineStr">
        <is>
          <t>H</t>
        </is>
      </c>
      <c r="F102" t="inlineStr">
        <is>
          <t>S</t>
        </is>
      </c>
      <c r="G102" t="n">
        <v>10</v>
      </c>
      <c r="H102" s="487" t="n">
        <v>45106</v>
      </c>
      <c r="I102" t="n">
        <v>30000000</v>
      </c>
      <c r="J102" s="487" t="n">
        <v>45108</v>
      </c>
      <c r="K102" s="487" t="n">
        <v>45838</v>
      </c>
      <c r="L102" t="n">
        <v>3</v>
      </c>
      <c r="M102" t="n">
        <v>3</v>
      </c>
      <c r="N102" t="n">
        <v>30000000</v>
      </c>
      <c r="O102" t="n">
        <v>2828628.68</v>
      </c>
      <c r="P102" t="n">
        <v>22848584.38</v>
      </c>
      <c r="Q102" s="487" t="n">
        <v>45108</v>
      </c>
    </row>
    <row r="103">
      <c r="A103" t="inlineStr">
        <is>
          <t>000104450000076</t>
        </is>
      </c>
      <c r="B103" t="inlineStr">
        <is>
          <t>Beaulaland Food Processors</t>
        </is>
      </c>
      <c r="C103" t="n">
        <v>90</v>
      </c>
      <c r="D103" t="inlineStr">
        <is>
          <t>1050201</t>
        </is>
      </c>
      <c r="E103" t="inlineStr">
        <is>
          <t>A</t>
        </is>
      </c>
      <c r="F103" t="inlineStr">
        <is>
          <t>S</t>
        </is>
      </c>
      <c r="G103" t="n">
        <v>10</v>
      </c>
      <c r="H103" s="487" t="n">
        <v>45153</v>
      </c>
      <c r="I103" t="n">
        <v>30000000</v>
      </c>
      <c r="J103" s="487" t="n">
        <v>45153</v>
      </c>
      <c r="K103" s="487" t="n">
        <v>45883</v>
      </c>
      <c r="L103" t="n">
        <v>3</v>
      </c>
      <c r="M103" t="n">
        <v>3</v>
      </c>
      <c r="N103" t="n">
        <v>30000000</v>
      </c>
      <c r="O103" t="n">
        <v>2699970.47</v>
      </c>
      <c r="P103" t="n">
        <v>21032811.59</v>
      </c>
      <c r="Q103" s="487" t="n">
        <v>45153</v>
      </c>
    </row>
    <row r="104">
      <c r="A104" t="inlineStr">
        <is>
          <t>000104450000077</t>
        </is>
      </c>
      <c r="B104" t="inlineStr">
        <is>
          <t>Kwithu Kitchens 2</t>
        </is>
      </c>
      <c r="C104" t="n">
        <v>90</v>
      </c>
      <c r="D104" t="inlineStr">
        <is>
          <t>1050201</t>
        </is>
      </c>
      <c r="E104" t="inlineStr">
        <is>
          <t>A</t>
        </is>
      </c>
      <c r="F104" t="inlineStr">
        <is>
          <t>S</t>
        </is>
      </c>
      <c r="G104" t="n">
        <v>10</v>
      </c>
      <c r="H104" s="487" t="n">
        <v>45216</v>
      </c>
      <c r="I104" t="n">
        <v>164000000</v>
      </c>
      <c r="J104" s="487" t="n">
        <v>45216</v>
      </c>
      <c r="K104" s="487" t="n">
        <v>46676</v>
      </c>
      <c r="L104" t="n">
        <v>3</v>
      </c>
      <c r="M104" t="n">
        <v>3</v>
      </c>
      <c r="N104" t="n">
        <v>164000000</v>
      </c>
      <c r="O104" t="n">
        <v>12535646.84</v>
      </c>
      <c r="P104" t="n">
        <v>134900520.89</v>
      </c>
      <c r="Q104" s="487" t="n">
        <v>45216</v>
      </c>
    </row>
    <row r="105">
      <c r="A105" t="inlineStr">
        <is>
          <t>000104450000082</t>
        </is>
      </c>
      <c r="B105" t="inlineStr">
        <is>
          <t>Chuma Mkandawire TA Chikoma Estates</t>
        </is>
      </c>
      <c r="C105" t="n">
        <v>90</v>
      </c>
      <c r="D105" t="inlineStr">
        <is>
          <t>1050201</t>
        </is>
      </c>
      <c r="E105" t="inlineStr">
        <is>
          <t>C</t>
        </is>
      </c>
      <c r="F105" t="inlineStr">
        <is>
          <t>S</t>
        </is>
      </c>
      <c r="G105" t="n">
        <v>10</v>
      </c>
      <c r="H105" s="487" t="n">
        <v>45258</v>
      </c>
      <c r="I105" t="n">
        <v>30000000</v>
      </c>
      <c r="J105" s="487" t="n">
        <v>45261</v>
      </c>
      <c r="K105" s="487" t="n">
        <v>45626</v>
      </c>
      <c r="L105" t="n">
        <v>0</v>
      </c>
      <c r="M105" t="n">
        <v>0</v>
      </c>
      <c r="Q105" s="487" t="n">
        <v>45261</v>
      </c>
    </row>
    <row r="106">
      <c r="A106" t="inlineStr">
        <is>
          <t>000104450000084</t>
        </is>
      </c>
      <c r="B106" t="inlineStr">
        <is>
          <t>Ziweto Zathanzi Veterinary Shop</t>
        </is>
      </c>
      <c r="C106" t="n">
        <v>90</v>
      </c>
      <c r="D106" t="inlineStr">
        <is>
          <t>1050201</t>
        </is>
      </c>
      <c r="E106" t="inlineStr">
        <is>
          <t>A</t>
        </is>
      </c>
      <c r="F106" t="inlineStr">
        <is>
          <t>S</t>
        </is>
      </c>
      <c r="G106" t="n">
        <v>10</v>
      </c>
      <c r="H106" s="487" t="n">
        <v>45272</v>
      </c>
      <c r="I106" t="n">
        <v>10000000</v>
      </c>
      <c r="J106" s="487" t="n">
        <v>45273</v>
      </c>
      <c r="K106" s="487" t="n">
        <v>46003</v>
      </c>
      <c r="L106" t="n">
        <v>3</v>
      </c>
      <c r="M106" t="n">
        <v>0</v>
      </c>
      <c r="N106" t="n">
        <v>10000000</v>
      </c>
      <c r="O106" t="n">
        <v>609712.85</v>
      </c>
      <c r="P106" t="n">
        <v>7917794.67</v>
      </c>
      <c r="Q106" s="487" t="n">
        <v>45273</v>
      </c>
    </row>
    <row r="107">
      <c r="A107" t="inlineStr">
        <is>
          <t>000104450000085</t>
        </is>
      </c>
      <c r="B107" t="inlineStr">
        <is>
          <t>MMC Limited</t>
        </is>
      </c>
      <c r="C107" t="n">
        <v>90</v>
      </c>
      <c r="D107" t="inlineStr">
        <is>
          <t>1050201</t>
        </is>
      </c>
      <c r="E107" t="inlineStr">
        <is>
          <t>A</t>
        </is>
      </c>
      <c r="F107" t="inlineStr">
        <is>
          <t>S</t>
        </is>
      </c>
      <c r="G107" t="n">
        <v>10</v>
      </c>
      <c r="H107" s="487" t="n">
        <v>44918</v>
      </c>
      <c r="I107" t="n">
        <v>144500000</v>
      </c>
      <c r="J107" s="487" t="n">
        <v>45317</v>
      </c>
      <c r="K107" s="487" t="n">
        <v>46412</v>
      </c>
      <c r="L107" t="n">
        <v>18</v>
      </c>
      <c r="M107" t="n">
        <v>18</v>
      </c>
      <c r="N107" t="n">
        <v>144500000</v>
      </c>
      <c r="O107" t="n">
        <v>7581339.8</v>
      </c>
      <c r="P107" t="n">
        <v>155946915.83</v>
      </c>
      <c r="Q107" s="487" t="n">
        <v>45317</v>
      </c>
    </row>
    <row r="108">
      <c r="A108" t="inlineStr">
        <is>
          <t>000104450000086</t>
        </is>
      </c>
      <c r="B108" t="inlineStr">
        <is>
          <t>Chambaika Milling Company</t>
        </is>
      </c>
      <c r="C108" t="n">
        <v>90</v>
      </c>
      <c r="D108" t="inlineStr">
        <is>
          <t>1050201</t>
        </is>
      </c>
      <c r="E108" t="inlineStr">
        <is>
          <t>A</t>
        </is>
      </c>
      <c r="F108" t="inlineStr">
        <is>
          <t>S</t>
        </is>
      </c>
      <c r="G108" t="n">
        <v>10</v>
      </c>
      <c r="H108" s="487" t="n">
        <v>45323</v>
      </c>
      <c r="I108" t="n">
        <v>350660000</v>
      </c>
      <c r="J108" s="487" t="n">
        <v>45323</v>
      </c>
      <c r="K108" s="487" t="n">
        <v>47149</v>
      </c>
      <c r="L108" t="n">
        <v>4</v>
      </c>
      <c r="M108" t="n">
        <v>0</v>
      </c>
      <c r="N108" t="n">
        <v>350660000</v>
      </c>
      <c r="O108" t="n">
        <v>17902354.85</v>
      </c>
      <c r="P108" t="n">
        <v>377930406.22</v>
      </c>
      <c r="Q108" s="487" t="n">
        <v>45323</v>
      </c>
    </row>
    <row r="109">
      <c r="A109" t="inlineStr">
        <is>
          <t>000104450000090</t>
        </is>
      </c>
      <c r="B109" t="inlineStr">
        <is>
          <t>JAT Investments</t>
        </is>
      </c>
      <c r="C109" t="n">
        <v>90</v>
      </c>
      <c r="D109" t="inlineStr">
        <is>
          <t>1050201</t>
        </is>
      </c>
      <c r="E109" t="inlineStr">
        <is>
          <t>A</t>
        </is>
      </c>
      <c r="F109" t="inlineStr">
        <is>
          <t>S</t>
        </is>
      </c>
      <c r="G109" t="n">
        <v>10</v>
      </c>
      <c r="H109" s="487" t="n">
        <v>45330</v>
      </c>
      <c r="I109" t="n">
        <v>130000000</v>
      </c>
      <c r="J109" s="487" t="n">
        <v>45330</v>
      </c>
      <c r="K109" s="487" t="n">
        <v>46790</v>
      </c>
      <c r="L109" t="n">
        <v>6</v>
      </c>
      <c r="M109" t="n">
        <v>0</v>
      </c>
      <c r="N109" t="n">
        <v>130000000</v>
      </c>
      <c r="O109" t="n">
        <v>6242236.32</v>
      </c>
      <c r="P109" t="n">
        <v>124893754.23</v>
      </c>
      <c r="Q109" s="487" t="n">
        <v>45330</v>
      </c>
    </row>
    <row r="110">
      <c r="A110" t="inlineStr">
        <is>
          <t>000104450000091</t>
        </is>
      </c>
      <c r="B110" t="inlineStr">
        <is>
          <t>Chanje Investments</t>
        </is>
      </c>
      <c r="C110" t="n">
        <v>90</v>
      </c>
      <c r="D110" t="inlineStr">
        <is>
          <t>1050201</t>
        </is>
      </c>
      <c r="E110" t="inlineStr">
        <is>
          <t>D</t>
        </is>
      </c>
      <c r="F110" t="inlineStr">
        <is>
          <t>S</t>
        </is>
      </c>
      <c r="G110" t="n">
        <v>10</v>
      </c>
      <c r="H110" s="487" t="n">
        <v>45351</v>
      </c>
      <c r="I110" t="n">
        <v>200000000</v>
      </c>
      <c r="J110" s="487" t="n">
        <v>45351</v>
      </c>
      <c r="K110" s="487" t="n">
        <v>46811</v>
      </c>
      <c r="L110" t="n">
        <v>6</v>
      </c>
      <c r="M110" t="n">
        <v>0</v>
      </c>
      <c r="N110" t="n">
        <v>200000000</v>
      </c>
      <c r="O110" t="n">
        <v>8473384.460000001</v>
      </c>
      <c r="P110" t="n">
        <v>213772323.3</v>
      </c>
      <c r="Q110" s="487" t="n">
        <v>45351</v>
      </c>
    </row>
    <row r="111">
      <c r="A111" t="inlineStr">
        <is>
          <t>000104450000095</t>
        </is>
      </c>
      <c r="B111" t="inlineStr">
        <is>
          <t>Hortinet Foods Limited</t>
        </is>
      </c>
      <c r="C111" t="n">
        <v>90</v>
      </c>
      <c r="D111" t="inlineStr">
        <is>
          <t>1050201</t>
        </is>
      </c>
      <c r="E111" t="inlineStr">
        <is>
          <t>D</t>
        </is>
      </c>
      <c r="F111" t="inlineStr">
        <is>
          <t>S</t>
        </is>
      </c>
      <c r="G111" t="n">
        <v>10</v>
      </c>
      <c r="H111" s="487" t="n">
        <v>45412</v>
      </c>
      <c r="I111" t="n">
        <v>50000000</v>
      </c>
      <c r="J111" s="487" t="n">
        <v>45412</v>
      </c>
      <c r="K111" s="487" t="n">
        <v>46141</v>
      </c>
      <c r="L111" t="n">
        <v>0</v>
      </c>
      <c r="M111" t="n">
        <v>0</v>
      </c>
      <c r="N111" t="n">
        <v>50000000</v>
      </c>
      <c r="O111" t="n">
        <v>1263888.89</v>
      </c>
      <c r="P111" t="n">
        <v>43437806.51</v>
      </c>
      <c r="Q111" s="487" t="n">
        <v>45412</v>
      </c>
    </row>
    <row r="112">
      <c r="A112" t="inlineStr">
        <is>
          <t>000104450000096</t>
        </is>
      </c>
      <c r="B112" t="inlineStr">
        <is>
          <t>Champion Enterprises Inc.</t>
        </is>
      </c>
      <c r="C112" t="n">
        <v>90</v>
      </c>
      <c r="D112" t="inlineStr">
        <is>
          <t>1050201</t>
        </is>
      </c>
      <c r="E112" t="inlineStr">
        <is>
          <t>C</t>
        </is>
      </c>
      <c r="F112" t="inlineStr">
        <is>
          <t>S</t>
        </is>
      </c>
      <c r="G112" t="n">
        <v>10</v>
      </c>
      <c r="H112" s="487" t="n">
        <v>45566</v>
      </c>
      <c r="I112" t="n">
        <v>88000000</v>
      </c>
      <c r="J112" s="487" t="n">
        <v>45588</v>
      </c>
      <c r="K112" s="487" t="n">
        <v>47261</v>
      </c>
      <c r="L112" t="n">
        <v>0</v>
      </c>
      <c r="M112" t="n">
        <v>0</v>
      </c>
    </row>
    <row r="113">
      <c r="A113" t="inlineStr">
        <is>
          <t>000104450000097</t>
        </is>
      </c>
      <c r="B113" t="inlineStr">
        <is>
          <t>NEHA TRADER</t>
        </is>
      </c>
      <c r="C113" t="n">
        <v>90</v>
      </c>
      <c r="D113" t="inlineStr">
        <is>
          <t>1050201</t>
        </is>
      </c>
      <c r="E113" t="inlineStr">
        <is>
          <t>C</t>
        </is>
      </c>
      <c r="F113" t="inlineStr">
        <is>
          <t>S</t>
        </is>
      </c>
      <c r="G113" t="n">
        <v>15</v>
      </c>
      <c r="H113" s="487" t="n">
        <v>45566</v>
      </c>
      <c r="I113" t="n">
        <v>96300000</v>
      </c>
      <c r="J113" s="487" t="n">
        <v>45589</v>
      </c>
      <c r="K113" s="487" t="n">
        <v>45740</v>
      </c>
      <c r="L113" t="n">
        <v>0</v>
      </c>
      <c r="M113" t="n">
        <v>0</v>
      </c>
    </row>
    <row r="114">
      <c r="A114" t="inlineStr">
        <is>
          <t>000104450000098</t>
        </is>
      </c>
      <c r="B114" t="inlineStr">
        <is>
          <t xml:space="preserve">GOJET Investments  </t>
        </is>
      </c>
      <c r="C114" t="n">
        <v>90</v>
      </c>
      <c r="D114" t="inlineStr">
        <is>
          <t>1050201</t>
        </is>
      </c>
      <c r="E114" t="inlineStr">
        <is>
          <t>A</t>
        </is>
      </c>
      <c r="F114" t="inlineStr">
        <is>
          <t>S</t>
        </is>
      </c>
      <c r="G114" t="n">
        <v>10</v>
      </c>
      <c r="H114" s="487" t="n">
        <v>46253</v>
      </c>
      <c r="I114" t="n">
        <v>330000000</v>
      </c>
      <c r="J114" s="487" t="n">
        <v>46253</v>
      </c>
      <c r="K114" s="487" t="n">
        <v>46984</v>
      </c>
      <c r="L114" t="n">
        <v>6</v>
      </c>
      <c r="M114" t="n">
        <v>0</v>
      </c>
      <c r="Q114" s="487" t="n">
        <v>46259</v>
      </c>
    </row>
    <row r="115">
      <c r="A115" t="inlineStr">
        <is>
          <t>000104460000014</t>
        </is>
      </c>
      <c r="B115" t="inlineStr">
        <is>
          <t>Ecogen Limited</t>
        </is>
      </c>
      <c r="C115" t="n">
        <v>92</v>
      </c>
      <c r="D115" t="inlineStr">
        <is>
          <t>1050202</t>
        </is>
      </c>
      <c r="E115" t="inlineStr">
        <is>
          <t>C</t>
        </is>
      </c>
      <c r="F115" t="inlineStr">
        <is>
          <t>S</t>
        </is>
      </c>
      <c r="G115" t="n">
        <v>10</v>
      </c>
      <c r="H115" s="487" t="n">
        <v>44547</v>
      </c>
      <c r="I115" t="n">
        <v>20000000</v>
      </c>
      <c r="J115" s="487" t="n">
        <v>44561</v>
      </c>
      <c r="K115" s="487" t="n">
        <v>45290</v>
      </c>
      <c r="L115" t="n">
        <v>6</v>
      </c>
      <c r="M115" t="n">
        <v>6</v>
      </c>
      <c r="Q115" s="487" t="n">
        <v>44561</v>
      </c>
    </row>
    <row r="116">
      <c r="A116" t="inlineStr">
        <is>
          <t>000104460000017</t>
        </is>
      </c>
      <c r="B116" t="inlineStr">
        <is>
          <t>Steel Base Furnitures</t>
        </is>
      </c>
      <c r="C116" t="n">
        <v>92</v>
      </c>
      <c r="D116" t="inlineStr">
        <is>
          <t>1050202</t>
        </is>
      </c>
      <c r="E116" t="inlineStr">
        <is>
          <t>H</t>
        </is>
      </c>
      <c r="F116" t="inlineStr">
        <is>
          <t>S</t>
        </is>
      </c>
      <c r="G116" t="n">
        <v>10</v>
      </c>
      <c r="H116" s="487" t="n">
        <v>44585</v>
      </c>
      <c r="I116" t="n">
        <v>14677500</v>
      </c>
      <c r="J116" s="487" t="n">
        <v>44220</v>
      </c>
      <c r="K116" s="487" t="n">
        <v>44949</v>
      </c>
      <c r="L116" t="n">
        <v>3</v>
      </c>
      <c r="M116" t="n">
        <v>3</v>
      </c>
      <c r="N116" t="n">
        <v>14677500</v>
      </c>
      <c r="O116" t="n">
        <v>2537771.44</v>
      </c>
      <c r="P116" t="n">
        <v>349021.15</v>
      </c>
      <c r="Q116" s="487" t="n">
        <v>44220</v>
      </c>
    </row>
    <row r="117">
      <c r="A117" t="inlineStr">
        <is>
          <t>000104460000019</t>
        </is>
      </c>
      <c r="B117" t="inlineStr">
        <is>
          <t>Zanzi Entertainment Ltd</t>
        </is>
      </c>
      <c r="C117" t="n">
        <v>92</v>
      </c>
      <c r="D117" t="inlineStr">
        <is>
          <t>1050202</t>
        </is>
      </c>
      <c r="E117" t="inlineStr">
        <is>
          <t>C</t>
        </is>
      </c>
      <c r="F117" t="inlineStr">
        <is>
          <t>S</t>
        </is>
      </c>
      <c r="G117" t="n">
        <v>10</v>
      </c>
      <c r="H117" s="487" t="n">
        <v>44601</v>
      </c>
      <c r="I117" t="n">
        <v>24000000</v>
      </c>
      <c r="J117" s="487" t="n">
        <v>44603</v>
      </c>
      <c r="K117" s="487" t="n">
        <v>45332</v>
      </c>
      <c r="L117" t="n">
        <v>3</v>
      </c>
      <c r="M117" t="n">
        <v>3</v>
      </c>
      <c r="Q117" s="487" t="n">
        <v>44603</v>
      </c>
    </row>
    <row r="118">
      <c r="A118" t="inlineStr">
        <is>
          <t>000104460000024</t>
        </is>
      </c>
      <c r="B118" t="inlineStr">
        <is>
          <t>Allied Bricks and Blocks Limited</t>
        </is>
      </c>
      <c r="C118" t="n">
        <v>92</v>
      </c>
      <c r="D118" t="inlineStr">
        <is>
          <t>1050202</t>
        </is>
      </c>
      <c r="E118" t="inlineStr">
        <is>
          <t>D</t>
        </is>
      </c>
      <c r="F118" t="inlineStr">
        <is>
          <t>S</t>
        </is>
      </c>
      <c r="G118" t="n">
        <v>10</v>
      </c>
      <c r="H118" s="487" t="n">
        <v>44713</v>
      </c>
      <c r="I118" t="n">
        <v>12000000</v>
      </c>
      <c r="J118" s="487" t="n">
        <v>44715</v>
      </c>
      <c r="K118" s="487" t="n">
        <v>45445</v>
      </c>
      <c r="L118" t="n">
        <v>3</v>
      </c>
      <c r="M118" t="n">
        <v>3</v>
      </c>
      <c r="N118" t="n">
        <v>12000000</v>
      </c>
      <c r="O118" t="n">
        <v>1605046.86</v>
      </c>
      <c r="P118" t="n">
        <v>-29678.33</v>
      </c>
      <c r="Q118" s="487" t="n">
        <v>44715</v>
      </c>
    </row>
    <row r="119">
      <c r="A119" t="inlineStr">
        <is>
          <t>000104460000029</t>
        </is>
      </c>
      <c r="B119" t="inlineStr">
        <is>
          <t>Angwenda Investments Limited</t>
        </is>
      </c>
      <c r="C119" t="n">
        <v>92</v>
      </c>
      <c r="D119" t="inlineStr">
        <is>
          <t>1050202</t>
        </is>
      </c>
      <c r="E119" t="inlineStr">
        <is>
          <t>C</t>
        </is>
      </c>
      <c r="F119" t="inlineStr">
        <is>
          <t>S</t>
        </is>
      </c>
      <c r="G119" t="n">
        <v>10</v>
      </c>
      <c r="H119" s="487" t="n">
        <v>44719</v>
      </c>
      <c r="I119" t="n">
        <v>24000000</v>
      </c>
      <c r="J119" s="487" t="n">
        <v>44726</v>
      </c>
      <c r="K119" s="487" t="n">
        <v>45456</v>
      </c>
      <c r="L119" t="n">
        <v>3</v>
      </c>
      <c r="M119" t="n">
        <v>3</v>
      </c>
      <c r="Q119" s="487" t="n">
        <v>44726</v>
      </c>
    </row>
    <row r="120">
      <c r="A120" t="inlineStr">
        <is>
          <t>000104460000031</t>
        </is>
      </c>
      <c r="B120" t="inlineStr">
        <is>
          <t>Pamela Investments</t>
        </is>
      </c>
      <c r="C120" t="n">
        <v>92</v>
      </c>
      <c r="D120" t="inlineStr">
        <is>
          <t>1050202</t>
        </is>
      </c>
      <c r="E120" t="inlineStr">
        <is>
          <t>C</t>
        </is>
      </c>
      <c r="F120" t="inlineStr">
        <is>
          <t>S</t>
        </is>
      </c>
      <c r="G120" t="n">
        <v>10</v>
      </c>
      <c r="H120" s="487" t="n">
        <v>44713</v>
      </c>
      <c r="I120" t="n">
        <v>10000000</v>
      </c>
      <c r="J120" s="487" t="n">
        <v>44728</v>
      </c>
      <c r="K120" s="487" t="n">
        <v>45458</v>
      </c>
      <c r="L120" t="n">
        <v>3</v>
      </c>
      <c r="M120" t="n">
        <v>3</v>
      </c>
      <c r="Q120" s="487" t="n">
        <v>44728</v>
      </c>
    </row>
    <row r="121">
      <c r="A121" t="inlineStr">
        <is>
          <t>000104460000055</t>
        </is>
      </c>
      <c r="B121" t="inlineStr">
        <is>
          <t>Ruo Textiles Limited</t>
        </is>
      </c>
      <c r="C121" t="n">
        <v>92</v>
      </c>
      <c r="D121" t="inlineStr">
        <is>
          <t>1050202</t>
        </is>
      </c>
      <c r="E121" t="inlineStr">
        <is>
          <t>A</t>
        </is>
      </c>
      <c r="F121" t="inlineStr">
        <is>
          <t>S</t>
        </is>
      </c>
      <c r="G121" t="n">
        <v>10</v>
      </c>
      <c r="H121" s="487" t="n">
        <v>44950</v>
      </c>
      <c r="I121" t="n">
        <v>70000000</v>
      </c>
      <c r="J121" s="487" t="n">
        <v>44952</v>
      </c>
      <c r="K121" s="487" t="n">
        <v>46047</v>
      </c>
      <c r="L121" t="n">
        <v>12</v>
      </c>
      <c r="M121" t="n">
        <v>0</v>
      </c>
      <c r="N121" t="n">
        <v>21462708.13</v>
      </c>
      <c r="O121" t="n">
        <v>3007138.27</v>
      </c>
      <c r="P121" t="n">
        <v>17003080.02</v>
      </c>
      <c r="Q121" s="487" t="n">
        <v>44952</v>
      </c>
    </row>
    <row r="122">
      <c r="A122" t="inlineStr">
        <is>
          <t>000104460000058</t>
        </is>
      </c>
      <c r="B122" t="inlineStr">
        <is>
          <t>Tapempha Medical Care Limited</t>
        </is>
      </c>
      <c r="C122" t="n">
        <v>92</v>
      </c>
      <c r="D122" t="inlineStr">
        <is>
          <t>1050202</t>
        </is>
      </c>
      <c r="E122" t="inlineStr">
        <is>
          <t>C</t>
        </is>
      </c>
      <c r="F122" t="inlineStr">
        <is>
          <t>S</t>
        </is>
      </c>
      <c r="G122" t="n">
        <v>10</v>
      </c>
      <c r="H122" s="487" t="n">
        <v>44972</v>
      </c>
      <c r="I122" t="n">
        <v>53391150</v>
      </c>
      <c r="J122" s="487" t="n">
        <v>44972</v>
      </c>
      <c r="K122" s="487" t="n">
        <v>45702</v>
      </c>
      <c r="L122" t="n">
        <v>6</v>
      </c>
      <c r="M122" t="n">
        <v>0</v>
      </c>
      <c r="Q122" s="487" t="n">
        <v>44972</v>
      </c>
    </row>
    <row r="123">
      <c r="A123" t="inlineStr">
        <is>
          <t>000104460000059</t>
        </is>
      </c>
      <c r="B123" t="inlineStr">
        <is>
          <t>BenCal Technologies Ltd</t>
        </is>
      </c>
      <c r="C123" t="n">
        <v>92</v>
      </c>
      <c r="D123" t="inlineStr">
        <is>
          <t>1050202</t>
        </is>
      </c>
      <c r="E123" t="inlineStr">
        <is>
          <t>A</t>
        </is>
      </c>
      <c r="F123" t="inlineStr">
        <is>
          <t>S</t>
        </is>
      </c>
      <c r="G123" t="n">
        <v>10</v>
      </c>
      <c r="H123" s="487" t="n">
        <v>44977</v>
      </c>
      <c r="I123" t="n">
        <v>153974500</v>
      </c>
      <c r="J123" s="487" t="n">
        <v>44977</v>
      </c>
      <c r="K123" s="487" t="n">
        <v>46802</v>
      </c>
      <c r="L123" t="n">
        <v>6</v>
      </c>
      <c r="M123" t="n">
        <v>6</v>
      </c>
      <c r="N123" t="n">
        <v>153974500</v>
      </c>
      <c r="O123" t="n">
        <v>19723828.76</v>
      </c>
      <c r="P123" t="n">
        <v>37020527.35</v>
      </c>
      <c r="Q123" s="487" t="n">
        <v>44977</v>
      </c>
    </row>
    <row r="124">
      <c r="A124" t="inlineStr">
        <is>
          <t>000104460000061</t>
        </is>
      </c>
      <c r="B124" t="inlineStr">
        <is>
          <t>Imani Investments</t>
        </is>
      </c>
      <c r="C124" t="n">
        <v>92</v>
      </c>
      <c r="D124" t="inlineStr">
        <is>
          <t>1050202</t>
        </is>
      </c>
      <c r="E124" t="inlineStr">
        <is>
          <t>H</t>
        </is>
      </c>
      <c r="F124" t="inlineStr">
        <is>
          <t>S</t>
        </is>
      </c>
      <c r="G124" t="n">
        <v>10</v>
      </c>
      <c r="H124" s="487" t="n">
        <v>45005</v>
      </c>
      <c r="I124" t="n">
        <v>24000000</v>
      </c>
      <c r="J124" s="487" t="n">
        <v>45005</v>
      </c>
      <c r="K124" s="487" t="n">
        <v>45735</v>
      </c>
      <c r="L124" t="n">
        <v>3</v>
      </c>
      <c r="M124" t="n">
        <v>3</v>
      </c>
      <c r="N124" t="n">
        <v>24000000</v>
      </c>
      <c r="O124" t="n">
        <v>2634306.5</v>
      </c>
      <c r="P124" t="n">
        <v>7602201.02</v>
      </c>
      <c r="Q124" s="487" t="n">
        <v>45005</v>
      </c>
    </row>
    <row r="125">
      <c r="A125" t="inlineStr">
        <is>
          <t>000104460000064</t>
        </is>
      </c>
      <c r="B125" t="inlineStr">
        <is>
          <t>Gibson Gray Cane Furniture</t>
        </is>
      </c>
      <c r="C125" t="n">
        <v>92</v>
      </c>
      <c r="D125" t="inlineStr">
        <is>
          <t>1050202</t>
        </is>
      </c>
      <c r="E125" t="inlineStr">
        <is>
          <t>H</t>
        </is>
      </c>
      <c r="F125" t="inlineStr">
        <is>
          <t>S</t>
        </is>
      </c>
      <c r="G125" t="n">
        <v>10</v>
      </c>
      <c r="H125" s="487" t="n">
        <v>45048</v>
      </c>
      <c r="I125" t="n">
        <v>30000000</v>
      </c>
      <c r="J125" s="487" t="n">
        <v>45048</v>
      </c>
      <c r="K125" s="487" t="n">
        <v>45778</v>
      </c>
      <c r="L125" t="n">
        <v>3</v>
      </c>
      <c r="M125" t="n">
        <v>3</v>
      </c>
      <c r="N125" t="n">
        <v>30000000</v>
      </c>
      <c r="O125" t="n">
        <v>3070499.52</v>
      </c>
      <c r="P125" t="n">
        <v>14070777.51</v>
      </c>
      <c r="Q125" s="487" t="n">
        <v>45048</v>
      </c>
    </row>
    <row r="126">
      <c r="A126" t="inlineStr">
        <is>
          <t>000104460000065</t>
        </is>
      </c>
      <c r="B126" t="inlineStr">
        <is>
          <t>House of Men Clothing</t>
        </is>
      </c>
      <c r="C126" t="n">
        <v>92</v>
      </c>
      <c r="D126" t="inlineStr">
        <is>
          <t>1050202</t>
        </is>
      </c>
      <c r="E126" t="inlineStr">
        <is>
          <t>A</t>
        </is>
      </c>
      <c r="F126" t="inlineStr">
        <is>
          <t>S</t>
        </is>
      </c>
      <c r="G126" t="n">
        <v>10</v>
      </c>
      <c r="H126" s="487" t="n">
        <v>45063</v>
      </c>
      <c r="I126" t="n">
        <v>50000000</v>
      </c>
      <c r="J126" s="487" t="n">
        <v>45064</v>
      </c>
      <c r="K126" s="487" t="n">
        <v>46524</v>
      </c>
      <c r="L126" t="n">
        <v>6</v>
      </c>
      <c r="M126" t="n">
        <v>6</v>
      </c>
      <c r="N126" t="n">
        <v>50000000</v>
      </c>
      <c r="O126" t="n">
        <v>6017032.92</v>
      </c>
      <c r="P126" t="n">
        <v>40660777.88</v>
      </c>
      <c r="Q126" s="487" t="n">
        <v>45064</v>
      </c>
    </row>
    <row r="127">
      <c r="A127" t="inlineStr">
        <is>
          <t>000104460000066</t>
        </is>
      </c>
      <c r="B127" t="inlineStr">
        <is>
          <t>Mphanga Hodings Limited</t>
        </is>
      </c>
      <c r="C127" t="n">
        <v>92</v>
      </c>
      <c r="D127" t="inlineStr">
        <is>
          <t>1050202</t>
        </is>
      </c>
      <c r="E127" t="inlineStr">
        <is>
          <t>H</t>
        </is>
      </c>
      <c r="F127" t="inlineStr">
        <is>
          <t>S</t>
        </is>
      </c>
      <c r="G127" t="n">
        <v>10</v>
      </c>
      <c r="H127" s="487" t="n">
        <v>45063</v>
      </c>
      <c r="I127" t="n">
        <v>150000000</v>
      </c>
      <c r="J127" s="487" t="n">
        <v>45064</v>
      </c>
      <c r="K127" s="487" t="n">
        <v>45794</v>
      </c>
      <c r="L127" t="n">
        <v>3</v>
      </c>
      <c r="M127" t="n">
        <v>3</v>
      </c>
      <c r="N127" t="n">
        <v>84923700</v>
      </c>
      <c r="O127" t="n">
        <v>8285387.31</v>
      </c>
      <c r="P127" t="n">
        <v>34887586.62</v>
      </c>
      <c r="Q127" s="487" t="n">
        <v>45064</v>
      </c>
    </row>
    <row r="128">
      <c r="A128" t="inlineStr">
        <is>
          <t>000104460000070</t>
        </is>
      </c>
      <c r="B128" t="inlineStr">
        <is>
          <t>Mchinji Civil Servants SACCO</t>
        </is>
      </c>
      <c r="C128" t="n">
        <v>92</v>
      </c>
      <c r="D128" t="inlineStr">
        <is>
          <t>1050202</t>
        </is>
      </c>
      <c r="E128" t="inlineStr">
        <is>
          <t>H</t>
        </is>
      </c>
      <c r="F128" t="inlineStr">
        <is>
          <t>S</t>
        </is>
      </c>
      <c r="G128" t="n">
        <v>10</v>
      </c>
      <c r="H128" s="487" t="n">
        <v>45138</v>
      </c>
      <c r="I128" t="n">
        <v>50000000</v>
      </c>
      <c r="J128" s="487" t="n">
        <v>45127</v>
      </c>
      <c r="K128" s="487" t="n">
        <v>45868</v>
      </c>
      <c r="L128" t="n">
        <v>6</v>
      </c>
      <c r="M128" t="n">
        <v>6</v>
      </c>
      <c r="N128" t="n">
        <v>100000000</v>
      </c>
      <c r="O128" t="n">
        <v>5386103.95</v>
      </c>
      <c r="P128" t="n">
        <v>50940060.28</v>
      </c>
      <c r="Q128" s="487" t="n">
        <v>45127</v>
      </c>
    </row>
    <row r="129">
      <c r="A129" t="inlineStr">
        <is>
          <t>000104460000071</t>
        </is>
      </c>
      <c r="B129" t="inlineStr">
        <is>
          <t>Design Management Consultants Ltd</t>
        </is>
      </c>
      <c r="C129" t="n">
        <v>92</v>
      </c>
      <c r="D129" t="inlineStr">
        <is>
          <t>1050202</t>
        </is>
      </c>
      <c r="E129" t="inlineStr">
        <is>
          <t>A</t>
        </is>
      </c>
      <c r="F129" t="inlineStr">
        <is>
          <t>S</t>
        </is>
      </c>
      <c r="G129" t="n">
        <v>10</v>
      </c>
      <c r="H129" s="487" t="n">
        <v>45138</v>
      </c>
      <c r="I129" t="n">
        <v>236401400</v>
      </c>
      <c r="J129" s="487" t="n">
        <v>45138</v>
      </c>
      <c r="K129" s="487" t="n">
        <v>46598</v>
      </c>
      <c r="L129" t="n">
        <v>6</v>
      </c>
      <c r="M129" t="n">
        <v>6</v>
      </c>
      <c r="N129" t="n">
        <v>236401400</v>
      </c>
      <c r="O129" t="n">
        <v>23864995.69</v>
      </c>
      <c r="P129" t="n">
        <v>198864434.3</v>
      </c>
      <c r="Q129" s="487" t="n">
        <v>45138</v>
      </c>
    </row>
    <row r="130">
      <c r="A130" t="inlineStr">
        <is>
          <t>000104460000073</t>
        </is>
      </c>
      <c r="B130" t="inlineStr">
        <is>
          <t>Mosa Limited Company</t>
        </is>
      </c>
      <c r="C130" t="n">
        <v>92</v>
      </c>
      <c r="D130" t="inlineStr">
        <is>
          <t>1050202</t>
        </is>
      </c>
      <c r="E130" t="inlineStr">
        <is>
          <t>D</t>
        </is>
      </c>
      <c r="F130" t="inlineStr">
        <is>
          <t>S</t>
        </is>
      </c>
      <c r="G130" t="n">
        <v>10</v>
      </c>
      <c r="H130" s="487" t="n">
        <v>45128</v>
      </c>
      <c r="I130" t="n">
        <v>21417000</v>
      </c>
      <c r="J130" s="487" t="n">
        <v>45138</v>
      </c>
      <c r="K130" s="487" t="n">
        <v>45868</v>
      </c>
      <c r="L130" t="n">
        <v>3</v>
      </c>
      <c r="M130" t="n">
        <v>3</v>
      </c>
      <c r="N130" t="n">
        <v>21417000</v>
      </c>
      <c r="O130" t="n">
        <v>1892663.9</v>
      </c>
      <c r="P130" t="n">
        <v>12180308.75</v>
      </c>
      <c r="Q130" s="487" t="n">
        <v>45138</v>
      </c>
    </row>
    <row r="131">
      <c r="A131" t="inlineStr">
        <is>
          <t>000104460000075</t>
        </is>
      </c>
      <c r="B131" t="inlineStr">
        <is>
          <t>Global Seeds Limited FInES</t>
        </is>
      </c>
      <c r="C131" t="n">
        <v>92</v>
      </c>
      <c r="D131" t="inlineStr">
        <is>
          <t>1050202</t>
        </is>
      </c>
      <c r="E131" t="inlineStr">
        <is>
          <t>A</t>
        </is>
      </c>
      <c r="F131" t="inlineStr">
        <is>
          <t>S</t>
        </is>
      </c>
      <c r="G131" t="n">
        <v>10</v>
      </c>
      <c r="H131" s="487" t="n">
        <v>45108</v>
      </c>
      <c r="I131" t="n">
        <v>250000000</v>
      </c>
      <c r="J131" s="487" t="n">
        <v>45145</v>
      </c>
      <c r="K131" s="487" t="n">
        <v>46605</v>
      </c>
      <c r="L131" t="n">
        <v>0</v>
      </c>
      <c r="M131" t="n">
        <v>0</v>
      </c>
      <c r="N131" t="n">
        <v>250000000</v>
      </c>
      <c r="O131" t="n">
        <v>22736464.79</v>
      </c>
      <c r="P131" t="n">
        <v>201762903.68</v>
      </c>
      <c r="Q131" s="487" t="n">
        <v>45145</v>
      </c>
    </row>
    <row r="132">
      <c r="A132" t="inlineStr">
        <is>
          <t>000104460000078</t>
        </is>
      </c>
      <c r="B132" t="inlineStr">
        <is>
          <t>Green Pharmacy</t>
        </is>
      </c>
      <c r="C132" t="n">
        <v>92</v>
      </c>
      <c r="D132" t="inlineStr">
        <is>
          <t>1050202</t>
        </is>
      </c>
      <c r="E132" t="inlineStr">
        <is>
          <t>D</t>
        </is>
      </c>
      <c r="F132" t="inlineStr">
        <is>
          <t>S</t>
        </is>
      </c>
      <c r="G132" t="n">
        <v>10</v>
      </c>
      <c r="H132" s="487" t="n">
        <v>45219</v>
      </c>
      <c r="I132" t="n">
        <v>22000000</v>
      </c>
      <c r="J132" s="487" t="n">
        <v>45222</v>
      </c>
      <c r="K132" s="487" t="n">
        <v>46317</v>
      </c>
      <c r="L132" t="n">
        <v>6</v>
      </c>
      <c r="M132" t="n">
        <v>6</v>
      </c>
      <c r="N132" t="n">
        <v>22000000</v>
      </c>
      <c r="O132" t="n">
        <v>1735097.9</v>
      </c>
      <c r="P132" t="n">
        <v>24338392.33</v>
      </c>
      <c r="Q132" s="487" t="n">
        <v>45222</v>
      </c>
    </row>
    <row r="133">
      <c r="A133" t="inlineStr">
        <is>
          <t>000104460000079</t>
        </is>
      </c>
      <c r="B133" t="inlineStr">
        <is>
          <t>Lilongwe Private Clinic</t>
        </is>
      </c>
      <c r="C133" t="n">
        <v>92</v>
      </c>
      <c r="D133" t="inlineStr">
        <is>
          <t>1050202</t>
        </is>
      </c>
      <c r="E133" t="inlineStr">
        <is>
          <t>A</t>
        </is>
      </c>
      <c r="F133" t="inlineStr">
        <is>
          <t>S</t>
        </is>
      </c>
      <c r="G133" t="n">
        <v>10</v>
      </c>
      <c r="H133" s="487" t="n">
        <v>45216</v>
      </c>
      <c r="I133" t="n">
        <v>150000000</v>
      </c>
      <c r="J133" s="487" t="n">
        <v>45217</v>
      </c>
      <c r="K133" s="487" t="n">
        <v>46677</v>
      </c>
      <c r="L133" t="n">
        <v>6</v>
      </c>
      <c r="M133" t="n">
        <v>0</v>
      </c>
      <c r="N133" t="n">
        <v>150000000</v>
      </c>
      <c r="O133" t="n">
        <v>11699047.31</v>
      </c>
      <c r="P133" t="n">
        <v>136451765.05</v>
      </c>
      <c r="Q133" s="487" t="n">
        <v>45217</v>
      </c>
    </row>
    <row r="134">
      <c r="A134" t="inlineStr">
        <is>
          <t>000104460000080</t>
        </is>
      </c>
      <c r="B134" t="inlineStr">
        <is>
          <t>F&amp;K Construction</t>
        </is>
      </c>
      <c r="C134" t="n">
        <v>92</v>
      </c>
      <c r="D134" t="inlineStr">
        <is>
          <t>1050202</t>
        </is>
      </c>
      <c r="E134" t="inlineStr">
        <is>
          <t>A</t>
        </is>
      </c>
      <c r="F134" t="inlineStr">
        <is>
          <t>S</t>
        </is>
      </c>
      <c r="G134" t="n">
        <v>10</v>
      </c>
      <c r="H134" s="487" t="n">
        <v>45204</v>
      </c>
      <c r="I134" t="n">
        <v>120000000</v>
      </c>
      <c r="J134" s="487" t="n">
        <v>45217</v>
      </c>
      <c r="K134" s="487" t="n">
        <v>46677</v>
      </c>
      <c r="L134" t="n">
        <v>6</v>
      </c>
      <c r="M134" t="n">
        <v>0</v>
      </c>
      <c r="N134" t="n">
        <v>120000000</v>
      </c>
      <c r="O134" t="n">
        <v>9359237.85</v>
      </c>
      <c r="P134" t="n">
        <v>106376318.79</v>
      </c>
      <c r="Q134" s="487" t="n">
        <v>45217</v>
      </c>
    </row>
    <row r="135">
      <c r="A135" t="inlineStr">
        <is>
          <t>000104460000081</t>
        </is>
      </c>
      <c r="B135" t="inlineStr">
        <is>
          <t>Sanwecka Tech Companions</t>
        </is>
      </c>
      <c r="C135" t="n">
        <v>92</v>
      </c>
      <c r="D135" t="inlineStr">
        <is>
          <t>1050202</t>
        </is>
      </c>
      <c r="E135" t="inlineStr">
        <is>
          <t>A</t>
        </is>
      </c>
      <c r="F135" t="inlineStr">
        <is>
          <t>S</t>
        </is>
      </c>
      <c r="G135" t="n">
        <v>10</v>
      </c>
      <c r="H135" s="487" t="n">
        <v>45259</v>
      </c>
      <c r="I135" t="n">
        <v>60000000</v>
      </c>
      <c r="J135" s="487" t="n">
        <v>45252</v>
      </c>
      <c r="K135" s="487" t="n">
        <v>46347</v>
      </c>
      <c r="L135" t="n">
        <v>3</v>
      </c>
      <c r="M135" t="n">
        <v>0</v>
      </c>
      <c r="N135" t="n">
        <v>60000000</v>
      </c>
      <c r="O135" t="n">
        <v>3999964.57</v>
      </c>
      <c r="P135" t="n">
        <v>45402003.85</v>
      </c>
      <c r="Q135" s="487" t="n">
        <v>45252</v>
      </c>
    </row>
    <row r="136">
      <c r="A136" t="inlineStr">
        <is>
          <t>000104460000083</t>
        </is>
      </c>
      <c r="B136" t="inlineStr">
        <is>
          <t>Dr Print</t>
        </is>
      </c>
      <c r="C136" t="n">
        <v>92</v>
      </c>
      <c r="D136" t="inlineStr">
        <is>
          <t>1050202</t>
        </is>
      </c>
      <c r="E136" t="inlineStr">
        <is>
          <t>A</t>
        </is>
      </c>
      <c r="F136" t="inlineStr">
        <is>
          <t>S</t>
        </is>
      </c>
      <c r="G136" t="n">
        <v>10</v>
      </c>
      <c r="H136" s="487" t="n">
        <v>45288</v>
      </c>
      <c r="I136" t="n">
        <v>120000000</v>
      </c>
      <c r="J136" s="487" t="n">
        <v>45288</v>
      </c>
      <c r="K136" s="487" t="n">
        <v>46748</v>
      </c>
      <c r="L136" t="n">
        <v>6</v>
      </c>
      <c r="M136" t="n">
        <v>0</v>
      </c>
      <c r="N136" t="n">
        <v>120000000</v>
      </c>
      <c r="O136" t="n">
        <v>7096774.19</v>
      </c>
      <c r="P136" t="n">
        <v>120829331.66</v>
      </c>
      <c r="Q136" s="487" t="n">
        <v>45288</v>
      </c>
    </row>
    <row r="137">
      <c r="A137" t="inlineStr">
        <is>
          <t>000104460000087</t>
        </is>
      </c>
      <c r="B137" t="inlineStr">
        <is>
          <t>Kings Foundationn Schools</t>
        </is>
      </c>
      <c r="C137" t="n">
        <v>92</v>
      </c>
      <c r="D137" t="inlineStr">
        <is>
          <t>1050202</t>
        </is>
      </c>
      <c r="E137" t="inlineStr">
        <is>
          <t>A</t>
        </is>
      </c>
      <c r="F137" t="inlineStr">
        <is>
          <t>S</t>
        </is>
      </c>
      <c r="G137" t="n">
        <v>10</v>
      </c>
      <c r="H137" s="487" t="n">
        <v>45323</v>
      </c>
      <c r="I137" t="n">
        <v>200000000</v>
      </c>
      <c r="J137" s="487" t="n">
        <v>45323</v>
      </c>
      <c r="K137" s="487" t="n">
        <v>46053</v>
      </c>
      <c r="L137" t="n">
        <v>6</v>
      </c>
      <c r="M137" t="n">
        <v>0</v>
      </c>
      <c r="N137" t="n">
        <v>200000000</v>
      </c>
      <c r="O137" t="n">
        <v>10000000</v>
      </c>
      <c r="P137" t="n">
        <v>199386933.16</v>
      </c>
      <c r="Q137" s="487" t="n">
        <v>45323</v>
      </c>
    </row>
    <row r="138">
      <c r="A138" t="inlineStr">
        <is>
          <t>000104460000088</t>
        </is>
      </c>
      <c r="B138" t="inlineStr">
        <is>
          <t>Malasha Briquettes Limited</t>
        </is>
      </c>
      <c r="C138" t="n">
        <v>92</v>
      </c>
      <c r="D138" t="inlineStr">
        <is>
          <t>1050202</t>
        </is>
      </c>
      <c r="E138" t="inlineStr">
        <is>
          <t>A</t>
        </is>
      </c>
      <c r="F138" t="inlineStr">
        <is>
          <t>S</t>
        </is>
      </c>
      <c r="G138" t="n">
        <v>10</v>
      </c>
      <c r="H138" s="487" t="n">
        <v>45323</v>
      </c>
      <c r="I138" t="n">
        <v>17000000</v>
      </c>
      <c r="J138" s="487" t="n">
        <v>45323</v>
      </c>
      <c r="K138" s="487" t="n">
        <v>46053</v>
      </c>
      <c r="L138" t="n">
        <v>3</v>
      </c>
      <c r="M138" t="n">
        <v>3</v>
      </c>
      <c r="N138" t="n">
        <v>17000000</v>
      </c>
      <c r="O138" t="n">
        <v>845140.48</v>
      </c>
      <c r="P138" t="n">
        <v>12758872.96</v>
      </c>
      <c r="Q138" s="487" t="n">
        <v>45323</v>
      </c>
    </row>
    <row r="139">
      <c r="A139" t="inlineStr">
        <is>
          <t>000104460000089</t>
        </is>
      </c>
      <c r="B139" t="inlineStr">
        <is>
          <t>Lehome Investment Limited</t>
        </is>
      </c>
      <c r="C139" t="n">
        <v>92</v>
      </c>
      <c r="D139" t="inlineStr">
        <is>
          <t>1050202</t>
        </is>
      </c>
      <c r="E139" t="inlineStr">
        <is>
          <t>A</t>
        </is>
      </c>
      <c r="F139" t="inlineStr">
        <is>
          <t>S</t>
        </is>
      </c>
      <c r="G139" t="n">
        <v>10</v>
      </c>
      <c r="H139" s="487" t="n">
        <v>45330</v>
      </c>
      <c r="I139" t="n">
        <v>150000000</v>
      </c>
      <c r="J139" s="487" t="n">
        <v>45342</v>
      </c>
      <c r="K139" s="487" t="n">
        <v>46802</v>
      </c>
      <c r="L139" t="n">
        <v>6</v>
      </c>
      <c r="M139" t="n">
        <v>0</v>
      </c>
      <c r="N139" t="n">
        <v>150000000</v>
      </c>
      <c r="O139" t="n">
        <v>6733316.66</v>
      </c>
      <c r="P139" t="n">
        <v>147295308.09</v>
      </c>
      <c r="Q139" s="487" t="n">
        <v>45342</v>
      </c>
    </row>
    <row r="140">
      <c r="A140" t="inlineStr">
        <is>
          <t>000104460000092</t>
        </is>
      </c>
      <c r="B140" t="inlineStr">
        <is>
          <t>FAVOA Innovation &amp; Investments Group</t>
        </is>
      </c>
      <c r="C140" t="n">
        <v>92</v>
      </c>
      <c r="D140" t="inlineStr">
        <is>
          <t>1050202</t>
        </is>
      </c>
      <c r="E140" t="inlineStr">
        <is>
          <t>D</t>
        </is>
      </c>
      <c r="F140" t="inlineStr">
        <is>
          <t>S</t>
        </is>
      </c>
      <c r="G140" t="n">
        <v>10</v>
      </c>
      <c r="H140" s="487" t="n">
        <v>45376</v>
      </c>
      <c r="I140" t="n">
        <v>30000000</v>
      </c>
      <c r="J140" s="487" t="n">
        <v>45376</v>
      </c>
      <c r="K140" s="487" t="n">
        <v>46105</v>
      </c>
      <c r="L140" t="n">
        <v>3</v>
      </c>
      <c r="M140" t="n">
        <v>3</v>
      </c>
      <c r="N140" t="n">
        <v>30000000</v>
      </c>
      <c r="O140" t="n">
        <v>1062589.86</v>
      </c>
      <c r="P140" t="n">
        <v>26961470.88</v>
      </c>
      <c r="Q140" s="487" t="n">
        <v>45376</v>
      </c>
    </row>
    <row r="141">
      <c r="A141" t="inlineStr">
        <is>
          <t>000104460000093</t>
        </is>
      </c>
      <c r="B141" t="inlineStr">
        <is>
          <t>Difference Construction</t>
        </is>
      </c>
      <c r="C141" t="n">
        <v>92</v>
      </c>
      <c r="D141" t="inlineStr">
        <is>
          <t>1050202</t>
        </is>
      </c>
      <c r="E141" t="inlineStr">
        <is>
          <t>A</t>
        </is>
      </c>
      <c r="F141" t="inlineStr">
        <is>
          <t>S</t>
        </is>
      </c>
      <c r="G141" t="n">
        <v>10</v>
      </c>
      <c r="H141" s="487" t="n">
        <v>45377</v>
      </c>
      <c r="I141" t="n">
        <v>120000000</v>
      </c>
      <c r="J141" s="487" t="n">
        <v>45377</v>
      </c>
      <c r="K141" s="487" t="n">
        <v>46471</v>
      </c>
      <c r="L141" t="n">
        <v>6</v>
      </c>
      <c r="M141" t="n">
        <v>0</v>
      </c>
      <c r="N141" t="n">
        <v>120000000</v>
      </c>
      <c r="O141" t="n">
        <v>4150318.9</v>
      </c>
      <c r="P141" t="n">
        <v>123213189.98</v>
      </c>
      <c r="Q141" s="487" t="n">
        <v>45377</v>
      </c>
    </row>
    <row r="142">
      <c r="A142" t="inlineStr">
        <is>
          <t>000104460000096</t>
        </is>
      </c>
      <c r="B142" t="inlineStr">
        <is>
          <t>7 Arts Holdings Limited</t>
        </is>
      </c>
      <c r="C142" t="n">
        <v>92</v>
      </c>
      <c r="D142" t="inlineStr">
        <is>
          <t>1050202</t>
        </is>
      </c>
      <c r="E142" t="inlineStr">
        <is>
          <t>A</t>
        </is>
      </c>
      <c r="F142" t="inlineStr">
        <is>
          <t>S</t>
        </is>
      </c>
      <c r="G142" t="n">
        <v>10</v>
      </c>
      <c r="H142" s="487" t="n">
        <v>45412</v>
      </c>
      <c r="I142" t="n">
        <v>65000000</v>
      </c>
      <c r="J142" s="487" t="n">
        <v>45411</v>
      </c>
      <c r="K142" s="487" t="n">
        <v>47237</v>
      </c>
      <c r="L142" t="n">
        <v>0</v>
      </c>
      <c r="M142" t="n">
        <v>0</v>
      </c>
      <c r="N142" t="n">
        <v>65000000</v>
      </c>
      <c r="O142" t="n">
        <v>1643055.56</v>
      </c>
      <c r="P142" t="n">
        <v>65552342.4</v>
      </c>
      <c r="Q142" s="487" t="n">
        <v>45411</v>
      </c>
    </row>
    <row r="143">
      <c r="A143" t="inlineStr">
        <is>
          <t>000104460000098</t>
        </is>
      </c>
      <c r="B143" t="inlineStr">
        <is>
          <t>INFRAWORKS DEVELOPMENT LIMITED</t>
        </is>
      </c>
      <c r="C143" t="n">
        <v>92</v>
      </c>
      <c r="D143" t="inlineStr">
        <is>
          <t>1050202</t>
        </is>
      </c>
      <c r="E143" t="inlineStr">
        <is>
          <t>A</t>
        </is>
      </c>
      <c r="F143" t="inlineStr">
        <is>
          <t>S</t>
        </is>
      </c>
      <c r="G143" t="n">
        <v>10</v>
      </c>
      <c r="H143" s="487" t="n">
        <v>45443</v>
      </c>
      <c r="I143" t="n">
        <v>400000000</v>
      </c>
      <c r="J143" s="487" t="n">
        <v>45443</v>
      </c>
      <c r="K143" s="487" t="n">
        <v>46904</v>
      </c>
      <c r="L143" t="n">
        <v>6</v>
      </c>
      <c r="M143" t="n">
        <v>6</v>
      </c>
      <c r="N143" t="n">
        <v>400000000</v>
      </c>
      <c r="O143" t="n">
        <v>6888888.89</v>
      </c>
      <c r="P143" t="n">
        <v>403516713.47</v>
      </c>
      <c r="Q143" s="487" t="n">
        <v>45443</v>
      </c>
    </row>
    <row r="144">
      <c r="A144" t="inlineStr">
        <is>
          <t>000104460000099</t>
        </is>
      </c>
      <c r="B144" t="inlineStr">
        <is>
          <t>BIO ENERGY RESOURCES LIMITED</t>
        </is>
      </c>
      <c r="C144" t="n">
        <v>92</v>
      </c>
      <c r="D144" t="inlineStr">
        <is>
          <t>1050202</t>
        </is>
      </c>
      <c r="E144" t="inlineStr">
        <is>
          <t>D</t>
        </is>
      </c>
      <c r="F144" t="inlineStr">
        <is>
          <t>S</t>
        </is>
      </c>
      <c r="G144" t="n">
        <v>10</v>
      </c>
      <c r="H144" s="487" t="n">
        <v>45448</v>
      </c>
      <c r="I144" t="n">
        <v>108431000</v>
      </c>
      <c r="J144" s="487" t="n">
        <v>45448</v>
      </c>
      <c r="K144" s="487" t="n">
        <v>46909</v>
      </c>
      <c r="L144" t="n">
        <v>0</v>
      </c>
      <c r="M144" t="n">
        <v>0</v>
      </c>
      <c r="N144" t="n">
        <v>108431000</v>
      </c>
      <c r="O144" t="n">
        <v>1693230.38</v>
      </c>
      <c r="P144" t="n">
        <v>112923348.17</v>
      </c>
      <c r="Q144" s="487" t="n">
        <v>45448</v>
      </c>
    </row>
    <row r="145">
      <c r="A145" t="inlineStr">
        <is>
          <t>000104460000100</t>
        </is>
      </c>
      <c r="B145" t="inlineStr">
        <is>
          <t>MCHINJI CIVIL SERVANTS SACCO</t>
        </is>
      </c>
      <c r="C145" t="n">
        <v>92</v>
      </c>
      <c r="D145" t="inlineStr">
        <is>
          <t>1050202</t>
        </is>
      </c>
      <c r="E145" t="inlineStr">
        <is>
          <t>C</t>
        </is>
      </c>
      <c r="F145" t="inlineStr">
        <is>
          <t>S</t>
        </is>
      </c>
      <c r="G145" t="n">
        <v>10</v>
      </c>
      <c r="H145" s="487" t="n">
        <v>45448</v>
      </c>
      <c r="I145" t="n">
        <v>50000000</v>
      </c>
      <c r="J145" s="487" t="n">
        <v>45448</v>
      </c>
      <c r="K145" s="487" t="n">
        <v>46178</v>
      </c>
      <c r="L145" t="n">
        <v>0</v>
      </c>
      <c r="M145" t="n">
        <v>0</v>
      </c>
      <c r="Q145" s="487" t="n">
        <v>45448</v>
      </c>
    </row>
    <row r="146">
      <c r="A146" t="inlineStr">
        <is>
          <t>000104460000101</t>
        </is>
      </c>
      <c r="B146" t="inlineStr">
        <is>
          <t>Ifracon Limited</t>
        </is>
      </c>
      <c r="C146" t="n">
        <v>92</v>
      </c>
      <c r="D146" t="inlineStr">
        <is>
          <t>1050202</t>
        </is>
      </c>
      <c r="E146" t="inlineStr">
        <is>
          <t>C</t>
        </is>
      </c>
      <c r="F146" t="inlineStr">
        <is>
          <t>S</t>
        </is>
      </c>
      <c r="G146" t="n">
        <v>10</v>
      </c>
      <c r="H146" s="487" t="n">
        <v>45425</v>
      </c>
      <c r="I146" t="n">
        <v>627746500</v>
      </c>
      <c r="J146" s="487" t="n">
        <v>45425</v>
      </c>
      <c r="K146" s="487" t="n">
        <v>47615</v>
      </c>
      <c r="L146" t="n">
        <v>0</v>
      </c>
      <c r="M146" t="n">
        <v>0</v>
      </c>
    </row>
    <row r="147">
      <c r="A147" t="inlineStr">
        <is>
          <t>000104460000102</t>
        </is>
      </c>
      <c r="B147" t="inlineStr">
        <is>
          <t>TEST CO. LTD.</t>
        </is>
      </c>
      <c r="C147" t="n">
        <v>92</v>
      </c>
      <c r="D147" t="inlineStr">
        <is>
          <t>1050202</t>
        </is>
      </c>
      <c r="E147" t="inlineStr">
        <is>
          <t>C</t>
        </is>
      </c>
      <c r="F147" t="inlineStr">
        <is>
          <t>S</t>
        </is>
      </c>
      <c r="G147" t="n">
        <v>10</v>
      </c>
      <c r="H147" s="487" t="n">
        <v>45505</v>
      </c>
      <c r="I147" t="n">
        <v>780000</v>
      </c>
      <c r="J147" s="487" t="n">
        <v>45520</v>
      </c>
      <c r="K147" s="487" t="n">
        <v>47711</v>
      </c>
      <c r="L147" t="n">
        <v>0</v>
      </c>
      <c r="M147" t="n">
        <v>0</v>
      </c>
    </row>
    <row r="148">
      <c r="A148" t="inlineStr">
        <is>
          <t>000104460000103</t>
        </is>
      </c>
      <c r="B148" t="inlineStr">
        <is>
          <t>Albertson^s Inc.</t>
        </is>
      </c>
      <c r="C148" t="n">
        <v>92</v>
      </c>
      <c r="D148" t="inlineStr">
        <is>
          <t>1050202</t>
        </is>
      </c>
      <c r="E148" t="inlineStr">
        <is>
          <t>C</t>
        </is>
      </c>
      <c r="F148" t="inlineStr">
        <is>
          <t>S</t>
        </is>
      </c>
      <c r="G148" t="n">
        <v>10</v>
      </c>
      <c r="H148" s="487" t="n">
        <v>45566</v>
      </c>
      <c r="I148" t="n">
        <v>95000000</v>
      </c>
      <c r="J148" s="487" t="n">
        <v>45589</v>
      </c>
      <c r="K148" s="487" t="n">
        <v>46258</v>
      </c>
      <c r="L148" t="n">
        <v>0</v>
      </c>
      <c r="M148" t="n">
        <v>0</v>
      </c>
    </row>
    <row r="149">
      <c r="A149" t="inlineStr">
        <is>
          <t>000104460000104</t>
        </is>
      </c>
      <c r="B149" t="inlineStr">
        <is>
          <t>CHimwemwe mafeni transport</t>
        </is>
      </c>
      <c r="C149" t="n">
        <v>92</v>
      </c>
      <c r="D149" t="inlineStr">
        <is>
          <t>1050202</t>
        </is>
      </c>
      <c r="E149" t="inlineStr">
        <is>
          <t>A</t>
        </is>
      </c>
      <c r="F149" t="inlineStr">
        <is>
          <t>S</t>
        </is>
      </c>
      <c r="G149" t="n">
        <v>10</v>
      </c>
      <c r="H149" s="487" t="n">
        <v>45593</v>
      </c>
      <c r="I149" t="n">
        <v>425000000</v>
      </c>
      <c r="J149" s="487" t="n">
        <v>45594</v>
      </c>
      <c r="K149" s="487" t="n">
        <v>47420</v>
      </c>
      <c r="L149" t="n">
        <v>12</v>
      </c>
      <c r="M149" t="n">
        <v>0</v>
      </c>
      <c r="P149" t="n">
        <v>200235616.44</v>
      </c>
      <c r="Q149" s="487" t="n">
        <v>45594</v>
      </c>
    </row>
    <row r="150">
      <c r="A150" t="inlineStr">
        <is>
          <t>000104460000105</t>
        </is>
      </c>
      <c r="B150" t="inlineStr">
        <is>
          <t>Eye care Centre limited</t>
        </is>
      </c>
      <c r="C150" t="n">
        <v>92</v>
      </c>
      <c r="D150" t="inlineStr">
        <is>
          <t>1050202</t>
        </is>
      </c>
      <c r="E150" t="inlineStr">
        <is>
          <t>A</t>
        </is>
      </c>
      <c r="F150" t="inlineStr">
        <is>
          <t>S</t>
        </is>
      </c>
      <c r="G150" t="n">
        <v>10</v>
      </c>
      <c r="H150" s="487" t="n">
        <v>45596</v>
      </c>
      <c r="I150" t="n">
        <v>100000000</v>
      </c>
      <c r="J150" s="487" t="n">
        <v>45597</v>
      </c>
      <c r="K150" s="487" t="n">
        <v>47066</v>
      </c>
      <c r="L150" t="n">
        <v>0</v>
      </c>
      <c r="M150" t="n">
        <v>0</v>
      </c>
      <c r="Q150" s="487" t="n">
        <v>45610</v>
      </c>
    </row>
    <row r="151">
      <c r="A151" t="inlineStr">
        <is>
          <t>000104460000106</t>
        </is>
      </c>
      <c r="B151" t="inlineStr">
        <is>
          <t>CHimwemwe mafeni transport</t>
        </is>
      </c>
      <c r="C151" t="n">
        <v>92</v>
      </c>
      <c r="D151" t="inlineStr">
        <is>
          <t>1050202</t>
        </is>
      </c>
      <c r="E151" t="inlineStr">
        <is>
          <t>C</t>
        </is>
      </c>
      <c r="F151" t="inlineStr">
        <is>
          <t>S</t>
        </is>
      </c>
      <c r="G151" t="n">
        <v>10</v>
      </c>
      <c r="H151" s="487" t="n">
        <v>45601</v>
      </c>
      <c r="I151" t="n">
        <v>225000000</v>
      </c>
      <c r="J151" s="487" t="n">
        <v>45601</v>
      </c>
      <c r="K151" s="487" t="n">
        <v>47431</v>
      </c>
      <c r="L151" t="n">
        <v>0</v>
      </c>
      <c r="M151" t="n">
        <v>0</v>
      </c>
    </row>
    <row r="152">
      <c r="A152" t="inlineStr">
        <is>
          <t>000104460000107</t>
        </is>
      </c>
      <c r="B152" t="inlineStr">
        <is>
          <t>Premium meat suppliers</t>
        </is>
      </c>
      <c r="C152" t="n">
        <v>92</v>
      </c>
      <c r="D152" t="inlineStr">
        <is>
          <t>1050202</t>
        </is>
      </c>
      <c r="E152" t="inlineStr">
        <is>
          <t>A</t>
        </is>
      </c>
      <c r="F152" t="inlineStr">
        <is>
          <t>S</t>
        </is>
      </c>
      <c r="G152" t="n">
        <v>10</v>
      </c>
      <c r="H152" s="487" t="n">
        <v>45657</v>
      </c>
      <c r="I152" t="n">
        <v>75000000</v>
      </c>
      <c r="J152" s="487" t="n">
        <v>45657</v>
      </c>
      <c r="K152" s="487" t="n">
        <v>46752</v>
      </c>
      <c r="L152" t="n">
        <v>0</v>
      </c>
      <c r="M152" t="n">
        <v>0</v>
      </c>
      <c r="Q152" s="487" t="n">
        <v>45657</v>
      </c>
    </row>
    <row r="153">
      <c r="A153" t="inlineStr">
        <is>
          <t>000104460000108</t>
        </is>
      </c>
      <c r="B153" t="inlineStr">
        <is>
          <t>Doorbell services</t>
        </is>
      </c>
      <c r="C153" t="n">
        <v>92</v>
      </c>
      <c r="D153" t="inlineStr">
        <is>
          <t>1050202</t>
        </is>
      </c>
      <c r="E153" t="inlineStr">
        <is>
          <t>A</t>
        </is>
      </c>
      <c r="F153" t="inlineStr">
        <is>
          <t>S</t>
        </is>
      </c>
      <c r="G153" t="n">
        <v>10</v>
      </c>
      <c r="H153" s="487" t="n">
        <v>45680</v>
      </c>
      <c r="I153" t="n">
        <v>50000000</v>
      </c>
      <c r="J153" s="487" t="n">
        <v>45680</v>
      </c>
      <c r="K153" s="487" t="n">
        <v>46775</v>
      </c>
      <c r="L153" t="n">
        <v>0</v>
      </c>
      <c r="M153" t="n">
        <v>0</v>
      </c>
      <c r="Q153" s="487" t="n">
        <v>45688</v>
      </c>
    </row>
    <row r="154">
      <c r="A154" t="inlineStr">
        <is>
          <t>000104460000109</t>
        </is>
      </c>
      <c r="B154" t="inlineStr">
        <is>
          <t>JVD AGRO LIMITED</t>
        </is>
      </c>
      <c r="C154" t="n">
        <v>92</v>
      </c>
      <c r="D154" t="inlineStr">
        <is>
          <t>1050202</t>
        </is>
      </c>
      <c r="E154" t="inlineStr">
        <is>
          <t>A</t>
        </is>
      </c>
      <c r="F154" t="inlineStr">
        <is>
          <t>S</t>
        </is>
      </c>
      <c r="G154" t="n">
        <v>10</v>
      </c>
      <c r="H154" s="487" t="n">
        <v>45786</v>
      </c>
      <c r="I154" t="n">
        <v>250000000</v>
      </c>
      <c r="J154" s="487" t="n">
        <v>45786</v>
      </c>
      <c r="K154" s="487" t="n">
        <v>47612</v>
      </c>
      <c r="L154" t="n">
        <v>0</v>
      </c>
      <c r="M154" t="n">
        <v>0</v>
      </c>
      <c r="Q154" s="487" t="n">
        <v>45789</v>
      </c>
    </row>
    <row r="155">
      <c r="A155" t="inlineStr">
        <is>
          <t>000104460000110</t>
        </is>
      </c>
      <c r="B155" t="inlineStr">
        <is>
          <t>MTHIRAKUWIRI FARM</t>
        </is>
      </c>
      <c r="C155" t="n">
        <v>92</v>
      </c>
      <c r="D155" t="inlineStr">
        <is>
          <t>1050202</t>
        </is>
      </c>
      <c r="E155" t="inlineStr">
        <is>
          <t>A</t>
        </is>
      </c>
      <c r="F155" t="inlineStr">
        <is>
          <t>S</t>
        </is>
      </c>
      <c r="G155" t="n">
        <v>10</v>
      </c>
      <c r="H155" s="487" t="n">
        <v>45786</v>
      </c>
      <c r="I155" t="n">
        <v>224439600</v>
      </c>
      <c r="J155" s="487" t="n">
        <v>45786</v>
      </c>
      <c r="K155" s="487" t="n">
        <v>47612</v>
      </c>
      <c r="L155" t="n">
        <v>0</v>
      </c>
      <c r="M155" t="n">
        <v>0</v>
      </c>
      <c r="Q155" s="487" t="n">
        <v>45793</v>
      </c>
    </row>
    <row r="156">
      <c r="A156" t="inlineStr">
        <is>
          <t>000104460000111</t>
        </is>
      </c>
      <c r="B156" t="inlineStr">
        <is>
          <t>ECOGEN LIMITED</t>
        </is>
      </c>
      <c r="C156" t="n">
        <v>92</v>
      </c>
      <c r="D156" t="inlineStr">
        <is>
          <t>1050202</t>
        </is>
      </c>
      <c r="E156" t="inlineStr">
        <is>
          <t>A</t>
        </is>
      </c>
      <c r="F156" t="inlineStr">
        <is>
          <t>S</t>
        </is>
      </c>
      <c r="G156" t="n">
        <v>0</v>
      </c>
      <c r="H156" s="487" t="n">
        <v>45803</v>
      </c>
      <c r="I156" t="n">
        <v>105060000</v>
      </c>
      <c r="J156" s="487" t="n">
        <v>45800</v>
      </c>
      <c r="K156" s="487" t="n">
        <v>46896</v>
      </c>
      <c r="L156" t="n">
        <v>0</v>
      </c>
      <c r="M156" t="n">
        <v>0</v>
      </c>
      <c r="Q156" s="487" t="n">
        <v>45803</v>
      </c>
    </row>
    <row r="157">
      <c r="A157" t="inlineStr">
        <is>
          <t>000104460000112</t>
        </is>
      </c>
      <c r="B157" t="inlineStr">
        <is>
          <t>Elmaw Lodge</t>
        </is>
      </c>
      <c r="C157" t="n">
        <v>92</v>
      </c>
      <c r="D157" t="inlineStr">
        <is>
          <t>1050202</t>
        </is>
      </c>
      <c r="E157" t="inlineStr">
        <is>
          <t>A</t>
        </is>
      </c>
      <c r="F157" t="inlineStr">
        <is>
          <t>S</t>
        </is>
      </c>
      <c r="G157" t="n">
        <v>10</v>
      </c>
      <c r="H157" s="487" t="n">
        <v>45855</v>
      </c>
      <c r="I157" t="n">
        <v>50000000</v>
      </c>
      <c r="J157" s="487" t="n">
        <v>45855</v>
      </c>
      <c r="K157" s="487" t="n">
        <v>46585</v>
      </c>
      <c r="L157" t="n">
        <v>0</v>
      </c>
      <c r="M157" t="n">
        <v>0</v>
      </c>
      <c r="Q157" s="487" t="n">
        <v>45861</v>
      </c>
    </row>
    <row r="158">
      <c r="A158" t="inlineStr">
        <is>
          <t>000104460000113</t>
        </is>
      </c>
      <c r="B158" t="inlineStr">
        <is>
          <t>First Wave Limited-Country Cottages</t>
        </is>
      </c>
      <c r="C158" t="n">
        <v>92</v>
      </c>
      <c r="D158" t="inlineStr">
        <is>
          <t>1050202</t>
        </is>
      </c>
      <c r="E158" t="inlineStr">
        <is>
          <t>A</t>
        </is>
      </c>
      <c r="F158" t="inlineStr">
        <is>
          <t>S</t>
        </is>
      </c>
      <c r="G158" t="n">
        <v>10</v>
      </c>
      <c r="H158" s="487" t="n">
        <v>45991</v>
      </c>
      <c r="I158" t="n">
        <v>150000000</v>
      </c>
      <c r="J158" s="487" t="n">
        <v>45991</v>
      </c>
      <c r="K158" s="487" t="n">
        <v>47817</v>
      </c>
      <c r="L158" t="n">
        <v>0</v>
      </c>
      <c r="M158" t="n">
        <v>0</v>
      </c>
      <c r="Q158" s="487" t="n">
        <v>45999</v>
      </c>
    </row>
    <row r="159">
      <c r="A159" t="inlineStr">
        <is>
          <t>000104460000114</t>
        </is>
      </c>
      <c r="B159" t="inlineStr">
        <is>
          <t>NAMULERI FINANCE LIMITED</t>
        </is>
      </c>
      <c r="C159" t="n">
        <v>92</v>
      </c>
      <c r="D159" t="inlineStr">
        <is>
          <t>1050202</t>
        </is>
      </c>
      <c r="E159" t="inlineStr">
        <is>
          <t>A</t>
        </is>
      </c>
      <c r="F159" t="inlineStr">
        <is>
          <t>S</t>
        </is>
      </c>
      <c r="G159" t="n">
        <v>10</v>
      </c>
      <c r="H159" s="487" t="n">
        <v>45991</v>
      </c>
      <c r="I159" t="n">
        <v>250000000</v>
      </c>
      <c r="J159" s="487" t="n">
        <v>45991</v>
      </c>
      <c r="K159" s="487" t="n">
        <v>47087</v>
      </c>
      <c r="L159" t="n">
        <v>0</v>
      </c>
      <c r="M159" t="n">
        <v>0</v>
      </c>
      <c r="Q159" s="487" t="n">
        <v>46009</v>
      </c>
    </row>
    <row r="160">
      <c r="A160" t="inlineStr">
        <is>
          <t>000104460000115</t>
        </is>
      </c>
      <c r="B160" t="inlineStr">
        <is>
          <t>CHITUKUKO SACCO</t>
        </is>
      </c>
      <c r="C160" t="n">
        <v>92</v>
      </c>
      <c r="D160" t="inlineStr">
        <is>
          <t>1050202</t>
        </is>
      </c>
      <c r="E160" t="inlineStr">
        <is>
          <t>A</t>
        </is>
      </c>
      <c r="F160" t="inlineStr">
        <is>
          <t>S</t>
        </is>
      </c>
      <c r="G160" t="n">
        <v>10</v>
      </c>
      <c r="H160" s="487" t="n">
        <v>46003</v>
      </c>
      <c r="I160" t="n">
        <v>150000000</v>
      </c>
      <c r="J160" s="487" t="n">
        <v>46003</v>
      </c>
      <c r="K160" s="487" t="n">
        <v>46733</v>
      </c>
      <c r="L160" t="n">
        <v>0</v>
      </c>
      <c r="M160" t="n">
        <v>0</v>
      </c>
      <c r="Q160" s="487" t="n">
        <v>46009</v>
      </c>
    </row>
    <row r="161">
      <c r="A161" t="inlineStr">
        <is>
          <t>000104460000116</t>
        </is>
      </c>
      <c r="B161" t="inlineStr">
        <is>
          <t>Microloan Foundation Limited</t>
        </is>
      </c>
      <c r="C161" t="n">
        <v>92</v>
      </c>
      <c r="D161" t="inlineStr">
        <is>
          <t>1050202</t>
        </is>
      </c>
      <c r="E161" t="inlineStr">
        <is>
          <t>A</t>
        </is>
      </c>
      <c r="F161" t="inlineStr">
        <is>
          <t>S</t>
        </is>
      </c>
      <c r="G161" t="n">
        <v>10</v>
      </c>
      <c r="H161" s="487" t="n">
        <v>46007</v>
      </c>
      <c r="I161" t="n">
        <v>400000000</v>
      </c>
      <c r="J161" s="487" t="n">
        <v>46007</v>
      </c>
      <c r="K161" s="487" t="n">
        <v>46737</v>
      </c>
      <c r="L161" t="n">
        <v>0</v>
      </c>
      <c r="M161" t="n">
        <v>0</v>
      </c>
      <c r="Q161" s="487" t="n">
        <v>46009</v>
      </c>
    </row>
    <row r="162">
      <c r="A162" t="inlineStr">
        <is>
          <t>000104460000117</t>
        </is>
      </c>
      <c r="B162" t="inlineStr">
        <is>
          <t>Kwithu Producers and marketing cooperative limited</t>
        </is>
      </c>
      <c r="C162" t="n">
        <v>92</v>
      </c>
      <c r="D162" t="inlineStr">
        <is>
          <t>1050202</t>
        </is>
      </c>
      <c r="E162" t="inlineStr">
        <is>
          <t>A</t>
        </is>
      </c>
      <c r="F162" t="inlineStr">
        <is>
          <t>S</t>
        </is>
      </c>
      <c r="G162" t="n">
        <v>10</v>
      </c>
      <c r="H162" s="487" t="n">
        <v>46008</v>
      </c>
      <c r="I162" t="n">
        <v>210370500</v>
      </c>
      <c r="J162" s="487" t="n">
        <v>46008</v>
      </c>
      <c r="K162" s="487" t="n">
        <v>47104</v>
      </c>
      <c r="L162" t="n">
        <v>0</v>
      </c>
      <c r="M162" t="n">
        <v>0</v>
      </c>
      <c r="Q162" s="487" t="n">
        <v>46010</v>
      </c>
    </row>
    <row r="163">
      <c r="A163" t="inlineStr">
        <is>
          <t>000104460000118</t>
        </is>
      </c>
      <c r="B163" t="inlineStr">
        <is>
          <t xml:space="preserve">agwenda investments limited </t>
        </is>
      </c>
      <c r="C163" t="n">
        <v>92</v>
      </c>
      <c r="D163" t="inlineStr">
        <is>
          <t>1050202</t>
        </is>
      </c>
      <c r="E163" t="inlineStr">
        <is>
          <t>A</t>
        </is>
      </c>
      <c r="F163" t="inlineStr">
        <is>
          <t>S</t>
        </is>
      </c>
      <c r="G163" t="n">
        <v>10</v>
      </c>
      <c r="H163" s="487" t="n">
        <v>46014</v>
      </c>
      <c r="I163" t="n">
        <v>50000000</v>
      </c>
      <c r="J163" s="487" t="n">
        <v>46014</v>
      </c>
      <c r="K163" s="487" t="n">
        <v>47110</v>
      </c>
      <c r="L163" t="n">
        <v>0</v>
      </c>
      <c r="M163" t="n">
        <v>0</v>
      </c>
      <c r="Q163" s="487" t="n">
        <v>46020</v>
      </c>
    </row>
    <row r="164">
      <c r="A164" t="inlineStr">
        <is>
          <t>000104460000119</t>
        </is>
      </c>
      <c r="B164" t="inlineStr">
        <is>
          <t>HOUSE OF MEN</t>
        </is>
      </c>
      <c r="C164" t="n">
        <v>92</v>
      </c>
      <c r="D164" t="inlineStr">
        <is>
          <t>1050202</t>
        </is>
      </c>
      <c r="E164" t="inlineStr">
        <is>
          <t>A</t>
        </is>
      </c>
      <c r="F164" t="inlineStr">
        <is>
          <t>S</t>
        </is>
      </c>
      <c r="G164" t="n">
        <v>10</v>
      </c>
      <c r="H164" s="487" t="n">
        <v>46022</v>
      </c>
      <c r="I164" t="n">
        <v>50000000</v>
      </c>
      <c r="J164" s="487" t="n">
        <v>46022</v>
      </c>
      <c r="K164" s="487" t="n">
        <v>47118</v>
      </c>
      <c r="L164" t="n">
        <v>3</v>
      </c>
      <c r="M164" t="n">
        <v>3</v>
      </c>
      <c r="Q164" s="487" t="n">
        <v>46034</v>
      </c>
    </row>
    <row r="165">
      <c r="A165" t="inlineStr">
        <is>
          <t>000104460000120</t>
        </is>
      </c>
      <c r="B165" t="inlineStr">
        <is>
          <t>JVD AGRO LIMITED</t>
        </is>
      </c>
      <c r="C165" t="n">
        <v>92</v>
      </c>
      <c r="D165" t="inlineStr">
        <is>
          <t>1050202</t>
        </is>
      </c>
      <c r="E165" t="inlineStr">
        <is>
          <t>A</t>
        </is>
      </c>
      <c r="F165" t="inlineStr">
        <is>
          <t>S</t>
        </is>
      </c>
      <c r="G165" t="n">
        <v>10</v>
      </c>
      <c r="H165" s="487" t="n">
        <v>46111</v>
      </c>
      <c r="I165" t="n">
        <v>570808129.08</v>
      </c>
      <c r="J165" s="487" t="n">
        <v>46111</v>
      </c>
      <c r="K165" s="487" t="n">
        <v>47937</v>
      </c>
      <c r="L165" t="n">
        <v>0</v>
      </c>
      <c r="M165" t="n">
        <v>0</v>
      </c>
      <c r="Q165" s="487" t="n">
        <v>46112</v>
      </c>
    </row>
    <row r="166">
      <c r="A166" t="inlineStr">
        <is>
          <t>000104470000004</t>
        </is>
      </c>
      <c r="B166" t="inlineStr">
        <is>
          <t>NASCOMEX Limited</t>
        </is>
      </c>
      <c r="C166" t="n">
        <v>94</v>
      </c>
      <c r="D166" t="inlineStr">
        <is>
          <t>3065</t>
        </is>
      </c>
      <c r="E166" t="inlineStr">
        <is>
          <t>A</t>
        </is>
      </c>
      <c r="F166" t="inlineStr">
        <is>
          <t>S</t>
        </is>
      </c>
      <c r="G166" t="n">
        <v>19</v>
      </c>
      <c r="H166" s="487" t="n">
        <v>45376</v>
      </c>
      <c r="I166" t="n">
        <v>2500000000</v>
      </c>
      <c r="J166" s="487" t="n">
        <v>45376</v>
      </c>
      <c r="K166" s="487" t="n">
        <v>49027</v>
      </c>
      <c r="L166" t="n">
        <v>0</v>
      </c>
      <c r="M166" t="n">
        <v>0</v>
      </c>
      <c r="Q166" s="487" t="n">
        <v>45376</v>
      </c>
    </row>
    <row r="167">
      <c r="A167" t="inlineStr">
        <is>
          <t>000105810000001</t>
        </is>
      </c>
      <c r="B167" t="inlineStr">
        <is>
          <t>Dreyer^s Grand Ice Cream, Inc.</t>
        </is>
      </c>
      <c r="C167" t="n">
        <v>140</v>
      </c>
      <c r="D167" t="inlineStr">
        <is>
          <t>1050203</t>
        </is>
      </c>
      <c r="E167" t="inlineStr">
        <is>
          <t>C</t>
        </is>
      </c>
      <c r="F167" t="inlineStr">
        <is>
          <t>S</t>
        </is>
      </c>
      <c r="G167" t="n">
        <v>19</v>
      </c>
      <c r="H167" s="487" t="n">
        <v>45566</v>
      </c>
      <c r="I167" t="n">
        <v>45000000</v>
      </c>
      <c r="J167" s="487" t="n">
        <v>45589</v>
      </c>
      <c r="K167" s="487" t="n">
        <v>46958</v>
      </c>
      <c r="L167" t="n">
        <v>0</v>
      </c>
      <c r="M167" t="n">
        <v>0</v>
      </c>
    </row>
    <row r="168">
      <c r="A168" t="inlineStr">
        <is>
          <t>000105810000002</t>
        </is>
      </c>
      <c r="B168" t="inlineStr">
        <is>
          <t>Premium meat suppliers</t>
        </is>
      </c>
      <c r="C168" t="n">
        <v>140</v>
      </c>
      <c r="D168" t="inlineStr">
        <is>
          <t>1050203</t>
        </is>
      </c>
      <c r="E168" t="inlineStr">
        <is>
          <t>C</t>
        </is>
      </c>
      <c r="F168" t="inlineStr">
        <is>
          <t>S</t>
        </is>
      </c>
      <c r="G168" t="n">
        <v>19</v>
      </c>
      <c r="H168" s="487" t="n">
        <v>45645</v>
      </c>
      <c r="I168" t="n">
        <v>75000000</v>
      </c>
      <c r="J168" s="487" t="n">
        <v>45645</v>
      </c>
      <c r="K168" s="487" t="n">
        <v>46740</v>
      </c>
      <c r="L168" t="n">
        <v>0</v>
      </c>
      <c r="M168" t="n">
        <v>0</v>
      </c>
    </row>
    <row r="169">
      <c r="A169" t="inlineStr">
        <is>
          <t>000105810000003</t>
        </is>
      </c>
      <c r="B169" t="inlineStr">
        <is>
          <t>ECOGEN LIMITED</t>
        </is>
      </c>
      <c r="C169" t="n">
        <v>140</v>
      </c>
      <c r="D169" t="inlineStr">
        <is>
          <t>1050203</t>
        </is>
      </c>
      <c r="E169" t="inlineStr">
        <is>
          <t>A</t>
        </is>
      </c>
      <c r="F169" t="inlineStr">
        <is>
          <t>S</t>
        </is>
      </c>
      <c r="G169" t="n">
        <v>10</v>
      </c>
      <c r="H169" s="487" t="n">
        <v>45793</v>
      </c>
      <c r="I169" t="n">
        <v>100000000</v>
      </c>
      <c r="J169" s="487" t="n">
        <v>45793</v>
      </c>
      <c r="K169" s="487" t="n">
        <v>46889</v>
      </c>
      <c r="L169" t="n">
        <v>0</v>
      </c>
      <c r="M169" t="n">
        <v>0</v>
      </c>
    </row>
    <row r="170">
      <c r="A170" t="inlineStr">
        <is>
          <t>000105810000004</t>
        </is>
      </c>
      <c r="B170" t="inlineStr">
        <is>
          <t>ECOGEN LIMITED</t>
        </is>
      </c>
      <c r="C170" t="n">
        <v>140</v>
      </c>
      <c r="D170" t="inlineStr">
        <is>
          <t>1050203</t>
        </is>
      </c>
      <c r="E170" t="inlineStr">
        <is>
          <t>A</t>
        </is>
      </c>
      <c r="F170" t="inlineStr">
        <is>
          <t>S</t>
        </is>
      </c>
      <c r="G170" t="n">
        <v>19</v>
      </c>
      <c r="H170" s="487" t="n">
        <v>45799</v>
      </c>
      <c r="I170" t="n">
        <v>105060000</v>
      </c>
      <c r="J170" s="487" t="n">
        <v>45799</v>
      </c>
      <c r="K170" s="487" t="n">
        <v>46895</v>
      </c>
      <c r="L170" t="n">
        <v>0</v>
      </c>
      <c r="M170" t="n">
        <v>0</v>
      </c>
    </row>
    <row r="171">
      <c r="A171" t="inlineStr">
        <is>
          <t>000106050000001</t>
        </is>
      </c>
      <c r="B171" t="inlineStr">
        <is>
          <t>FOCUS TRADING</t>
        </is>
      </c>
      <c r="C171" t="n">
        <v>142</v>
      </c>
      <c r="D171" t="inlineStr">
        <is>
          <t>1050401</t>
        </is>
      </c>
      <c r="E171" t="inlineStr">
        <is>
          <t>A</t>
        </is>
      </c>
      <c r="F171" t="inlineStr">
        <is>
          <t>S</t>
        </is>
      </c>
      <c r="G171" t="n">
        <v>34.45</v>
      </c>
      <c r="H171" s="487" t="n">
        <v>45968</v>
      </c>
      <c r="I171" t="n">
        <v>350000000</v>
      </c>
      <c r="J171" s="487" t="n">
        <v>45968</v>
      </c>
      <c r="K171" s="487" t="n">
        <v>47429</v>
      </c>
      <c r="L171" t="n">
        <v>0</v>
      </c>
      <c r="M171" t="n">
        <v>0</v>
      </c>
      <c r="Q171" s="487" t="n">
        <v>45968</v>
      </c>
    </row>
    <row r="172">
      <c r="A172" t="inlineStr">
        <is>
          <t>000106050000002</t>
        </is>
      </c>
      <c r="B172" t="inlineStr">
        <is>
          <t>CHIKWENDENI GENERAL DEALERS</t>
        </is>
      </c>
      <c r="C172" t="n">
        <v>141</v>
      </c>
      <c r="D172" t="inlineStr">
        <is>
          <t>1050401</t>
        </is>
      </c>
      <c r="E172" t="inlineStr">
        <is>
          <t>A</t>
        </is>
      </c>
      <c r="F172" t="inlineStr">
        <is>
          <t>S</t>
        </is>
      </c>
      <c r="G172" t="n">
        <v>34.95</v>
      </c>
      <c r="H172" s="487" t="n">
        <v>45978</v>
      </c>
      <c r="I172" t="n">
        <v>118000000</v>
      </c>
      <c r="J172" s="487" t="n">
        <v>45978</v>
      </c>
      <c r="K172" s="487" t="n">
        <v>46708</v>
      </c>
      <c r="L172" t="n">
        <v>0</v>
      </c>
      <c r="M172" t="n">
        <v>0</v>
      </c>
      <c r="Q172" s="487" t="n">
        <v>45978</v>
      </c>
    </row>
    <row r="173">
      <c r="A173" t="inlineStr">
        <is>
          <t>000106050000003</t>
        </is>
      </c>
      <c r="B173" t="inlineStr">
        <is>
          <t>The Food Empire Limited</t>
        </is>
      </c>
      <c r="C173" t="n">
        <v>142</v>
      </c>
      <c r="D173" t="inlineStr">
        <is>
          <t>1050401</t>
        </is>
      </c>
      <c r="E173" t="inlineStr">
        <is>
          <t>A</t>
        </is>
      </c>
      <c r="F173" t="inlineStr">
        <is>
          <t>S</t>
        </is>
      </c>
      <c r="G173" t="n">
        <v>35</v>
      </c>
      <c r="H173" s="487" t="n">
        <v>45985</v>
      </c>
      <c r="I173" t="n">
        <v>1045790600</v>
      </c>
      <c r="J173" s="487" t="n">
        <v>45985</v>
      </c>
      <c r="K173" s="487" t="n">
        <v>47081</v>
      </c>
      <c r="L173" t="n">
        <v>0</v>
      </c>
      <c r="M173" t="n">
        <v>0</v>
      </c>
      <c r="Q173" s="487" t="n">
        <v>45985</v>
      </c>
    </row>
    <row r="174">
      <c r="A174" t="inlineStr">
        <is>
          <t>000106050000004</t>
        </is>
      </c>
      <c r="B174" t="inlineStr">
        <is>
          <t>PROMENADE MEDICAL CENTRE</t>
        </is>
      </c>
      <c r="C174" t="n">
        <v>143</v>
      </c>
      <c r="D174" t="inlineStr">
        <is>
          <t>1050401</t>
        </is>
      </c>
      <c r="E174" t="inlineStr">
        <is>
          <t>A</t>
        </is>
      </c>
      <c r="F174" t="inlineStr">
        <is>
          <t>S</t>
        </is>
      </c>
      <c r="G174" t="n">
        <v>34.45</v>
      </c>
      <c r="H174" s="487" t="n">
        <v>45974</v>
      </c>
      <c r="I174" t="n">
        <v>470795000</v>
      </c>
      <c r="J174" s="487" t="n">
        <v>45991</v>
      </c>
      <c r="K174" s="487" t="n">
        <v>47817</v>
      </c>
      <c r="L174" t="n">
        <v>0</v>
      </c>
      <c r="M174" t="n">
        <v>0</v>
      </c>
      <c r="Q174" s="487" t="n">
        <v>45974</v>
      </c>
    </row>
    <row r="175">
      <c r="A175" t="inlineStr">
        <is>
          <t>000106050000005</t>
        </is>
      </c>
      <c r="B175" t="inlineStr">
        <is>
          <t>Wallie Farms</t>
        </is>
      </c>
      <c r="C175" t="n">
        <v>143</v>
      </c>
      <c r="D175" t="inlineStr">
        <is>
          <t>1050401</t>
        </is>
      </c>
      <c r="E175" t="inlineStr">
        <is>
          <t>A</t>
        </is>
      </c>
      <c r="F175" t="inlineStr">
        <is>
          <t>S</t>
        </is>
      </c>
      <c r="G175" t="n">
        <v>35.05</v>
      </c>
      <c r="H175" s="487" t="n">
        <v>46009</v>
      </c>
      <c r="I175" t="n">
        <v>300000000</v>
      </c>
      <c r="J175" s="487" t="n">
        <v>46009</v>
      </c>
      <c r="K175" s="487" t="n">
        <v>47835</v>
      </c>
      <c r="L175" t="n">
        <v>0</v>
      </c>
      <c r="M175" t="n">
        <v>0</v>
      </c>
      <c r="Q175" s="487" t="n">
        <v>46014</v>
      </c>
    </row>
    <row r="176">
      <c r="A176" t="inlineStr">
        <is>
          <t>000106050000006</t>
        </is>
      </c>
      <c r="B176" t="inlineStr">
        <is>
          <t>MALAWI POLICE SACCO</t>
        </is>
      </c>
      <c r="C176" t="n">
        <v>141</v>
      </c>
      <c r="D176" t="inlineStr">
        <is>
          <t>1050401</t>
        </is>
      </c>
      <c r="E176" t="inlineStr">
        <is>
          <t>A</t>
        </is>
      </c>
      <c r="F176" t="inlineStr">
        <is>
          <t>S</t>
        </is>
      </c>
      <c r="G176" t="n">
        <v>34.75</v>
      </c>
      <c r="H176" s="487" t="n">
        <v>46038</v>
      </c>
      <c r="I176" t="n">
        <v>3139259000</v>
      </c>
      <c r="J176" s="487" t="n">
        <v>46038</v>
      </c>
      <c r="K176" s="487" t="n">
        <v>46768</v>
      </c>
      <c r="L176" t="n">
        <v>0</v>
      </c>
      <c r="M176" t="n">
        <v>0</v>
      </c>
      <c r="Q176" s="487" t="n">
        <v>46041</v>
      </c>
    </row>
    <row r="177">
      <c r="A177" t="inlineStr">
        <is>
          <t>000106050000007</t>
        </is>
      </c>
      <c r="B177" t="inlineStr">
        <is>
          <t>Milele Agroprocessing Limited</t>
        </is>
      </c>
      <c r="C177" t="n">
        <v>143</v>
      </c>
      <c r="D177" t="inlineStr">
        <is>
          <t>1050401</t>
        </is>
      </c>
      <c r="E177" t="inlineStr">
        <is>
          <t>A</t>
        </is>
      </c>
      <c r="F177" t="inlineStr">
        <is>
          <t>S</t>
        </is>
      </c>
      <c r="G177" t="n">
        <v>34.75</v>
      </c>
      <c r="H177" s="487" t="n">
        <v>46097</v>
      </c>
      <c r="I177" t="n">
        <v>1347651030</v>
      </c>
      <c r="J177" s="487" t="n">
        <v>46097</v>
      </c>
      <c r="K177" s="487" t="n">
        <v>47923</v>
      </c>
      <c r="L177" t="n">
        <v>0</v>
      </c>
      <c r="M177" t="n">
        <v>0</v>
      </c>
      <c r="Q177" s="487" t="n">
        <v>46106</v>
      </c>
    </row>
    <row r="178">
      <c r="A178" t="inlineStr">
        <is>
          <t>000106050000008</t>
        </is>
      </c>
      <c r="B178" t="inlineStr">
        <is>
          <t>SUNVIEW HOTEL LTD</t>
        </is>
      </c>
      <c r="C178" t="n">
        <v>143</v>
      </c>
      <c r="D178" t="inlineStr">
        <is>
          <t>1050401</t>
        </is>
      </c>
      <c r="E178" t="inlineStr">
        <is>
          <t>A</t>
        </is>
      </c>
      <c r="F178" t="inlineStr">
        <is>
          <t>S</t>
        </is>
      </c>
      <c r="G178" t="n">
        <v>34.5</v>
      </c>
      <c r="H178" s="487" t="n">
        <v>46132</v>
      </c>
      <c r="I178" t="n">
        <v>628340000</v>
      </c>
      <c r="J178" s="487" t="n">
        <v>46132</v>
      </c>
      <c r="K178" s="487" t="n">
        <v>47958</v>
      </c>
      <c r="L178" t="n">
        <v>0</v>
      </c>
      <c r="M178" t="n">
        <v>0</v>
      </c>
      <c r="Q178" s="487" t="n">
        <v>46135</v>
      </c>
    </row>
    <row r="179">
      <c r="A179" t="inlineStr">
        <is>
          <t>000106050000009</t>
        </is>
      </c>
      <c r="B179" t="inlineStr">
        <is>
          <t>Lake Malawi Aquaculture Limited</t>
        </is>
      </c>
      <c r="C179" t="n">
        <v>144</v>
      </c>
      <c r="D179" t="inlineStr">
        <is>
          <t>1050401</t>
        </is>
      </c>
      <c r="E179" t="inlineStr">
        <is>
          <t>A</t>
        </is>
      </c>
      <c r="F179" t="inlineStr">
        <is>
          <t>S</t>
        </is>
      </c>
      <c r="G179" t="n">
        <v>34.75</v>
      </c>
      <c r="H179" s="487" t="n">
        <v>46132</v>
      </c>
      <c r="I179" t="n">
        <v>1055473655</v>
      </c>
      <c r="J179" s="487" t="n">
        <v>46132</v>
      </c>
      <c r="K179" s="487" t="n">
        <v>48689</v>
      </c>
      <c r="L179" t="n">
        <v>0</v>
      </c>
      <c r="M179" t="n">
        <v>0</v>
      </c>
      <c r="Q179" s="487" t="n">
        <v>46140</v>
      </c>
    </row>
    <row r="180">
      <c r="A180" t="inlineStr">
        <is>
          <t>000106050000010</t>
        </is>
      </c>
      <c r="B180" t="inlineStr">
        <is>
          <t>KWACHA Boutique HOTEL</t>
        </is>
      </c>
      <c r="C180" t="n">
        <v>144</v>
      </c>
      <c r="D180" t="inlineStr">
        <is>
          <t>1050401</t>
        </is>
      </c>
      <c r="E180" t="inlineStr">
        <is>
          <t>A</t>
        </is>
      </c>
      <c r="F180" t="inlineStr">
        <is>
          <t>S</t>
        </is>
      </c>
      <c r="G180" t="n">
        <v>35.5</v>
      </c>
      <c r="H180" s="487" t="n">
        <v>46155</v>
      </c>
      <c r="I180" t="n">
        <v>1500000000</v>
      </c>
      <c r="J180" s="487" t="n">
        <v>46155</v>
      </c>
      <c r="K180" s="487" t="n">
        <v>48712</v>
      </c>
      <c r="L180" t="n">
        <v>0</v>
      </c>
      <c r="M180" t="n">
        <v>0</v>
      </c>
      <c r="Q180" s="487" t="n">
        <v>46162</v>
      </c>
    </row>
    <row r="181">
      <c r="A181" t="inlineStr">
        <is>
          <t>000106050000011</t>
        </is>
      </c>
      <c r="B181" t="inlineStr">
        <is>
          <t>GREEN IMPACT TECHNOLOGIES LIMITED</t>
        </is>
      </c>
      <c r="C181" t="n">
        <v>143</v>
      </c>
      <c r="D181" t="inlineStr">
        <is>
          <t>1050401</t>
        </is>
      </c>
      <c r="E181" t="inlineStr">
        <is>
          <t>A</t>
        </is>
      </c>
      <c r="F181" t="inlineStr">
        <is>
          <t>S</t>
        </is>
      </c>
      <c r="G181" t="n">
        <v>34.5</v>
      </c>
      <c r="H181" s="487" t="n">
        <v>46157</v>
      </c>
      <c r="I181" t="n">
        <v>550000000</v>
      </c>
      <c r="J181" s="487" t="n">
        <v>46157</v>
      </c>
      <c r="K181" s="487" t="n">
        <v>47983</v>
      </c>
      <c r="L181" t="n">
        <v>6</v>
      </c>
      <c r="M181" t="n">
        <v>0</v>
      </c>
      <c r="Q181" s="487" t="n">
        <v>46175</v>
      </c>
    </row>
    <row r="182">
      <c r="A182" t="inlineStr">
        <is>
          <t>000106050000012</t>
        </is>
      </c>
      <c r="B182" t="inlineStr">
        <is>
          <t>MUDI SACCO LIMITED</t>
        </is>
      </c>
      <c r="C182" t="n">
        <v>142</v>
      </c>
      <c r="D182" t="inlineStr">
        <is>
          <t>1050401</t>
        </is>
      </c>
      <c r="E182" t="inlineStr">
        <is>
          <t>D</t>
        </is>
      </c>
      <c r="F182" t="inlineStr">
        <is>
          <t>S</t>
        </is>
      </c>
      <c r="G182" t="n">
        <v>34.5</v>
      </c>
      <c r="H182" s="487" t="n">
        <v>46161</v>
      </c>
      <c r="I182" t="n">
        <v>600000000</v>
      </c>
      <c r="J182" s="487" t="n">
        <v>46161</v>
      </c>
      <c r="K182" s="487" t="n">
        <v>47257</v>
      </c>
      <c r="L182" t="n">
        <v>6</v>
      </c>
      <c r="M182" t="n">
        <v>0</v>
      </c>
      <c r="Q182" s="487" t="n">
        <v>46175</v>
      </c>
    </row>
    <row r="183">
      <c r="A183" t="inlineStr">
        <is>
          <t>000106050000013</t>
        </is>
      </c>
      <c r="B183" t="inlineStr">
        <is>
          <t>KINGS FOUNDATION SCHOOLS LTD</t>
        </is>
      </c>
      <c r="C183" t="n">
        <v>143</v>
      </c>
      <c r="D183" t="inlineStr">
        <is>
          <t>1050401</t>
        </is>
      </c>
      <c r="E183" t="inlineStr">
        <is>
          <t>A</t>
        </is>
      </c>
      <c r="F183" t="inlineStr">
        <is>
          <t>S</t>
        </is>
      </c>
      <c r="G183" t="n">
        <v>34.95</v>
      </c>
      <c r="H183" s="487" t="n">
        <v>46202</v>
      </c>
      <c r="I183" t="n">
        <v>854000000</v>
      </c>
      <c r="J183" s="487" t="n">
        <v>46202</v>
      </c>
      <c r="K183" s="487" t="n">
        <v>48028</v>
      </c>
      <c r="L183" t="n">
        <v>9</v>
      </c>
      <c r="M183" t="n">
        <v>0</v>
      </c>
      <c r="Q183" s="487" t="n">
        <v>46204</v>
      </c>
    </row>
    <row r="184">
      <c r="A184" t="inlineStr">
        <is>
          <t>000106050000014</t>
        </is>
      </c>
      <c r="B184" t="inlineStr">
        <is>
          <t>Mphunzitsi SACCO</t>
        </is>
      </c>
      <c r="C184" t="n">
        <v>141</v>
      </c>
      <c r="D184" t="inlineStr">
        <is>
          <t>1050401</t>
        </is>
      </c>
      <c r="E184" t="inlineStr">
        <is>
          <t>A</t>
        </is>
      </c>
      <c r="F184" t="inlineStr">
        <is>
          <t>S</t>
        </is>
      </c>
      <c r="G184" t="n">
        <v>30</v>
      </c>
      <c r="H184" s="487" t="n">
        <v>46235</v>
      </c>
      <c r="I184" t="n">
        <v>1560150000</v>
      </c>
      <c r="J184" s="487" t="n">
        <v>46235</v>
      </c>
      <c r="K184" s="487" t="n">
        <v>46966</v>
      </c>
      <c r="L184" t="n">
        <v>3</v>
      </c>
      <c r="M184" t="n">
        <v>0</v>
      </c>
      <c r="Q184" s="487" t="n">
        <v>46251</v>
      </c>
    </row>
    <row r="185">
      <c r="A185" t="inlineStr">
        <is>
          <t>000106050000015</t>
        </is>
      </c>
      <c r="B185" t="inlineStr">
        <is>
          <t xml:space="preserve">ACON INDUSTRIES </t>
        </is>
      </c>
      <c r="C185" t="n">
        <v>143</v>
      </c>
      <c r="D185" t="inlineStr">
        <is>
          <t>1050401</t>
        </is>
      </c>
      <c r="E185" t="inlineStr">
        <is>
          <t>A</t>
        </is>
      </c>
      <c r="F185" t="inlineStr">
        <is>
          <t>S</t>
        </is>
      </c>
      <c r="G185" t="n">
        <v>33</v>
      </c>
      <c r="H185" s="487" t="n">
        <v>46262</v>
      </c>
      <c r="I185" t="n">
        <v>1000000000</v>
      </c>
      <c r="J185" s="487" t="n">
        <v>46261</v>
      </c>
      <c r="K185" s="487" t="n">
        <v>48087</v>
      </c>
      <c r="L185" t="n">
        <v>12</v>
      </c>
      <c r="M185" t="n">
        <v>0</v>
      </c>
      <c r="Q185" s="487" t="n">
        <v>46265</v>
      </c>
    </row>
    <row r="187">
      <c r="A187" t="inlineStr">
        <is>
          <t>Source: E-Banker extracts received 7 October 2026 (P1_01 ledger, P1_02 account master, P1_03 loan master, P2_09 balance history, P3_12 disbursement schedules). Values, not formulas: they come from the system, not from this workbook.</t>
        </is>
      </c>
    </row>
  </sheetData>
  <pageMargins left="0.75" right="0.75" top="1" bottom="1" header="0.5" footer="0.5"/>
</worksheet>
</file>

<file path=xl/worksheets/sheet9.xml><?xml version="1.0" encoding="utf-8"?>
<worksheet xmlns="http://schemas.openxmlformats.org/spreadsheetml/2006/main">
  <sheetPr codeName="Sheet2">
    <tabColor theme="9" tint="-0.499984740745262"/>
    <outlinePr summaryBelow="1" summaryRight="1"/>
    <pageSetUpPr/>
  </sheetPr>
  <dimension ref="A1:AQ137"/>
  <sheetViews>
    <sheetView showGridLines="0" topLeftCell="D107" zoomScale="106" zoomScaleNormal="100" workbookViewId="0">
      <pane xSplit="1" topLeftCell="E1" activePane="topRight" state="frozen"/>
      <selection activeCell="D1" sqref="D1"/>
      <selection pane="topRight" activeCell="R65" sqref="R65"/>
    </sheetView>
  </sheetViews>
  <sheetFormatPr baseColWidth="8" defaultColWidth="9.1796875" defaultRowHeight="11.5" outlineLevelRow="1"/>
  <cols>
    <col hidden="1" width="16.453125" customWidth="1" style="35" min="1" max="1"/>
    <col hidden="1" width="14.54296875" customWidth="1" style="36" min="2" max="2"/>
    <col hidden="1" width="1.1796875" customWidth="1" style="36" min="3" max="3"/>
    <col width="2.81640625" bestFit="1" customWidth="1" style="36" min="4" max="4"/>
    <col width="38.81640625" customWidth="1" style="154" min="5" max="5"/>
    <col hidden="1" width="6" customWidth="1" style="35" min="6" max="6"/>
    <col hidden="1" width="8.81640625" customWidth="1" style="35" min="7" max="8"/>
    <col hidden="1" width="4.81640625" customWidth="1" style="35" min="9" max="9"/>
    <col hidden="1" width="9.54296875" customWidth="1" style="35" min="10" max="10"/>
    <col hidden="1" width="6.81640625" customWidth="1" style="35" min="11" max="11"/>
    <col hidden="1" width="14.453125" customWidth="1" style="35" min="12" max="12"/>
    <col hidden="1" width="14.453125" customWidth="1" style="408" min="13" max="13"/>
    <col hidden="1" width="13.1796875" customWidth="1" style="408" min="14" max="14"/>
    <col width="14.453125" customWidth="1" style="35" min="15" max="15"/>
    <col width="13.1796875" customWidth="1" style="35" min="16" max="16"/>
    <col width="13.81640625" customWidth="1" style="35" min="17" max="17"/>
    <col width="14.453125" customWidth="1" style="303" min="18" max="18"/>
    <col width="14.1796875" customWidth="1" style="35" min="19" max="19"/>
    <col width="15.1796875" customWidth="1" style="35" min="20" max="20"/>
    <col width="12.81640625" customWidth="1" style="445" min="21" max="21"/>
    <col outlineLevel="1" width="17.54296875" customWidth="1" style="35" min="22" max="22"/>
    <col width="12.81640625" customWidth="1" style="35" min="23" max="23"/>
    <col width="12.453125" customWidth="1" style="35" min="24" max="24"/>
    <col width="12.1796875" customWidth="1" style="35" min="25" max="25"/>
    <col outlineLevel="1" width="12.08984375" customWidth="1" style="35" min="26" max="26"/>
    <col outlineLevel="1" width="12.1796875" customWidth="1" style="35" min="27" max="27"/>
    <col outlineLevel="1" width="9.81640625" customWidth="1" style="35" min="28" max="28"/>
    <col outlineLevel="1" width="14" customWidth="1" style="35" min="29" max="29"/>
    <col outlineLevel="1" width="17.453125" customWidth="1" style="35" min="30" max="30"/>
    <col outlineLevel="1" width="25" customWidth="1" style="35" min="31" max="31"/>
    <col outlineLevel="1" width="13.1796875" customWidth="1" style="35" min="32" max="32"/>
    <col outlineLevel="1" width="4.1796875" customWidth="1" style="35" min="33" max="34"/>
    <col outlineLevel="1" width="9.1796875" customWidth="1" style="35" min="35" max="35"/>
    <col outlineLevel="1" width="20" customWidth="1" style="35" min="36" max="36"/>
    <col outlineLevel="1" width="20" customWidth="1" style="35" min="37" max="37"/>
    <col width="20" customWidth="1" style="408" min="38" max="38"/>
    <col width="20" customWidth="1" style="35" min="39" max="40"/>
    <col width="20" customWidth="1" min="40" max="40"/>
    <col width="20" customWidth="1" style="35" min="41" max="41"/>
    <col width="20" customWidth="1" style="35" min="42" max="42"/>
    <col width="20" bestFit="1" customWidth="1" style="35" min="43" max="43"/>
    <col width="9.1796875" customWidth="1" style="35" min="44" max="16384"/>
  </cols>
  <sheetData>
    <row r="1" ht="12" customHeight="1" thickBot="1">
      <c r="Q1" s="491" t="n"/>
      <c r="R1" s="356" t="n"/>
    </row>
    <row r="2" ht="12" customHeight="1" thickBot="1">
      <c r="D2" s="153" t="n"/>
      <c r="F2" s="154" t="n"/>
      <c r="G2" s="154" t="n"/>
      <c r="H2" s="154" t="n"/>
      <c r="I2" s="154" t="n"/>
      <c r="J2" s="154" t="n"/>
      <c r="K2" s="154" t="n"/>
      <c r="L2" s="154" t="n"/>
      <c r="M2" s="262" t="n"/>
      <c r="N2" s="262" t="n"/>
      <c r="O2" s="154" t="n"/>
      <c r="P2" s="154" t="n"/>
      <c r="Q2" s="255" t="n"/>
      <c r="R2" s="259" t="n"/>
      <c r="S2" s="207" t="inlineStr">
        <is>
          <t>Arrears analysis</t>
        </is>
      </c>
      <c r="T2" s="208" t="n"/>
      <c r="U2" s="208" t="n"/>
      <c r="V2" s="208" t="n"/>
      <c r="W2" s="208" t="n"/>
      <c r="X2" s="208" t="n"/>
      <c r="Y2" s="209" t="n"/>
      <c r="Z2" s="156" t="n"/>
      <c r="AA2" s="43" t="n"/>
      <c r="AB2" s="43" t="n"/>
      <c r="AJ2" s="492" t="inlineStr">
        <is>
          <t>Added by Dupleix, 7 October 2026: linked to the 'Mapping' and 'E-Banker master' sheets. Your columns to the left are unchanged.</t>
        </is>
      </c>
    </row>
    <row r="3" ht="45" customFormat="1" customHeight="1" s="40">
      <c r="A3" s="38" t="inlineStr">
        <is>
          <t>BRANCH NAME</t>
        </is>
      </c>
      <c r="B3" s="38" t="inlineStr">
        <is>
          <t>CUSTOMER ID</t>
        </is>
      </c>
      <c r="C3" s="38" t="n"/>
      <c r="D3" s="210" t="inlineStr">
        <is>
          <t>#</t>
        </is>
      </c>
      <c r="E3" s="211" t="inlineStr">
        <is>
          <t>Name</t>
        </is>
      </c>
      <c r="F3" s="212" t="inlineStr">
        <is>
          <t>Type</t>
        </is>
      </c>
      <c r="G3" s="211" t="inlineStr">
        <is>
          <t>Value Date</t>
        </is>
      </c>
      <c r="H3" s="213" t="inlineStr">
        <is>
          <t>Maturity Date</t>
        </is>
      </c>
      <c r="I3" s="157" t="inlineStr">
        <is>
          <t>Tenor</t>
        </is>
      </c>
      <c r="J3" s="157" t="inlineStr">
        <is>
          <t>Moratorium</t>
        </is>
      </c>
      <c r="K3" s="158" t="inlineStr">
        <is>
          <t>Interest Rate</t>
        </is>
      </c>
      <c r="L3" s="159" t="inlineStr">
        <is>
          <t>Approved</t>
        </is>
      </c>
      <c r="M3" s="160" t="inlineStr">
        <is>
          <t>Disbursed</t>
        </is>
      </c>
      <c r="N3" s="160" t="inlineStr">
        <is>
          <t>Not yet disbursed</t>
        </is>
      </c>
      <c r="O3" s="160" t="inlineStr">
        <is>
          <t>Principal</t>
        </is>
      </c>
      <c r="P3" s="160" t="inlineStr">
        <is>
          <t>Interest to date</t>
        </is>
      </c>
      <c r="Q3" s="160" t="inlineStr">
        <is>
          <t>Repayments</t>
        </is>
      </c>
      <c r="R3" s="357" t="inlineStr">
        <is>
          <t>Carrying Ammount</t>
        </is>
      </c>
      <c r="S3" s="161" t="inlineStr">
        <is>
          <t>Principal</t>
        </is>
      </c>
      <c r="T3" s="159" t="inlineStr">
        <is>
          <t>Interest</t>
        </is>
      </c>
      <c r="U3" s="159" t="inlineStr">
        <is>
          <t>Total</t>
        </is>
      </c>
      <c r="V3" s="162" t="inlineStr">
        <is>
          <t>ARREARS_CATEGORY</t>
        </is>
      </c>
      <c r="W3" s="163" t="inlineStr">
        <is>
          <t>1-30</t>
        </is>
      </c>
      <c r="X3" s="164" t="inlineStr">
        <is>
          <t>31-90</t>
        </is>
      </c>
      <c r="Y3" s="270" t="inlineStr">
        <is>
          <t>90-180</t>
        </is>
      </c>
      <c r="Z3" s="165" t="inlineStr">
        <is>
          <t>&gt;180</t>
        </is>
      </c>
      <c r="AA3" s="39" t="inlineStr">
        <is>
          <t>271-360</t>
        </is>
      </c>
      <c r="AB3" s="39" t="inlineStr">
        <is>
          <t>Above 360</t>
        </is>
      </c>
      <c r="AC3" s="39" t="inlineStr">
        <is>
          <t>SEGMENT</t>
        </is>
      </c>
      <c r="AD3" s="39" t="inlineStr">
        <is>
          <t>INDUSTRY_CODE</t>
        </is>
      </c>
      <c r="AE3" s="39" t="inlineStr">
        <is>
          <t>INDUSTRY - DESCRIPTION</t>
        </is>
      </c>
      <c r="AF3" s="39" t="inlineStr">
        <is>
          <t>PHONE 1</t>
        </is>
      </c>
      <c r="AG3" s="39" t="inlineStr">
        <is>
          <t>ARM</t>
        </is>
      </c>
      <c r="AH3" s="39" t="inlineStr">
        <is>
          <t>BUSINESS_UNIT</t>
        </is>
      </c>
      <c r="AJ3" s="493" t="inlineStr">
        <is>
          <t>E-Banker account (Dupleix, proposed)</t>
        </is>
      </c>
      <c r="AK3" s="493" t="inlineStr">
        <is>
          <t>Confidence</t>
        </is>
      </c>
      <c r="AL3" s="493" t="inlineStr">
        <is>
          <t>E-Banker name</t>
        </is>
      </c>
      <c r="AM3" s="493" t="inlineStr">
        <is>
          <t>E-Banker status</t>
        </is>
      </c>
      <c r="AN3" s="493" t="inlineStr">
        <is>
          <t>Take-on posting 31 Jul 2024</t>
        </is>
      </c>
      <c r="AO3" s="493" t="inlineStr">
        <is>
          <t>Opening interest charge 31 Jul 2024</t>
        </is>
      </c>
      <c r="AP3" s="493" t="inlineStr">
        <is>
          <t>E-Banker balance 31 Oct 2024</t>
        </is>
      </c>
      <c r="AQ3" s="493" t="inlineStr">
        <is>
          <t>Carrying amount less E-Banker balance</t>
        </is>
      </c>
    </row>
    <row r="4" ht="12" customFormat="1" customHeight="1" s="40" thickBot="1">
      <c r="A4" s="38" t="n"/>
      <c r="B4" s="38" t="n"/>
      <c r="C4" s="38" t="n"/>
      <c r="D4" s="214" t="n"/>
      <c r="E4" s="215" t="n"/>
      <c r="F4" s="216" t="n"/>
      <c r="G4" s="215" t="n"/>
      <c r="H4" s="217" t="n"/>
      <c r="I4" s="166" t="inlineStr">
        <is>
          <t>Yrs</t>
        </is>
      </c>
      <c r="J4" s="166" t="inlineStr">
        <is>
          <t>(Months)</t>
        </is>
      </c>
      <c r="K4" s="166" t="inlineStr">
        <is>
          <t>%</t>
        </is>
      </c>
      <c r="L4" s="167" t="inlineStr">
        <is>
          <t>K</t>
        </is>
      </c>
      <c r="M4" s="168" t="inlineStr">
        <is>
          <t>K</t>
        </is>
      </c>
      <c r="N4" s="167" t="inlineStr">
        <is>
          <t>K</t>
        </is>
      </c>
      <c r="O4" s="167" t="inlineStr">
        <is>
          <t>K</t>
        </is>
      </c>
      <c r="P4" s="167" t="inlineStr">
        <is>
          <t>K</t>
        </is>
      </c>
      <c r="Q4" s="167" t="inlineStr">
        <is>
          <t>K</t>
        </is>
      </c>
      <c r="R4" s="358" t="inlineStr">
        <is>
          <t>K</t>
        </is>
      </c>
      <c r="S4" s="169" t="inlineStr">
        <is>
          <t>K</t>
        </is>
      </c>
      <c r="T4" s="167" t="inlineStr">
        <is>
          <t>K</t>
        </is>
      </c>
      <c r="U4" s="167" t="inlineStr">
        <is>
          <t>K</t>
        </is>
      </c>
      <c r="V4" s="170" t="n"/>
      <c r="W4" s="171" t="inlineStr">
        <is>
          <t>Days</t>
        </is>
      </c>
      <c r="X4" s="172" t="inlineStr">
        <is>
          <t>Days</t>
        </is>
      </c>
      <c r="Y4" s="271" t="inlineStr">
        <is>
          <t>Days</t>
        </is>
      </c>
      <c r="Z4" s="173" t="inlineStr">
        <is>
          <t>Days</t>
        </is>
      </c>
      <c r="AA4" s="39" t="inlineStr">
        <is>
          <t>Days</t>
        </is>
      </c>
      <c r="AB4" s="39" t="inlineStr">
        <is>
          <t>Days</t>
        </is>
      </c>
      <c r="AC4" s="39" t="n"/>
      <c r="AD4" s="39" t="n"/>
      <c r="AE4" s="39" t="n"/>
      <c r="AF4" s="39" t="n"/>
      <c r="AG4" s="39" t="n"/>
      <c r="AH4" s="39" t="n"/>
    </row>
    <row r="5" customFormat="1" s="408">
      <c r="A5" s="408" t="inlineStr">
        <is>
          <t>Head Office</t>
        </is>
      </c>
      <c r="B5" s="408" t="inlineStr">
        <is>
          <t>xxxx</t>
        </is>
      </c>
      <c r="D5" s="426" t="n">
        <v>1</v>
      </c>
      <c r="E5" s="394" t="inlineStr">
        <is>
          <t>Chikho Hotel Limited</t>
        </is>
      </c>
      <c r="F5" s="404" t="inlineStr">
        <is>
          <t>Debt</t>
        </is>
      </c>
      <c r="G5" s="396" t="n">
        <v>44470</v>
      </c>
      <c r="H5" s="396" t="n">
        <v>46934</v>
      </c>
      <c r="I5" s="397">
        <f>(H5-G5)/365</f>
        <v/>
      </c>
      <c r="J5" s="398" t="inlineStr">
        <is>
          <t>-</t>
        </is>
      </c>
      <c r="K5" s="494">
        <f>'[1]Amortisation and Repayments'!K12</f>
        <v/>
      </c>
      <c r="L5" s="404" t="n">
        <v>620855897.5380075</v>
      </c>
      <c r="M5" s="400" t="n">
        <v>620855897.5380075</v>
      </c>
      <c r="N5" s="404">
        <f>L5-M5</f>
        <v/>
      </c>
      <c r="O5" s="409">
        <f>'[1]Amortisation and Repayments'!D6</f>
        <v/>
      </c>
      <c r="P5" s="404">
        <f>SUM('[1]Amortisation and Repayments'!H15:H36)</f>
        <v/>
      </c>
      <c r="Q5" s="404">
        <f>-SUM('[1]Amortisation and Repayments'!K15:K36)</f>
        <v/>
      </c>
      <c r="R5" s="430">
        <f>SUM(O5:Q5)</f>
        <v/>
      </c>
      <c r="S5" s="403" t="n"/>
      <c r="T5" s="404" t="n">
        <v>0</v>
      </c>
      <c r="U5" s="409" t="n">
        <v>0</v>
      </c>
      <c r="V5" s="405" t="n"/>
      <c r="W5" s="403" t="n">
        <v>0</v>
      </c>
      <c r="X5" s="404" t="n"/>
      <c r="Y5" s="405" t="n">
        <v>0</v>
      </c>
      <c r="Z5" s="186" t="n"/>
      <c r="AA5" s="267" t="n"/>
      <c r="AB5" s="406" t="n"/>
      <c r="AC5" s="406" t="inlineStr">
        <is>
          <t>CORPORATE</t>
        </is>
      </c>
      <c r="AD5" s="407" t="n"/>
      <c r="AE5" s="406" t="inlineStr">
        <is>
          <t>HOSPITALITY</t>
        </is>
      </c>
      <c r="AF5" s="407" t="n">
        <v>9999999</v>
      </c>
      <c r="AG5" s="406" t="inlineStr">
        <is>
          <t>FOSTERS</t>
        </is>
      </c>
      <c r="AH5" s="406" t="inlineStr">
        <is>
          <t>ENTERPRISE DEVELOPMENT</t>
        </is>
      </c>
      <c r="AJ5" s="495">
        <f>IFERROR(INDEX('Mapping'!$J$2:$J$110,MATCH(5,'Mapping'!$A$2:$A$110,0)),"")</f>
        <v/>
      </c>
      <c r="AK5" s="495">
        <f>IFERROR(INDEX('Mapping'!$K$2:$K$110,MATCH(5,'Mapping'!$A$2:$A$110,0)),"")</f>
        <v/>
      </c>
      <c r="AL5" s="495">
        <f>IFERROR(INDEX('E-Banker master'!$B$2:$B$186,MATCH($AJ5,'E-Banker master'!$A$2:$A$186,0)),"")</f>
        <v/>
      </c>
      <c r="AM5" s="495">
        <f>IFERROR(INDEX('E-Banker master'!$E$2:$E$186,MATCH($AJ5,'E-Banker master'!$A$2:$A$186,0)),"")</f>
        <v/>
      </c>
      <c r="AN5" s="496">
        <f>IFERROR(INDEX('E-Banker master'!$N$2:$N$186,MATCH($AJ5,'E-Banker master'!$A$2:$A$186,0)),"")</f>
        <v/>
      </c>
      <c r="AO5" s="496">
        <f>IFERROR(INDEX('E-Banker master'!$O$2:$O$186,MATCH($AJ5,'E-Banker master'!$A$2:$A$186,0)),"")</f>
        <v/>
      </c>
      <c r="AP5" s="496">
        <f>IFERROR(INDEX('E-Banker master'!$P$2:$P$186,MATCH($AJ5,'E-Banker master'!$A$2:$A$186,0)),"")</f>
        <v/>
      </c>
      <c r="AQ5" s="496">
        <f>IF(OR($AJ5="",AP5=""),"",R5-AP5)</f>
        <v/>
      </c>
    </row>
    <row r="6">
      <c r="A6" s="408" t="inlineStr">
        <is>
          <t>Head Office</t>
        </is>
      </c>
      <c r="B6" s="408" t="inlineStr">
        <is>
          <t>xxxx</t>
        </is>
      </c>
      <c r="C6" s="408" t="n"/>
      <c r="D6" s="392" t="n">
        <v>2</v>
      </c>
      <c r="E6" s="440" t="inlineStr">
        <is>
          <t>Edge View Academy Limited</t>
        </is>
      </c>
      <c r="F6" s="186" t="inlineStr">
        <is>
          <t>Debt</t>
        </is>
      </c>
      <c r="G6" s="187" t="n">
        <v>43935</v>
      </c>
      <c r="H6" s="187" t="n">
        <v>45747</v>
      </c>
      <c r="I6" s="188">
        <f>(H6-G6)/365</f>
        <v/>
      </c>
      <c r="J6" s="192" t="inlineStr">
        <is>
          <t>12 (Cap only)</t>
        </is>
      </c>
      <c r="K6" s="497">
        <f>'Amortisation and Repayments'!M50</f>
        <v/>
      </c>
      <c r="L6" s="186" t="n">
        <v>300000000</v>
      </c>
      <c r="M6" s="190" t="n">
        <v>300000000</v>
      </c>
      <c r="N6" s="186">
        <f>L6-M6</f>
        <v/>
      </c>
      <c r="O6" s="191">
        <f>'Amortisation and Repayments'!D44</f>
        <v/>
      </c>
      <c r="P6" s="186">
        <f>SUM('Amortisation and Repayments'!H53:H83)</f>
        <v/>
      </c>
      <c r="Q6" s="186">
        <f>-SUM('Amortisation and Repayments'!K53:K83)</f>
        <v/>
      </c>
      <c r="R6" s="441">
        <f>SUM(O6:Q6)</f>
        <v/>
      </c>
      <c r="S6" s="185">
        <f>SUM('Amortisation and Repayments'!I75:I83)</f>
        <v/>
      </c>
      <c r="T6" s="186">
        <f>'Amortisation and Repayments'!L83-'Loan Book'!S6</f>
        <v/>
      </c>
      <c r="U6" s="409">
        <f>+SUM(S6:T6)</f>
        <v/>
      </c>
      <c r="V6" s="184" t="n"/>
      <c r="W6" s="185">
        <f>'Amortisation and Repayments'!G83</f>
        <v/>
      </c>
      <c r="X6" s="186">
        <f>SUM('Amortisation and Repayments'!G80:G82)</f>
        <v/>
      </c>
      <c r="Y6" s="266">
        <f>+U6-SUM(W6:X6)</f>
        <v/>
      </c>
      <c r="Z6" s="195" t="n"/>
      <c r="AA6" s="268" t="n"/>
      <c r="AB6" s="41" t="n"/>
      <c r="AC6" s="41" t="n"/>
      <c r="AD6" s="41" t="n"/>
      <c r="AE6" s="41" t="n"/>
      <c r="AF6" s="41" t="n"/>
      <c r="AG6" s="41" t="n"/>
      <c r="AH6" s="41" t="n"/>
      <c r="AJ6" s="498">
        <f>IFERROR(INDEX('Mapping'!$J$2:$J$110,MATCH(6,'Mapping'!$A$2:$A$110,0)),"")</f>
        <v/>
      </c>
      <c r="AK6" s="499">
        <f>IFERROR(INDEX('Mapping'!$K$2:$K$110,MATCH(6,'Mapping'!$A$2:$A$110,0)),"")</f>
        <v/>
      </c>
      <c r="AL6" s="498">
        <f>IFERROR(INDEX('E-Banker master'!$B$2:$B$186,MATCH($AJ6,'E-Banker master'!$A$2:$A$186,0)),"")</f>
        <v/>
      </c>
      <c r="AM6" s="495">
        <f>IFERROR(INDEX('E-Banker master'!$E$2:$E$186,MATCH($AJ6,'E-Banker master'!$A$2:$A$186,0)),"")</f>
        <v/>
      </c>
      <c r="AN6" s="496">
        <f>IFERROR(INDEX('E-Banker master'!$N$2:$N$186,MATCH($AJ6,'E-Banker master'!$A$2:$A$186,0)),"")</f>
        <v/>
      </c>
      <c r="AO6" s="496">
        <f>IFERROR(INDEX('E-Banker master'!$O$2:$O$186,MATCH($AJ6,'E-Banker master'!$A$2:$A$186,0)),"")</f>
        <v/>
      </c>
      <c r="AP6" s="500">
        <f>IFERROR(INDEX('E-Banker master'!$P$2:$P$186,MATCH($AJ6,'E-Banker master'!$A$2:$A$186,0)),"")</f>
        <v/>
      </c>
      <c r="AQ6" s="496">
        <f>IF(OR($AJ6="",AP6=""),"",R6-AP6)</f>
        <v/>
      </c>
    </row>
    <row r="7">
      <c r="A7" s="408" t="inlineStr">
        <is>
          <t>Head Office</t>
        </is>
      </c>
      <c r="B7" s="408" t="inlineStr">
        <is>
          <t>xxxx</t>
        </is>
      </c>
      <c r="C7" s="408" t="n"/>
      <c r="D7" s="392" t="n">
        <v>3</v>
      </c>
      <c r="E7" s="440" t="inlineStr">
        <is>
          <t>Micholess Creamery</t>
        </is>
      </c>
      <c r="F7" s="223" t="inlineStr">
        <is>
          <t>Debt</t>
        </is>
      </c>
      <c r="G7" s="225" t="n">
        <v>44040</v>
      </c>
      <c r="H7" s="225" t="n">
        <v>44773</v>
      </c>
      <c r="I7" s="226">
        <f>(H7-G7)/365</f>
        <v/>
      </c>
      <c r="J7" s="227" t="inlineStr">
        <is>
          <t>6 (Cap+Int)</t>
        </is>
      </c>
      <c r="K7" s="228" t="n">
        <v>20.2</v>
      </c>
      <c r="L7" s="223" t="n">
        <v>20000000</v>
      </c>
      <c r="M7" s="229" t="n">
        <v>18240000</v>
      </c>
      <c r="N7" s="223">
        <f>L7-M7</f>
        <v/>
      </c>
      <c r="O7" s="230">
        <f>M7</f>
        <v/>
      </c>
      <c r="P7" s="229">
        <f>SUM('Amortisation and Repayments'!H215:H239)-4054094.76</f>
        <v/>
      </c>
      <c r="Q7" s="223">
        <f>-SUM('Amortisation and Repayments'!K215:K240)-7040000-1460000</f>
        <v/>
      </c>
      <c r="R7" s="329" t="n">
        <v>0</v>
      </c>
      <c r="S7" s="231" t="n">
        <v>0</v>
      </c>
      <c r="T7" s="223" t="n">
        <v>0</v>
      </c>
      <c r="U7" s="328" t="n"/>
      <c r="V7" s="232" t="n"/>
      <c r="W7" s="231" t="n">
        <v>0</v>
      </c>
      <c r="X7" s="231" t="n"/>
      <c r="Y7" s="233" t="n"/>
      <c r="Z7" s="223">
        <f>U7</f>
        <v/>
      </c>
      <c r="AA7" s="268" t="n"/>
      <c r="AB7" s="41" t="n"/>
      <c r="AC7" s="41" t="n"/>
      <c r="AD7" s="41" t="n"/>
      <c r="AE7" s="41" t="n"/>
      <c r="AF7" s="41" t="n"/>
      <c r="AG7" s="41" t="n"/>
      <c r="AH7" s="41" t="n"/>
      <c r="AJ7" s="498">
        <f>IFERROR(INDEX('Mapping'!$J$2:$J$110,MATCH(7,'Mapping'!$A$2:$A$110,0)),"")</f>
        <v/>
      </c>
      <c r="AK7" s="499">
        <f>IFERROR(INDEX('Mapping'!$K$2:$K$110,MATCH(7,'Mapping'!$A$2:$A$110,0)),"")</f>
        <v/>
      </c>
      <c r="AL7" s="495">
        <f>IFERROR(INDEX('E-Banker master'!$B$2:$B$186,MATCH($AJ7,'E-Banker master'!$A$2:$A$186,0)),"")</f>
        <v/>
      </c>
      <c r="AM7" s="495">
        <f>IFERROR(INDEX('E-Banker master'!$E$2:$E$186,MATCH($AJ7,'E-Banker master'!$A$2:$A$186,0)),"")</f>
        <v/>
      </c>
      <c r="AN7" s="496">
        <f>IFERROR(INDEX('E-Banker master'!$N$2:$N$186,MATCH($AJ7,'E-Banker master'!$A$2:$A$186,0)),"")</f>
        <v/>
      </c>
      <c r="AO7" s="496">
        <f>IFERROR(INDEX('E-Banker master'!$O$2:$O$186,MATCH($AJ7,'E-Banker master'!$A$2:$A$186,0)),"")</f>
        <v/>
      </c>
      <c r="AP7" s="496">
        <f>IFERROR(INDEX('E-Banker master'!$P$2:$P$186,MATCH($AJ7,'E-Banker master'!$A$2:$A$186,0)),"")</f>
        <v/>
      </c>
      <c r="AQ7" s="496">
        <f>IF(OR($AJ7="",AP7=""),"",R7-AP7)</f>
        <v/>
      </c>
    </row>
    <row r="8">
      <c r="A8" s="408" t="inlineStr">
        <is>
          <t>Head Office</t>
        </is>
      </c>
      <c r="B8" s="408" t="inlineStr">
        <is>
          <t>xxxx</t>
        </is>
      </c>
      <c r="C8" s="408" t="n"/>
      <c r="D8" s="426" t="n">
        <v>4</v>
      </c>
      <c r="E8" s="437" t="inlineStr">
        <is>
          <t>COMSIV Limited</t>
        </is>
      </c>
      <c r="F8" s="186" t="inlineStr">
        <is>
          <t>Debt</t>
        </is>
      </c>
      <c r="G8" s="187" t="n">
        <v>44552</v>
      </c>
      <c r="H8" s="187" t="n">
        <v>45291</v>
      </c>
      <c r="I8" s="188">
        <f>(H8-G8)/365</f>
        <v/>
      </c>
      <c r="J8" s="186" t="inlineStr">
        <is>
          <t>-</t>
        </is>
      </c>
      <c r="K8" s="497">
        <f>'Amortisation and Repayments'!N247</f>
        <v/>
      </c>
      <c r="L8" s="186" t="n">
        <v>309523514</v>
      </c>
      <c r="M8" s="190" t="n">
        <v>309523514</v>
      </c>
      <c r="N8" s="186">
        <f>L8-M8</f>
        <v/>
      </c>
      <c r="O8" s="191">
        <f>M8</f>
        <v/>
      </c>
      <c r="P8" s="186">
        <f>SUM('Amortisation and Repayments'!H255:H274)+'Amortisation and Repayments'!D245</f>
        <v/>
      </c>
      <c r="Q8" s="186">
        <f>-'Amortisation and Repayments'!K260</f>
        <v/>
      </c>
      <c r="R8" s="441">
        <f>SUM(O8:Q8)</f>
        <v/>
      </c>
      <c r="S8" s="185" t="n"/>
      <c r="T8" s="235" t="n"/>
      <c r="U8" s="409" t="n"/>
      <c r="V8" s="184" t="n"/>
      <c r="W8" s="185" t="n">
        <v>0</v>
      </c>
      <c r="X8" s="186" t="n">
        <v>0</v>
      </c>
      <c r="Y8" s="266" t="n">
        <v>0</v>
      </c>
      <c r="Z8" s="195" t="n"/>
      <c r="AA8" s="268" t="n"/>
      <c r="AB8" s="41" t="n"/>
      <c r="AC8" s="41" t="n"/>
      <c r="AD8" s="41" t="n"/>
      <c r="AE8" s="41" t="n"/>
      <c r="AF8" s="41" t="n"/>
      <c r="AG8" s="41" t="n"/>
      <c r="AH8" s="41" t="n"/>
      <c r="AJ8" s="498">
        <f>IFERROR(INDEX('Mapping'!$J$2:$J$110,MATCH(8,'Mapping'!$A$2:$A$110,0)),"")</f>
        <v/>
      </c>
      <c r="AK8" s="499">
        <f>IFERROR(INDEX('Mapping'!$K$2:$K$110,MATCH(8,'Mapping'!$A$2:$A$110,0)),"")</f>
        <v/>
      </c>
      <c r="AL8" s="495">
        <f>IFERROR(INDEX('E-Banker master'!$B$2:$B$186,MATCH($AJ8,'E-Banker master'!$A$2:$A$186,0)),"")</f>
        <v/>
      </c>
      <c r="AM8" s="495">
        <f>IFERROR(INDEX('E-Banker master'!$E$2:$E$186,MATCH($AJ8,'E-Banker master'!$A$2:$A$186,0)),"")</f>
        <v/>
      </c>
      <c r="AN8" s="496">
        <f>IFERROR(INDEX('E-Banker master'!$N$2:$N$186,MATCH($AJ8,'E-Banker master'!$A$2:$A$186,0)),"")</f>
        <v/>
      </c>
      <c r="AO8" s="496">
        <f>IFERROR(INDEX('E-Banker master'!$O$2:$O$186,MATCH($AJ8,'E-Banker master'!$A$2:$A$186,0)),"")</f>
        <v/>
      </c>
      <c r="AP8" s="496">
        <f>IFERROR(INDEX('E-Banker master'!$P$2:$P$186,MATCH($AJ8,'E-Banker master'!$A$2:$A$186,0)),"")</f>
        <v/>
      </c>
      <c r="AQ8" s="496">
        <f>IF(OR($AJ8="",AP8=""),"",R8-AP8)</f>
        <v/>
      </c>
    </row>
    <row r="9">
      <c r="A9" s="408" t="inlineStr">
        <is>
          <t>Head Office</t>
        </is>
      </c>
      <c r="B9" s="408" t="inlineStr">
        <is>
          <t>xxxx</t>
        </is>
      </c>
      <c r="C9" s="408" t="n"/>
      <c r="D9" s="392" t="n">
        <v>5</v>
      </c>
      <c r="E9" s="175" t="inlineStr">
        <is>
          <t>MUSECO</t>
        </is>
      </c>
      <c r="F9" s="186" t="inlineStr">
        <is>
          <t>Debt</t>
        </is>
      </c>
      <c r="G9" s="187" t="n">
        <v>44035</v>
      </c>
      <c r="H9" s="187" t="n">
        <v>45869</v>
      </c>
      <c r="I9" s="188">
        <f>(H9-G9)/365</f>
        <v/>
      </c>
      <c r="J9" s="192" t="inlineStr">
        <is>
          <t>13 (Cap only)</t>
        </is>
      </c>
      <c r="K9" s="497">
        <f>'Amortisation and Repayments'!M290</f>
        <v/>
      </c>
      <c r="L9" s="186">
        <f>'Amortisation and Repayments'!D284</f>
        <v/>
      </c>
      <c r="M9" s="190">
        <f>L9</f>
        <v/>
      </c>
      <c r="N9" s="186">
        <f>L9-M9</f>
        <v/>
      </c>
      <c r="O9" s="191">
        <f>M9</f>
        <v/>
      </c>
      <c r="P9" s="186">
        <f>SUM('Amortisation and Repayments'!H293:H331)+5570571.59</f>
        <v/>
      </c>
      <c r="Q9" s="186">
        <f>-SUM('Amortisation and Repayments'!K293:K331)</f>
        <v/>
      </c>
      <c r="R9" s="441">
        <f>SUM(O9:Q9)</f>
        <v/>
      </c>
      <c r="S9" s="277">
        <f>SUM('Amortisation and Repayments'!I315:I331)</f>
        <v/>
      </c>
      <c r="T9" s="186">
        <f>'Amortisation and Repayments'!L331-'Loan Book'!S9</f>
        <v/>
      </c>
      <c r="U9" s="409">
        <f>+SUM(S9:T9)</f>
        <v/>
      </c>
      <c r="V9" s="184" t="n"/>
      <c r="X9" s="185">
        <f>+SUM('Amortisation and Repayments'!G317:G328)</f>
        <v/>
      </c>
      <c r="Y9" s="266" t="n"/>
      <c r="Z9" s="278" t="n"/>
      <c r="AA9" s="267" t="n"/>
      <c r="AB9" s="41" t="n"/>
      <c r="AC9" s="41" t="n"/>
      <c r="AD9" s="41" t="n"/>
      <c r="AE9" s="41" t="n"/>
      <c r="AF9" s="41" t="n"/>
      <c r="AG9" s="41" t="n"/>
      <c r="AH9" s="41" t="n"/>
      <c r="AJ9" s="498">
        <f>IFERROR(INDEX('Mapping'!$J$2:$J$110,MATCH(9,'Mapping'!$A$2:$A$110,0)),"")</f>
        <v/>
      </c>
      <c r="AK9" s="499">
        <f>IFERROR(INDEX('Mapping'!$K$2:$K$110,MATCH(9,'Mapping'!$A$2:$A$110,0)),"")</f>
        <v/>
      </c>
      <c r="AL9" s="498">
        <f>IFERROR(INDEX('E-Banker master'!$B$2:$B$186,MATCH($AJ9,'E-Banker master'!$A$2:$A$186,0)),"")</f>
        <v/>
      </c>
      <c r="AM9" s="495">
        <f>IFERROR(INDEX('E-Banker master'!$E$2:$E$186,MATCH($AJ9,'E-Banker master'!$A$2:$A$186,0)),"")</f>
        <v/>
      </c>
      <c r="AN9" s="496">
        <f>IFERROR(INDEX('E-Banker master'!$N$2:$N$186,MATCH($AJ9,'E-Banker master'!$A$2:$A$186,0)),"")</f>
        <v/>
      </c>
      <c r="AO9" s="496">
        <f>IFERROR(INDEX('E-Banker master'!$O$2:$O$186,MATCH($AJ9,'E-Banker master'!$A$2:$A$186,0)),"")</f>
        <v/>
      </c>
      <c r="AP9" s="496">
        <f>IFERROR(INDEX('E-Banker master'!$P$2:$P$186,MATCH($AJ9,'E-Banker master'!$A$2:$A$186,0)),"")</f>
        <v/>
      </c>
      <c r="AQ9" s="496">
        <f>IF(OR($AJ9="",AP9=""),"",R9-AP9)</f>
        <v/>
      </c>
    </row>
    <row r="10">
      <c r="A10" s="408" t="inlineStr">
        <is>
          <t>Head Office</t>
        </is>
      </c>
      <c r="B10" s="408" t="inlineStr">
        <is>
          <t>xxxx</t>
        </is>
      </c>
      <c r="C10" s="408" t="n"/>
      <c r="D10" s="392" t="n">
        <v>6</v>
      </c>
      <c r="E10" s="436" t="inlineStr">
        <is>
          <t>Nsanama Women Cooperatives</t>
        </is>
      </c>
      <c r="F10" s="223" t="inlineStr">
        <is>
          <t>Debt</t>
        </is>
      </c>
      <c r="G10" s="225" t="n">
        <v>44076</v>
      </c>
      <c r="H10" s="225" t="n">
        <v>44804</v>
      </c>
      <c r="I10" s="226">
        <f>(H10-G10)/365</f>
        <v/>
      </c>
      <c r="J10" s="227" t="inlineStr">
        <is>
          <t>6 (Cap only)</t>
        </is>
      </c>
      <c r="K10" s="501">
        <f>'Amortisation and Repayments'!I360</f>
        <v/>
      </c>
      <c r="L10" s="223" t="n">
        <v>17000000</v>
      </c>
      <c r="M10" s="229" t="n">
        <v>12055000</v>
      </c>
      <c r="N10" s="223">
        <f>L10-M10</f>
        <v/>
      </c>
      <c r="O10" s="230">
        <f>M10</f>
        <v/>
      </c>
      <c r="P10" s="223">
        <f>SUM('Amortisation and Repayments'!H368:H396)-703967.59</f>
        <v/>
      </c>
      <c r="Q10" s="223">
        <f>-SUM('Amortisation and Repayments'!K368:K396)</f>
        <v/>
      </c>
      <c r="R10" s="329">
        <f>SUM(O10:Q10)</f>
        <v/>
      </c>
      <c r="S10" s="231" t="n">
        <v>12055000</v>
      </c>
      <c r="T10" s="223" t="n">
        <v>1496874.481616788</v>
      </c>
      <c r="U10" s="409">
        <f>+SUM(S10:T10)</f>
        <v/>
      </c>
      <c r="V10" s="232" t="n"/>
      <c r="W10" s="231" t="n">
        <v>0</v>
      </c>
      <c r="X10" s="231" t="n">
        <v>0</v>
      </c>
      <c r="Y10" s="223" t="n">
        <v>0</v>
      </c>
      <c r="Z10" s="223">
        <f>U10</f>
        <v/>
      </c>
      <c r="AA10" s="268" t="n"/>
      <c r="AB10" s="41" t="n"/>
      <c r="AC10" s="41" t="n"/>
      <c r="AD10" s="41" t="n"/>
      <c r="AE10" s="41" t="n"/>
      <c r="AF10" s="41" t="n"/>
      <c r="AG10" s="41" t="n"/>
      <c r="AH10" s="41" t="n"/>
      <c r="AJ10" s="498">
        <f>IFERROR(INDEX('Mapping'!$J$2:$J$110,MATCH(10,'Mapping'!$A$2:$A$110,0)),"")</f>
        <v/>
      </c>
      <c r="AK10" s="499">
        <f>IFERROR(INDEX('Mapping'!$K$2:$K$110,MATCH(10,'Mapping'!$A$2:$A$110,0)),"")</f>
        <v/>
      </c>
      <c r="AL10" s="495">
        <f>IFERROR(INDEX('E-Banker master'!$B$2:$B$186,MATCH($AJ10,'E-Banker master'!$A$2:$A$186,0)),"")</f>
        <v/>
      </c>
      <c r="AM10" s="495">
        <f>IFERROR(INDEX('E-Banker master'!$E$2:$E$186,MATCH($AJ10,'E-Banker master'!$A$2:$A$186,0)),"")</f>
        <v/>
      </c>
      <c r="AN10" s="496">
        <f>IFERROR(INDEX('E-Banker master'!$N$2:$N$186,MATCH($AJ10,'E-Banker master'!$A$2:$A$186,0)),"")</f>
        <v/>
      </c>
      <c r="AO10" s="496">
        <f>IFERROR(INDEX('E-Banker master'!$O$2:$O$186,MATCH($AJ10,'E-Banker master'!$A$2:$A$186,0)),"")</f>
        <v/>
      </c>
      <c r="AP10" s="496">
        <f>IFERROR(INDEX('E-Banker master'!$P$2:$P$186,MATCH($AJ10,'E-Banker master'!$A$2:$A$186,0)),"")</f>
        <v/>
      </c>
      <c r="AQ10" s="496">
        <f>IF(OR($AJ10="",AP10=""),"",R10-AP10)</f>
        <v/>
      </c>
    </row>
    <row r="11">
      <c r="A11" s="408" t="inlineStr">
        <is>
          <t>Head Office</t>
        </is>
      </c>
      <c r="B11" s="408" t="inlineStr">
        <is>
          <t>xxxx</t>
        </is>
      </c>
      <c r="C11" s="408" t="n"/>
      <c r="D11" s="426" t="n">
        <v>7</v>
      </c>
      <c r="E11" s="437" t="inlineStr">
        <is>
          <t>LENZIEMILL MILLING LIMITED</t>
        </is>
      </c>
      <c r="F11" s="186" t="inlineStr">
        <is>
          <t>Debt</t>
        </is>
      </c>
      <c r="G11" s="187" t="n">
        <v>44134</v>
      </c>
      <c r="H11" s="187" t="n">
        <v>45869</v>
      </c>
      <c r="I11" s="188">
        <f>(H11-G11)/365</f>
        <v/>
      </c>
      <c r="J11" s="192" t="inlineStr">
        <is>
          <t>6 (Cap+Int)</t>
        </is>
      </c>
      <c r="K11" s="497">
        <f>'Amortisation and Repayments'!M402</f>
        <v/>
      </c>
      <c r="L11" s="186" t="n">
        <v>460000000</v>
      </c>
      <c r="M11" s="190">
        <f>290500000+6900000</f>
        <v/>
      </c>
      <c r="N11" s="186" t="n">
        <v>0</v>
      </c>
      <c r="O11" s="191">
        <f>M11</f>
        <v/>
      </c>
      <c r="P11" s="186">
        <f>SUM('Amortisation and Repayments'!H410:H458)</f>
        <v/>
      </c>
      <c r="Q11" s="186">
        <f>-SUM('Amortisation and Repayments'!K410:K458)</f>
        <v/>
      </c>
      <c r="R11" s="441">
        <f>SUM(O11:Q11)</f>
        <v/>
      </c>
      <c r="S11" s="185">
        <f>'Amortisation and Repayments'!L458-'Amortisation and Repayments'!H458</f>
        <v/>
      </c>
      <c r="T11" s="186">
        <f>'Amortisation and Repayments'!H458</f>
        <v/>
      </c>
      <c r="U11" s="409">
        <f>+SUM(S11:T11)</f>
        <v/>
      </c>
      <c r="V11" s="184" t="n"/>
      <c r="W11" s="185">
        <f>'Amortisation and Repayments'!G458</f>
        <v/>
      </c>
      <c r="X11" s="186">
        <f>+U11-W11</f>
        <v/>
      </c>
      <c r="Y11" s="186" t="n"/>
      <c r="Z11" s="278" t="n"/>
      <c r="AA11" s="268" t="n"/>
      <c r="AB11" s="41" t="n"/>
      <c r="AC11" s="41" t="n"/>
      <c r="AD11" s="41" t="n"/>
      <c r="AE11" s="41" t="n"/>
      <c r="AF11" s="41" t="n"/>
      <c r="AG11" s="41" t="n"/>
      <c r="AH11" s="41" t="n"/>
      <c r="AJ11" s="498">
        <f>IFERROR(INDEX('Mapping'!$J$2:$J$110,MATCH(11,'Mapping'!$A$2:$A$110,0)),"")</f>
        <v/>
      </c>
      <c r="AK11" s="499">
        <f>IFERROR(INDEX('Mapping'!$K$2:$K$110,MATCH(11,'Mapping'!$A$2:$A$110,0)),"")</f>
        <v/>
      </c>
      <c r="AL11" s="498">
        <f>IFERROR(INDEX('E-Banker master'!$B$2:$B$186,MATCH($AJ11,'E-Banker master'!$A$2:$A$186,0)),"")</f>
        <v/>
      </c>
      <c r="AM11" s="495">
        <f>IFERROR(INDEX('E-Banker master'!$E$2:$E$186,MATCH($AJ11,'E-Banker master'!$A$2:$A$186,0)),"")</f>
        <v/>
      </c>
      <c r="AN11" s="496">
        <f>IFERROR(INDEX('E-Banker master'!$N$2:$N$186,MATCH($AJ11,'E-Banker master'!$A$2:$A$186,0)),"")</f>
        <v/>
      </c>
      <c r="AO11" s="496">
        <f>IFERROR(INDEX('E-Banker master'!$O$2:$O$186,MATCH($AJ11,'E-Banker master'!$A$2:$A$186,0)),"")</f>
        <v/>
      </c>
      <c r="AP11" s="496">
        <f>IFERROR(INDEX('E-Banker master'!$P$2:$P$186,MATCH($AJ11,'E-Banker master'!$A$2:$A$186,0)),"")</f>
        <v/>
      </c>
      <c r="AQ11" s="496">
        <f>IF(OR($AJ11="",AP11=""),"",R11-AP11)</f>
        <v/>
      </c>
    </row>
    <row r="12">
      <c r="A12" s="408" t="inlineStr">
        <is>
          <t>Head Office</t>
        </is>
      </c>
      <c r="B12" s="408" t="inlineStr">
        <is>
          <t>xxxx</t>
        </is>
      </c>
      <c r="C12" s="408" t="n"/>
      <c r="D12" s="425" t="n">
        <v>8</v>
      </c>
      <c r="E12" s="175" t="inlineStr">
        <is>
          <t>Corran Farming Limited</t>
        </is>
      </c>
      <c r="F12" s="186" t="inlineStr">
        <is>
          <t>Debt</t>
        </is>
      </c>
      <c r="G12" s="187" t="n">
        <v>44187</v>
      </c>
      <c r="H12" s="187" t="n">
        <v>46022</v>
      </c>
      <c r="I12" s="188">
        <f>(H12-G12)/365</f>
        <v/>
      </c>
      <c r="J12" s="192" t="inlineStr">
        <is>
          <t>6 (Cap only)</t>
        </is>
      </c>
      <c r="K12" s="497">
        <f>'[1]Amortisation and Repayments'!M492</f>
        <v/>
      </c>
      <c r="L12" s="186">
        <f>'[1]Amortisation and Repayments'!F510</f>
        <v/>
      </c>
      <c r="M12" s="190">
        <f>L12</f>
        <v/>
      </c>
      <c r="N12" s="186" t="n"/>
      <c r="O12" s="191">
        <f>M12</f>
        <v/>
      </c>
      <c r="P12" s="186">
        <f>SUM('[1]Amortisation and Repayments'!H510:H530)</f>
        <v/>
      </c>
      <c r="Q12" s="186">
        <f>-SUM('[1]Amortisation and Repayments'!K502:K530)</f>
        <v/>
      </c>
      <c r="R12" s="441">
        <f>SUM(O12:Q12)</f>
        <v/>
      </c>
      <c r="S12" s="277" t="n">
        <v>0</v>
      </c>
      <c r="T12" s="235" t="n">
        <v>0</v>
      </c>
      <c r="U12" s="409">
        <f>+SUM(S12:T12)</f>
        <v/>
      </c>
      <c r="V12" s="184" t="n"/>
      <c r="W12" s="185" t="n">
        <v>0</v>
      </c>
      <c r="X12" s="186" t="n"/>
      <c r="Y12" s="266" t="n">
        <v>0</v>
      </c>
      <c r="Z12" s="195" t="n"/>
      <c r="AA12" s="268" t="n"/>
      <c r="AB12" s="41" t="n"/>
      <c r="AC12" s="41" t="n"/>
      <c r="AD12" s="41" t="n"/>
      <c r="AE12" s="41" t="n"/>
      <c r="AF12" s="41" t="n"/>
      <c r="AG12" s="41" t="n"/>
      <c r="AH12" s="41" t="n"/>
      <c r="AJ12" s="498">
        <f>IFERROR(INDEX('Mapping'!$J$2:$J$110,MATCH(12,'Mapping'!$A$2:$A$110,0)),"")</f>
        <v/>
      </c>
      <c r="AK12" s="499">
        <f>IFERROR(INDEX('Mapping'!$K$2:$K$110,MATCH(12,'Mapping'!$A$2:$A$110,0)),"")</f>
        <v/>
      </c>
      <c r="AL12" s="498">
        <f>IFERROR(INDEX('E-Banker master'!$B$2:$B$186,MATCH($AJ12,'E-Banker master'!$A$2:$A$186,0)),"")</f>
        <v/>
      </c>
      <c r="AM12" s="495">
        <f>IFERROR(INDEX('E-Banker master'!$E$2:$E$186,MATCH($AJ12,'E-Banker master'!$A$2:$A$186,0)),"")</f>
        <v/>
      </c>
      <c r="AN12" s="496">
        <f>IFERROR(INDEX('E-Banker master'!$N$2:$N$186,MATCH($AJ12,'E-Banker master'!$A$2:$A$186,0)),"")</f>
        <v/>
      </c>
      <c r="AO12" s="500">
        <f>IFERROR(INDEX('E-Banker master'!$O$2:$O$186,MATCH($AJ12,'E-Banker master'!$A$2:$A$186,0)),"")</f>
        <v/>
      </c>
      <c r="AP12" s="496">
        <f>IFERROR(INDEX('E-Banker master'!$P$2:$P$186,MATCH($AJ12,'E-Banker master'!$A$2:$A$186,0)),"")</f>
        <v/>
      </c>
      <c r="AQ12" s="496">
        <f>IF(OR($AJ12="",AP12=""),"",R12-AP12)</f>
        <v/>
      </c>
    </row>
    <row r="13">
      <c r="A13" s="408" t="inlineStr">
        <is>
          <t>Head Office</t>
        </is>
      </c>
      <c r="B13" s="408" t="inlineStr">
        <is>
          <t>xxxx</t>
        </is>
      </c>
      <c r="C13" s="408" t="n"/>
      <c r="D13" s="392" t="n">
        <v>9</v>
      </c>
      <c r="E13" s="437" t="inlineStr">
        <is>
          <t>Mach Milk Limited</t>
        </is>
      </c>
      <c r="F13" s="223" t="inlineStr">
        <is>
          <t>Debt</t>
        </is>
      </c>
      <c r="G13" s="225" t="n">
        <v>44242</v>
      </c>
      <c r="H13" s="225" t="n">
        <v>45716</v>
      </c>
      <c r="I13" s="226">
        <f>(H13-G13)/365</f>
        <v/>
      </c>
      <c r="J13" s="227" t="inlineStr">
        <is>
          <t>12 (Cap+Int)</t>
        </is>
      </c>
      <c r="K13" s="501">
        <f>'Amortisation and Repayments'!M556</f>
        <v/>
      </c>
      <c r="L13" s="223" t="n">
        <v>81075926.78</v>
      </c>
      <c r="M13" s="229" t="n">
        <v>81075926.78</v>
      </c>
      <c r="N13" s="223">
        <f>L13-M13</f>
        <v/>
      </c>
      <c r="O13" s="223">
        <f>M13</f>
        <v/>
      </c>
      <c r="P13" s="223">
        <f>SUM('Amortisation and Repayments'!H564:H601)</f>
        <v/>
      </c>
      <c r="Q13" s="223">
        <f>-SUM('Amortisation and Repayments'!K564:K601)</f>
        <v/>
      </c>
      <c r="R13" s="458">
        <f>SUM(O13:Q13)</f>
        <v/>
      </c>
      <c r="S13" s="264">
        <f>SUM('Amortisation and Repayments'!I576:I601)</f>
        <v/>
      </c>
      <c r="T13" s="265">
        <f>'Amortisation and Repayments'!L601-'Loan Book'!S13</f>
        <v/>
      </c>
      <c r="U13" s="404">
        <f>+SUM(S13:T13)</f>
        <v/>
      </c>
      <c r="V13" s="232" t="n"/>
      <c r="W13" s="231">
        <f>'Amortisation and Repayments'!G601</f>
        <v/>
      </c>
      <c r="X13" s="223">
        <f>SUM('Amortisation and Repayments'!G597:G599)</f>
        <v/>
      </c>
      <c r="Y13" s="223">
        <f>+SUM('Amortisation and Repayments'!G594:G596)</f>
        <v/>
      </c>
      <c r="Z13" s="223">
        <f>+U13-SUM(W13:Y13)</f>
        <v/>
      </c>
      <c r="AA13" s="268" t="n"/>
      <c r="AB13" s="41" t="n"/>
      <c r="AC13" s="41" t="n"/>
      <c r="AD13" s="41" t="n"/>
      <c r="AE13" s="41" t="n"/>
      <c r="AF13" s="41" t="n"/>
      <c r="AG13" s="41" t="n"/>
      <c r="AH13" s="41" t="n"/>
      <c r="AJ13" s="498">
        <f>IFERROR(INDEX('Mapping'!$J$2:$J$110,MATCH(13,'Mapping'!$A$2:$A$110,0)),"")</f>
        <v/>
      </c>
      <c r="AK13" s="499">
        <f>IFERROR(INDEX('Mapping'!$K$2:$K$110,MATCH(13,'Mapping'!$A$2:$A$110,0)),"")</f>
        <v/>
      </c>
      <c r="AL13" s="495">
        <f>IFERROR(INDEX('E-Banker master'!$B$2:$B$186,MATCH($AJ13,'E-Banker master'!$A$2:$A$186,0)),"")</f>
        <v/>
      </c>
      <c r="AM13" s="495">
        <f>IFERROR(INDEX('E-Banker master'!$E$2:$E$186,MATCH($AJ13,'E-Banker master'!$A$2:$A$186,0)),"")</f>
        <v/>
      </c>
      <c r="AN13" s="496">
        <f>IFERROR(INDEX('E-Banker master'!$N$2:$N$186,MATCH($AJ13,'E-Banker master'!$A$2:$A$186,0)),"")</f>
        <v/>
      </c>
      <c r="AO13" s="496">
        <f>IFERROR(INDEX('E-Banker master'!$O$2:$O$186,MATCH($AJ13,'E-Banker master'!$A$2:$A$186,0)),"")</f>
        <v/>
      </c>
      <c r="AP13" s="496">
        <f>IFERROR(INDEX('E-Banker master'!$P$2:$P$186,MATCH($AJ13,'E-Banker master'!$A$2:$A$186,0)),"")</f>
        <v/>
      </c>
      <c r="AQ13" s="496">
        <f>IF(OR($AJ13="",AP13=""),"",R13-AP13)</f>
        <v/>
      </c>
    </row>
    <row r="14">
      <c r="A14" s="408" t="inlineStr">
        <is>
          <t>Head Office</t>
        </is>
      </c>
      <c r="B14" s="408" t="inlineStr">
        <is>
          <t>xxxx</t>
        </is>
      </c>
      <c r="C14" s="408" t="n"/>
      <c r="D14" s="426" t="n">
        <v>10</v>
      </c>
      <c r="E14" s="436" t="inlineStr">
        <is>
          <t>Nature's Gift Limited</t>
        </is>
      </c>
      <c r="F14" s="186" t="inlineStr">
        <is>
          <t>Debt</t>
        </is>
      </c>
      <c r="G14" s="187" t="n">
        <v>44307</v>
      </c>
      <c r="H14" s="187" t="n">
        <v>46295</v>
      </c>
      <c r="I14" s="188">
        <f>(H14-G14)/365</f>
        <v/>
      </c>
      <c r="J14" s="192" t="inlineStr">
        <is>
          <t>-</t>
        </is>
      </c>
      <c r="K14" s="497">
        <f>'Amortisation and Repayments'!N619</f>
        <v/>
      </c>
      <c r="L14" s="186" t="n">
        <v>80000000</v>
      </c>
      <c r="M14" s="190" t="n">
        <v>80000000</v>
      </c>
      <c r="N14" s="186">
        <f>L14-M14</f>
        <v/>
      </c>
      <c r="O14" s="191">
        <f>M14</f>
        <v/>
      </c>
      <c r="P14" s="186">
        <f>SUM('Amortisation and Repayments'!H627:H669)</f>
        <v/>
      </c>
      <c r="Q14" s="186">
        <f>-SUM('Amortisation and Repayments'!K627:K669)</f>
        <v/>
      </c>
      <c r="R14" s="302">
        <f>SUM(O14:Q14)</f>
        <v/>
      </c>
      <c r="S14" s="235" t="n">
        <v>0</v>
      </c>
      <c r="T14" s="235" t="n">
        <v>0</v>
      </c>
      <c r="U14" s="409">
        <f>+SUM(S14:T14)</f>
        <v/>
      </c>
      <c r="V14" s="195" t="n"/>
      <c r="W14" s="186" t="n"/>
      <c r="X14" s="186">
        <f>U14</f>
        <v/>
      </c>
      <c r="Y14" s="266" t="n"/>
      <c r="Z14" s="195" t="n"/>
      <c r="AA14" s="269" t="n"/>
      <c r="AB14" s="236" t="n"/>
      <c r="AC14" s="236" t="n"/>
      <c r="AD14" s="236" t="n"/>
      <c r="AE14" s="236" t="n"/>
      <c r="AF14" s="236" t="n"/>
      <c r="AG14" s="236" t="n"/>
      <c r="AH14" s="236" t="n"/>
      <c r="AJ14" s="498">
        <f>IFERROR(INDEX('Mapping'!$J$2:$J$110,MATCH(14,'Mapping'!$A$2:$A$110,0)),"")</f>
        <v/>
      </c>
      <c r="AK14" s="499">
        <f>IFERROR(INDEX('Mapping'!$K$2:$K$110,MATCH(14,'Mapping'!$A$2:$A$110,0)),"")</f>
        <v/>
      </c>
      <c r="AL14" s="498">
        <f>IFERROR(INDEX('E-Banker master'!$B$2:$B$186,MATCH($AJ14,'E-Banker master'!$A$2:$A$186,0)),"")</f>
        <v/>
      </c>
      <c r="AM14" s="495">
        <f>IFERROR(INDEX('E-Banker master'!$E$2:$E$186,MATCH($AJ14,'E-Banker master'!$A$2:$A$186,0)),"")</f>
        <v/>
      </c>
      <c r="AN14" s="496">
        <f>IFERROR(INDEX('E-Banker master'!$N$2:$N$186,MATCH($AJ14,'E-Banker master'!$A$2:$A$186,0)),"")</f>
        <v/>
      </c>
      <c r="AO14" s="496">
        <f>IFERROR(INDEX('E-Banker master'!$O$2:$O$186,MATCH($AJ14,'E-Banker master'!$A$2:$A$186,0)),"")</f>
        <v/>
      </c>
      <c r="AP14" s="496">
        <f>IFERROR(INDEX('E-Banker master'!$P$2:$P$186,MATCH($AJ14,'E-Banker master'!$A$2:$A$186,0)),"")</f>
        <v/>
      </c>
      <c r="AQ14" s="500">
        <f>IF(OR($AJ14="",AP14=""),"",R14-AP14)</f>
        <v/>
      </c>
    </row>
    <row r="15">
      <c r="A15" s="408" t="n"/>
      <c r="B15" s="408" t="n"/>
      <c r="C15" s="408" t="n"/>
      <c r="D15" s="392" t="n">
        <v>11</v>
      </c>
      <c r="E15" s="436" t="inlineStr">
        <is>
          <t>Nature's Gift Limited</t>
        </is>
      </c>
      <c r="F15" s="186" t="inlineStr">
        <is>
          <t>Debt</t>
        </is>
      </c>
      <c r="G15" s="187" t="n">
        <v>44400</v>
      </c>
      <c r="H15" s="187" t="n">
        <v>46142</v>
      </c>
      <c r="I15" s="188">
        <f>(H15-G15)/365</f>
        <v/>
      </c>
      <c r="J15" s="192" t="n"/>
      <c r="K15" s="497">
        <f>'Amortisation and Repayments'!M759</f>
        <v/>
      </c>
      <c r="L15" s="186" t="n">
        <v>85000000</v>
      </c>
      <c r="M15" s="190" t="n">
        <v>85000000</v>
      </c>
      <c r="N15" s="186">
        <f>L15-M15</f>
        <v/>
      </c>
      <c r="O15" s="191">
        <f>M15</f>
        <v/>
      </c>
      <c r="P15" s="186">
        <f>SUM('Amortisation and Repayments'!H767:H806)</f>
        <v/>
      </c>
      <c r="Q15" s="186">
        <f>-SUM('Amortisation and Repayments'!K767:K806)</f>
        <v/>
      </c>
      <c r="R15" s="302">
        <f>SUM(O15:Q15)</f>
        <v/>
      </c>
      <c r="S15" s="235" t="n">
        <v>0</v>
      </c>
      <c r="T15" s="235" t="n">
        <v>0</v>
      </c>
      <c r="U15" s="409">
        <f>+SUM(S15:T15)</f>
        <v/>
      </c>
      <c r="V15" s="195" t="n"/>
      <c r="W15" s="186">
        <f>U15</f>
        <v/>
      </c>
      <c r="X15" s="186" t="n">
        <v>0</v>
      </c>
      <c r="Y15" s="266" t="n"/>
      <c r="Z15" s="195" t="n"/>
      <c r="AJ15" s="498">
        <f>IFERROR(INDEX('Mapping'!$J$2:$J$110,MATCH(15,'Mapping'!$A$2:$A$110,0)),"")</f>
        <v/>
      </c>
      <c r="AK15" s="499">
        <f>IFERROR(INDEX('Mapping'!$K$2:$K$110,MATCH(15,'Mapping'!$A$2:$A$110,0)),"")</f>
        <v/>
      </c>
      <c r="AL15" s="498">
        <f>IFERROR(INDEX('E-Banker master'!$B$2:$B$186,MATCH($AJ15,'E-Banker master'!$A$2:$A$186,0)),"")</f>
        <v/>
      </c>
      <c r="AM15" s="495">
        <f>IFERROR(INDEX('E-Banker master'!$E$2:$E$186,MATCH($AJ15,'E-Banker master'!$A$2:$A$186,0)),"")</f>
        <v/>
      </c>
      <c r="AN15" s="496">
        <f>IFERROR(INDEX('E-Banker master'!$N$2:$N$186,MATCH($AJ15,'E-Banker master'!$A$2:$A$186,0)),"")</f>
        <v/>
      </c>
      <c r="AO15" s="496">
        <f>IFERROR(INDEX('E-Banker master'!$O$2:$O$186,MATCH($AJ15,'E-Banker master'!$A$2:$A$186,0)),"")</f>
        <v/>
      </c>
      <c r="AP15" s="496">
        <f>IFERROR(INDEX('E-Banker master'!$P$2:$P$186,MATCH($AJ15,'E-Banker master'!$A$2:$A$186,0)),"")</f>
        <v/>
      </c>
      <c r="AQ15" s="500">
        <f>IF(OR($AJ15="",AP15=""),"",R15-AP15)</f>
        <v/>
      </c>
    </row>
    <row r="16">
      <c r="A16" s="408" t="inlineStr">
        <is>
          <t>Head Office</t>
        </is>
      </c>
      <c r="B16" s="408" t="inlineStr">
        <is>
          <t>xxxx</t>
        </is>
      </c>
      <c r="C16" s="408" t="n"/>
      <c r="D16" s="392" t="n">
        <v>12</v>
      </c>
      <c r="E16" s="440" t="inlineStr">
        <is>
          <t>Kajikhomele Foundation Ltd</t>
        </is>
      </c>
      <c r="F16" s="186" t="inlineStr">
        <is>
          <t>Debt</t>
        </is>
      </c>
      <c r="G16" s="187" t="n">
        <v>44336</v>
      </c>
      <c r="H16" s="187" t="n">
        <v>45796</v>
      </c>
      <c r="I16" s="188">
        <f>(H16-G16)/365</f>
        <v/>
      </c>
      <c r="J16" s="192" t="inlineStr">
        <is>
          <t>12 (Cap+Int)</t>
        </is>
      </c>
      <c r="K16" s="497">
        <f>'Amortisation and Repayments'!N695</f>
        <v/>
      </c>
      <c r="L16" s="186" t="n">
        <v>96552500</v>
      </c>
      <c r="M16" s="190">
        <f>'Amortisation and Repayments'!D694+'Amortisation and Repayments'!F694</f>
        <v/>
      </c>
      <c r="N16" s="186">
        <f>L16-M16</f>
        <v/>
      </c>
      <c r="O16" s="191">
        <f>M16</f>
        <v/>
      </c>
      <c r="P16" s="186">
        <f>SUM('Amortisation and Repayments'!H703:H744)</f>
        <v/>
      </c>
      <c r="Q16" s="186">
        <f>-SUM('Amortisation and Repayments'!K703:K744)</f>
        <v/>
      </c>
      <c r="R16" s="302">
        <f>SUM(O16:Q16)</f>
        <v/>
      </c>
      <c r="S16" s="410">
        <f>SUM('Amortisation and Repayments'!I732:I744)</f>
        <v/>
      </c>
      <c r="T16" s="410">
        <f>'Amortisation and Repayments'!L744-'Loan Book'!S16</f>
        <v/>
      </c>
      <c r="U16" s="409">
        <f>+SUM(S16:T16)</f>
        <v/>
      </c>
      <c r="V16" s="195" t="n"/>
      <c r="W16" s="186">
        <f>'Amortisation and Repayments'!G744</f>
        <v/>
      </c>
      <c r="X16" s="186">
        <f>SUM('Amortisation and Repayments'!G741:G743)</f>
        <v/>
      </c>
      <c r="Y16" s="266">
        <f>SUM('Amortisation and Repayments'!G738:G740)</f>
        <v/>
      </c>
      <c r="Z16" s="278">
        <f>+U16-SUM(W16:Y16)</f>
        <v/>
      </c>
      <c r="AJ16" s="498">
        <f>IFERROR(INDEX('Mapping'!$J$2:$J$110,MATCH(16,'Mapping'!$A$2:$A$110,0)),"")</f>
        <v/>
      </c>
      <c r="AK16" s="499">
        <f>IFERROR(INDEX('Mapping'!$K$2:$K$110,MATCH(16,'Mapping'!$A$2:$A$110,0)),"")</f>
        <v/>
      </c>
      <c r="AL16" s="498">
        <f>IFERROR(INDEX('E-Banker master'!$B$2:$B$186,MATCH($AJ16,'E-Banker master'!$A$2:$A$186,0)),"")</f>
        <v/>
      </c>
      <c r="AM16" s="495">
        <f>IFERROR(INDEX('E-Banker master'!$E$2:$E$186,MATCH($AJ16,'E-Banker master'!$A$2:$A$186,0)),"")</f>
        <v/>
      </c>
      <c r="AN16" s="496">
        <f>IFERROR(INDEX('E-Banker master'!$N$2:$N$186,MATCH($AJ16,'E-Banker master'!$A$2:$A$186,0)),"")</f>
        <v/>
      </c>
      <c r="AO16" s="502">
        <f>IFERROR(INDEX('E-Banker master'!$O$2:$O$186,MATCH($AJ16,'E-Banker master'!$A$2:$A$186,0)),"")</f>
        <v/>
      </c>
      <c r="AP16" s="500">
        <f>IFERROR(INDEX('E-Banker master'!$P$2:$P$186,MATCH($AJ16,'E-Banker master'!$A$2:$A$186,0)),"")</f>
        <v/>
      </c>
      <c r="AQ16" s="496">
        <f>IF(OR($AJ16="",AP16=""),"",R16-AP16)</f>
        <v/>
      </c>
    </row>
    <row r="17">
      <c r="A17" s="408" t="n"/>
      <c r="B17" s="408" t="n"/>
      <c r="C17" s="408" t="n"/>
      <c r="D17" s="426" t="n">
        <v>13</v>
      </c>
      <c r="E17" s="440" t="inlineStr">
        <is>
          <t>Maluso Cooperative Union (MCU)</t>
        </is>
      </c>
      <c r="F17" s="239" t="inlineStr">
        <is>
          <t>Debt</t>
        </is>
      </c>
      <c r="G17" s="240" t="n">
        <v>44553</v>
      </c>
      <c r="H17" s="240" t="n">
        <v>45291</v>
      </c>
      <c r="I17" s="241">
        <f>(H17-G17)/365</f>
        <v/>
      </c>
      <c r="J17" s="242" t="inlineStr">
        <is>
          <t>3 (Cap+Int)</t>
        </is>
      </c>
      <c r="K17" s="243" t="n">
        <v>10</v>
      </c>
      <c r="L17" s="239" t="n">
        <v>11511500</v>
      </c>
      <c r="M17" s="244" t="n">
        <v>11511500</v>
      </c>
      <c r="N17" s="239">
        <f>L17-M17</f>
        <v/>
      </c>
      <c r="O17" s="245">
        <f>M17</f>
        <v/>
      </c>
      <c r="P17" s="239">
        <f>'Amortisation and Repayments'!H1046+SUM('Amortisation and Repayments'!H1055:H1078)</f>
        <v/>
      </c>
      <c r="Q17" s="239">
        <f>-SUM('Amortisation and Repayments'!K1055:K1078)</f>
        <v/>
      </c>
      <c r="R17" s="360" t="n">
        <v>0</v>
      </c>
      <c r="S17" s="246" t="n">
        <v>0</v>
      </c>
      <c r="T17" s="246" t="n">
        <v>0</v>
      </c>
      <c r="U17" s="409">
        <f>+SUM(S17:T17)</f>
        <v/>
      </c>
      <c r="V17" s="247" t="n"/>
      <c r="W17" s="239" t="n"/>
      <c r="X17" s="239" t="n"/>
      <c r="Y17" s="239" t="n">
        <v>0</v>
      </c>
      <c r="Z17" s="239">
        <f>U17-Y17</f>
        <v/>
      </c>
      <c r="AJ17" s="498">
        <f>IFERROR(INDEX('Mapping'!$J$2:$J$110,MATCH(17,'Mapping'!$A$2:$A$110,0)),"")</f>
        <v/>
      </c>
      <c r="AK17" s="499">
        <f>IFERROR(INDEX('Mapping'!$K$2:$K$110,MATCH(17,'Mapping'!$A$2:$A$110,0)),"")</f>
        <v/>
      </c>
      <c r="AL17" s="498">
        <f>IFERROR(INDEX('E-Banker master'!$B$2:$B$186,MATCH($AJ17,'E-Banker master'!$A$2:$A$186,0)),"")</f>
        <v/>
      </c>
      <c r="AM17" s="495">
        <f>IFERROR(INDEX('E-Banker master'!$E$2:$E$186,MATCH($AJ17,'E-Banker master'!$A$2:$A$186,0)),"")</f>
        <v/>
      </c>
      <c r="AN17" s="496">
        <f>IFERROR(INDEX('E-Banker master'!$N$2:$N$186,MATCH($AJ17,'E-Banker master'!$A$2:$A$186,0)),"")</f>
        <v/>
      </c>
      <c r="AO17" s="496">
        <f>IFERROR(INDEX('E-Banker master'!$O$2:$O$186,MATCH($AJ17,'E-Banker master'!$A$2:$A$186,0)),"")</f>
        <v/>
      </c>
      <c r="AP17" s="500">
        <f>IFERROR(INDEX('E-Banker master'!$P$2:$P$186,MATCH($AJ17,'E-Banker master'!$A$2:$A$186,0)),"")</f>
        <v/>
      </c>
      <c r="AQ17" s="496">
        <f>IF(OR($AJ17="",AP17=""),"",R17-AP17)</f>
        <v/>
      </c>
    </row>
    <row r="18">
      <c r="A18" s="408" t="n"/>
      <c r="B18" s="408" t="n"/>
      <c r="C18" s="408" t="n"/>
      <c r="D18" s="392" t="n">
        <v>14</v>
      </c>
      <c r="E18" s="175" t="inlineStr">
        <is>
          <t>Ndagha Sustainable Food Ltd</t>
        </is>
      </c>
      <c r="F18" s="186" t="inlineStr">
        <is>
          <t>Debt</t>
        </is>
      </c>
      <c r="G18" s="187" t="n">
        <v>44554</v>
      </c>
      <c r="H18" s="187" t="n">
        <v>45291</v>
      </c>
      <c r="I18" s="188" t="n">
        <v>2.019178082191781</v>
      </c>
      <c r="J18" s="192" t="n">
        <v>0</v>
      </c>
      <c r="K18" s="179" t="n">
        <v>10</v>
      </c>
      <c r="L18" s="186" t="n">
        <v>10000000</v>
      </c>
      <c r="M18" s="190" t="n">
        <v>10000000</v>
      </c>
      <c r="N18" s="186" t="n">
        <v>0</v>
      </c>
      <c r="O18" s="191" t="n">
        <v>10000000</v>
      </c>
      <c r="P18" s="186" t="n">
        <v>1096700.12922314</v>
      </c>
      <c r="Q18" s="186" t="n">
        <v>-11096700.13</v>
      </c>
      <c r="R18" s="429" t="n">
        <v>-0.0007768590003252029</v>
      </c>
      <c r="S18" s="235" t="n"/>
      <c r="T18" s="235" t="n">
        <v>0</v>
      </c>
      <c r="U18" s="409" t="n">
        <v>0</v>
      </c>
      <c r="V18" s="195" t="n"/>
      <c r="W18" s="186" t="n"/>
      <c r="X18" s="186" t="n"/>
      <c r="Y18" s="266" t="n">
        <v>0</v>
      </c>
      <c r="Z18" s="192" t="n"/>
      <c r="AJ18" s="498">
        <f>IFERROR(INDEX('Mapping'!$J$2:$J$110,MATCH(18,'Mapping'!$A$2:$A$110,0)),"")</f>
        <v/>
      </c>
      <c r="AK18" s="499">
        <f>IFERROR(INDEX('Mapping'!$K$2:$K$110,MATCH(18,'Mapping'!$A$2:$A$110,0)),"")</f>
        <v/>
      </c>
      <c r="AL18" s="498">
        <f>IFERROR(INDEX('E-Banker master'!$B$2:$B$186,MATCH($AJ18,'E-Banker master'!$A$2:$A$186,0)),"")</f>
        <v/>
      </c>
      <c r="AM18" s="495">
        <f>IFERROR(INDEX('E-Banker master'!$E$2:$E$186,MATCH($AJ18,'E-Banker master'!$A$2:$A$186,0)),"")</f>
        <v/>
      </c>
      <c r="AN18" s="496">
        <f>IFERROR(INDEX('E-Banker master'!$N$2:$N$186,MATCH($AJ18,'E-Banker master'!$A$2:$A$186,0)),"")</f>
        <v/>
      </c>
      <c r="AO18" s="496">
        <f>IFERROR(INDEX('E-Banker master'!$O$2:$O$186,MATCH($AJ18,'E-Banker master'!$A$2:$A$186,0)),"")</f>
        <v/>
      </c>
      <c r="AP18" s="496">
        <f>IFERROR(INDEX('E-Banker master'!$P$2:$P$186,MATCH($AJ18,'E-Banker master'!$A$2:$A$186,0)),"")</f>
        <v/>
      </c>
      <c r="AQ18" s="496">
        <f>IF(OR($AJ18="",AP18=""),"",R18-AP18)</f>
        <v/>
      </c>
    </row>
    <row r="19">
      <c r="A19" s="408" t="n"/>
      <c r="B19" s="408" t="n"/>
      <c r="C19" s="408" t="n"/>
      <c r="D19" s="392" t="n">
        <v>15</v>
      </c>
      <c r="E19" s="175" t="inlineStr">
        <is>
          <t>Ecogen Ltd</t>
        </is>
      </c>
      <c r="F19" s="186" t="inlineStr">
        <is>
          <t>Debt</t>
        </is>
      </c>
      <c r="G19" s="187" t="n">
        <v>44551</v>
      </c>
      <c r="H19" s="187" t="n">
        <v>45291</v>
      </c>
      <c r="I19" s="188" t="n">
        <v>2.027397260273973</v>
      </c>
      <c r="J19" s="192" t="inlineStr">
        <is>
          <t>6 (Cap+Int)</t>
        </is>
      </c>
      <c r="K19" s="179" t="n">
        <v>10</v>
      </c>
      <c r="L19" s="186" t="n">
        <v>20000000</v>
      </c>
      <c r="M19" s="190" t="n">
        <v>20000000</v>
      </c>
      <c r="N19" s="186" t="n">
        <v>0</v>
      </c>
      <c r="O19" s="191" t="n">
        <v>20000000</v>
      </c>
      <c r="P19" s="186" t="n">
        <v>2784623.428787919</v>
      </c>
      <c r="Q19" s="186" t="n">
        <v>-22784623.45</v>
      </c>
      <c r="R19" s="429" t="n">
        <v>0</v>
      </c>
      <c r="S19" s="235" t="n"/>
      <c r="T19" s="235" t="n">
        <v>0</v>
      </c>
      <c r="U19" s="409" t="n">
        <v>0</v>
      </c>
      <c r="V19" s="195" t="n"/>
      <c r="W19" s="186" t="n">
        <v>0</v>
      </c>
      <c r="X19" s="186" t="n"/>
      <c r="Y19" s="266" t="n">
        <v>0</v>
      </c>
      <c r="Z19" s="192" t="n"/>
      <c r="AJ19" s="498">
        <f>IFERROR(INDEX('Mapping'!$J$2:$J$110,MATCH(19,'Mapping'!$A$2:$A$110,0)),"")</f>
        <v/>
      </c>
      <c r="AK19" s="499">
        <f>IFERROR(INDEX('Mapping'!$K$2:$K$110,MATCH(19,'Mapping'!$A$2:$A$110,0)),"")</f>
        <v/>
      </c>
      <c r="AL19" s="498">
        <f>IFERROR(INDEX('E-Banker master'!$B$2:$B$186,MATCH($AJ19,'E-Banker master'!$A$2:$A$186,0)),"")</f>
        <v/>
      </c>
      <c r="AM19" s="495">
        <f>IFERROR(INDEX('E-Banker master'!$E$2:$E$186,MATCH($AJ19,'E-Banker master'!$A$2:$A$186,0)),"")</f>
        <v/>
      </c>
      <c r="AN19" s="496">
        <f>IFERROR(INDEX('E-Banker master'!$N$2:$N$186,MATCH($AJ19,'E-Banker master'!$A$2:$A$186,0)),"")</f>
        <v/>
      </c>
      <c r="AO19" s="496">
        <f>IFERROR(INDEX('E-Banker master'!$O$2:$O$186,MATCH($AJ19,'E-Banker master'!$A$2:$A$186,0)),"")</f>
        <v/>
      </c>
      <c r="AP19" s="496">
        <f>IFERROR(INDEX('E-Banker master'!$P$2:$P$186,MATCH($AJ19,'E-Banker master'!$A$2:$A$186,0)),"")</f>
        <v/>
      </c>
      <c r="AQ19" s="496">
        <f>IF(OR($AJ19="",AP19=""),"",R19-AP19)</f>
        <v/>
      </c>
    </row>
    <row r="20">
      <c r="A20" s="408" t="n"/>
      <c r="B20" s="408" t="n"/>
      <c r="C20" s="408" t="n"/>
      <c r="D20" s="426" t="n">
        <v>16</v>
      </c>
      <c r="E20" s="438" t="inlineStr">
        <is>
          <t>Zaithwa Farms</t>
        </is>
      </c>
      <c r="F20" s="223" t="inlineStr">
        <is>
          <t>Debt</t>
        </is>
      </c>
      <c r="G20" s="225" t="n">
        <v>44551</v>
      </c>
      <c r="H20" s="225" t="n">
        <v>45275</v>
      </c>
      <c r="I20" s="226">
        <f>(H20-G20)/365</f>
        <v/>
      </c>
      <c r="J20" s="227" t="n">
        <v>0</v>
      </c>
      <c r="K20" s="228" t="n">
        <v>10</v>
      </c>
      <c r="L20" s="223" t="n">
        <v>10000000</v>
      </c>
      <c r="M20" s="229" t="n">
        <v>10000000</v>
      </c>
      <c r="N20" s="223">
        <f>L20-M20</f>
        <v/>
      </c>
      <c r="O20" s="230">
        <f>M20</f>
        <v/>
      </c>
      <c r="P20" s="223">
        <f>'Amortisation and Repayments'!G913+SUM('Amortisation and Repayments'!H922:H946)</f>
        <v/>
      </c>
      <c r="Q20" s="223">
        <f>-SUM('Amortisation and Repayments'!K922:K946)</f>
        <v/>
      </c>
      <c r="R20" s="360">
        <f>SUM(O20:Q20)</f>
        <v/>
      </c>
      <c r="S20" s="265" t="n">
        <v>10000000</v>
      </c>
      <c r="T20" s="265">
        <f>SUM('Amortisation and Repayments'!H922:H945)</f>
        <v/>
      </c>
      <c r="U20" s="409">
        <f>+SUM(S20:T20)</f>
        <v/>
      </c>
      <c r="V20" s="276" t="n"/>
      <c r="W20" s="223" t="n"/>
      <c r="X20" s="223" t="n"/>
      <c r="Y20" s="272" t="n">
        <v>0</v>
      </c>
      <c r="Z20" s="273">
        <f>U20-Y20</f>
        <v/>
      </c>
      <c r="AJ20" s="498">
        <f>IFERROR(INDEX('Mapping'!$J$2:$J$110,MATCH(20,'Mapping'!$A$2:$A$110,0)),"")</f>
        <v/>
      </c>
      <c r="AK20" s="499">
        <f>IFERROR(INDEX('Mapping'!$K$2:$K$110,MATCH(20,'Mapping'!$A$2:$A$110,0)),"")</f>
        <v/>
      </c>
      <c r="AL20" s="495">
        <f>IFERROR(INDEX('E-Banker master'!$B$2:$B$186,MATCH($AJ20,'E-Banker master'!$A$2:$A$186,0)),"")</f>
        <v/>
      </c>
      <c r="AM20" s="495">
        <f>IFERROR(INDEX('E-Banker master'!$E$2:$E$186,MATCH($AJ20,'E-Banker master'!$A$2:$A$186,0)),"")</f>
        <v/>
      </c>
      <c r="AN20" s="496">
        <f>IFERROR(INDEX('E-Banker master'!$N$2:$N$186,MATCH($AJ20,'E-Banker master'!$A$2:$A$186,0)),"")</f>
        <v/>
      </c>
      <c r="AO20" s="496">
        <f>IFERROR(INDEX('E-Banker master'!$O$2:$O$186,MATCH($AJ20,'E-Banker master'!$A$2:$A$186,0)),"")</f>
        <v/>
      </c>
      <c r="AP20" s="496">
        <f>IFERROR(INDEX('E-Banker master'!$P$2:$P$186,MATCH($AJ20,'E-Banker master'!$A$2:$A$186,0)),"")</f>
        <v/>
      </c>
      <c r="AQ20" s="496">
        <f>IF(OR($AJ20="",AP20=""),"",R20-AP20)</f>
        <v/>
      </c>
    </row>
    <row r="21">
      <c r="A21" s="408" t="n"/>
      <c r="B21" s="408" t="n"/>
      <c r="C21" s="408" t="n"/>
      <c r="D21" s="392" t="n">
        <v>17</v>
      </c>
      <c r="E21" s="195" t="inlineStr">
        <is>
          <t>Beualaland Food Processors</t>
        </is>
      </c>
      <c r="F21" s="186" t="inlineStr">
        <is>
          <t>Debt</t>
        </is>
      </c>
      <c r="G21" s="187" t="n">
        <v>44208</v>
      </c>
      <c r="H21" s="187" t="n">
        <v>45657</v>
      </c>
      <c r="I21" s="188" t="n">
        <v>3</v>
      </c>
      <c r="J21" s="192" t="inlineStr">
        <is>
          <t>3 (Cap+Int)</t>
        </is>
      </c>
      <c r="K21" s="179" t="n">
        <v>10</v>
      </c>
      <c r="L21" s="186" t="n">
        <v>23616000</v>
      </c>
      <c r="M21" s="186" t="n">
        <v>23616000</v>
      </c>
      <c r="N21" s="186" t="n">
        <v>0</v>
      </c>
      <c r="O21" s="191">
        <f>M21</f>
        <v/>
      </c>
      <c r="P21" s="186">
        <f>SUM('[1]Amortisation and Repayments'!H962:H980)</f>
        <v/>
      </c>
      <c r="Q21" s="186">
        <f>-SUM('[1]Amortisation and Repayments'!K962:K986)+150078.02</f>
        <v/>
      </c>
      <c r="R21" s="427">
        <f>SUM(O21:Q21)</f>
        <v/>
      </c>
      <c r="S21" s="235" t="n">
        <v>0</v>
      </c>
      <c r="T21" s="235" t="n"/>
      <c r="U21" s="409">
        <f>+SUM(S21:T21)</f>
        <v/>
      </c>
      <c r="V21" s="195" t="n"/>
      <c r="W21" s="186" t="n">
        <v>0</v>
      </c>
      <c r="X21" s="186" t="n">
        <v>0</v>
      </c>
      <c r="Y21" s="266" t="n">
        <v>0</v>
      </c>
      <c r="Z21" s="195" t="n"/>
      <c r="AJ21" s="498">
        <f>IFERROR(INDEX('Mapping'!$J$2:$J$110,MATCH(21,'Mapping'!$A$2:$A$110,0)),"")</f>
        <v/>
      </c>
      <c r="AK21" s="499">
        <f>IFERROR(INDEX('Mapping'!$K$2:$K$110,MATCH(21,'Mapping'!$A$2:$A$110,0)),"")</f>
        <v/>
      </c>
      <c r="AL21" s="495">
        <f>IFERROR(INDEX('E-Banker master'!$B$2:$B$186,MATCH($AJ21,'E-Banker master'!$A$2:$A$186,0)),"")</f>
        <v/>
      </c>
      <c r="AM21" s="495">
        <f>IFERROR(INDEX('E-Banker master'!$E$2:$E$186,MATCH($AJ21,'E-Banker master'!$A$2:$A$186,0)),"")</f>
        <v/>
      </c>
      <c r="AN21" s="496">
        <f>IFERROR(INDEX('E-Banker master'!$N$2:$N$186,MATCH($AJ21,'E-Banker master'!$A$2:$A$186,0)),"")</f>
        <v/>
      </c>
      <c r="AO21" s="496">
        <f>IFERROR(INDEX('E-Banker master'!$O$2:$O$186,MATCH($AJ21,'E-Banker master'!$A$2:$A$186,0)),"")</f>
        <v/>
      </c>
      <c r="AP21" s="496">
        <f>IFERROR(INDEX('E-Banker master'!$P$2:$P$186,MATCH($AJ21,'E-Banker master'!$A$2:$A$186,0)),"")</f>
        <v/>
      </c>
      <c r="AQ21" s="496">
        <f>IF(OR($AJ21="",AP21=""),"",R21-AP21)</f>
        <v/>
      </c>
    </row>
    <row r="22">
      <c r="A22" s="408" t="n"/>
      <c r="B22" s="408" t="n"/>
      <c r="C22" s="408" t="n"/>
      <c r="D22" s="392" t="n">
        <v>18</v>
      </c>
      <c r="E22" s="437" t="inlineStr">
        <is>
          <t>Steel Base Furnitures</t>
        </is>
      </c>
      <c r="F22" s="223" t="inlineStr">
        <is>
          <t>Debt</t>
        </is>
      </c>
      <c r="G22" s="225" t="n">
        <v>44220</v>
      </c>
      <c r="H22" s="225" t="n">
        <v>45657</v>
      </c>
      <c r="I22" s="226" t="n">
        <v>2</v>
      </c>
      <c r="J22" s="227" t="inlineStr">
        <is>
          <t>3 (Cap+Int)</t>
        </is>
      </c>
      <c r="K22" s="228" t="n">
        <v>10</v>
      </c>
      <c r="L22" s="223" t="n">
        <v>14677500</v>
      </c>
      <c r="M22" s="229" t="n">
        <v>14677500</v>
      </c>
      <c r="N22" s="223" t="n">
        <v>0</v>
      </c>
      <c r="O22" s="230">
        <f>M22</f>
        <v/>
      </c>
      <c r="P22" s="223">
        <f>SUM('Amortisation and Repayments'!H1015:H1039)</f>
        <v/>
      </c>
      <c r="Q22" s="223">
        <f>-SUM('Amortisation and Repayments'!K1015:K1039)</f>
        <v/>
      </c>
      <c r="R22" s="360">
        <f>SUM(O22:Q22)</f>
        <v/>
      </c>
      <c r="S22" s="326" t="n">
        <v>0</v>
      </c>
      <c r="T22" s="265" t="n">
        <v>0</v>
      </c>
      <c r="U22" s="409">
        <f>+SUM(S22:T22)</f>
        <v/>
      </c>
      <c r="V22" s="276" t="n"/>
      <c r="W22" s="223" t="n">
        <v>0</v>
      </c>
      <c r="X22" s="223" t="n">
        <v>0</v>
      </c>
      <c r="Y22" s="223" t="n">
        <v>0</v>
      </c>
      <c r="Z22" s="273">
        <f>U22</f>
        <v/>
      </c>
      <c r="AJ22" s="498">
        <f>IFERROR(INDEX('Mapping'!$J$2:$J$110,MATCH(22,'Mapping'!$A$2:$A$110,0)),"")</f>
        <v/>
      </c>
      <c r="AK22" s="499">
        <f>IFERROR(INDEX('Mapping'!$K$2:$K$110,MATCH(22,'Mapping'!$A$2:$A$110,0)),"")</f>
        <v/>
      </c>
      <c r="AL22" s="498">
        <f>IFERROR(INDEX('E-Banker master'!$B$2:$B$186,MATCH($AJ22,'E-Banker master'!$A$2:$A$186,0)),"")</f>
        <v/>
      </c>
      <c r="AM22" s="495">
        <f>IFERROR(INDEX('E-Banker master'!$E$2:$E$186,MATCH($AJ22,'E-Banker master'!$A$2:$A$186,0)),"")</f>
        <v/>
      </c>
      <c r="AN22" s="496">
        <f>IFERROR(INDEX('E-Banker master'!$N$2:$N$186,MATCH($AJ22,'E-Banker master'!$A$2:$A$186,0)),"")</f>
        <v/>
      </c>
      <c r="AO22" s="496">
        <f>IFERROR(INDEX('E-Banker master'!$O$2:$O$186,MATCH($AJ22,'E-Banker master'!$A$2:$A$186,0)),"")</f>
        <v/>
      </c>
      <c r="AP22" s="496">
        <f>IFERROR(INDEX('E-Banker master'!$P$2:$P$186,MATCH($AJ22,'E-Banker master'!$A$2:$A$186,0)),"")</f>
        <v/>
      </c>
      <c r="AQ22" s="496">
        <f>IF(OR($AJ22="",AP22=""),"",R22-AP22)</f>
        <v/>
      </c>
    </row>
    <row r="23" customFormat="1" s="303">
      <c r="A23" s="418" t="n"/>
      <c r="B23" s="418" t="n"/>
      <c r="C23" s="418" t="n"/>
      <c r="D23" s="426" t="n">
        <v>19</v>
      </c>
      <c r="E23" s="175" t="inlineStr">
        <is>
          <t>Muddy Boots</t>
        </is>
      </c>
      <c r="F23" s="190" t="inlineStr">
        <is>
          <t>Debt</t>
        </is>
      </c>
      <c r="G23" s="419" t="n">
        <v>44595</v>
      </c>
      <c r="H23" s="419" t="n">
        <v>45322</v>
      </c>
      <c r="I23" s="420" t="n">
        <v>2</v>
      </c>
      <c r="J23" s="422" t="n">
        <v>0</v>
      </c>
      <c r="K23" s="415" t="n">
        <v>10</v>
      </c>
      <c r="L23" s="190" t="n">
        <v>13000000</v>
      </c>
      <c r="M23" s="190" t="n">
        <v>13000000</v>
      </c>
      <c r="N23" s="190" t="n">
        <v>0</v>
      </c>
      <c r="O23" s="302">
        <f>M23</f>
        <v/>
      </c>
      <c r="P23" s="190">
        <f>SUM('[1]Amortisation and Repayments'!H1094:H1111)</f>
        <v/>
      </c>
      <c r="Q23" s="190">
        <f>-SUM('[1]Amortisation and Repayments'!K1094:K1112)</f>
        <v/>
      </c>
      <c r="R23" s="429">
        <f>SUM(O23:Q23)</f>
        <v/>
      </c>
      <c r="S23" s="410" t="n"/>
      <c r="T23" s="410" t="n">
        <v>0</v>
      </c>
      <c r="U23" s="409">
        <f>+SUM(S23:T23)</f>
        <v/>
      </c>
      <c r="V23" s="175" t="n"/>
      <c r="W23" s="190" t="n">
        <v>0</v>
      </c>
      <c r="X23" s="190" t="n">
        <v>0</v>
      </c>
      <c r="Y23" s="416" t="n">
        <v>0</v>
      </c>
      <c r="Z23" s="175" t="n"/>
      <c r="AJ23" s="498">
        <f>IFERROR(INDEX('Mapping'!$J$2:$J$110,MATCH(23,'Mapping'!$A$2:$A$110,0)),"")</f>
        <v/>
      </c>
      <c r="AK23" s="499">
        <f>IFERROR(INDEX('Mapping'!$K$2:$K$110,MATCH(23,'Mapping'!$A$2:$A$110,0)),"")</f>
        <v/>
      </c>
      <c r="AL23" s="498">
        <f>IFERROR(INDEX('E-Banker master'!$B$2:$B$186,MATCH($AJ23,'E-Banker master'!$A$2:$A$186,0)),"")</f>
        <v/>
      </c>
      <c r="AM23" s="495">
        <f>IFERROR(INDEX('E-Banker master'!$E$2:$E$186,MATCH($AJ23,'E-Banker master'!$A$2:$A$186,0)),"")</f>
        <v/>
      </c>
      <c r="AN23" s="496">
        <f>IFERROR(INDEX('E-Banker master'!$N$2:$N$186,MATCH($AJ23,'E-Banker master'!$A$2:$A$186,0)),"")</f>
        <v/>
      </c>
      <c r="AO23" s="496">
        <f>IFERROR(INDEX('E-Banker master'!$O$2:$O$186,MATCH($AJ23,'E-Banker master'!$A$2:$A$186,0)),"")</f>
        <v/>
      </c>
      <c r="AP23" s="496">
        <f>IFERROR(INDEX('E-Banker master'!$P$2:$P$186,MATCH($AJ23,'E-Banker master'!$A$2:$A$186,0)),"")</f>
        <v/>
      </c>
      <c r="AQ23" s="496">
        <f>IF(OR($AJ23="",AP23=""),"",R23-AP23)</f>
        <v/>
      </c>
    </row>
    <row r="24" customFormat="1" s="303">
      <c r="A24" s="418" t="n"/>
      <c r="B24" s="418" t="n"/>
      <c r="C24" s="418" t="n"/>
      <c r="D24" s="392" t="n">
        <v>20</v>
      </c>
      <c r="E24" s="175" t="inlineStr">
        <is>
          <t>Zanzi Entertainment Ltd</t>
        </is>
      </c>
      <c r="F24" s="190" t="inlineStr">
        <is>
          <t>Debt</t>
        </is>
      </c>
      <c r="G24" s="419" t="n">
        <v>44603</v>
      </c>
      <c r="H24" s="419" t="n">
        <v>45350</v>
      </c>
      <c r="I24" s="420" t="n">
        <v>2</v>
      </c>
      <c r="J24" s="422" t="inlineStr">
        <is>
          <t>3 (Cap+Int)</t>
        </is>
      </c>
      <c r="K24" s="415" t="n">
        <v>10</v>
      </c>
      <c r="L24" s="190" t="n">
        <v>24000000</v>
      </c>
      <c r="M24" s="190" t="n">
        <v>24000000</v>
      </c>
      <c r="N24" s="190" t="n">
        <v>0</v>
      </c>
      <c r="O24" s="302">
        <f>M24</f>
        <v/>
      </c>
      <c r="P24" s="190">
        <f>SUM('[1]Amortisation and Repayments'!H1135:H1147)</f>
        <v/>
      </c>
      <c r="Q24" s="190">
        <f>-SUM('Amortisation and Repayments'!K1135:K1151)</f>
        <v/>
      </c>
      <c r="R24" s="429">
        <f>SUM(O24:Q24)</f>
        <v/>
      </c>
      <c r="S24" s="410" t="n">
        <v>0</v>
      </c>
      <c r="T24" s="410" t="n">
        <v>0</v>
      </c>
      <c r="U24" s="409">
        <f>+SUM(S24:T24)</f>
        <v/>
      </c>
      <c r="W24" s="190" t="n">
        <v>0</v>
      </c>
      <c r="X24" s="190" t="n">
        <v>0</v>
      </c>
      <c r="Y24" s="416" t="n">
        <v>0</v>
      </c>
      <c r="Z24" s="175" t="n"/>
      <c r="AJ24" s="498">
        <f>IFERROR(INDEX('Mapping'!$J$2:$J$110,MATCH(24,'Mapping'!$A$2:$A$110,0)),"")</f>
        <v/>
      </c>
      <c r="AK24" s="499">
        <f>IFERROR(INDEX('Mapping'!$K$2:$K$110,MATCH(24,'Mapping'!$A$2:$A$110,0)),"")</f>
        <v/>
      </c>
      <c r="AL24" s="498">
        <f>IFERROR(INDEX('E-Banker master'!$B$2:$B$186,MATCH($AJ24,'E-Banker master'!$A$2:$A$186,0)),"")</f>
        <v/>
      </c>
      <c r="AM24" s="495">
        <f>IFERROR(INDEX('E-Banker master'!$E$2:$E$186,MATCH($AJ24,'E-Banker master'!$A$2:$A$186,0)),"")</f>
        <v/>
      </c>
      <c r="AN24" s="496">
        <f>IFERROR(INDEX('E-Banker master'!$N$2:$N$186,MATCH($AJ24,'E-Banker master'!$A$2:$A$186,0)),"")</f>
        <v/>
      </c>
      <c r="AO24" s="496">
        <f>IFERROR(INDEX('E-Banker master'!$O$2:$O$186,MATCH($AJ24,'E-Banker master'!$A$2:$A$186,0)),"")</f>
        <v/>
      </c>
      <c r="AP24" s="496">
        <f>IFERROR(INDEX('E-Banker master'!$P$2:$P$186,MATCH($AJ24,'E-Banker master'!$A$2:$A$186,0)),"")</f>
        <v/>
      </c>
      <c r="AQ24" s="496">
        <f>IF(OR($AJ24="",AP24=""),"",R24-AP24)</f>
        <v/>
      </c>
    </row>
    <row r="25">
      <c r="A25" s="408" t="n"/>
      <c r="B25" s="408" t="n"/>
      <c r="C25" s="408" t="n"/>
      <c r="D25" s="425" t="n">
        <v>21</v>
      </c>
      <c r="E25" s="195" t="inlineStr">
        <is>
          <t>Kayola Processors</t>
        </is>
      </c>
      <c r="F25" s="186" t="inlineStr">
        <is>
          <t>Debt</t>
        </is>
      </c>
      <c r="G25" s="187" t="n">
        <v>44609</v>
      </c>
      <c r="H25" s="187" t="n">
        <v>45350</v>
      </c>
      <c r="I25" s="188" t="n">
        <v>2</v>
      </c>
      <c r="J25" s="192" t="inlineStr">
        <is>
          <t>3 (Cap+Int)</t>
        </is>
      </c>
      <c r="K25" s="179" t="n">
        <v>10</v>
      </c>
      <c r="L25" s="186" t="n">
        <v>20400000</v>
      </c>
      <c r="M25" s="186" t="n">
        <v>20400000</v>
      </c>
      <c r="N25" s="186" t="n">
        <v>0</v>
      </c>
      <c r="O25" s="191">
        <f>M25</f>
        <v/>
      </c>
      <c r="P25" s="186">
        <f>SUM('Amortisation and Repayments'!H1175:H1207)</f>
        <v/>
      </c>
      <c r="Q25" s="186">
        <f>-SUM('Amortisation and Repayments'!K1175:K1207)</f>
        <v/>
      </c>
      <c r="R25" s="302">
        <f>SUM(O25:Q25)</f>
        <v/>
      </c>
      <c r="S25" s="235">
        <f>SUM('Amortisation and Repayments'!I1207:I1207)</f>
        <v/>
      </c>
      <c r="T25" s="235">
        <f>'Amortisation and Repayments'!L1207-'Loan Book'!S25</f>
        <v/>
      </c>
      <c r="U25" s="409">
        <f>+SUM(S25:T25)</f>
        <v/>
      </c>
      <c r="V25" s="175" t="n"/>
      <c r="W25" s="186">
        <f>'Amortisation and Repayments'!G1207</f>
        <v/>
      </c>
      <c r="X25" s="186">
        <f>U25-W25</f>
        <v/>
      </c>
      <c r="Y25" s="266">
        <f>U25-W25-X25</f>
        <v/>
      </c>
      <c r="Z25" s="278" t="n">
        <v>0</v>
      </c>
      <c r="AJ25" s="498">
        <f>IFERROR(INDEX('Mapping'!$J$2:$J$110,MATCH(25,'Mapping'!$A$2:$A$110,0)),"")</f>
        <v/>
      </c>
      <c r="AK25" s="499">
        <f>IFERROR(INDEX('Mapping'!$K$2:$K$110,MATCH(25,'Mapping'!$A$2:$A$110,0)),"")</f>
        <v/>
      </c>
      <c r="AL25" s="498">
        <f>IFERROR(INDEX('E-Banker master'!$B$2:$B$186,MATCH($AJ25,'E-Banker master'!$A$2:$A$186,0)),"")</f>
        <v/>
      </c>
      <c r="AM25" s="495">
        <f>IFERROR(INDEX('E-Banker master'!$E$2:$E$186,MATCH($AJ25,'E-Banker master'!$A$2:$A$186,0)),"")</f>
        <v/>
      </c>
      <c r="AN25" s="496">
        <f>IFERROR(INDEX('E-Banker master'!$N$2:$N$186,MATCH($AJ25,'E-Banker master'!$A$2:$A$186,0)),"")</f>
        <v/>
      </c>
      <c r="AO25" s="496">
        <f>IFERROR(INDEX('E-Banker master'!$O$2:$O$186,MATCH($AJ25,'E-Banker master'!$A$2:$A$186,0)),"")</f>
        <v/>
      </c>
      <c r="AP25" s="500">
        <f>IFERROR(INDEX('E-Banker master'!$P$2:$P$186,MATCH($AJ25,'E-Banker master'!$A$2:$A$186,0)),"")</f>
        <v/>
      </c>
      <c r="AQ25" s="496">
        <f>IF(OR($AJ25="",AP25=""),"",R25-AP25)</f>
        <v/>
      </c>
    </row>
    <row r="26">
      <c r="A26" s="408" t="n"/>
      <c r="B26" s="408" t="n"/>
      <c r="C26" s="408" t="n"/>
      <c r="D26" s="426" t="n">
        <v>22</v>
      </c>
      <c r="E26" s="195" t="inlineStr">
        <is>
          <t>Malawi Fertilizer Co</t>
        </is>
      </c>
      <c r="F26" s="186" t="inlineStr">
        <is>
          <t>Debt</t>
        </is>
      </c>
      <c r="G26" s="187" t="n">
        <v>44631</v>
      </c>
      <c r="H26" s="187" t="n">
        <v>46823</v>
      </c>
      <c r="I26" s="188" t="n">
        <v>6</v>
      </c>
      <c r="J26" s="192" t="inlineStr">
        <is>
          <t>9(Cap+Int)</t>
        </is>
      </c>
      <c r="K26" s="179" t="n">
        <v>9.359999999999999</v>
      </c>
      <c r="L26" s="186">
        <f>850330*1036.2494</f>
        <v/>
      </c>
      <c r="M26" s="186" t="n">
        <v>552338180.3200001</v>
      </c>
      <c r="N26" s="186" t="n"/>
      <c r="O26" s="417">
        <f>M26</f>
        <v/>
      </c>
      <c r="P26" s="186">
        <f>SUM('[1]Amortisation and Repayments'!H1302:H1318)*1053.4336</f>
        <v/>
      </c>
      <c r="Q26" s="186" t="n">
        <v>-641889507.4400001</v>
      </c>
      <c r="R26" s="429">
        <f>SUM(O26:Q26)</f>
        <v/>
      </c>
      <c r="S26" s="235" t="n">
        <v>0</v>
      </c>
      <c r="T26" s="235" t="n">
        <v>0</v>
      </c>
      <c r="U26" s="409">
        <f>+SUM(S26:T26)</f>
        <v/>
      </c>
      <c r="V26" s="195" t="n"/>
      <c r="W26" s="186" t="n">
        <v>0</v>
      </c>
      <c r="X26" s="186" t="n">
        <v>0</v>
      </c>
      <c r="Y26" s="266" t="n">
        <v>0</v>
      </c>
      <c r="Z26" s="195" t="n"/>
      <c r="AJ26" s="498">
        <f>IFERROR(INDEX('Mapping'!$J$2:$J$110,MATCH(26,'Mapping'!$A$2:$A$110,0)),"")</f>
        <v/>
      </c>
      <c r="AK26" s="499">
        <f>IFERROR(INDEX('Mapping'!$K$2:$K$110,MATCH(26,'Mapping'!$A$2:$A$110,0)),"")</f>
        <v/>
      </c>
      <c r="AL26" s="498">
        <f>IFERROR(INDEX('E-Banker master'!$B$2:$B$186,MATCH($AJ26,'E-Banker master'!$A$2:$A$186,0)),"")</f>
        <v/>
      </c>
      <c r="AM26" s="495">
        <f>IFERROR(INDEX('E-Banker master'!$E$2:$E$186,MATCH($AJ26,'E-Banker master'!$A$2:$A$186,0)),"")</f>
        <v/>
      </c>
      <c r="AN26" s="496">
        <f>IFERROR(INDEX('E-Banker master'!$N$2:$N$186,MATCH($AJ26,'E-Banker master'!$A$2:$A$186,0)),"")</f>
        <v/>
      </c>
      <c r="AO26" s="496">
        <f>IFERROR(INDEX('E-Banker master'!$O$2:$O$186,MATCH($AJ26,'E-Banker master'!$A$2:$A$186,0)),"")</f>
        <v/>
      </c>
      <c r="AP26" s="496">
        <f>IFERROR(INDEX('E-Banker master'!$P$2:$P$186,MATCH($AJ26,'E-Banker master'!$A$2:$A$186,0)),"")</f>
        <v/>
      </c>
      <c r="AQ26" s="496">
        <f>IF(OR($AJ26="",AP26=""),"",R26-AP26)</f>
        <v/>
      </c>
    </row>
    <row r="27">
      <c r="A27" s="408" t="n"/>
      <c r="B27" s="408" t="n"/>
      <c r="C27" s="408" t="n"/>
      <c r="D27" s="392" t="n">
        <v>23</v>
      </c>
      <c r="E27" s="437" t="inlineStr">
        <is>
          <t>Mwachisosa Women Producers &amp; Marketing Co</t>
        </is>
      </c>
      <c r="F27" s="186" t="inlineStr">
        <is>
          <t>Debt</t>
        </is>
      </c>
      <c r="G27" s="187" t="n">
        <v>44644</v>
      </c>
      <c r="H27" s="187" t="n">
        <v>45382</v>
      </c>
      <c r="I27" s="188" t="n">
        <v>2</v>
      </c>
      <c r="J27" s="192" t="inlineStr">
        <is>
          <t>3 (Cap+Int)</t>
        </is>
      </c>
      <c r="K27" s="179" t="n">
        <v>10</v>
      </c>
      <c r="L27" s="186" t="n">
        <v>12500000</v>
      </c>
      <c r="M27" s="190" t="n">
        <v>12500000</v>
      </c>
      <c r="N27" s="186" t="n">
        <v>0</v>
      </c>
      <c r="O27" s="191">
        <f>M27</f>
        <v/>
      </c>
      <c r="P27" s="186">
        <f>SUM('Amortisation and Repayments'!H1248:H1279)</f>
        <v/>
      </c>
      <c r="Q27" s="186">
        <f>-SUM('Amortisation and Repayments'!K1248:K1279)</f>
        <v/>
      </c>
      <c r="R27" s="302">
        <f>SUM(O27:Q27)</f>
        <v/>
      </c>
      <c r="S27" s="235">
        <f>SUM('Amortisation and Repayments'!I1274:I1279)</f>
        <v/>
      </c>
      <c r="T27" s="235">
        <f>'Amortisation and Repayments'!L1279-'Loan Book'!S27</f>
        <v/>
      </c>
      <c r="U27" s="409">
        <f>+SUM(S27:T27)</f>
        <v/>
      </c>
      <c r="V27" s="195" t="n"/>
      <c r="W27" s="186">
        <f>'Amortisation and Repayments'!G1279</f>
        <v/>
      </c>
      <c r="X27" s="186">
        <f>W27*3</f>
        <v/>
      </c>
      <c r="Y27" s="266">
        <f>+U27-W27-X27</f>
        <v/>
      </c>
      <c r="Z27" s="278" t="n">
        <v>0</v>
      </c>
      <c r="AJ27" s="498">
        <f>IFERROR(INDEX('Mapping'!$J$2:$J$110,MATCH(27,'Mapping'!$A$2:$A$110,0)),"")</f>
        <v/>
      </c>
      <c r="AK27" s="499">
        <f>IFERROR(INDEX('Mapping'!$K$2:$K$110,MATCH(27,'Mapping'!$A$2:$A$110,0)),"")</f>
        <v/>
      </c>
      <c r="AL27" s="498">
        <f>IFERROR(INDEX('E-Banker master'!$B$2:$B$186,MATCH($AJ27,'E-Banker master'!$A$2:$A$186,0)),"")</f>
        <v/>
      </c>
      <c r="AM27" s="495">
        <f>IFERROR(INDEX('E-Banker master'!$E$2:$E$186,MATCH($AJ27,'E-Banker master'!$A$2:$A$186,0)),"")</f>
        <v/>
      </c>
      <c r="AN27" s="496">
        <f>IFERROR(INDEX('E-Banker master'!$N$2:$N$186,MATCH($AJ27,'E-Banker master'!$A$2:$A$186,0)),"")</f>
        <v/>
      </c>
      <c r="AO27" s="496">
        <f>IFERROR(INDEX('E-Banker master'!$O$2:$O$186,MATCH($AJ27,'E-Banker master'!$A$2:$A$186,0)),"")</f>
        <v/>
      </c>
      <c r="AP27" s="496">
        <f>IFERROR(INDEX('E-Banker master'!$P$2:$P$186,MATCH($AJ27,'E-Banker master'!$A$2:$A$186,0)),"")</f>
        <v/>
      </c>
      <c r="AQ27" s="496">
        <f>IF(OR($AJ27="",AP27=""),"",R27-AP27)</f>
        <v/>
      </c>
    </row>
    <row r="28">
      <c r="A28" s="408" t="n"/>
      <c r="B28" s="408" t="n"/>
      <c r="C28" s="408" t="n"/>
      <c r="D28" s="392" t="n">
        <v>24</v>
      </c>
      <c r="E28" s="175" t="inlineStr">
        <is>
          <t>Natures Gift</t>
        </is>
      </c>
      <c r="F28" s="186" t="inlineStr">
        <is>
          <t>Debt</t>
        </is>
      </c>
      <c r="G28" s="187" t="n">
        <v>44673</v>
      </c>
      <c r="H28" s="187" t="n">
        <v>45747</v>
      </c>
      <c r="I28" s="188" t="n">
        <v>3</v>
      </c>
      <c r="J28" s="192" t="n">
        <v>0</v>
      </c>
      <c r="K28" s="179" t="n">
        <v>10</v>
      </c>
      <c r="L28" s="186" t="n">
        <v>24600000</v>
      </c>
      <c r="M28" s="190" t="n">
        <v>24600000</v>
      </c>
      <c r="N28" s="186" t="n"/>
      <c r="O28" s="191">
        <f>M28</f>
        <v/>
      </c>
      <c r="P28" s="350">
        <f>SUM('Amortisation and Repayments'!H1395:H1425)</f>
        <v/>
      </c>
      <c r="Q28" s="186">
        <f>-SUM('Amortisation and Repayments'!K1395:K1425)</f>
        <v/>
      </c>
      <c r="R28" s="302">
        <f>SUM(O28:Q28)</f>
        <v/>
      </c>
      <c r="S28" s="235" t="n"/>
      <c r="T28" s="235" t="n"/>
      <c r="U28" s="409">
        <f>+SUM(S28:T28)</f>
        <v/>
      </c>
      <c r="V28" s="195" t="n"/>
      <c r="W28" s="186" t="n"/>
      <c r="X28" s="186" t="n"/>
      <c r="Y28" s="266" t="n"/>
      <c r="Z28" s="195" t="n"/>
      <c r="AJ28" s="498">
        <f>IFERROR(INDEX('Mapping'!$J$2:$J$110,MATCH(28,'Mapping'!$A$2:$A$110,0)),"")</f>
        <v/>
      </c>
      <c r="AK28" s="499">
        <f>IFERROR(INDEX('Mapping'!$K$2:$K$110,MATCH(28,'Mapping'!$A$2:$A$110,0)),"")</f>
        <v/>
      </c>
      <c r="AL28" s="495">
        <f>IFERROR(INDEX('E-Banker master'!$B$2:$B$186,MATCH($AJ28,'E-Banker master'!$A$2:$A$186,0)),"")</f>
        <v/>
      </c>
      <c r="AM28" s="495">
        <f>IFERROR(INDEX('E-Banker master'!$E$2:$E$186,MATCH($AJ28,'E-Banker master'!$A$2:$A$186,0)),"")</f>
        <v/>
      </c>
      <c r="AN28" s="496">
        <f>IFERROR(INDEX('E-Banker master'!$N$2:$N$186,MATCH($AJ28,'E-Banker master'!$A$2:$A$186,0)),"")</f>
        <v/>
      </c>
      <c r="AO28" s="496">
        <f>IFERROR(INDEX('E-Banker master'!$O$2:$O$186,MATCH($AJ28,'E-Banker master'!$A$2:$A$186,0)),"")</f>
        <v/>
      </c>
      <c r="AP28" s="496">
        <f>IFERROR(INDEX('E-Banker master'!$P$2:$P$186,MATCH($AJ28,'E-Banker master'!$A$2:$A$186,0)),"")</f>
        <v/>
      </c>
      <c r="AQ28" s="496">
        <f>IF(OR($AJ28="",AP28=""),"",R28-AP28)</f>
        <v/>
      </c>
    </row>
    <row r="29">
      <c r="A29" s="408" t="n"/>
      <c r="B29" s="408" t="n"/>
      <c r="C29" s="408" t="n"/>
      <c r="D29" s="426" t="n">
        <v>25</v>
      </c>
      <c r="E29" s="437" t="inlineStr">
        <is>
          <t>Allied Bricks and Blocks Limited</t>
        </is>
      </c>
      <c r="F29" s="186" t="inlineStr">
        <is>
          <t>Debt</t>
        </is>
      </c>
      <c r="G29" s="187" t="n">
        <v>44715</v>
      </c>
      <c r="H29" s="187">
        <f>'Amortisation and Repayments'!D1484</f>
        <v/>
      </c>
      <c r="I29" s="188" t="n">
        <v>2</v>
      </c>
      <c r="J29" s="192" t="inlineStr">
        <is>
          <t>3 (Cap+Int)</t>
        </is>
      </c>
      <c r="K29" s="179" t="n">
        <v>10</v>
      </c>
      <c r="L29" s="186" t="n">
        <v>12000000</v>
      </c>
      <c r="M29" s="190" t="n">
        <v>12000000</v>
      </c>
      <c r="N29" s="186" t="n"/>
      <c r="O29" s="191">
        <f>M29</f>
        <v/>
      </c>
      <c r="P29" s="186">
        <f>SUM('Amortisation and Repayments'!H1449:H1476)</f>
        <v/>
      </c>
      <c r="Q29" s="186">
        <f>-SUM('Amortisation and Repayments'!K1449:K1476)</f>
        <v/>
      </c>
      <c r="R29" s="302">
        <f>SUM(O29:Q29)</f>
        <v/>
      </c>
      <c r="S29" s="235" t="n">
        <v>0</v>
      </c>
      <c r="T29" s="235" t="n">
        <v>0</v>
      </c>
      <c r="U29" s="409">
        <f>+SUM(S29:T29)</f>
        <v/>
      </c>
      <c r="V29" s="195" t="n"/>
      <c r="W29" s="186">
        <f>+U29</f>
        <v/>
      </c>
      <c r="X29" s="186" t="n"/>
      <c r="Y29" s="186" t="n"/>
      <c r="Z29" s="278" t="n"/>
      <c r="AJ29" s="498">
        <f>IFERROR(INDEX('Mapping'!$J$2:$J$110,MATCH(29,'Mapping'!$A$2:$A$110,0)),"")</f>
        <v/>
      </c>
      <c r="AK29" s="499">
        <f>IFERROR(INDEX('Mapping'!$K$2:$K$110,MATCH(29,'Mapping'!$A$2:$A$110,0)),"")</f>
        <v/>
      </c>
      <c r="AL29" s="495">
        <f>IFERROR(INDEX('E-Banker master'!$B$2:$B$186,MATCH($AJ29,'E-Banker master'!$A$2:$A$186,0)),"")</f>
        <v/>
      </c>
      <c r="AM29" s="495">
        <f>IFERROR(INDEX('E-Banker master'!$E$2:$E$186,MATCH($AJ29,'E-Banker master'!$A$2:$A$186,0)),"")</f>
        <v/>
      </c>
      <c r="AN29" s="496">
        <f>IFERROR(INDEX('E-Banker master'!$N$2:$N$186,MATCH($AJ29,'E-Banker master'!$A$2:$A$186,0)),"")</f>
        <v/>
      </c>
      <c r="AO29" s="496">
        <f>IFERROR(INDEX('E-Banker master'!$O$2:$O$186,MATCH($AJ29,'E-Banker master'!$A$2:$A$186,0)),"")</f>
        <v/>
      </c>
      <c r="AP29" s="496">
        <f>IFERROR(INDEX('E-Banker master'!$P$2:$P$186,MATCH($AJ29,'E-Banker master'!$A$2:$A$186,0)),"")</f>
        <v/>
      </c>
      <c r="AQ29" s="496">
        <f>IF(OR($AJ29="",AP29=""),"",R29-AP29)</f>
        <v/>
      </c>
    </row>
    <row r="30">
      <c r="A30" s="408" t="n"/>
      <c r="B30" s="408" t="n"/>
      <c r="C30" s="408" t="n"/>
      <c r="D30" s="392" t="n">
        <v>26</v>
      </c>
      <c r="E30" s="175" t="inlineStr">
        <is>
          <t>Lapani Farms</t>
        </is>
      </c>
      <c r="F30" s="186" t="inlineStr">
        <is>
          <t>Debt</t>
        </is>
      </c>
      <c r="G30" s="187" t="n">
        <v>44715</v>
      </c>
      <c r="H30" s="187" t="n">
        <v>45443</v>
      </c>
      <c r="I30" s="188" t="n">
        <v>2</v>
      </c>
      <c r="J30" s="192" t="inlineStr">
        <is>
          <t>3 (Cap+Int)</t>
        </is>
      </c>
      <c r="K30" s="179" t="n">
        <v>10</v>
      </c>
      <c r="L30" s="186" t="n">
        <v>10900000</v>
      </c>
      <c r="M30" s="190" t="n">
        <v>10900000</v>
      </c>
      <c r="N30" s="186" t="n"/>
      <c r="O30" s="191" t="n">
        <v>10900000</v>
      </c>
      <c r="P30" s="186" t="n">
        <v>1320716.846146784</v>
      </c>
      <c r="Q30" s="186" t="n">
        <v>-12216000</v>
      </c>
      <c r="R30" s="429" t="n">
        <v>0</v>
      </c>
      <c r="S30" s="235" t="n"/>
      <c r="T30" s="235" t="n">
        <v>0</v>
      </c>
      <c r="U30" s="409" t="n">
        <v>0</v>
      </c>
      <c r="V30" s="195" t="n"/>
      <c r="W30" s="186" t="n">
        <v>0</v>
      </c>
      <c r="X30" s="186" t="n">
        <v>0</v>
      </c>
      <c r="Y30" s="266" t="n">
        <v>0</v>
      </c>
      <c r="Z30" s="195" t="n"/>
      <c r="AJ30" s="498">
        <f>IFERROR(INDEX('Mapping'!$J$2:$J$110,MATCH(30,'Mapping'!$A$2:$A$110,0)),"")</f>
        <v/>
      </c>
      <c r="AK30" s="499">
        <f>IFERROR(INDEX('Mapping'!$K$2:$K$110,MATCH(30,'Mapping'!$A$2:$A$110,0)),"")</f>
        <v/>
      </c>
      <c r="AL30" s="495">
        <f>IFERROR(INDEX('E-Banker master'!$B$2:$B$186,MATCH($AJ30,'E-Banker master'!$A$2:$A$186,0)),"")</f>
        <v/>
      </c>
      <c r="AM30" s="495">
        <f>IFERROR(INDEX('E-Banker master'!$E$2:$E$186,MATCH($AJ30,'E-Banker master'!$A$2:$A$186,0)),"")</f>
        <v/>
      </c>
      <c r="AN30" s="496">
        <f>IFERROR(INDEX('E-Banker master'!$N$2:$N$186,MATCH($AJ30,'E-Banker master'!$A$2:$A$186,0)),"")</f>
        <v/>
      </c>
      <c r="AO30" s="496">
        <f>IFERROR(INDEX('E-Banker master'!$O$2:$O$186,MATCH($AJ30,'E-Banker master'!$A$2:$A$186,0)),"")</f>
        <v/>
      </c>
      <c r="AP30" s="496">
        <f>IFERROR(INDEX('E-Banker master'!$P$2:$P$186,MATCH($AJ30,'E-Banker master'!$A$2:$A$186,0)),"")</f>
        <v/>
      </c>
      <c r="AQ30" s="496">
        <f>IF(OR($AJ30="",AP30=""),"",R30-AP30)</f>
        <v/>
      </c>
    </row>
    <row r="31">
      <c r="A31" s="408" t="n"/>
      <c r="B31" s="408" t="n"/>
      <c r="C31" s="408" t="n"/>
      <c r="D31" s="392" t="n">
        <v>27</v>
      </c>
      <c r="E31" s="175" t="inlineStr">
        <is>
          <t>Mawindo Enterprise</t>
        </is>
      </c>
      <c r="F31" s="186" t="inlineStr">
        <is>
          <t>Debt</t>
        </is>
      </c>
      <c r="G31" s="187" t="n">
        <v>44715</v>
      </c>
      <c r="H31" s="187" t="n">
        <v>45443</v>
      </c>
      <c r="I31" s="188" t="n">
        <v>2</v>
      </c>
      <c r="J31" s="192" t="inlineStr">
        <is>
          <t>3 (Cap+Int)</t>
        </is>
      </c>
      <c r="K31" s="179" t="n">
        <v>10</v>
      </c>
      <c r="L31" s="186" t="n">
        <v>20000000</v>
      </c>
      <c r="M31" s="190" t="n">
        <v>20000000</v>
      </c>
      <c r="N31" s="186" t="n"/>
      <c r="O31" s="191" t="n">
        <v>20000000</v>
      </c>
      <c r="P31" s="186" t="n">
        <v>2396932.763724766</v>
      </c>
      <c r="Q31" s="186" t="n">
        <v>-22423352.73</v>
      </c>
      <c r="R31" s="429" t="n">
        <v>0</v>
      </c>
      <c r="S31" s="235" t="n"/>
      <c r="T31" s="235" t="n"/>
      <c r="U31" s="409" t="n">
        <v>0</v>
      </c>
      <c r="V31" s="195" t="n"/>
      <c r="W31" s="186" t="n"/>
      <c r="X31" s="186" t="n"/>
      <c r="Y31" s="266" t="n"/>
      <c r="Z31" s="195" t="n"/>
      <c r="AJ31" s="498">
        <f>IFERROR(INDEX('Mapping'!$J$2:$J$110,MATCH(31,'Mapping'!$A$2:$A$110,0)),"")</f>
        <v/>
      </c>
      <c r="AK31" s="499">
        <f>IFERROR(INDEX('Mapping'!$K$2:$K$110,MATCH(31,'Mapping'!$A$2:$A$110,0)),"")</f>
        <v/>
      </c>
      <c r="AL31" s="495">
        <f>IFERROR(INDEX('E-Banker master'!$B$2:$B$186,MATCH($AJ31,'E-Banker master'!$A$2:$A$186,0)),"")</f>
        <v/>
      </c>
      <c r="AM31" s="495">
        <f>IFERROR(INDEX('E-Banker master'!$E$2:$E$186,MATCH($AJ31,'E-Banker master'!$A$2:$A$186,0)),"")</f>
        <v/>
      </c>
      <c r="AN31" s="496">
        <f>IFERROR(INDEX('E-Banker master'!$N$2:$N$186,MATCH($AJ31,'E-Banker master'!$A$2:$A$186,0)),"")</f>
        <v/>
      </c>
      <c r="AO31" s="496">
        <f>IFERROR(INDEX('E-Banker master'!$O$2:$O$186,MATCH($AJ31,'E-Banker master'!$A$2:$A$186,0)),"")</f>
        <v/>
      </c>
      <c r="AP31" s="500">
        <f>IFERROR(INDEX('E-Banker master'!$P$2:$P$186,MATCH($AJ31,'E-Banker master'!$A$2:$A$186,0)),"")</f>
        <v/>
      </c>
      <c r="AQ31" s="496">
        <f>IF(OR($AJ31="",AP31=""),"",R31-AP31)</f>
        <v/>
      </c>
    </row>
    <row r="32">
      <c r="A32" s="408" t="n"/>
      <c r="B32" s="408" t="n"/>
      <c r="C32" s="408" t="n"/>
      <c r="D32" s="426" t="n">
        <v>28</v>
      </c>
      <c r="E32" s="175" t="inlineStr">
        <is>
          <t>L J Traders &amp; Suppliers</t>
        </is>
      </c>
      <c r="F32" s="186" t="inlineStr">
        <is>
          <t>Debt</t>
        </is>
      </c>
      <c r="G32" s="187" t="n">
        <v>44715</v>
      </c>
      <c r="H32" s="187" t="n">
        <v>45443</v>
      </c>
      <c r="I32" s="188" t="n">
        <v>2</v>
      </c>
      <c r="J32" s="192" t="inlineStr">
        <is>
          <t>3 (Cap+Int)</t>
        </is>
      </c>
      <c r="K32" s="179" t="n">
        <v>10</v>
      </c>
      <c r="L32" s="186" t="n">
        <v>10000000</v>
      </c>
      <c r="M32" s="190" t="n">
        <v>10000000</v>
      </c>
      <c r="N32" s="186" t="n"/>
      <c r="O32" s="191" t="n">
        <v>10000000</v>
      </c>
      <c r="P32" s="186" t="n">
        <v>1211666.831327325</v>
      </c>
      <c r="Q32" s="186" t="n">
        <v>-11232000</v>
      </c>
      <c r="R32" s="429" t="n">
        <v>0</v>
      </c>
      <c r="S32" s="235" t="n"/>
      <c r="T32" s="235" t="n"/>
      <c r="U32" s="409" t="n"/>
      <c r="V32" s="195" t="n"/>
      <c r="W32" s="186" t="n"/>
      <c r="X32" s="186" t="n"/>
      <c r="Y32" s="266" t="n"/>
      <c r="Z32" s="195" t="n"/>
      <c r="AJ32" s="498">
        <f>IFERROR(INDEX('Mapping'!$J$2:$J$110,MATCH(32,'Mapping'!$A$2:$A$110,0)),"")</f>
        <v/>
      </c>
      <c r="AK32" s="499">
        <f>IFERROR(INDEX('Mapping'!$K$2:$K$110,MATCH(32,'Mapping'!$A$2:$A$110,0)),"")</f>
        <v/>
      </c>
      <c r="AL32" s="495">
        <f>IFERROR(INDEX('E-Banker master'!$B$2:$B$186,MATCH($AJ32,'E-Banker master'!$A$2:$A$186,0)),"")</f>
        <v/>
      </c>
      <c r="AM32" s="495">
        <f>IFERROR(INDEX('E-Banker master'!$E$2:$E$186,MATCH($AJ32,'E-Banker master'!$A$2:$A$186,0)),"")</f>
        <v/>
      </c>
      <c r="AN32" s="496">
        <f>IFERROR(INDEX('E-Banker master'!$N$2:$N$186,MATCH($AJ32,'E-Banker master'!$A$2:$A$186,0)),"")</f>
        <v/>
      </c>
      <c r="AO32" s="496">
        <f>IFERROR(INDEX('E-Banker master'!$O$2:$O$186,MATCH($AJ32,'E-Banker master'!$A$2:$A$186,0)),"")</f>
        <v/>
      </c>
      <c r="AP32" s="496">
        <f>IFERROR(INDEX('E-Banker master'!$P$2:$P$186,MATCH($AJ32,'E-Banker master'!$A$2:$A$186,0)),"")</f>
        <v/>
      </c>
      <c r="AQ32" s="496">
        <f>IF(OR($AJ32="",AP32=""),"",R32-AP32)</f>
        <v/>
      </c>
    </row>
    <row r="33">
      <c r="A33" s="408" t="n"/>
      <c r="B33" s="408" t="n"/>
      <c r="C33" s="408" t="n"/>
      <c r="D33" s="392" t="n">
        <v>29</v>
      </c>
      <c r="E33" s="175" t="inlineStr">
        <is>
          <t>Chikwendeni General Dealers</t>
        </is>
      </c>
      <c r="F33" s="186" t="inlineStr">
        <is>
          <t>Debt</t>
        </is>
      </c>
      <c r="G33" s="187" t="n">
        <v>44715</v>
      </c>
      <c r="H33" s="187" t="n">
        <v>45443</v>
      </c>
      <c r="I33" s="188" t="n">
        <v>2</v>
      </c>
      <c r="J33" s="192" t="inlineStr">
        <is>
          <t>3 (Cap+Int)</t>
        </is>
      </c>
      <c r="K33" s="179" t="n">
        <v>10</v>
      </c>
      <c r="L33" s="186" t="n">
        <v>24000000</v>
      </c>
      <c r="M33" s="190" t="n">
        <v>24000000</v>
      </c>
      <c r="N33" s="186" t="n"/>
      <c r="O33" s="191" t="n">
        <v>24000000</v>
      </c>
      <c r="P33" s="186" t="n">
        <v>2750896.940113362</v>
      </c>
      <c r="Q33" s="186" t="n">
        <v>-26750896.94</v>
      </c>
      <c r="R33" s="429">
        <f>SUM(O33:Q33)</f>
        <v/>
      </c>
      <c r="S33" s="235" t="n">
        <v>0</v>
      </c>
      <c r="T33" s="235" t="n"/>
      <c r="U33" s="409" t="n">
        <v>0</v>
      </c>
      <c r="V33" s="195" t="n"/>
      <c r="W33" s="186" t="n">
        <v>0</v>
      </c>
      <c r="X33" s="186" t="n"/>
      <c r="Y33" s="266" t="n"/>
      <c r="Z33" s="195" t="n"/>
      <c r="AJ33" s="498">
        <f>IFERROR(INDEX('Mapping'!$J$2:$J$110,MATCH(33,'Mapping'!$A$2:$A$110,0)),"")</f>
        <v/>
      </c>
      <c r="AK33" s="499">
        <f>IFERROR(INDEX('Mapping'!$K$2:$K$110,MATCH(33,'Mapping'!$A$2:$A$110,0)),"")</f>
        <v/>
      </c>
      <c r="AL33" s="495">
        <f>IFERROR(INDEX('E-Banker master'!$B$2:$B$186,MATCH($AJ33,'E-Banker master'!$A$2:$A$186,0)),"")</f>
        <v/>
      </c>
      <c r="AM33" s="495">
        <f>IFERROR(INDEX('E-Banker master'!$E$2:$E$186,MATCH($AJ33,'E-Banker master'!$A$2:$A$186,0)),"")</f>
        <v/>
      </c>
      <c r="AN33" s="496">
        <f>IFERROR(INDEX('E-Banker master'!$N$2:$N$186,MATCH($AJ33,'E-Banker master'!$A$2:$A$186,0)),"")</f>
        <v/>
      </c>
      <c r="AO33" s="496">
        <f>IFERROR(INDEX('E-Banker master'!$O$2:$O$186,MATCH($AJ33,'E-Banker master'!$A$2:$A$186,0)),"")</f>
        <v/>
      </c>
      <c r="AP33" s="496">
        <f>IFERROR(INDEX('E-Banker master'!$P$2:$P$186,MATCH($AJ33,'E-Banker master'!$A$2:$A$186,0)),"")</f>
        <v/>
      </c>
      <c r="AQ33" s="496">
        <f>IF(OR($AJ33="",AP33=""),"",R33-AP33)</f>
        <v/>
      </c>
    </row>
    <row r="34">
      <c r="A34" s="408" t="n"/>
      <c r="B34" s="408" t="n"/>
      <c r="C34" s="408" t="n"/>
      <c r="D34" s="392" t="n">
        <v>30</v>
      </c>
      <c r="E34" s="175" t="inlineStr">
        <is>
          <t>Agwenda Investment Ltd</t>
        </is>
      </c>
      <c r="F34" s="186" t="inlineStr">
        <is>
          <t>Debt</t>
        </is>
      </c>
      <c r="G34" s="187" t="n">
        <v>44726</v>
      </c>
      <c r="H34" s="187" t="n">
        <v>45443</v>
      </c>
      <c r="I34" s="188" t="n">
        <v>2</v>
      </c>
      <c r="J34" s="192" t="inlineStr">
        <is>
          <t>3 (Cap+Int)</t>
        </is>
      </c>
      <c r="K34" s="179" t="n">
        <v>10</v>
      </c>
      <c r="L34" s="186" t="n">
        <v>24000000</v>
      </c>
      <c r="M34" s="190" t="n">
        <v>24000000</v>
      </c>
      <c r="N34" s="186" t="n"/>
      <c r="O34" s="191" t="n">
        <v>24000000</v>
      </c>
      <c r="P34" s="186" t="n">
        <v>2944391.641055295</v>
      </c>
      <c r="Q34" s="186" t="n">
        <v>-26946037.72</v>
      </c>
      <c r="R34" s="429" t="n">
        <v>0</v>
      </c>
      <c r="S34" s="235" t="n"/>
      <c r="T34" s="235" t="n"/>
      <c r="U34" s="409" t="n">
        <v>0</v>
      </c>
      <c r="V34" s="195" t="n"/>
      <c r="W34" s="186" t="n"/>
      <c r="X34" s="186" t="n"/>
      <c r="Y34" s="266" t="n"/>
      <c r="Z34" s="195" t="n"/>
      <c r="AJ34" s="498">
        <f>IFERROR(INDEX('Mapping'!$J$2:$J$110,MATCH(34,'Mapping'!$A$2:$A$110,0)),"")</f>
        <v/>
      </c>
      <c r="AK34" s="499">
        <f>IFERROR(INDEX('Mapping'!$K$2:$K$110,MATCH(34,'Mapping'!$A$2:$A$110,0)),"")</f>
        <v/>
      </c>
      <c r="AL34" s="495">
        <f>IFERROR(INDEX('E-Banker master'!$B$2:$B$186,MATCH($AJ34,'E-Banker master'!$A$2:$A$186,0)),"")</f>
        <v/>
      </c>
      <c r="AM34" s="495">
        <f>IFERROR(INDEX('E-Banker master'!$E$2:$E$186,MATCH($AJ34,'E-Banker master'!$A$2:$A$186,0)),"")</f>
        <v/>
      </c>
      <c r="AN34" s="496">
        <f>IFERROR(INDEX('E-Banker master'!$N$2:$N$186,MATCH($AJ34,'E-Banker master'!$A$2:$A$186,0)),"")</f>
        <v/>
      </c>
      <c r="AO34" s="496">
        <f>IFERROR(INDEX('E-Banker master'!$O$2:$O$186,MATCH($AJ34,'E-Banker master'!$A$2:$A$186,0)),"")</f>
        <v/>
      </c>
      <c r="AP34" s="496">
        <f>IFERROR(INDEX('E-Banker master'!$P$2:$P$186,MATCH($AJ34,'E-Banker master'!$A$2:$A$186,0)),"")</f>
        <v/>
      </c>
      <c r="AQ34" s="496">
        <f>IF(OR($AJ34="",AP34=""),"",R34-AP34)</f>
        <v/>
      </c>
    </row>
    <row r="35">
      <c r="A35" s="408" t="n"/>
      <c r="B35" s="408" t="n"/>
      <c r="C35" s="408" t="n"/>
      <c r="D35" s="426" t="n">
        <v>31</v>
      </c>
      <c r="E35" s="437" t="inlineStr">
        <is>
          <t>Perisha Agro and packaging Enterprise</t>
        </is>
      </c>
      <c r="F35" s="186" t="inlineStr">
        <is>
          <t>Debt</t>
        </is>
      </c>
      <c r="G35" s="187" t="n">
        <v>44728</v>
      </c>
      <c r="H35" s="187">
        <f>'Amortisation and Repayments'!D1743</f>
        <v/>
      </c>
      <c r="I35" s="188" t="n">
        <v>2</v>
      </c>
      <c r="J35" s="192" t="inlineStr">
        <is>
          <t>3 (Cap+Int)</t>
        </is>
      </c>
      <c r="K35" s="179" t="n">
        <v>10</v>
      </c>
      <c r="L35" s="186" t="n">
        <v>12000000</v>
      </c>
      <c r="M35" s="190" t="n">
        <v>12000000</v>
      </c>
      <c r="N35" s="186" t="n"/>
      <c r="O35" s="191">
        <f>M35</f>
        <v/>
      </c>
      <c r="P35" s="186">
        <f>SUM('Amortisation and Repayments'!H1716:H1743)</f>
        <v/>
      </c>
      <c r="Q35" s="186">
        <f>-SUM('Amortisation and Repayments'!K1716:K1743)</f>
        <v/>
      </c>
      <c r="R35" s="302" t="n">
        <v>0</v>
      </c>
      <c r="S35" s="235" t="n">
        <v>0</v>
      </c>
      <c r="T35" s="235" t="n"/>
      <c r="U35" s="409">
        <f>+SUM(S35:T35)</f>
        <v/>
      </c>
      <c r="V35" s="195" t="n"/>
      <c r="W35" s="186">
        <f>+U35</f>
        <v/>
      </c>
      <c r="X35" s="186" t="n">
        <v>0</v>
      </c>
      <c r="Y35" s="266" t="n">
        <v>0</v>
      </c>
      <c r="Z35" s="195" t="n"/>
      <c r="AJ35" s="498">
        <f>IFERROR(INDEX('Mapping'!$J$2:$J$110,MATCH(35,'Mapping'!$A$2:$A$110,0)),"")</f>
        <v/>
      </c>
      <c r="AK35" s="499">
        <f>IFERROR(INDEX('Mapping'!$K$2:$K$110,MATCH(35,'Mapping'!$A$2:$A$110,0)),"")</f>
        <v/>
      </c>
      <c r="AL35" s="495">
        <f>IFERROR(INDEX('E-Banker master'!$B$2:$B$186,MATCH($AJ35,'E-Banker master'!$A$2:$A$186,0)),"")</f>
        <v/>
      </c>
      <c r="AM35" s="495">
        <f>IFERROR(INDEX('E-Banker master'!$E$2:$E$186,MATCH($AJ35,'E-Banker master'!$A$2:$A$186,0)),"")</f>
        <v/>
      </c>
      <c r="AN35" s="496">
        <f>IFERROR(INDEX('E-Banker master'!$N$2:$N$186,MATCH($AJ35,'E-Banker master'!$A$2:$A$186,0)),"")</f>
        <v/>
      </c>
      <c r="AO35" s="500">
        <f>IFERROR(INDEX('E-Banker master'!$O$2:$O$186,MATCH($AJ35,'E-Banker master'!$A$2:$A$186,0)),"")</f>
        <v/>
      </c>
      <c r="AP35" s="496">
        <f>IFERROR(INDEX('E-Banker master'!$P$2:$P$186,MATCH($AJ35,'E-Banker master'!$A$2:$A$186,0)),"")</f>
        <v/>
      </c>
      <c r="AQ35" s="496">
        <f>IF(OR($AJ35="",AP35=""),"",R35-AP35)</f>
        <v/>
      </c>
    </row>
    <row r="36" customFormat="1" s="303">
      <c r="A36" s="418" t="n"/>
      <c r="B36" s="418" t="n"/>
      <c r="C36" s="418" t="n"/>
      <c r="D36" s="392" t="n">
        <v>32</v>
      </c>
      <c r="E36" s="175" t="inlineStr">
        <is>
          <t>Pamela Investments</t>
        </is>
      </c>
      <c r="F36" s="190" t="inlineStr">
        <is>
          <t>Debt</t>
        </is>
      </c>
      <c r="G36" s="419" t="n">
        <v>44728</v>
      </c>
      <c r="H36" s="419" t="n">
        <v>45443</v>
      </c>
      <c r="I36" s="420" t="n">
        <v>2</v>
      </c>
      <c r="J36" s="422" t="inlineStr">
        <is>
          <t>3 (Cap+Int)</t>
        </is>
      </c>
      <c r="K36" s="415" t="n">
        <v>10</v>
      </c>
      <c r="L36" s="190" t="n">
        <v>10000000</v>
      </c>
      <c r="M36" s="190" t="n">
        <v>10000000</v>
      </c>
      <c r="N36" s="190" t="n"/>
      <c r="O36" s="302">
        <f>M36</f>
        <v/>
      </c>
      <c r="P36" s="190">
        <f>SUM('[1]Amortisation and Repayments'!H1760:H1771)</f>
        <v/>
      </c>
      <c r="Q36" s="190">
        <f>-SUM('Amortisation and Repayments'!K1760:K1774)</f>
        <v/>
      </c>
      <c r="R36" s="429">
        <f>SUM(O36:Q36)</f>
        <v/>
      </c>
      <c r="S36" s="410" t="n"/>
      <c r="T36" s="410" t="n"/>
      <c r="U36" s="409">
        <f>+SUM(S36:T36)</f>
        <v/>
      </c>
      <c r="V36" s="175" t="n"/>
      <c r="W36" s="190" t="n"/>
      <c r="X36" s="190" t="n"/>
      <c r="Y36" s="416" t="n"/>
      <c r="Z36" s="175" t="n"/>
      <c r="AJ36" s="498">
        <f>IFERROR(INDEX('Mapping'!$J$2:$J$110,MATCH(36,'Mapping'!$A$2:$A$110,0)),"")</f>
        <v/>
      </c>
      <c r="AK36" s="499">
        <f>IFERROR(INDEX('Mapping'!$K$2:$K$110,MATCH(36,'Mapping'!$A$2:$A$110,0)),"")</f>
        <v/>
      </c>
      <c r="AL36" s="498">
        <f>IFERROR(INDEX('E-Banker master'!$B$2:$B$186,MATCH($AJ36,'E-Banker master'!$A$2:$A$186,0)),"")</f>
        <v/>
      </c>
      <c r="AM36" s="495">
        <f>IFERROR(INDEX('E-Banker master'!$E$2:$E$186,MATCH($AJ36,'E-Banker master'!$A$2:$A$186,0)),"")</f>
        <v/>
      </c>
      <c r="AN36" s="496">
        <f>IFERROR(INDEX('E-Banker master'!$N$2:$N$186,MATCH($AJ36,'E-Banker master'!$A$2:$A$186,0)),"")</f>
        <v/>
      </c>
      <c r="AO36" s="496">
        <f>IFERROR(INDEX('E-Banker master'!$O$2:$O$186,MATCH($AJ36,'E-Banker master'!$A$2:$A$186,0)),"")</f>
        <v/>
      </c>
      <c r="AP36" s="496">
        <f>IFERROR(INDEX('E-Banker master'!$P$2:$P$186,MATCH($AJ36,'E-Banker master'!$A$2:$A$186,0)),"")</f>
        <v/>
      </c>
      <c r="AQ36" s="496">
        <f>IF(OR($AJ36="",AP36=""),"",R36-AP36)</f>
        <v/>
      </c>
    </row>
    <row r="37">
      <c r="A37" s="408" t="n"/>
      <c r="B37" s="408" t="n"/>
      <c r="C37" s="408" t="n"/>
      <c r="D37" s="392" t="n">
        <v>33</v>
      </c>
      <c r="E37" s="437" t="inlineStr">
        <is>
          <t>African Honey products Industries</t>
        </is>
      </c>
      <c r="F37" s="186" t="inlineStr">
        <is>
          <t>Debt</t>
        </is>
      </c>
      <c r="G37" s="187" t="n">
        <v>44740</v>
      </c>
      <c r="H37" s="187" t="n">
        <v>46568</v>
      </c>
      <c r="I37" s="188" t="n">
        <v>5</v>
      </c>
      <c r="J37" s="192" t="inlineStr">
        <is>
          <t>9 (Cap only)</t>
        </is>
      </c>
      <c r="K37" s="497">
        <f>'Amortisation and Repayments'!K1793</f>
        <v/>
      </c>
      <c r="L37" s="186" t="n">
        <v>104979420</v>
      </c>
      <c r="M37" s="190">
        <f>50000000+54979420</f>
        <v/>
      </c>
      <c r="N37" s="186">
        <f>L37-M37</f>
        <v/>
      </c>
      <c r="O37" s="186">
        <f>M37</f>
        <v/>
      </c>
      <c r="P37" s="186">
        <f>SUM('Amortisation and Repayments'!H1801:H1829)</f>
        <v/>
      </c>
      <c r="Q37" s="186">
        <f>-SUM('Amortisation and Repayments'!K1801:K1829)</f>
        <v/>
      </c>
      <c r="R37" s="190">
        <f>SUM(O37:Q37)</f>
        <v/>
      </c>
      <c r="S37" s="235">
        <f>SUM('Amortisation and Repayments'!I1825:I1829)</f>
        <v/>
      </c>
      <c r="T37" s="235">
        <f>'Amortisation and Repayments'!L1829-'Loan Book'!S37</f>
        <v/>
      </c>
      <c r="U37" s="409">
        <f>+SUM(S37:T37)</f>
        <v/>
      </c>
      <c r="V37" s="195" t="n"/>
      <c r="W37" s="186">
        <f>'Amortisation and Repayments'!G1829</f>
        <v/>
      </c>
      <c r="X37" s="186">
        <f>+U37-W37</f>
        <v/>
      </c>
      <c r="Y37" s="266" t="n"/>
      <c r="Z37" s="195" t="n"/>
      <c r="AJ37" s="498">
        <f>IFERROR(INDEX('Mapping'!$J$2:$J$110,MATCH(37,'Mapping'!$A$2:$A$110,0)),"")</f>
        <v/>
      </c>
      <c r="AK37" s="499">
        <f>IFERROR(INDEX('Mapping'!$K$2:$K$110,MATCH(37,'Mapping'!$A$2:$A$110,0)),"")</f>
        <v/>
      </c>
      <c r="AL37" s="495">
        <f>IFERROR(INDEX('E-Banker master'!$B$2:$B$186,MATCH($AJ37,'E-Banker master'!$A$2:$A$186,0)),"")</f>
        <v/>
      </c>
      <c r="AM37" s="495">
        <f>IFERROR(INDEX('E-Banker master'!$E$2:$E$186,MATCH($AJ37,'E-Banker master'!$A$2:$A$186,0)),"")</f>
        <v/>
      </c>
      <c r="AN37" s="496">
        <f>IFERROR(INDEX('E-Banker master'!$N$2:$N$186,MATCH($AJ37,'E-Banker master'!$A$2:$A$186,0)),"")</f>
        <v/>
      </c>
      <c r="AO37" s="496">
        <f>IFERROR(INDEX('E-Banker master'!$O$2:$O$186,MATCH($AJ37,'E-Banker master'!$A$2:$A$186,0)),"")</f>
        <v/>
      </c>
      <c r="AP37" s="496">
        <f>IFERROR(INDEX('E-Banker master'!$P$2:$P$186,MATCH($AJ37,'E-Banker master'!$A$2:$A$186,0)),"")</f>
        <v/>
      </c>
      <c r="AQ37" s="496">
        <f>IF(OR($AJ37="",AP37=""),"",R37-AP37)</f>
        <v/>
      </c>
    </row>
    <row r="38">
      <c r="A38" s="408" t="n"/>
      <c r="B38" s="408" t="n"/>
      <c r="C38" s="408" t="n"/>
      <c r="D38" s="426" t="n">
        <v>34</v>
      </c>
      <c r="E38" s="195" t="inlineStr">
        <is>
          <t>Mtengo Wa Kumunda</t>
        </is>
      </c>
      <c r="F38" s="186" t="inlineStr">
        <is>
          <t>Debt</t>
        </is>
      </c>
      <c r="G38" s="187" t="n">
        <v>44747</v>
      </c>
      <c r="H38" s="187" t="n">
        <v>45504</v>
      </c>
      <c r="I38" s="188" t="n">
        <v>2</v>
      </c>
      <c r="J38" s="192" t="inlineStr">
        <is>
          <t>3 (Cap+Int)</t>
        </is>
      </c>
      <c r="K38" s="179" t="n">
        <v>10</v>
      </c>
      <c r="L38" s="186" t="n">
        <v>12000000</v>
      </c>
      <c r="M38" s="186">
        <f>4546920+3100000+4353080</f>
        <v/>
      </c>
      <c r="N38" s="186">
        <f>L38-M38</f>
        <v/>
      </c>
      <c r="O38" s="186">
        <f>M38</f>
        <v/>
      </c>
      <c r="P38" s="186">
        <f>SUM('Amortisation and Repayments'!H2208:H2232)</f>
        <v/>
      </c>
      <c r="Q38" s="186">
        <f>-SUM('Amortisation and Repayments'!K2208:K2232)</f>
        <v/>
      </c>
      <c r="R38" s="186" t="n">
        <v>0</v>
      </c>
      <c r="S38" s="235" t="n">
        <v>0</v>
      </c>
      <c r="T38" s="235" t="n">
        <v>0</v>
      </c>
      <c r="U38" s="409">
        <f>+SUM(S38:T38)</f>
        <v/>
      </c>
      <c r="V38" s="195" t="n"/>
      <c r="W38" s="186" t="n">
        <v>0</v>
      </c>
      <c r="X38" s="186">
        <f>W38*3</f>
        <v/>
      </c>
      <c r="Y38" s="266" t="n">
        <v>0</v>
      </c>
      <c r="Z38" s="195" t="n"/>
      <c r="AJ38" s="498">
        <f>IFERROR(INDEX('Mapping'!$J$2:$J$110,MATCH(38,'Mapping'!$A$2:$A$110,0)),"")</f>
        <v/>
      </c>
      <c r="AK38" s="499">
        <f>IFERROR(INDEX('Mapping'!$K$2:$K$110,MATCH(38,'Mapping'!$A$2:$A$110,0)),"")</f>
        <v/>
      </c>
      <c r="AL38" s="495">
        <f>IFERROR(INDEX('E-Banker master'!$B$2:$B$186,MATCH($AJ38,'E-Banker master'!$A$2:$A$186,0)),"")</f>
        <v/>
      </c>
      <c r="AM38" s="495">
        <f>IFERROR(INDEX('E-Banker master'!$E$2:$E$186,MATCH($AJ38,'E-Banker master'!$A$2:$A$186,0)),"")</f>
        <v/>
      </c>
      <c r="AN38" s="496">
        <f>IFERROR(INDEX('E-Banker master'!$N$2:$N$186,MATCH($AJ38,'E-Banker master'!$A$2:$A$186,0)),"")</f>
        <v/>
      </c>
      <c r="AO38" s="496">
        <f>IFERROR(INDEX('E-Banker master'!$O$2:$O$186,MATCH($AJ38,'E-Banker master'!$A$2:$A$186,0)),"")</f>
        <v/>
      </c>
      <c r="AP38" s="500">
        <f>IFERROR(INDEX('E-Banker master'!$P$2:$P$186,MATCH($AJ38,'E-Banker master'!$A$2:$A$186,0)),"")</f>
        <v/>
      </c>
      <c r="AQ38" s="496">
        <f>IF(OR($AJ38="",AP38=""),"",R38-AP38)</f>
        <v/>
      </c>
    </row>
    <row r="39">
      <c r="A39" s="408" t="n"/>
      <c r="B39" s="408" t="n"/>
      <c r="C39" s="408" t="n"/>
      <c r="D39" s="392" t="n">
        <v>35</v>
      </c>
      <c r="E39" s="175" t="inlineStr">
        <is>
          <t>MMM Investments</t>
        </is>
      </c>
      <c r="F39" s="186" t="inlineStr">
        <is>
          <t>Debt</t>
        </is>
      </c>
      <c r="G39" s="187" t="n">
        <v>44749</v>
      </c>
      <c r="H39" s="187" t="n">
        <v>45138</v>
      </c>
      <c r="I39" s="188" t="n">
        <v>1</v>
      </c>
      <c r="J39" s="192" t="inlineStr">
        <is>
          <t>3 (Cap+Int)</t>
        </is>
      </c>
      <c r="K39" s="179" t="n">
        <v>10</v>
      </c>
      <c r="L39" s="186" t="n">
        <v>10000000</v>
      </c>
      <c r="M39" s="190" t="n">
        <v>10000000</v>
      </c>
      <c r="N39" s="186" t="n"/>
      <c r="O39" s="191">
        <f>M39</f>
        <v/>
      </c>
      <c r="P39" s="186">
        <f>SUM('Amortisation and Repayments'!H1879:H1903)</f>
        <v/>
      </c>
      <c r="Q39" s="186">
        <f>-SUM('Amortisation and Repayments'!K1879:K1903)</f>
        <v/>
      </c>
      <c r="R39" s="302">
        <f>SUM(O39:Q39)</f>
        <v/>
      </c>
      <c r="S39" s="410" t="n">
        <v>262137.7219625469</v>
      </c>
      <c r="T39" s="235" t="n">
        <v>0</v>
      </c>
      <c r="U39" s="409">
        <f>+SUM(S39:T39)</f>
        <v/>
      </c>
      <c r="V39" s="195" t="n"/>
      <c r="W39" s="186">
        <f>U39</f>
        <v/>
      </c>
      <c r="X39" s="186" t="n">
        <v>0</v>
      </c>
      <c r="Y39" s="266" t="n"/>
      <c r="Z39" s="195" t="n"/>
      <c r="AJ39" s="498">
        <f>IFERROR(INDEX('Mapping'!$J$2:$J$110,MATCH(39,'Mapping'!$A$2:$A$110,0)),"")</f>
        <v/>
      </c>
      <c r="AK39" s="499">
        <f>IFERROR(INDEX('Mapping'!$K$2:$K$110,MATCH(39,'Mapping'!$A$2:$A$110,0)),"")</f>
        <v/>
      </c>
      <c r="AL39" s="495">
        <f>IFERROR(INDEX('E-Banker master'!$B$2:$B$186,MATCH($AJ39,'E-Banker master'!$A$2:$A$186,0)),"")</f>
        <v/>
      </c>
      <c r="AM39" s="495">
        <f>IFERROR(INDEX('E-Banker master'!$E$2:$E$186,MATCH($AJ39,'E-Banker master'!$A$2:$A$186,0)),"")</f>
        <v/>
      </c>
      <c r="AN39" s="496">
        <f>IFERROR(INDEX('E-Banker master'!$N$2:$N$186,MATCH($AJ39,'E-Banker master'!$A$2:$A$186,0)),"")</f>
        <v/>
      </c>
      <c r="AO39" s="496">
        <f>IFERROR(INDEX('E-Banker master'!$O$2:$O$186,MATCH($AJ39,'E-Banker master'!$A$2:$A$186,0)),"")</f>
        <v/>
      </c>
      <c r="AP39" s="496">
        <f>IFERROR(INDEX('E-Banker master'!$P$2:$P$186,MATCH($AJ39,'E-Banker master'!$A$2:$A$186,0)),"")</f>
        <v/>
      </c>
      <c r="AQ39" s="496">
        <f>IF(OR($AJ39="",AP39=""),"",R39-AP39)</f>
        <v/>
      </c>
    </row>
    <row r="40">
      <c r="A40" s="408" t="n"/>
      <c r="B40" s="408" t="n"/>
      <c r="C40" s="408" t="n"/>
      <c r="D40" s="392" t="n">
        <v>36</v>
      </c>
      <c r="E40" s="175" t="inlineStr">
        <is>
          <t>Sekuru Enterprise</t>
        </is>
      </c>
      <c r="F40" s="186" t="inlineStr">
        <is>
          <t>Debt</t>
        </is>
      </c>
      <c r="G40" s="187" t="n">
        <v>44749</v>
      </c>
      <c r="H40" s="187" t="n">
        <v>45504</v>
      </c>
      <c r="I40" s="188" t="n">
        <v>2</v>
      </c>
      <c r="J40" s="192" t="inlineStr">
        <is>
          <t>3 (Cap+Int)</t>
        </is>
      </c>
      <c r="K40" s="179" t="n">
        <v>10</v>
      </c>
      <c r="L40" s="186" t="n">
        <v>10000000</v>
      </c>
      <c r="M40" s="190" t="n">
        <v>10000000</v>
      </c>
      <c r="N40" s="186" t="n"/>
      <c r="O40" s="191">
        <f>M40</f>
        <v/>
      </c>
      <c r="P40" s="186">
        <f>SUM('Amortisation and Repayments'!H1926:H1948)</f>
        <v/>
      </c>
      <c r="Q40" s="186">
        <f>-SUM('Amortisation and Repayments'!K1926:K1950)</f>
        <v/>
      </c>
      <c r="R40" s="429" t="n">
        <v>0</v>
      </c>
      <c r="S40" s="235" t="n">
        <v>0</v>
      </c>
      <c r="T40" s="235" t="n">
        <v>0</v>
      </c>
      <c r="U40" s="409">
        <f>+SUM(S40:T40)</f>
        <v/>
      </c>
      <c r="V40" s="195" t="n"/>
      <c r="W40" s="186" t="n">
        <v>0</v>
      </c>
      <c r="X40" s="186" t="n">
        <v>0</v>
      </c>
      <c r="Y40" s="266" t="n">
        <v>0</v>
      </c>
      <c r="Z40" s="195" t="n"/>
      <c r="AJ40" s="498">
        <f>IFERROR(INDEX('Mapping'!$J$2:$J$110,MATCH(40,'Mapping'!$A$2:$A$110,0)),"")</f>
        <v/>
      </c>
      <c r="AK40" s="499">
        <f>IFERROR(INDEX('Mapping'!$K$2:$K$110,MATCH(40,'Mapping'!$A$2:$A$110,0)),"")</f>
        <v/>
      </c>
      <c r="AL40" s="495">
        <f>IFERROR(INDEX('E-Banker master'!$B$2:$B$186,MATCH($AJ40,'E-Banker master'!$A$2:$A$186,0)),"")</f>
        <v/>
      </c>
      <c r="AM40" s="495">
        <f>IFERROR(INDEX('E-Banker master'!$E$2:$E$186,MATCH($AJ40,'E-Banker master'!$A$2:$A$186,0)),"")</f>
        <v/>
      </c>
      <c r="AN40" s="496">
        <f>IFERROR(INDEX('E-Banker master'!$N$2:$N$186,MATCH($AJ40,'E-Banker master'!$A$2:$A$186,0)),"")</f>
        <v/>
      </c>
      <c r="AO40" s="496">
        <f>IFERROR(INDEX('E-Banker master'!$O$2:$O$186,MATCH($AJ40,'E-Banker master'!$A$2:$A$186,0)),"")</f>
        <v/>
      </c>
      <c r="AP40" s="496">
        <f>IFERROR(INDEX('E-Banker master'!$P$2:$P$186,MATCH($AJ40,'E-Banker master'!$A$2:$A$186,0)),"")</f>
        <v/>
      </c>
      <c r="AQ40" s="496">
        <f>IF(OR($AJ40="",AP40=""),"",R40-AP40)</f>
        <v/>
      </c>
    </row>
    <row r="41">
      <c r="A41" s="408" t="n"/>
      <c r="B41" s="408" t="n"/>
      <c r="C41" s="408" t="n"/>
      <c r="D41" s="426" t="n">
        <v>37</v>
      </c>
      <c r="E41" s="175" t="inlineStr">
        <is>
          <t>Agribusiness Solutions Ltd</t>
        </is>
      </c>
      <c r="F41" s="186" t="inlineStr">
        <is>
          <t>Debt</t>
        </is>
      </c>
      <c r="G41" s="187" t="n">
        <v>44755</v>
      </c>
      <c r="H41" s="187" t="n">
        <v>45504</v>
      </c>
      <c r="I41" s="188" t="n">
        <v>2</v>
      </c>
      <c r="J41" s="192" t="inlineStr">
        <is>
          <t>3 (Cap+Int)</t>
        </is>
      </c>
      <c r="K41" s="179" t="n">
        <v>10</v>
      </c>
      <c r="L41" s="186" t="n">
        <v>24000000</v>
      </c>
      <c r="M41" s="190" t="n">
        <v>24000000</v>
      </c>
      <c r="N41" s="186" t="n"/>
      <c r="O41" s="191">
        <f>M41</f>
        <v/>
      </c>
      <c r="P41" s="186">
        <f>SUM('Amortisation and Repayments'!H1969:H1994)</f>
        <v/>
      </c>
      <c r="Q41" s="186">
        <f>-SUM('Amortisation and Repayments'!K1969:K1994)</f>
        <v/>
      </c>
      <c r="R41" s="429" t="n">
        <v>0</v>
      </c>
      <c r="S41" s="235" t="n">
        <v>0</v>
      </c>
      <c r="T41" s="235" t="n">
        <v>0</v>
      </c>
      <c r="U41" s="409">
        <f>+SUM(S41:T41)</f>
        <v/>
      </c>
      <c r="V41" s="195" t="n"/>
      <c r="W41" s="186">
        <f>U41</f>
        <v/>
      </c>
      <c r="X41" s="186" t="n">
        <v>0</v>
      </c>
      <c r="Y41" s="266" t="n">
        <v>0</v>
      </c>
      <c r="Z41" s="195" t="n"/>
      <c r="AJ41" s="498">
        <f>IFERROR(INDEX('Mapping'!$J$2:$J$110,MATCH(41,'Mapping'!$A$2:$A$110,0)),"")</f>
        <v/>
      </c>
      <c r="AK41" s="499">
        <f>IFERROR(INDEX('Mapping'!$K$2:$K$110,MATCH(41,'Mapping'!$A$2:$A$110,0)),"")</f>
        <v/>
      </c>
      <c r="AL41" s="498">
        <f>IFERROR(INDEX('E-Banker master'!$B$2:$B$186,MATCH($AJ41,'E-Banker master'!$A$2:$A$186,0)),"")</f>
        <v/>
      </c>
      <c r="AM41" s="495">
        <f>IFERROR(INDEX('E-Banker master'!$E$2:$E$186,MATCH($AJ41,'E-Banker master'!$A$2:$A$186,0)),"")</f>
        <v/>
      </c>
      <c r="AN41" s="496">
        <f>IFERROR(INDEX('E-Banker master'!$N$2:$N$186,MATCH($AJ41,'E-Banker master'!$A$2:$A$186,0)),"")</f>
        <v/>
      </c>
      <c r="AO41" s="496">
        <f>IFERROR(INDEX('E-Banker master'!$O$2:$O$186,MATCH($AJ41,'E-Banker master'!$A$2:$A$186,0)),"")</f>
        <v/>
      </c>
      <c r="AP41" s="496">
        <f>IFERROR(INDEX('E-Banker master'!$P$2:$P$186,MATCH($AJ41,'E-Banker master'!$A$2:$A$186,0)),"")</f>
        <v/>
      </c>
      <c r="AQ41" s="496">
        <f>IF(OR($AJ41="",AP41=""),"",R41-AP41)</f>
        <v/>
      </c>
    </row>
    <row r="42">
      <c r="A42" s="408" t="n"/>
      <c r="B42" s="408" t="n"/>
      <c r="C42" s="408" t="n"/>
      <c r="D42" s="392" t="n">
        <v>38</v>
      </c>
      <c r="E42" s="175" t="inlineStr">
        <is>
          <t>Favoured Farms</t>
        </is>
      </c>
      <c r="F42" s="186" t="inlineStr">
        <is>
          <t>Debt</t>
        </is>
      </c>
      <c r="G42" s="187" t="n">
        <v>44755</v>
      </c>
      <c r="H42" s="187" t="n">
        <v>45504</v>
      </c>
      <c r="I42" s="188" t="n">
        <v>2</v>
      </c>
      <c r="J42" s="192" t="inlineStr">
        <is>
          <t>3 (Cap+Int)</t>
        </is>
      </c>
      <c r="K42" s="179" t="n">
        <v>10</v>
      </c>
      <c r="L42" s="186" t="n">
        <v>10000000</v>
      </c>
      <c r="M42" s="190" t="n">
        <v>10000000</v>
      </c>
      <c r="N42" s="186" t="n"/>
      <c r="O42" s="191">
        <f>M42</f>
        <v/>
      </c>
      <c r="P42" s="186">
        <f>SUM('[1]Amortisation and Repayments'!H2013:H2033)</f>
        <v/>
      </c>
      <c r="Q42" s="186">
        <f>-SUM('Amortisation and Repayments'!K2013:K2037)</f>
        <v/>
      </c>
      <c r="R42" s="429" t="n">
        <v>0</v>
      </c>
      <c r="S42" s="235" t="n"/>
      <c r="T42" s="235" t="n"/>
      <c r="U42" s="409">
        <f>+SUM(S42:T42)</f>
        <v/>
      </c>
      <c r="V42" s="195" t="n"/>
      <c r="W42" s="186" t="n"/>
      <c r="X42" s="186" t="n"/>
      <c r="Y42" s="266" t="n"/>
      <c r="Z42" s="195" t="n"/>
      <c r="AJ42" s="498">
        <f>IFERROR(INDEX('Mapping'!$J$2:$J$110,MATCH(42,'Mapping'!$A$2:$A$110,0)),"")</f>
        <v/>
      </c>
      <c r="AK42" s="499">
        <f>IFERROR(INDEX('Mapping'!$K$2:$K$110,MATCH(42,'Mapping'!$A$2:$A$110,0)),"")</f>
        <v/>
      </c>
      <c r="AL42" s="495">
        <f>IFERROR(INDEX('E-Banker master'!$B$2:$B$186,MATCH($AJ42,'E-Banker master'!$A$2:$A$186,0)),"")</f>
        <v/>
      </c>
      <c r="AM42" s="495">
        <f>IFERROR(INDEX('E-Banker master'!$E$2:$E$186,MATCH($AJ42,'E-Banker master'!$A$2:$A$186,0)),"")</f>
        <v/>
      </c>
      <c r="AN42" s="496">
        <f>IFERROR(INDEX('E-Banker master'!$N$2:$N$186,MATCH($AJ42,'E-Banker master'!$A$2:$A$186,0)),"")</f>
        <v/>
      </c>
      <c r="AO42" s="496">
        <f>IFERROR(INDEX('E-Banker master'!$O$2:$O$186,MATCH($AJ42,'E-Banker master'!$A$2:$A$186,0)),"")</f>
        <v/>
      </c>
      <c r="AP42" s="496">
        <f>IFERROR(INDEX('E-Banker master'!$P$2:$P$186,MATCH($AJ42,'E-Banker master'!$A$2:$A$186,0)),"")</f>
        <v/>
      </c>
      <c r="AQ42" s="496">
        <f>IF(OR($AJ42="",AP42=""),"",R42-AP42)</f>
        <v/>
      </c>
    </row>
    <row r="43">
      <c r="A43" s="408" t="n"/>
      <c r="B43" s="408" t="n"/>
      <c r="C43" s="408" t="n"/>
      <c r="D43" s="392" t="n">
        <v>39</v>
      </c>
      <c r="E43" s="353" t="inlineStr">
        <is>
          <t>Tac-Maz Investment</t>
        </is>
      </c>
      <c r="F43" s="186" t="inlineStr">
        <is>
          <t>Debt</t>
        </is>
      </c>
      <c r="G43" s="187" t="n">
        <v>44755</v>
      </c>
      <c r="H43" s="187" t="n">
        <v>45504</v>
      </c>
      <c r="I43" s="188" t="n">
        <v>2</v>
      </c>
      <c r="J43" s="192" t="inlineStr">
        <is>
          <t>3 (Cap+Int)</t>
        </is>
      </c>
      <c r="K43" s="179" t="n">
        <v>10</v>
      </c>
      <c r="L43" s="186" t="n">
        <v>10000000</v>
      </c>
      <c r="M43" s="190" t="n">
        <v>10000000</v>
      </c>
      <c r="N43" s="186" t="n"/>
      <c r="O43" s="191">
        <f>M43</f>
        <v/>
      </c>
      <c r="P43" s="186">
        <f>SUM('Amortisation and Repayments'!H2054:H2081)</f>
        <v/>
      </c>
      <c r="Q43" s="186">
        <f>-SUM('Amortisation and Repayments'!K2054:K2081)</f>
        <v/>
      </c>
      <c r="R43" s="302">
        <f>SUM(O43:Q43)</f>
        <v/>
      </c>
      <c r="S43" s="410">
        <f>SUM('Amortisation and Repayments'!I2078:I2081)</f>
        <v/>
      </c>
      <c r="T43" s="410">
        <f>'Amortisation and Repayments'!L2081-'Loan Book'!S43</f>
        <v/>
      </c>
      <c r="U43" s="409">
        <f>+SUM(S43:T43)</f>
        <v/>
      </c>
      <c r="V43" s="195" t="n"/>
      <c r="W43" s="186">
        <f>'Amortisation and Repayments'!G2081</f>
        <v/>
      </c>
      <c r="X43" s="186">
        <f>U43-W43</f>
        <v/>
      </c>
      <c r="Y43" s="266" t="n"/>
      <c r="Z43" s="195" t="n"/>
      <c r="AJ43" s="498">
        <f>IFERROR(INDEX('Mapping'!$J$2:$J$110,MATCH(43,'Mapping'!$A$2:$A$110,0)),"")</f>
        <v/>
      </c>
      <c r="AK43" s="499">
        <f>IFERROR(INDEX('Mapping'!$K$2:$K$110,MATCH(43,'Mapping'!$A$2:$A$110,0)),"")</f>
        <v/>
      </c>
      <c r="AL43" s="495">
        <f>IFERROR(INDEX('E-Banker master'!$B$2:$B$186,MATCH($AJ43,'E-Banker master'!$A$2:$A$186,0)),"")</f>
        <v/>
      </c>
      <c r="AM43" s="495">
        <f>IFERROR(INDEX('E-Banker master'!$E$2:$E$186,MATCH($AJ43,'E-Banker master'!$A$2:$A$186,0)),"")</f>
        <v/>
      </c>
      <c r="AN43" s="496">
        <f>IFERROR(INDEX('E-Banker master'!$N$2:$N$186,MATCH($AJ43,'E-Banker master'!$A$2:$A$186,0)),"")</f>
        <v/>
      </c>
      <c r="AO43" s="496">
        <f>IFERROR(INDEX('E-Banker master'!$O$2:$O$186,MATCH($AJ43,'E-Banker master'!$A$2:$A$186,0)),"")</f>
        <v/>
      </c>
      <c r="AP43" s="496">
        <f>IFERROR(INDEX('E-Banker master'!$P$2:$P$186,MATCH($AJ43,'E-Banker master'!$A$2:$A$186,0)),"")</f>
        <v/>
      </c>
      <c r="AQ43" s="496">
        <f>IF(OR($AJ43="",AP43=""),"",R43-AP43)</f>
        <v/>
      </c>
    </row>
    <row r="44">
      <c r="A44" s="408" t="n"/>
      <c r="B44" s="408" t="n"/>
      <c r="C44" s="408" t="n"/>
      <c r="D44" s="426" t="n">
        <v>40</v>
      </c>
      <c r="E44" s="175" t="inlineStr">
        <is>
          <t>G &amp; S Home Mart &amp; Agrodealer</t>
        </is>
      </c>
      <c r="F44" s="186" t="inlineStr">
        <is>
          <t>Debt</t>
        </is>
      </c>
      <c r="G44" s="187" t="n">
        <v>44755</v>
      </c>
      <c r="H44" s="187" t="n">
        <v>45504</v>
      </c>
      <c r="I44" s="188" t="n">
        <v>2</v>
      </c>
      <c r="J44" s="192" t="inlineStr">
        <is>
          <t>3 (Cap+Int)</t>
        </is>
      </c>
      <c r="K44" s="179" t="n">
        <v>10</v>
      </c>
      <c r="L44" s="186" t="n">
        <v>10000000</v>
      </c>
      <c r="M44" s="190" t="n">
        <v>7000000</v>
      </c>
      <c r="N44" s="186">
        <f>L44-M44</f>
        <v/>
      </c>
      <c r="O44" s="191">
        <f>M44</f>
        <v/>
      </c>
      <c r="P44" s="186">
        <f>SUM('Amortisation and Repayments'!H2102:H2126)</f>
        <v/>
      </c>
      <c r="Q44" s="186">
        <f>-SUM('Amortisation and Repayments'!K2102:K2126)</f>
        <v/>
      </c>
      <c r="R44" s="429" t="n">
        <v>0</v>
      </c>
      <c r="S44" s="235" t="n"/>
      <c r="T44" s="235" t="n"/>
      <c r="U44" s="409">
        <f>+SUM(S44:T44)</f>
        <v/>
      </c>
      <c r="V44" s="195" t="n"/>
      <c r="W44" s="186" t="n"/>
      <c r="X44" s="186" t="n"/>
      <c r="Y44" s="266" t="n">
        <v>0</v>
      </c>
      <c r="Z44" s="195" t="n"/>
      <c r="AJ44" s="498">
        <f>IFERROR(INDEX('Mapping'!$J$2:$J$110,MATCH(44,'Mapping'!$A$2:$A$110,0)),"")</f>
        <v/>
      </c>
      <c r="AK44" s="499">
        <f>IFERROR(INDEX('Mapping'!$K$2:$K$110,MATCH(44,'Mapping'!$A$2:$A$110,0)),"")</f>
        <v/>
      </c>
      <c r="AL44" s="495">
        <f>IFERROR(INDEX('E-Banker master'!$B$2:$B$186,MATCH($AJ44,'E-Banker master'!$A$2:$A$186,0)),"")</f>
        <v/>
      </c>
      <c r="AM44" s="495">
        <f>IFERROR(INDEX('E-Banker master'!$E$2:$E$186,MATCH($AJ44,'E-Banker master'!$A$2:$A$186,0)),"")</f>
        <v/>
      </c>
      <c r="AN44" s="496">
        <f>IFERROR(INDEX('E-Banker master'!$N$2:$N$186,MATCH($AJ44,'E-Banker master'!$A$2:$A$186,0)),"")</f>
        <v/>
      </c>
      <c r="AO44" s="496">
        <f>IFERROR(INDEX('E-Banker master'!$O$2:$O$186,MATCH($AJ44,'E-Banker master'!$A$2:$A$186,0)),"")</f>
        <v/>
      </c>
      <c r="AP44" s="500">
        <f>IFERROR(INDEX('E-Banker master'!$P$2:$P$186,MATCH($AJ44,'E-Banker master'!$A$2:$A$186,0)),"")</f>
        <v/>
      </c>
      <c r="AQ44" s="496">
        <f>IF(OR($AJ44="",AP44=""),"",R44-AP44)</f>
        <v/>
      </c>
    </row>
    <row r="45" customFormat="1" s="303">
      <c r="A45" s="418" t="n"/>
      <c r="B45" s="418" t="n"/>
      <c r="C45" s="418" t="n"/>
      <c r="D45" s="392" t="n">
        <v>41</v>
      </c>
      <c r="E45" s="175" t="inlineStr">
        <is>
          <t>Ziweto Enterprise</t>
        </is>
      </c>
      <c r="F45" s="190" t="inlineStr">
        <is>
          <t>Debt</t>
        </is>
      </c>
      <c r="G45" s="419" t="n">
        <v>44761</v>
      </c>
      <c r="H45" s="419" t="n">
        <v>46234</v>
      </c>
      <c r="I45" s="420" t="n">
        <v>4</v>
      </c>
      <c r="J45" s="422" t="inlineStr">
        <is>
          <t>12 (Cap only)</t>
        </is>
      </c>
      <c r="K45" s="503">
        <f>'[1]Amortisation and Repayments'!K2136</f>
        <v/>
      </c>
      <c r="L45" s="190" t="n">
        <v>152910000</v>
      </c>
      <c r="M45" s="190" t="n">
        <v>152910000</v>
      </c>
      <c r="N45" s="190" t="n"/>
      <c r="O45" s="302">
        <f>M45</f>
        <v/>
      </c>
      <c r="P45" s="190">
        <f>SUM('[1]Amortisation and Repayments'!H2144:H2158)</f>
        <v/>
      </c>
      <c r="Q45" s="190">
        <f>-SUM('[1]Amortisation and Repayments'!K2144:K2158)</f>
        <v/>
      </c>
      <c r="R45" s="429">
        <f>SUM(O45:Q45)</f>
        <v/>
      </c>
      <c r="S45" s="410" t="n"/>
      <c r="T45" s="410" t="n"/>
      <c r="U45" s="409">
        <f>+SUM(S45:T45)</f>
        <v/>
      </c>
      <c r="V45" s="175" t="n"/>
      <c r="W45" s="190" t="n"/>
      <c r="X45" s="190" t="n"/>
      <c r="Y45" s="416" t="n"/>
      <c r="Z45" s="175" t="n"/>
      <c r="AJ45" s="498">
        <f>IFERROR(INDEX('Mapping'!$J$2:$J$110,MATCH(45,'Mapping'!$A$2:$A$110,0)),"")</f>
        <v/>
      </c>
      <c r="AK45" s="499">
        <f>IFERROR(INDEX('Mapping'!$K$2:$K$110,MATCH(45,'Mapping'!$A$2:$A$110,0)),"")</f>
        <v/>
      </c>
      <c r="AL45" s="498">
        <f>IFERROR(INDEX('E-Banker master'!$B$2:$B$186,MATCH($AJ45,'E-Banker master'!$A$2:$A$186,0)),"")</f>
        <v/>
      </c>
      <c r="AM45" s="495">
        <f>IFERROR(INDEX('E-Banker master'!$E$2:$E$186,MATCH($AJ45,'E-Banker master'!$A$2:$A$186,0)),"")</f>
        <v/>
      </c>
      <c r="AN45" s="496">
        <f>IFERROR(INDEX('E-Banker master'!$N$2:$N$186,MATCH($AJ45,'E-Banker master'!$A$2:$A$186,0)),"")</f>
        <v/>
      </c>
      <c r="AO45" s="496">
        <f>IFERROR(INDEX('E-Banker master'!$O$2:$O$186,MATCH($AJ45,'E-Banker master'!$A$2:$A$186,0)),"")</f>
        <v/>
      </c>
      <c r="AP45" s="496">
        <f>IFERROR(INDEX('E-Banker master'!$P$2:$P$186,MATCH($AJ45,'E-Banker master'!$A$2:$A$186,0)),"")</f>
        <v/>
      </c>
      <c r="AQ45" s="496">
        <f>IF(OR($AJ45="",AP45=""),"",R45-AP45)</f>
        <v/>
      </c>
    </row>
    <row r="46">
      <c r="A46" s="408" t="n"/>
      <c r="B46" s="408" t="n"/>
      <c r="C46" s="408" t="n"/>
      <c r="D46" s="392" t="n">
        <v>42</v>
      </c>
      <c r="E46" s="434" t="inlineStr">
        <is>
          <t>Kadava Investment Limited</t>
        </is>
      </c>
      <c r="F46" s="223" t="inlineStr">
        <is>
          <t>Debt</t>
        </is>
      </c>
      <c r="G46" s="225" t="n">
        <v>44775</v>
      </c>
      <c r="H46" s="225" t="n">
        <v>45535</v>
      </c>
      <c r="I46" s="226" t="n">
        <v>2</v>
      </c>
      <c r="J46" s="227" t="inlineStr">
        <is>
          <t>3 (Cap+Int)</t>
        </is>
      </c>
      <c r="K46" s="228" t="n">
        <v>10</v>
      </c>
      <c r="L46" s="223" t="n">
        <v>12000000</v>
      </c>
      <c r="M46" s="229">
        <f>5635580+6364420</f>
        <v/>
      </c>
      <c r="N46" s="223" t="n"/>
      <c r="O46" s="230">
        <f>M46</f>
        <v/>
      </c>
      <c r="P46" s="223">
        <f>SUM('Amortisation and Repayments'!H2248:H2272)</f>
        <v/>
      </c>
      <c r="Q46" s="223">
        <f>-SUM('Amortisation and Repayments'!K2248:K2272)</f>
        <v/>
      </c>
      <c r="R46" s="360">
        <f>SUM(O46:Q46)</f>
        <v/>
      </c>
      <c r="S46" s="265">
        <f>SUM('Amortisation and Repayments'!I2267:I2272)</f>
        <v/>
      </c>
      <c r="T46" s="265">
        <f>'Amortisation and Repayments'!L2272-'Loan Book'!S46</f>
        <v/>
      </c>
      <c r="U46" s="428">
        <f>+SUM(S46:T46)</f>
        <v/>
      </c>
      <c r="V46" s="276" t="n"/>
      <c r="W46" s="223" t="n"/>
      <c r="X46" s="223">
        <f>SUM('Amortisation and Repayments'!G2271:G2272)</f>
        <v/>
      </c>
      <c r="Y46" s="223">
        <f>SUM('Amortisation and Repayments'!G2268:G2270)</f>
        <v/>
      </c>
      <c r="Z46" s="273">
        <f>U46-SUM(W46:Y46)</f>
        <v/>
      </c>
      <c r="AJ46" s="498">
        <f>IFERROR(INDEX('Mapping'!$J$2:$J$110,MATCH(46,'Mapping'!$A$2:$A$110,0)),"")</f>
        <v/>
      </c>
      <c r="AK46" s="499">
        <f>IFERROR(INDEX('Mapping'!$K$2:$K$110,MATCH(46,'Mapping'!$A$2:$A$110,0)),"")</f>
        <v/>
      </c>
      <c r="AL46" s="495">
        <f>IFERROR(INDEX('E-Banker master'!$B$2:$B$186,MATCH($AJ46,'E-Banker master'!$A$2:$A$186,0)),"")</f>
        <v/>
      </c>
      <c r="AM46" s="495">
        <f>IFERROR(INDEX('E-Banker master'!$E$2:$E$186,MATCH($AJ46,'E-Banker master'!$A$2:$A$186,0)),"")</f>
        <v/>
      </c>
      <c r="AN46" s="496">
        <f>IFERROR(INDEX('E-Banker master'!$N$2:$N$186,MATCH($AJ46,'E-Banker master'!$A$2:$A$186,0)),"")</f>
        <v/>
      </c>
      <c r="AO46" s="496">
        <f>IFERROR(INDEX('E-Banker master'!$O$2:$O$186,MATCH($AJ46,'E-Banker master'!$A$2:$A$186,0)),"")</f>
        <v/>
      </c>
      <c r="AP46" s="500">
        <f>IFERROR(INDEX('E-Banker master'!$P$2:$P$186,MATCH($AJ46,'E-Banker master'!$A$2:$A$186,0)),"")</f>
        <v/>
      </c>
      <c r="AQ46" s="496">
        <f>IF(OR($AJ46="",AP46=""),"",R46-AP46)</f>
        <v/>
      </c>
    </row>
    <row r="47">
      <c r="A47" s="408" t="n"/>
      <c r="B47" s="408" t="n"/>
      <c r="C47" s="408" t="n"/>
      <c r="D47" s="426" t="n">
        <v>43</v>
      </c>
      <c r="E47" s="353" t="inlineStr">
        <is>
          <t>Zikometso Smallholder Farmers Association</t>
        </is>
      </c>
      <c r="F47" s="186" t="inlineStr">
        <is>
          <t>Debt</t>
        </is>
      </c>
      <c r="G47" s="187" t="n">
        <v>44775</v>
      </c>
      <c r="H47" s="187" t="n">
        <v>45535</v>
      </c>
      <c r="I47" s="188" t="n">
        <v>2</v>
      </c>
      <c r="J47" s="192" t="inlineStr">
        <is>
          <t>3 (Cap+Int)</t>
        </is>
      </c>
      <c r="K47" s="179" t="n">
        <v>10</v>
      </c>
      <c r="L47" s="186" t="n">
        <v>24000000</v>
      </c>
      <c r="M47" s="190" t="n">
        <v>11423340</v>
      </c>
      <c r="N47" s="186">
        <f>L47-M47</f>
        <v/>
      </c>
      <c r="O47" s="191">
        <f>M47</f>
        <v/>
      </c>
      <c r="P47" s="186">
        <f>SUM('Amortisation and Repayments'!H2289:H2313)</f>
        <v/>
      </c>
      <c r="Q47" s="186">
        <f>-SUM('Amortisation and Repayments'!K2289:K2313)</f>
        <v/>
      </c>
      <c r="R47" s="302">
        <f>SUM(O47:Q47)+2.46</f>
        <v/>
      </c>
      <c r="S47" s="235" t="n">
        <v>0</v>
      </c>
      <c r="T47" s="235" t="n">
        <v>0</v>
      </c>
      <c r="U47" s="409">
        <f>+SUM(S47:T47)</f>
        <v/>
      </c>
      <c r="V47" s="195" t="n"/>
      <c r="W47" s="186" t="n">
        <v>0</v>
      </c>
      <c r="X47" s="186">
        <f>+U47-W47</f>
        <v/>
      </c>
      <c r="Y47" s="266" t="n"/>
      <c r="Z47" s="195" t="n"/>
      <c r="AJ47" s="498">
        <f>IFERROR(INDEX('Mapping'!$J$2:$J$110,MATCH(47,'Mapping'!$A$2:$A$110,0)),"")</f>
        <v/>
      </c>
      <c r="AK47" s="499">
        <f>IFERROR(INDEX('Mapping'!$K$2:$K$110,MATCH(47,'Mapping'!$A$2:$A$110,0)),"")</f>
        <v/>
      </c>
      <c r="AL47" s="495">
        <f>IFERROR(INDEX('E-Banker master'!$B$2:$B$186,MATCH($AJ47,'E-Banker master'!$A$2:$A$186,0)),"")</f>
        <v/>
      </c>
      <c r="AM47" s="495">
        <f>IFERROR(INDEX('E-Banker master'!$E$2:$E$186,MATCH($AJ47,'E-Banker master'!$A$2:$A$186,0)),"")</f>
        <v/>
      </c>
      <c r="AN47" s="496">
        <f>IFERROR(INDEX('E-Banker master'!$N$2:$N$186,MATCH($AJ47,'E-Banker master'!$A$2:$A$186,0)),"")</f>
        <v/>
      </c>
      <c r="AO47" s="496">
        <f>IFERROR(INDEX('E-Banker master'!$O$2:$O$186,MATCH($AJ47,'E-Banker master'!$A$2:$A$186,0)),"")</f>
        <v/>
      </c>
      <c r="AP47" s="496">
        <f>IFERROR(INDEX('E-Banker master'!$P$2:$P$186,MATCH($AJ47,'E-Banker master'!$A$2:$A$186,0)),"")</f>
        <v/>
      </c>
      <c r="AQ47" s="496">
        <f>IF(OR($AJ47="",AP47=""),"",R47-AP47)</f>
        <v/>
      </c>
    </row>
    <row r="48">
      <c r="A48" s="408" t="n"/>
      <c r="B48" s="408" t="n"/>
      <c r="C48" s="408" t="n"/>
      <c r="D48" s="392" t="n">
        <v>44</v>
      </c>
      <c r="E48" s="353" t="inlineStr">
        <is>
          <t>The Food Empire Limited</t>
        </is>
      </c>
      <c r="F48" s="186" t="inlineStr">
        <is>
          <t>Debt</t>
        </is>
      </c>
      <c r="G48" s="187" t="n">
        <v>44785</v>
      </c>
      <c r="H48" s="187" t="n">
        <v>46265</v>
      </c>
      <c r="I48" s="188" t="n">
        <v>4</v>
      </c>
      <c r="J48" s="192" t="inlineStr">
        <is>
          <t>6 ( Cap only)</t>
        </is>
      </c>
      <c r="K48" s="497">
        <f>'Amortisation and Repayments'!K2321</f>
        <v/>
      </c>
      <c r="L48" s="186" t="n">
        <v>154724500</v>
      </c>
      <c r="M48" s="190" t="n">
        <v>154724500</v>
      </c>
      <c r="N48" s="186" t="n"/>
      <c r="O48" s="191">
        <f>M48</f>
        <v/>
      </c>
      <c r="P48" s="186">
        <f>SUM('Amortisation and Repayments'!H2329:H2355)</f>
        <v/>
      </c>
      <c r="Q48" s="186">
        <f>-SUM('Amortisation and Repayments'!K2329:K2355)</f>
        <v/>
      </c>
      <c r="R48" s="302">
        <f>SUM(O48:Q48)</f>
        <v/>
      </c>
      <c r="S48" s="235" t="n">
        <v>0</v>
      </c>
      <c r="T48" s="235" t="n">
        <v>0</v>
      </c>
      <c r="U48" s="409">
        <f>+SUM(S48:T48)</f>
        <v/>
      </c>
      <c r="V48" s="195" t="n"/>
      <c r="W48" s="186">
        <f>+U48</f>
        <v/>
      </c>
      <c r="X48" s="186" t="n">
        <v>0</v>
      </c>
      <c r="Y48" s="266" t="n"/>
      <c r="Z48" s="195" t="n"/>
      <c r="AJ48" s="498">
        <f>IFERROR(INDEX('Mapping'!$J$2:$J$110,MATCH(48,'Mapping'!$A$2:$A$110,0)),"")</f>
        <v/>
      </c>
      <c r="AK48" s="499">
        <f>IFERROR(INDEX('Mapping'!$K$2:$K$110,MATCH(48,'Mapping'!$A$2:$A$110,0)),"")</f>
        <v/>
      </c>
      <c r="AL48" s="495">
        <f>IFERROR(INDEX('E-Banker master'!$B$2:$B$186,MATCH($AJ48,'E-Banker master'!$A$2:$A$186,0)),"")</f>
        <v/>
      </c>
      <c r="AM48" s="495">
        <f>IFERROR(INDEX('E-Banker master'!$E$2:$E$186,MATCH($AJ48,'E-Banker master'!$A$2:$A$186,0)),"")</f>
        <v/>
      </c>
      <c r="AN48" s="496">
        <f>IFERROR(INDEX('E-Banker master'!$N$2:$N$186,MATCH($AJ48,'E-Banker master'!$A$2:$A$186,0)),"")</f>
        <v/>
      </c>
      <c r="AO48" s="496">
        <f>IFERROR(INDEX('E-Banker master'!$O$2:$O$186,MATCH($AJ48,'E-Banker master'!$A$2:$A$186,0)),"")</f>
        <v/>
      </c>
      <c r="AP48" s="496">
        <f>IFERROR(INDEX('E-Banker master'!$P$2:$P$186,MATCH($AJ48,'E-Banker master'!$A$2:$A$186,0)),"")</f>
        <v/>
      </c>
      <c r="AQ48" s="496">
        <f>IF(OR($AJ48="",AP48=""),"",R48-AP48)</f>
        <v/>
      </c>
    </row>
    <row r="49" customFormat="1" s="303">
      <c r="A49" s="418" t="n"/>
      <c r="B49" s="418" t="n"/>
      <c r="C49" s="418" t="n"/>
      <c r="D49" s="392" t="n">
        <v>45</v>
      </c>
      <c r="E49" s="175" t="inlineStr">
        <is>
          <t>Global Seeds Ltd</t>
        </is>
      </c>
      <c r="F49" s="190" t="inlineStr">
        <is>
          <t>Debt</t>
        </is>
      </c>
      <c r="G49" s="419" t="n">
        <v>44803</v>
      </c>
      <c r="H49" s="419" t="n">
        <v>45900</v>
      </c>
      <c r="I49" s="420" t="n">
        <v>3</v>
      </c>
      <c r="J49" s="422" t="n">
        <v>0</v>
      </c>
      <c r="K49" s="503">
        <f>'[1]Amortisation and Repayments'!J2387</f>
        <v/>
      </c>
      <c r="L49" s="190" t="n">
        <v>103225546</v>
      </c>
      <c r="M49" s="190" t="n">
        <v>103225546</v>
      </c>
      <c r="N49" s="190" t="n"/>
      <c r="O49" s="302">
        <f>M49</f>
        <v/>
      </c>
      <c r="P49" s="190">
        <f>SUM('[1]Amortisation and Repayments'!H2395:H2415)</f>
        <v/>
      </c>
      <c r="Q49" s="190">
        <f>-SUM('Amortisation and Repayments'!K2395:K2430)</f>
        <v/>
      </c>
      <c r="R49" s="429">
        <f>SUM(O49:Q49)</f>
        <v/>
      </c>
      <c r="S49" s="410" t="n"/>
      <c r="T49" s="410" t="n"/>
      <c r="U49" s="409">
        <f>+SUM(S49:T49)</f>
        <v/>
      </c>
      <c r="V49" s="175" t="n"/>
      <c r="W49" s="190" t="n"/>
      <c r="X49" s="190" t="n"/>
      <c r="Y49" s="416" t="n"/>
      <c r="Z49" s="175" t="n"/>
      <c r="AJ49" s="498">
        <f>IFERROR(INDEX('Mapping'!$J$2:$J$110,MATCH(49,'Mapping'!$A$2:$A$110,0)),"")</f>
        <v/>
      </c>
      <c r="AK49" s="499">
        <f>IFERROR(INDEX('Mapping'!$K$2:$K$110,MATCH(49,'Mapping'!$A$2:$A$110,0)),"")</f>
        <v/>
      </c>
      <c r="AL49" s="498">
        <f>IFERROR(INDEX('E-Banker master'!$B$2:$B$186,MATCH($AJ49,'E-Banker master'!$A$2:$A$186,0)),"")</f>
        <v/>
      </c>
      <c r="AM49" s="495">
        <f>IFERROR(INDEX('E-Banker master'!$E$2:$E$186,MATCH($AJ49,'E-Banker master'!$A$2:$A$186,0)),"")</f>
        <v/>
      </c>
      <c r="AN49" s="496">
        <f>IFERROR(INDEX('E-Banker master'!$N$2:$N$186,MATCH($AJ49,'E-Banker master'!$A$2:$A$186,0)),"")</f>
        <v/>
      </c>
      <c r="AO49" s="496">
        <f>IFERROR(INDEX('E-Banker master'!$O$2:$O$186,MATCH($AJ49,'E-Banker master'!$A$2:$A$186,0)),"")</f>
        <v/>
      </c>
      <c r="AP49" s="496">
        <f>IFERROR(INDEX('E-Banker master'!$P$2:$P$186,MATCH($AJ49,'E-Banker master'!$A$2:$A$186,0)),"")</f>
        <v/>
      </c>
      <c r="AQ49" s="496">
        <f>IF(OR($AJ49="",AP49=""),"",R49-AP49)</f>
        <v/>
      </c>
    </row>
    <row r="50">
      <c r="A50" s="408" t="n"/>
      <c r="B50" s="408" t="n"/>
      <c r="C50" s="408" t="n"/>
      <c r="D50" s="426" t="n">
        <v>46</v>
      </c>
      <c r="E50" s="224" t="inlineStr">
        <is>
          <t>Walusiya Investment</t>
        </is>
      </c>
      <c r="F50" s="223" t="inlineStr">
        <is>
          <t>Debt</t>
        </is>
      </c>
      <c r="G50" s="225" t="n">
        <v>44844</v>
      </c>
      <c r="H50" s="225" t="n">
        <v>45575</v>
      </c>
      <c r="I50" s="226" t="n">
        <v>2</v>
      </c>
      <c r="J50" s="227" t="inlineStr">
        <is>
          <t>3 (Cap+Int)</t>
        </is>
      </c>
      <c r="K50" s="228" t="n">
        <v>10</v>
      </c>
      <c r="L50" s="223" t="n">
        <v>10000000</v>
      </c>
      <c r="M50" s="229" t="n">
        <v>10000000</v>
      </c>
      <c r="N50" s="223" t="n"/>
      <c r="O50" s="230">
        <f>M50</f>
        <v/>
      </c>
      <c r="P50" s="223">
        <f>SUM('Amortisation and Repayments'!H2448:H2472)</f>
        <v/>
      </c>
      <c r="Q50" s="223">
        <f>-SUM('Amortisation and Repayments'!K2448:K2472)</f>
        <v/>
      </c>
      <c r="R50" s="360">
        <f>SUM(O50:Q50)</f>
        <v/>
      </c>
      <c r="S50" s="265">
        <f>SUM('Amortisation and Repayments'!I2455:I2472)</f>
        <v/>
      </c>
      <c r="T50" s="265">
        <f>'Amortisation and Repayments'!L2472-'Loan Book'!S50</f>
        <v/>
      </c>
      <c r="U50" s="328">
        <f>+SUM(S50:T50)</f>
        <v/>
      </c>
      <c r="V50" s="276" t="n"/>
      <c r="W50" s="223">
        <f>'Amortisation and Repayments'!G2472</f>
        <v/>
      </c>
      <c r="X50" s="223">
        <f>W50*3</f>
        <v/>
      </c>
      <c r="Y50" s="272">
        <f>X50</f>
        <v/>
      </c>
      <c r="Z50" s="273">
        <f>U50-SUM(W50:Y50)</f>
        <v/>
      </c>
      <c r="AJ50" s="498">
        <f>IFERROR(INDEX('Mapping'!$J$2:$J$110,MATCH(50,'Mapping'!$A$2:$A$110,0)),"")</f>
        <v/>
      </c>
      <c r="AK50" s="499">
        <f>IFERROR(INDEX('Mapping'!$K$2:$K$110,MATCH(50,'Mapping'!$A$2:$A$110,0)),"")</f>
        <v/>
      </c>
      <c r="AL50" s="495">
        <f>IFERROR(INDEX('E-Banker master'!$B$2:$B$186,MATCH($AJ50,'E-Banker master'!$A$2:$A$186,0)),"")</f>
        <v/>
      </c>
      <c r="AM50" s="495">
        <f>IFERROR(INDEX('E-Banker master'!$E$2:$E$186,MATCH($AJ50,'E-Banker master'!$A$2:$A$186,0)),"")</f>
        <v/>
      </c>
      <c r="AN50" s="496">
        <f>IFERROR(INDEX('E-Banker master'!$N$2:$N$186,MATCH($AJ50,'E-Banker master'!$A$2:$A$186,0)),"")</f>
        <v/>
      </c>
      <c r="AO50" s="496">
        <f>IFERROR(INDEX('E-Banker master'!$O$2:$O$186,MATCH($AJ50,'E-Banker master'!$A$2:$A$186,0)),"")</f>
        <v/>
      </c>
      <c r="AP50" s="496">
        <f>IFERROR(INDEX('E-Banker master'!$P$2:$P$186,MATCH($AJ50,'E-Banker master'!$A$2:$A$186,0)),"")</f>
        <v/>
      </c>
      <c r="AQ50" s="496">
        <f>IF(OR($AJ50="",AP50=""),"",R50-AP50)</f>
        <v/>
      </c>
    </row>
    <row r="51">
      <c r="A51" s="408" t="n"/>
      <c r="B51" s="408" t="n"/>
      <c r="C51" s="408" t="n"/>
      <c r="D51" s="392" t="n">
        <v>47</v>
      </c>
      <c r="E51" s="434" t="inlineStr">
        <is>
          <t>G&amp;T General Dealers</t>
        </is>
      </c>
      <c r="F51" s="223" t="inlineStr">
        <is>
          <t>Debt</t>
        </is>
      </c>
      <c r="G51" s="225" t="n">
        <v>44844</v>
      </c>
      <c r="H51" s="225" t="n">
        <v>45575</v>
      </c>
      <c r="I51" s="226" t="n">
        <v>2</v>
      </c>
      <c r="J51" s="227" t="inlineStr">
        <is>
          <t>3 (Cap+Int)</t>
        </is>
      </c>
      <c r="K51" s="228" t="n">
        <v>10</v>
      </c>
      <c r="L51" s="223" t="n">
        <v>12000000</v>
      </c>
      <c r="M51" s="229" t="n">
        <v>12000000</v>
      </c>
      <c r="N51" s="223" t="n"/>
      <c r="O51" s="230">
        <f>M51</f>
        <v/>
      </c>
      <c r="P51" s="223">
        <f>SUM('Amortisation and Repayments'!H2489:H2513)</f>
        <v/>
      </c>
      <c r="Q51" s="223">
        <f>-SUM('Amortisation and Repayments'!K2489:K2513)</f>
        <v/>
      </c>
      <c r="R51" s="360">
        <f>SUM(O51:Q51)</f>
        <v/>
      </c>
      <c r="S51" s="265">
        <f>SUM('Amortisation and Repayments'!I2504:I2513)</f>
        <v/>
      </c>
      <c r="T51" s="265">
        <f>'Amortisation and Repayments'!L2513-'Loan Book'!S51</f>
        <v/>
      </c>
      <c r="U51" s="328">
        <f>+SUM(S51:T51)</f>
        <v/>
      </c>
      <c r="V51" s="276" t="n"/>
      <c r="W51" s="223">
        <f>'Amortisation and Repayments'!G2513</f>
        <v/>
      </c>
      <c r="X51" s="223">
        <f>+W51*3</f>
        <v/>
      </c>
      <c r="Y51" s="223">
        <f>W51*3</f>
        <v/>
      </c>
      <c r="Z51" s="273">
        <f>U51-SUM(W51:Y51)</f>
        <v/>
      </c>
      <c r="AJ51" s="498">
        <f>IFERROR(INDEX('Mapping'!$J$2:$J$110,MATCH(51,'Mapping'!$A$2:$A$110,0)),"")</f>
        <v/>
      </c>
      <c r="AK51" s="499">
        <f>IFERROR(INDEX('Mapping'!$K$2:$K$110,MATCH(51,'Mapping'!$A$2:$A$110,0)),"")</f>
        <v/>
      </c>
      <c r="AL51" s="495">
        <f>IFERROR(INDEX('E-Banker master'!$B$2:$B$186,MATCH($AJ51,'E-Banker master'!$A$2:$A$186,0)),"")</f>
        <v/>
      </c>
      <c r="AM51" s="495">
        <f>IFERROR(INDEX('E-Banker master'!$E$2:$E$186,MATCH($AJ51,'E-Banker master'!$A$2:$A$186,0)),"")</f>
        <v/>
      </c>
      <c r="AN51" s="496">
        <f>IFERROR(INDEX('E-Banker master'!$N$2:$N$186,MATCH($AJ51,'E-Banker master'!$A$2:$A$186,0)),"")</f>
        <v/>
      </c>
      <c r="AO51" s="496">
        <f>IFERROR(INDEX('E-Banker master'!$O$2:$O$186,MATCH($AJ51,'E-Banker master'!$A$2:$A$186,0)),"")</f>
        <v/>
      </c>
      <c r="AP51" s="500">
        <f>IFERROR(INDEX('E-Banker master'!$P$2:$P$186,MATCH($AJ51,'E-Banker master'!$A$2:$A$186,0)),"")</f>
        <v/>
      </c>
      <c r="AQ51" s="496">
        <f>IF(OR($AJ51="",AP51=""),"",R51-AP51)</f>
        <v/>
      </c>
    </row>
    <row r="52">
      <c r="A52" s="408" t="n"/>
      <c r="B52" s="408" t="n"/>
      <c r="C52" s="408" t="n"/>
      <c r="D52" s="392" t="n">
        <v>48</v>
      </c>
      <c r="E52" s="175" t="inlineStr">
        <is>
          <t>Rose Harris Investment</t>
        </is>
      </c>
      <c r="F52" s="186" t="inlineStr">
        <is>
          <t>Debt</t>
        </is>
      </c>
      <c r="G52" s="187" t="n">
        <v>44852</v>
      </c>
      <c r="H52" s="187" t="n">
        <v>45583</v>
      </c>
      <c r="I52" s="188" t="n">
        <v>2</v>
      </c>
      <c r="J52" s="192" t="inlineStr">
        <is>
          <t>3 (Cap+Int)</t>
        </is>
      </c>
      <c r="K52" s="179" t="n">
        <v>10</v>
      </c>
      <c r="L52" s="186" t="n">
        <v>24000000</v>
      </c>
      <c r="M52" s="190" t="n">
        <v>24000000</v>
      </c>
      <c r="N52" s="186" t="n"/>
      <c r="O52" s="191">
        <f>M52</f>
        <v/>
      </c>
      <c r="P52" s="186">
        <f>SUM('[1]Amortisation and Repayments'!H2530:H2544)</f>
        <v/>
      </c>
      <c r="Q52" s="186">
        <f>-SUM('Amortisation and Repayments'!K2530:K2548)</f>
        <v/>
      </c>
      <c r="R52" s="429" t="n">
        <v>0</v>
      </c>
      <c r="S52" s="235" t="n"/>
      <c r="T52" s="235" t="n"/>
      <c r="U52" s="409">
        <f>+SUM(S52:T52)</f>
        <v/>
      </c>
      <c r="V52" s="195" t="n"/>
      <c r="W52" s="186" t="n"/>
      <c r="Y52" s="266" t="n"/>
      <c r="Z52" s="195" t="n"/>
      <c r="AJ52" s="498">
        <f>IFERROR(INDEX('Mapping'!$J$2:$J$110,MATCH(52,'Mapping'!$A$2:$A$110,0)),"")</f>
        <v/>
      </c>
      <c r="AK52" s="499">
        <f>IFERROR(INDEX('Mapping'!$K$2:$K$110,MATCH(52,'Mapping'!$A$2:$A$110,0)),"")</f>
        <v/>
      </c>
      <c r="AL52" s="495">
        <f>IFERROR(INDEX('E-Banker master'!$B$2:$B$186,MATCH($AJ52,'E-Banker master'!$A$2:$A$186,0)),"")</f>
        <v/>
      </c>
      <c r="AM52" s="495">
        <f>IFERROR(INDEX('E-Banker master'!$E$2:$E$186,MATCH($AJ52,'E-Banker master'!$A$2:$A$186,0)),"")</f>
        <v/>
      </c>
      <c r="AN52" s="496">
        <f>IFERROR(INDEX('E-Banker master'!$N$2:$N$186,MATCH($AJ52,'E-Banker master'!$A$2:$A$186,0)),"")</f>
        <v/>
      </c>
      <c r="AO52" s="496">
        <f>IFERROR(INDEX('E-Banker master'!$O$2:$O$186,MATCH($AJ52,'E-Banker master'!$A$2:$A$186,0)),"")</f>
        <v/>
      </c>
      <c r="AP52" s="500">
        <f>IFERROR(INDEX('E-Banker master'!$P$2:$P$186,MATCH($AJ52,'E-Banker master'!$A$2:$A$186,0)),"")</f>
        <v/>
      </c>
      <c r="AQ52" s="496">
        <f>IF(OR($AJ52="",AP52=""),"",R52-AP52)</f>
        <v/>
      </c>
    </row>
    <row r="53">
      <c r="A53" s="408" t="n"/>
      <c r="B53" s="408" t="n"/>
      <c r="C53" s="408" t="n"/>
      <c r="D53" s="426" t="n">
        <v>49</v>
      </c>
      <c r="E53" s="195" t="inlineStr">
        <is>
          <t>Kaning'a General Dealer</t>
        </is>
      </c>
      <c r="F53" s="186" t="inlineStr">
        <is>
          <t>Debt</t>
        </is>
      </c>
      <c r="G53" s="187" t="n">
        <v>44861</v>
      </c>
      <c r="H53" s="187" t="n">
        <v>45592</v>
      </c>
      <c r="I53" s="188" t="n">
        <v>2</v>
      </c>
      <c r="J53" s="192" t="inlineStr">
        <is>
          <t>3 (Cap+Int)</t>
        </is>
      </c>
      <c r="K53" s="179" t="n">
        <v>10</v>
      </c>
      <c r="L53" s="186" t="n">
        <v>24000000</v>
      </c>
      <c r="M53" s="186" t="n">
        <v>24000000</v>
      </c>
      <c r="N53" s="186" t="n"/>
      <c r="O53" s="186">
        <f>M53</f>
        <v/>
      </c>
      <c r="P53" s="186">
        <f>SUM('Amortisation and Repayments'!H2572:H2596)</f>
        <v/>
      </c>
      <c r="Q53" s="186">
        <f>-SUM('Amortisation and Repayments'!K2572:K2596)</f>
        <v/>
      </c>
      <c r="R53" s="186" t="n">
        <v>0</v>
      </c>
      <c r="S53" s="235" t="n">
        <v>0</v>
      </c>
      <c r="T53" s="235" t="n">
        <v>0</v>
      </c>
      <c r="U53" s="409">
        <f>+SUM(S53:T53)</f>
        <v/>
      </c>
      <c r="V53" s="195" t="n"/>
      <c r="W53" s="186" t="n">
        <v>0</v>
      </c>
      <c r="X53" s="186">
        <f>U53-W53</f>
        <v/>
      </c>
      <c r="Y53" s="266" t="n"/>
      <c r="Z53" s="195" t="n"/>
      <c r="AJ53" s="498">
        <f>IFERROR(INDEX('Mapping'!$J$2:$J$110,MATCH(53,'Mapping'!$A$2:$A$110,0)),"")</f>
        <v/>
      </c>
      <c r="AK53" s="499">
        <f>IFERROR(INDEX('Mapping'!$K$2:$K$110,MATCH(53,'Mapping'!$A$2:$A$110,0)),"")</f>
        <v/>
      </c>
      <c r="AL53" s="495">
        <f>IFERROR(INDEX('E-Banker master'!$B$2:$B$186,MATCH($AJ53,'E-Banker master'!$A$2:$A$186,0)),"")</f>
        <v/>
      </c>
      <c r="AM53" s="495">
        <f>IFERROR(INDEX('E-Banker master'!$E$2:$E$186,MATCH($AJ53,'E-Banker master'!$A$2:$A$186,0)),"")</f>
        <v/>
      </c>
      <c r="AN53" s="496">
        <f>IFERROR(INDEX('E-Banker master'!$N$2:$N$186,MATCH($AJ53,'E-Banker master'!$A$2:$A$186,0)),"")</f>
        <v/>
      </c>
      <c r="AO53" s="502">
        <f>IFERROR(INDEX('E-Banker master'!$O$2:$O$186,MATCH($AJ53,'E-Banker master'!$A$2:$A$186,0)),"")</f>
        <v/>
      </c>
      <c r="AP53" s="500">
        <f>IFERROR(INDEX('E-Banker master'!$P$2:$P$186,MATCH($AJ53,'E-Banker master'!$A$2:$A$186,0)),"")</f>
        <v/>
      </c>
      <c r="AQ53" s="496">
        <f>IF(OR($AJ53="",AP53=""),"",R53-AP53)</f>
        <v/>
      </c>
    </row>
    <row r="54">
      <c r="A54" s="408" t="n"/>
      <c r="B54" s="408" t="n"/>
      <c r="C54" s="408" t="n"/>
      <c r="D54" s="392" t="n">
        <v>50</v>
      </c>
      <c r="E54" s="435" t="inlineStr">
        <is>
          <t>Uchi Conservation Limited</t>
        </is>
      </c>
      <c r="F54" s="342" t="inlineStr">
        <is>
          <t>Debt</t>
        </is>
      </c>
      <c r="G54" s="343" t="n">
        <v>44867</v>
      </c>
      <c r="H54" s="343" t="n">
        <v>45598</v>
      </c>
      <c r="I54" s="344" t="n">
        <v>2</v>
      </c>
      <c r="J54" s="345" t="inlineStr">
        <is>
          <t>6 (Cap+Int)</t>
        </is>
      </c>
      <c r="K54" s="346" t="n">
        <v>10</v>
      </c>
      <c r="L54" s="342" t="n">
        <v>10000000</v>
      </c>
      <c r="M54" s="351" t="n">
        <v>10000000</v>
      </c>
      <c r="N54" s="342" t="n"/>
      <c r="O54" s="347">
        <f>M54</f>
        <v/>
      </c>
      <c r="P54" s="342">
        <f>SUM('Amortisation and Repayments'!H2616:H2639)</f>
        <v/>
      </c>
      <c r="Q54" s="342">
        <f>-SUM('Amortisation and Repayments'!K2616:K2639)</f>
        <v/>
      </c>
      <c r="R54" s="361">
        <f>SUM(O54:Q54)</f>
        <v/>
      </c>
      <c r="S54" s="348">
        <f>SUM('Amortisation and Repayments'!I2628:I2639)</f>
        <v/>
      </c>
      <c r="T54" s="348">
        <f>'Amortisation and Repayments'!L2639-'Loan Book'!S54</f>
        <v/>
      </c>
      <c r="U54" s="328">
        <f>+SUM(S54:T54)</f>
        <v/>
      </c>
      <c r="V54" s="341" t="n"/>
      <c r="W54" s="342">
        <f>'Amortisation and Repayments'!G2639</f>
        <v/>
      </c>
      <c r="X54" s="342">
        <f>W54*3</f>
        <v/>
      </c>
      <c r="Y54" s="342">
        <f>W54*3</f>
        <v/>
      </c>
      <c r="Z54" s="349">
        <f>U54-SUM(W54:Y54)</f>
        <v/>
      </c>
      <c r="AJ54" s="498">
        <f>IFERROR(INDEX('Mapping'!$J$2:$J$110,MATCH(54,'Mapping'!$A$2:$A$110,0)),"")</f>
        <v/>
      </c>
      <c r="AK54" s="499">
        <f>IFERROR(INDEX('Mapping'!$K$2:$K$110,MATCH(54,'Mapping'!$A$2:$A$110,0)),"")</f>
        <v/>
      </c>
      <c r="AL54" s="495">
        <f>IFERROR(INDEX('E-Banker master'!$B$2:$B$186,MATCH($AJ54,'E-Banker master'!$A$2:$A$186,0)),"")</f>
        <v/>
      </c>
      <c r="AM54" s="495">
        <f>IFERROR(INDEX('E-Banker master'!$E$2:$E$186,MATCH($AJ54,'E-Banker master'!$A$2:$A$186,0)),"")</f>
        <v/>
      </c>
      <c r="AN54" s="496">
        <f>IFERROR(INDEX('E-Banker master'!$N$2:$N$186,MATCH($AJ54,'E-Banker master'!$A$2:$A$186,0)),"")</f>
        <v/>
      </c>
      <c r="AO54" s="496">
        <f>IFERROR(INDEX('E-Banker master'!$O$2:$O$186,MATCH($AJ54,'E-Banker master'!$A$2:$A$186,0)),"")</f>
        <v/>
      </c>
      <c r="AP54" s="496">
        <f>IFERROR(INDEX('E-Banker master'!$P$2:$P$186,MATCH($AJ54,'E-Banker master'!$A$2:$A$186,0)),"")</f>
        <v/>
      </c>
      <c r="AQ54" s="496">
        <f>IF(OR($AJ54="",AP54=""),"",R54-AP54)</f>
        <v/>
      </c>
    </row>
    <row r="55">
      <c r="A55" s="408" t="n"/>
      <c r="B55" s="408" t="n"/>
      <c r="C55" s="408" t="n"/>
      <c r="D55" s="392" t="n">
        <v>51</v>
      </c>
      <c r="E55" s="175" t="inlineStr">
        <is>
          <t>Greendom Farming</t>
        </is>
      </c>
      <c r="F55" s="186" t="inlineStr">
        <is>
          <t>Debt</t>
        </is>
      </c>
      <c r="G55" s="187" t="n">
        <v>44874</v>
      </c>
      <c r="H55" s="187" t="n">
        <v>45605</v>
      </c>
      <c r="I55" s="188" t="n">
        <v>2</v>
      </c>
      <c r="J55" s="192" t="inlineStr">
        <is>
          <t>3 (Cap+Int)</t>
        </is>
      </c>
      <c r="K55" s="179" t="n">
        <v>10</v>
      </c>
      <c r="L55" s="186" t="n">
        <v>10000000</v>
      </c>
      <c r="M55" s="190" t="n">
        <v>10000000</v>
      </c>
      <c r="N55" s="186" t="n"/>
      <c r="O55" s="191">
        <f>M55</f>
        <v/>
      </c>
      <c r="P55" s="186">
        <f>SUM('Amortisation and Repayments'!H2658:H2681)</f>
        <v/>
      </c>
      <c r="Q55" s="186">
        <f>-SUM('Amortisation and Repayments'!K2658:K2681)</f>
        <v/>
      </c>
      <c r="R55" s="302">
        <f>SUM(O55:Q55)</f>
        <v/>
      </c>
      <c r="S55" s="235">
        <f>'Amortisation and Repayments'!L2681-T55</f>
        <v/>
      </c>
      <c r="T55" s="235" t="n">
        <v>30763.15</v>
      </c>
      <c r="U55" s="409">
        <f>+SUM(S55:T55)</f>
        <v/>
      </c>
      <c r="V55" s="195" t="n"/>
      <c r="W55" s="186">
        <f>U55</f>
        <v/>
      </c>
      <c r="X55" s="186">
        <f>U55-W55</f>
        <v/>
      </c>
      <c r="Y55" s="266" t="n"/>
      <c r="Z55" s="195" t="n"/>
      <c r="AJ55" s="498">
        <f>IFERROR(INDEX('Mapping'!$J$2:$J$110,MATCH(55,'Mapping'!$A$2:$A$110,0)),"")</f>
        <v/>
      </c>
      <c r="AK55" s="499">
        <f>IFERROR(INDEX('Mapping'!$K$2:$K$110,MATCH(55,'Mapping'!$A$2:$A$110,0)),"")</f>
        <v/>
      </c>
      <c r="AL55" s="498">
        <f>IFERROR(INDEX('E-Banker master'!$B$2:$B$186,MATCH($AJ55,'E-Banker master'!$A$2:$A$186,0)),"")</f>
        <v/>
      </c>
      <c r="AM55" s="495">
        <f>IFERROR(INDEX('E-Banker master'!$E$2:$E$186,MATCH($AJ55,'E-Banker master'!$A$2:$A$186,0)),"")</f>
        <v/>
      </c>
      <c r="AN55" s="496">
        <f>IFERROR(INDEX('E-Banker master'!$N$2:$N$186,MATCH($AJ55,'E-Banker master'!$A$2:$A$186,0)),"")</f>
        <v/>
      </c>
      <c r="AO55" s="496">
        <f>IFERROR(INDEX('E-Banker master'!$O$2:$O$186,MATCH($AJ55,'E-Banker master'!$A$2:$A$186,0)),"")</f>
        <v/>
      </c>
      <c r="AP55" s="496">
        <f>IFERROR(INDEX('E-Banker master'!$P$2:$P$186,MATCH($AJ55,'E-Banker master'!$A$2:$A$186,0)),"")</f>
        <v/>
      </c>
      <c r="AQ55" s="496">
        <f>IF(OR($AJ55="",AP55=""),"",R55-AP55)</f>
        <v/>
      </c>
    </row>
    <row r="56">
      <c r="A56" s="408" t="n"/>
      <c r="B56" s="408" t="n"/>
      <c r="C56" s="408" t="n"/>
      <c r="D56" s="426" t="n">
        <v>52</v>
      </c>
      <c r="E56" s="175" t="inlineStr">
        <is>
          <t>JAT Investments</t>
        </is>
      </c>
      <c r="F56" s="186" t="inlineStr">
        <is>
          <t>Debt</t>
        </is>
      </c>
      <c r="G56" s="187" t="n">
        <v>44875</v>
      </c>
      <c r="H56" s="187" t="n">
        <v>45606</v>
      </c>
      <c r="I56" s="188" t="n">
        <v>2</v>
      </c>
      <c r="J56" s="192" t="inlineStr">
        <is>
          <t>3 (Cap+Int)</t>
        </is>
      </c>
      <c r="K56" s="179" t="n">
        <v>10</v>
      </c>
      <c r="L56" s="186" t="n">
        <v>24000000</v>
      </c>
      <c r="M56" s="190" t="n">
        <v>24000000</v>
      </c>
      <c r="N56" s="186" t="n"/>
      <c r="O56" s="191">
        <f>M56</f>
        <v/>
      </c>
      <c r="P56" s="186">
        <f>SUM('[1]Amortisation and Repayments'!H2703:H2715)</f>
        <v/>
      </c>
      <c r="Q56" s="186">
        <f>-SUM('Amortisation and Repayments'!K2703:K2724)</f>
        <v/>
      </c>
      <c r="R56" s="429" t="n">
        <v>0</v>
      </c>
      <c r="S56" s="235" t="n"/>
      <c r="T56" s="235" t="n"/>
      <c r="U56" s="409">
        <f>+SUM(S56:T56)</f>
        <v/>
      </c>
      <c r="V56" s="195" t="n"/>
      <c r="W56" s="186" t="n"/>
      <c r="X56" s="186" t="n">
        <v>0</v>
      </c>
      <c r="Y56" s="266" t="n"/>
      <c r="Z56" s="195" t="n"/>
      <c r="AJ56" s="498">
        <f>IFERROR(INDEX('Mapping'!$J$2:$J$110,MATCH(56,'Mapping'!$A$2:$A$110,0)),"")</f>
        <v/>
      </c>
      <c r="AK56" s="499">
        <f>IFERROR(INDEX('Mapping'!$K$2:$K$110,MATCH(56,'Mapping'!$A$2:$A$110,0)),"")</f>
        <v/>
      </c>
      <c r="AL56" s="495">
        <f>IFERROR(INDEX('E-Banker master'!$B$2:$B$186,MATCH($AJ56,'E-Banker master'!$A$2:$A$186,0)),"")</f>
        <v/>
      </c>
      <c r="AM56" s="495">
        <f>IFERROR(INDEX('E-Banker master'!$E$2:$E$186,MATCH($AJ56,'E-Banker master'!$A$2:$A$186,0)),"")</f>
        <v/>
      </c>
      <c r="AN56" s="496">
        <f>IFERROR(INDEX('E-Banker master'!$N$2:$N$186,MATCH($AJ56,'E-Banker master'!$A$2:$A$186,0)),"")</f>
        <v/>
      </c>
      <c r="AO56" s="496">
        <f>IFERROR(INDEX('E-Banker master'!$O$2:$O$186,MATCH($AJ56,'E-Banker master'!$A$2:$A$186,0)),"")</f>
        <v/>
      </c>
      <c r="AP56" s="500">
        <f>IFERROR(INDEX('E-Banker master'!$P$2:$P$186,MATCH($AJ56,'E-Banker master'!$A$2:$A$186,0)),"")</f>
        <v/>
      </c>
      <c r="AQ56" s="496">
        <f>IF(OR($AJ56="",AP56=""),"",R56-AP56)</f>
        <v/>
      </c>
    </row>
    <row r="57">
      <c r="A57" s="408" t="n"/>
      <c r="B57" s="408" t="n"/>
      <c r="C57" s="408" t="n"/>
      <c r="D57" s="392" t="n">
        <v>53</v>
      </c>
      <c r="E57" s="175" t="inlineStr">
        <is>
          <t>Kambewu Organic Fertilizer Investments</t>
        </is>
      </c>
      <c r="F57" s="186" t="inlineStr">
        <is>
          <t>Debt</t>
        </is>
      </c>
      <c r="G57" s="187" t="n">
        <v>44883</v>
      </c>
      <c r="H57" s="187" t="n">
        <v>46356</v>
      </c>
      <c r="I57" s="188" t="n">
        <v>4</v>
      </c>
      <c r="J57" s="192" t="inlineStr">
        <is>
          <t>12 (Cap+Int)</t>
        </is>
      </c>
      <c r="K57" s="497">
        <f>'Amortisation and Repayments'!I2745</f>
        <v/>
      </c>
      <c r="L57" s="186" t="n">
        <v>103166500</v>
      </c>
      <c r="M57" s="190" t="n">
        <v>103166500</v>
      </c>
      <c r="N57" s="186">
        <f>L57-M57</f>
        <v/>
      </c>
      <c r="O57" s="191">
        <f>M57</f>
        <v/>
      </c>
      <c r="P57" s="186">
        <f>SUM('Amortisation and Repayments'!H2750:H2773)</f>
        <v/>
      </c>
      <c r="Q57" s="186">
        <f>-SUM('Amortisation and Repayments'!K2750:K2773)</f>
        <v/>
      </c>
      <c r="R57" s="302">
        <f>SUM(O57:Q57)</f>
        <v/>
      </c>
      <c r="S57" s="235" t="n">
        <v>0</v>
      </c>
      <c r="T57" s="235" t="n">
        <v>0</v>
      </c>
      <c r="U57" s="409">
        <f>+SUM(S57:T57)</f>
        <v/>
      </c>
      <c r="V57" s="195" t="n"/>
      <c r="W57" s="186" t="n">
        <v>0</v>
      </c>
      <c r="X57" s="186" t="n">
        <v>0</v>
      </c>
      <c r="Y57" s="266" t="n">
        <v>0</v>
      </c>
      <c r="Z57" s="195" t="n"/>
      <c r="AJ57" s="498">
        <f>IFERROR(INDEX('Mapping'!$J$2:$J$110,MATCH(57,'Mapping'!$A$2:$A$110,0)),"")</f>
        <v/>
      </c>
      <c r="AK57" s="499">
        <f>IFERROR(INDEX('Mapping'!$K$2:$K$110,MATCH(57,'Mapping'!$A$2:$A$110,0)),"")</f>
        <v/>
      </c>
      <c r="AL57" s="495">
        <f>IFERROR(INDEX('E-Banker master'!$B$2:$B$186,MATCH($AJ57,'E-Banker master'!$A$2:$A$186,0)),"")</f>
        <v/>
      </c>
      <c r="AM57" s="495">
        <f>IFERROR(INDEX('E-Banker master'!$E$2:$E$186,MATCH($AJ57,'E-Banker master'!$A$2:$A$186,0)),"")</f>
        <v/>
      </c>
      <c r="AN57" s="496">
        <f>IFERROR(INDEX('E-Banker master'!$N$2:$N$186,MATCH($AJ57,'E-Banker master'!$A$2:$A$186,0)),"")</f>
        <v/>
      </c>
      <c r="AO57" s="496">
        <f>IFERROR(INDEX('E-Banker master'!$O$2:$O$186,MATCH($AJ57,'E-Banker master'!$A$2:$A$186,0)),"")</f>
        <v/>
      </c>
      <c r="AP57" s="500">
        <f>IFERROR(INDEX('E-Banker master'!$P$2:$P$186,MATCH($AJ57,'E-Banker master'!$A$2:$A$186,0)),"")</f>
        <v/>
      </c>
      <c r="AQ57" s="496">
        <f>IF(OR($AJ57="",AP57=""),"",R57-AP57)</f>
        <v/>
      </c>
    </row>
    <row r="58">
      <c r="A58" s="408" t="n"/>
      <c r="B58" s="408" t="n"/>
      <c r="C58" s="408" t="n"/>
      <c r="D58" s="392" t="n">
        <v>54</v>
      </c>
      <c r="E58" s="353" t="inlineStr">
        <is>
          <t>Kwithu Producers and Marketing Cooperativ</t>
        </is>
      </c>
      <c r="F58" s="186" t="inlineStr">
        <is>
          <t>Debt</t>
        </is>
      </c>
      <c r="G58" s="187" t="n">
        <v>44950</v>
      </c>
      <c r="H58" s="187" t="n">
        <v>46046</v>
      </c>
      <c r="I58" s="188" t="n">
        <v>3</v>
      </c>
      <c r="J58" s="192" t="inlineStr">
        <is>
          <t>3 ( Cap only)</t>
        </is>
      </c>
      <c r="K58" s="179" t="n">
        <v>10</v>
      </c>
      <c r="L58" s="186" t="n">
        <v>90900000</v>
      </c>
      <c r="M58" s="190" t="n">
        <v>90900000</v>
      </c>
      <c r="N58" s="186" t="n">
        <v>0</v>
      </c>
      <c r="O58" s="191">
        <f>M58</f>
        <v/>
      </c>
      <c r="P58" s="186">
        <f>SUM('Amortisation and Repayments'!H2820:H2841)</f>
        <v/>
      </c>
      <c r="Q58" s="186">
        <f>-SUM('Amortisation and Repayments'!K2820:K2841)</f>
        <v/>
      </c>
      <c r="R58" s="302">
        <f>SUM(O58:Q58)</f>
        <v/>
      </c>
      <c r="S58" s="235" t="n">
        <v>0</v>
      </c>
      <c r="T58" s="235" t="n">
        <v>0</v>
      </c>
      <c r="U58" s="409">
        <f>+SUM(S58:T58)</f>
        <v/>
      </c>
      <c r="V58" s="195" t="n"/>
      <c r="W58" s="186">
        <f>U58</f>
        <v/>
      </c>
      <c r="X58" s="186" t="n"/>
      <c r="Y58" s="266" t="n">
        <v>0</v>
      </c>
      <c r="Z58" s="195" t="n"/>
      <c r="AJ58" s="498">
        <f>IFERROR(INDEX('Mapping'!$J$2:$J$110,MATCH(58,'Mapping'!$A$2:$A$110,0)),"")</f>
        <v/>
      </c>
      <c r="AK58" s="499">
        <f>IFERROR(INDEX('Mapping'!$K$2:$K$110,MATCH(58,'Mapping'!$A$2:$A$110,0)),"")</f>
        <v/>
      </c>
      <c r="AL58" s="495">
        <f>IFERROR(INDEX('E-Banker master'!$B$2:$B$186,MATCH($AJ58,'E-Banker master'!$A$2:$A$186,0)),"")</f>
        <v/>
      </c>
      <c r="AM58" s="495">
        <f>IFERROR(INDEX('E-Banker master'!$E$2:$E$186,MATCH($AJ58,'E-Banker master'!$A$2:$A$186,0)),"")</f>
        <v/>
      </c>
      <c r="AN58" s="496">
        <f>IFERROR(INDEX('E-Banker master'!$N$2:$N$186,MATCH($AJ58,'E-Banker master'!$A$2:$A$186,0)),"")</f>
        <v/>
      </c>
      <c r="AO58" s="496">
        <f>IFERROR(INDEX('E-Banker master'!$O$2:$O$186,MATCH($AJ58,'E-Banker master'!$A$2:$A$186,0)),"")</f>
        <v/>
      </c>
      <c r="AP58" s="496">
        <f>IFERROR(INDEX('E-Banker master'!$P$2:$P$186,MATCH($AJ58,'E-Banker master'!$A$2:$A$186,0)),"")</f>
        <v/>
      </c>
      <c r="AQ58" s="496">
        <f>IF(OR($AJ58="",AP58=""),"",R58-AP58)</f>
        <v/>
      </c>
    </row>
    <row r="59">
      <c r="A59" s="408" t="n"/>
      <c r="B59" s="408" t="n"/>
      <c r="C59" s="408" t="n"/>
      <c r="D59" s="426" t="n">
        <v>55</v>
      </c>
      <c r="E59" s="353" t="inlineStr">
        <is>
          <t>VNC Bricks &amp; Construction Group Ltd</t>
        </is>
      </c>
      <c r="F59" s="186" t="inlineStr">
        <is>
          <t>Debt</t>
        </is>
      </c>
      <c r="G59" s="187" t="n">
        <v>44952</v>
      </c>
      <c r="H59" s="187" t="n">
        <v>46413</v>
      </c>
      <c r="I59" s="188" t="n">
        <v>4</v>
      </c>
      <c r="J59" s="192" t="inlineStr">
        <is>
          <t>6 (Cap+Int)</t>
        </is>
      </c>
      <c r="K59" s="179" t="n">
        <v>25.3</v>
      </c>
      <c r="L59" s="186" t="n">
        <v>200000000</v>
      </c>
      <c r="M59" s="190" t="n">
        <v>200000000</v>
      </c>
      <c r="N59" s="186" t="n">
        <v>0</v>
      </c>
      <c r="O59" s="191">
        <f>M59</f>
        <v/>
      </c>
      <c r="P59" s="186">
        <f>SUM('Amortisation and Repayments'!H2875:H2896)</f>
        <v/>
      </c>
      <c r="Q59" s="186">
        <f>-SUM('Amortisation and Repayments'!K2875:K2896)</f>
        <v/>
      </c>
      <c r="R59" s="302">
        <f>SUM(O59:Q59)</f>
        <v/>
      </c>
      <c r="S59" s="235">
        <f>SUM('Amortisation and Repayments'!I2884:I2896)</f>
        <v/>
      </c>
      <c r="T59" s="235">
        <f>'Amortisation and Repayments'!L2896-'Loan Book'!S59</f>
        <v/>
      </c>
      <c r="U59" s="409">
        <f>+SUM(S59:T59)</f>
        <v/>
      </c>
      <c r="V59" s="195" t="n"/>
      <c r="W59" s="186">
        <f>'Amortisation and Repayments'!G2896</f>
        <v/>
      </c>
      <c r="X59" s="186">
        <f>SUM('Amortisation and Repayments'!G2893:G2895)</f>
        <v/>
      </c>
      <c r="Y59" s="266">
        <f>U59-W59-X59</f>
        <v/>
      </c>
      <c r="Z59" s="278">
        <f>U59-W59-X59-Y59</f>
        <v/>
      </c>
      <c r="AJ59" s="498">
        <f>IFERROR(INDEX('Mapping'!$J$2:$J$110,MATCH(59,'Mapping'!$A$2:$A$110,0)),"")</f>
        <v/>
      </c>
      <c r="AK59" s="499">
        <f>IFERROR(INDEX('Mapping'!$K$2:$K$110,MATCH(59,'Mapping'!$A$2:$A$110,0)),"")</f>
        <v/>
      </c>
      <c r="AL59" s="498">
        <f>IFERROR(INDEX('E-Banker master'!$B$2:$B$186,MATCH($AJ59,'E-Banker master'!$A$2:$A$186,0)),"")</f>
        <v/>
      </c>
      <c r="AM59" s="495">
        <f>IFERROR(INDEX('E-Banker master'!$E$2:$E$186,MATCH($AJ59,'E-Banker master'!$A$2:$A$186,0)),"")</f>
        <v/>
      </c>
      <c r="AN59" s="496">
        <f>IFERROR(INDEX('E-Banker master'!$N$2:$N$186,MATCH($AJ59,'E-Banker master'!$A$2:$A$186,0)),"")</f>
        <v/>
      </c>
      <c r="AO59" s="496">
        <f>IFERROR(INDEX('E-Banker master'!$O$2:$O$186,MATCH($AJ59,'E-Banker master'!$A$2:$A$186,0)),"")</f>
        <v/>
      </c>
      <c r="AP59" s="496">
        <f>IFERROR(INDEX('E-Banker master'!$P$2:$P$186,MATCH($AJ59,'E-Banker master'!$A$2:$A$186,0)),"")</f>
        <v/>
      </c>
      <c r="AQ59" s="496">
        <f>IF(OR($AJ59="",AP59=""),"",R59-AP59)</f>
        <v/>
      </c>
    </row>
    <row r="60">
      <c r="A60" s="408" t="n"/>
      <c r="B60" s="408" t="n"/>
      <c r="C60" s="408" t="n"/>
      <c r="D60" s="392" t="n">
        <v>56</v>
      </c>
      <c r="E60" s="353" t="inlineStr">
        <is>
          <t>Ruo Textiles Limited</t>
        </is>
      </c>
      <c r="F60" s="186" t="inlineStr">
        <is>
          <t>Debt</t>
        </is>
      </c>
      <c r="G60" s="187" t="n">
        <v>44952</v>
      </c>
      <c r="H60" s="187" t="n">
        <v>46048</v>
      </c>
      <c r="I60" s="188" t="n">
        <v>3</v>
      </c>
      <c r="J60" s="192" t="inlineStr">
        <is>
          <t>12 ( Cap only)</t>
        </is>
      </c>
      <c r="K60" s="179" t="n">
        <v>10</v>
      </c>
      <c r="L60" s="186" t="n">
        <v>70000000</v>
      </c>
      <c r="M60" s="190">
        <f>'Amortisation and Repayments'!F2932+'Amortisation and Repayments'!G2932+'Amortisation and Repayments'!H2932</f>
        <v/>
      </c>
      <c r="N60" s="186">
        <f>L60-M60</f>
        <v/>
      </c>
      <c r="O60" s="191">
        <f>M60</f>
        <v/>
      </c>
      <c r="P60" s="186">
        <f>SUM('Amortisation and Repayments'!H2941:H2962)</f>
        <v/>
      </c>
      <c r="Q60" s="186">
        <f>-SUM('Amortisation and Repayments'!K2941:K2962)</f>
        <v/>
      </c>
      <c r="R60" s="302">
        <f>SUM(O60:Q60)</f>
        <v/>
      </c>
      <c r="S60" s="235">
        <f>'Amortisation and Repayments'!I2962</f>
        <v/>
      </c>
      <c r="T60" s="235">
        <f>'Amortisation and Repayments'!L2962-'Loan Book'!S60</f>
        <v/>
      </c>
      <c r="U60" s="409">
        <f>+SUM(S60:T60)</f>
        <v/>
      </c>
      <c r="V60" s="195" t="n"/>
      <c r="W60" s="186">
        <f>'Amortisation and Repayments'!G2962</f>
        <v/>
      </c>
      <c r="X60" s="186" t="n">
        <v>0</v>
      </c>
      <c r="Y60" s="266" t="n">
        <v>0</v>
      </c>
      <c r="Z60" s="195" t="n"/>
      <c r="AJ60" s="498">
        <f>IFERROR(INDEX('Mapping'!$J$2:$J$110,MATCH(60,'Mapping'!$A$2:$A$110,0)),"")</f>
        <v/>
      </c>
      <c r="AK60" s="499">
        <f>IFERROR(INDEX('Mapping'!$K$2:$K$110,MATCH(60,'Mapping'!$A$2:$A$110,0)),"")</f>
        <v/>
      </c>
      <c r="AL60" s="495">
        <f>IFERROR(INDEX('E-Banker master'!$B$2:$B$186,MATCH($AJ60,'E-Banker master'!$A$2:$A$186,0)),"")</f>
        <v/>
      </c>
      <c r="AM60" s="495">
        <f>IFERROR(INDEX('E-Banker master'!$E$2:$E$186,MATCH($AJ60,'E-Banker master'!$A$2:$A$186,0)),"")</f>
        <v/>
      </c>
      <c r="AN60" s="496">
        <f>IFERROR(INDEX('E-Banker master'!$N$2:$N$186,MATCH($AJ60,'E-Banker master'!$A$2:$A$186,0)),"")</f>
        <v/>
      </c>
      <c r="AO60" s="496">
        <f>IFERROR(INDEX('E-Banker master'!$O$2:$O$186,MATCH($AJ60,'E-Banker master'!$A$2:$A$186,0)),"")</f>
        <v/>
      </c>
      <c r="AP60" s="496">
        <f>IFERROR(INDEX('E-Banker master'!$P$2:$P$186,MATCH($AJ60,'E-Banker master'!$A$2:$A$186,0)),"")</f>
        <v/>
      </c>
      <c r="AQ60" s="496">
        <f>IF(OR($AJ60="",AP60=""),"",R60-AP60)</f>
        <v/>
      </c>
    </row>
    <row r="61">
      <c r="A61" s="408" t="n"/>
      <c r="B61" s="408" t="n"/>
      <c r="C61" s="408" t="n"/>
      <c r="D61" s="392" t="n">
        <v>57</v>
      </c>
      <c r="E61" s="175" t="inlineStr">
        <is>
          <t>Udon Business</t>
        </is>
      </c>
      <c r="F61" s="186" t="inlineStr">
        <is>
          <t>Debt</t>
        </is>
      </c>
      <c r="G61" s="187" t="n">
        <v>44959</v>
      </c>
      <c r="H61" s="187" t="n">
        <v>47151</v>
      </c>
      <c r="I61" s="188" t="n">
        <v>6</v>
      </c>
      <c r="J61" s="192" t="inlineStr">
        <is>
          <t>12 (Cap + Int)</t>
        </is>
      </c>
      <c r="K61" s="179" t="n">
        <v>10</v>
      </c>
      <c r="L61" s="186" t="n">
        <v>134253000</v>
      </c>
      <c r="M61" s="190">
        <f>L61</f>
        <v/>
      </c>
      <c r="N61" s="186" t="n"/>
      <c r="O61" s="191">
        <f>M61</f>
        <v/>
      </c>
      <c r="P61" s="186">
        <f>SUM('Amortisation and Repayments'!H2993:H3013)</f>
        <v/>
      </c>
      <c r="Q61" s="186">
        <f>-SUM('Amortisation and Repayments'!K2993:K3013)</f>
        <v/>
      </c>
      <c r="R61" s="302">
        <f>SUM(O61:Q61)</f>
        <v/>
      </c>
      <c r="S61" s="235">
        <f>'Amortisation and Repayments'!I3013</f>
        <v/>
      </c>
      <c r="T61" s="235">
        <f>'Amortisation and Repayments'!L3013-'Loan Book'!S61</f>
        <v/>
      </c>
      <c r="U61" s="409">
        <f>+SUM(S61:T61)</f>
        <v/>
      </c>
      <c r="V61" s="195" t="n"/>
      <c r="W61" s="186">
        <f>U61</f>
        <v/>
      </c>
      <c r="X61" s="186" t="n">
        <v>0</v>
      </c>
      <c r="Y61" s="266" t="n"/>
      <c r="Z61" s="195" t="n"/>
      <c r="AJ61" s="498">
        <f>IFERROR(INDEX('Mapping'!$J$2:$J$110,MATCH(61,'Mapping'!$A$2:$A$110,0)),"")</f>
        <v/>
      </c>
      <c r="AK61" s="499">
        <f>IFERROR(INDEX('Mapping'!$K$2:$K$110,MATCH(61,'Mapping'!$A$2:$A$110,0)),"")</f>
        <v/>
      </c>
      <c r="AL61" s="495">
        <f>IFERROR(INDEX('E-Banker master'!$B$2:$B$186,MATCH($AJ61,'E-Banker master'!$A$2:$A$186,0)),"")</f>
        <v/>
      </c>
      <c r="AM61" s="495">
        <f>IFERROR(INDEX('E-Banker master'!$E$2:$E$186,MATCH($AJ61,'E-Banker master'!$A$2:$A$186,0)),"")</f>
        <v/>
      </c>
      <c r="AN61" s="496">
        <f>IFERROR(INDEX('E-Banker master'!$N$2:$N$186,MATCH($AJ61,'E-Banker master'!$A$2:$A$186,0)),"")</f>
        <v/>
      </c>
      <c r="AO61" s="500">
        <f>IFERROR(INDEX('E-Banker master'!$O$2:$O$186,MATCH($AJ61,'E-Banker master'!$A$2:$A$186,0)),"")</f>
        <v/>
      </c>
      <c r="AP61" s="496">
        <f>IFERROR(INDEX('E-Banker master'!$P$2:$P$186,MATCH($AJ61,'E-Banker master'!$A$2:$A$186,0)),"")</f>
        <v/>
      </c>
      <c r="AQ61" s="496">
        <f>IF(OR($AJ61="",AP61=""),"",R61-AP61)</f>
        <v/>
      </c>
    </row>
    <row r="62">
      <c r="A62" s="408" t="n"/>
      <c r="B62" s="408" t="n"/>
      <c r="C62" s="408" t="n"/>
      <c r="D62" s="426" t="n">
        <v>58</v>
      </c>
      <c r="E62" s="353" t="inlineStr">
        <is>
          <t>Debs Agrodealers</t>
        </is>
      </c>
      <c r="F62" s="186" t="inlineStr">
        <is>
          <t>Debt</t>
        </is>
      </c>
      <c r="G62" s="187" t="n">
        <v>44964</v>
      </c>
      <c r="H62" s="187" t="n">
        <v>45695</v>
      </c>
      <c r="I62" s="188" t="n">
        <v>2</v>
      </c>
      <c r="J62" s="192" t="inlineStr">
        <is>
          <t>3 (Cap+Int)</t>
        </is>
      </c>
      <c r="K62" s="179" t="n">
        <v>10</v>
      </c>
      <c r="L62" s="186" t="n">
        <v>24000000</v>
      </c>
      <c r="M62" s="190" t="n">
        <v>24000000</v>
      </c>
      <c r="N62" s="186" t="n"/>
      <c r="O62" s="191">
        <f>M62</f>
        <v/>
      </c>
      <c r="P62" s="186">
        <f>SUM('Amortisation and Repayments'!H3084:H3104)</f>
        <v/>
      </c>
      <c r="Q62" s="186">
        <f>-SUM('Amortisation and Repayments'!K3084:K3104)</f>
        <v/>
      </c>
      <c r="R62" s="302">
        <f>SUM(O62:Q62)</f>
        <v/>
      </c>
      <c r="S62" s="235">
        <f>'Amortisation and Repayments'!I3104</f>
        <v/>
      </c>
      <c r="T62" s="235">
        <f>'Amortisation and Repayments'!L3104-'Loan Book'!S62</f>
        <v/>
      </c>
      <c r="U62" s="409">
        <f>+SUM(S62:T62)</f>
        <v/>
      </c>
      <c r="V62" s="195" t="n"/>
      <c r="W62" s="186">
        <f>'Amortisation and Repayments'!G3104</f>
        <v/>
      </c>
      <c r="X62" s="186">
        <f>U62-W62</f>
        <v/>
      </c>
      <c r="Y62" s="266" t="n"/>
      <c r="Z62" s="195" t="n"/>
      <c r="AJ62" s="498">
        <f>IFERROR(INDEX('Mapping'!$J$2:$J$110,MATCH(62,'Mapping'!$A$2:$A$110,0)),"")</f>
        <v/>
      </c>
      <c r="AK62" s="499">
        <f>IFERROR(INDEX('Mapping'!$K$2:$K$110,MATCH(62,'Mapping'!$A$2:$A$110,0)),"")</f>
        <v/>
      </c>
      <c r="AL62" s="495">
        <f>IFERROR(INDEX('E-Banker master'!$B$2:$B$186,MATCH($AJ62,'E-Banker master'!$A$2:$A$186,0)),"")</f>
        <v/>
      </c>
      <c r="AM62" s="495">
        <f>IFERROR(INDEX('E-Banker master'!$E$2:$E$186,MATCH($AJ62,'E-Banker master'!$A$2:$A$186,0)),"")</f>
        <v/>
      </c>
      <c r="AN62" s="496">
        <f>IFERROR(INDEX('E-Banker master'!$N$2:$N$186,MATCH($AJ62,'E-Banker master'!$A$2:$A$186,0)),"")</f>
        <v/>
      </c>
      <c r="AO62" s="496">
        <f>IFERROR(INDEX('E-Banker master'!$O$2:$O$186,MATCH($AJ62,'E-Banker master'!$A$2:$A$186,0)),"")</f>
        <v/>
      </c>
      <c r="AP62" s="496">
        <f>IFERROR(INDEX('E-Banker master'!$P$2:$P$186,MATCH($AJ62,'E-Banker master'!$A$2:$A$186,0)),"")</f>
        <v/>
      </c>
      <c r="AQ62" s="496">
        <f>IF(OR($AJ62="",AP62=""),"",R62-AP62)</f>
        <v/>
      </c>
    </row>
    <row r="63">
      <c r="A63" s="408" t="n"/>
      <c r="B63" s="408" t="n"/>
      <c r="C63" s="408" t="n"/>
      <c r="D63" s="425" t="n">
        <v>59</v>
      </c>
      <c r="E63" s="437" t="inlineStr">
        <is>
          <t>Tapempha Medical Care Limited</t>
        </is>
      </c>
      <c r="F63" s="186" t="inlineStr">
        <is>
          <t>Debt</t>
        </is>
      </c>
      <c r="G63" s="187" t="n">
        <v>44972</v>
      </c>
      <c r="H63" s="187" t="n">
        <v>45703</v>
      </c>
      <c r="I63" s="188" t="n">
        <v>2</v>
      </c>
      <c r="J63" s="192" t="inlineStr">
        <is>
          <t>6 (Cap only)</t>
        </is>
      </c>
      <c r="K63" s="179" t="n">
        <v>10</v>
      </c>
      <c r="L63" s="186" t="n">
        <v>53391150</v>
      </c>
      <c r="M63" s="190" t="n">
        <v>53391150</v>
      </c>
      <c r="N63" s="186" t="n"/>
      <c r="O63" s="186">
        <f>M63</f>
        <v/>
      </c>
      <c r="P63" s="186">
        <f>SUM('Amortisation and Repayments'!H3125:H3145)</f>
        <v/>
      </c>
      <c r="Q63" s="186">
        <f>-SUM('Amortisation and Repayments'!K3125:K3145)</f>
        <v/>
      </c>
      <c r="R63" s="190">
        <f>SUM(O63:Q63)</f>
        <v/>
      </c>
      <c r="S63" s="235">
        <f>SUM('Amortisation and Repayments'!I3132:I3145)</f>
        <v/>
      </c>
      <c r="T63" s="235">
        <f>'Amortisation and Repayments'!L3145-'Loan Book'!S63</f>
        <v/>
      </c>
      <c r="U63" s="409">
        <f>+SUM(S63:T63)</f>
        <v/>
      </c>
      <c r="V63" s="195" t="n"/>
      <c r="W63" s="186">
        <f>'Amortisation and Repayments'!G3145</f>
        <v/>
      </c>
      <c r="X63" s="186">
        <f>SUM('Amortisation and Repayments'!G3142:G3144)</f>
        <v/>
      </c>
      <c r="Y63" s="266">
        <f>X63</f>
        <v/>
      </c>
      <c r="Z63" s="278">
        <f>U63-SUM(W63:Y63)</f>
        <v/>
      </c>
      <c r="AJ63" s="498">
        <f>IFERROR(INDEX('Mapping'!$J$2:$J$110,MATCH(63,'Mapping'!$A$2:$A$110,0)),"")</f>
        <v/>
      </c>
      <c r="AK63" s="499">
        <f>IFERROR(INDEX('Mapping'!$K$2:$K$110,MATCH(63,'Mapping'!$A$2:$A$110,0)),"")</f>
        <v/>
      </c>
      <c r="AL63" s="498">
        <f>IFERROR(INDEX('E-Banker master'!$B$2:$B$186,MATCH($AJ63,'E-Banker master'!$A$2:$A$186,0)),"")</f>
        <v/>
      </c>
      <c r="AM63" s="495">
        <f>IFERROR(INDEX('E-Banker master'!$E$2:$E$186,MATCH($AJ63,'E-Banker master'!$A$2:$A$186,0)),"")</f>
        <v/>
      </c>
      <c r="AN63" s="496">
        <f>IFERROR(INDEX('E-Banker master'!$N$2:$N$186,MATCH($AJ63,'E-Banker master'!$A$2:$A$186,0)),"")</f>
        <v/>
      </c>
      <c r="AO63" s="500">
        <f>IFERROR(INDEX('E-Banker master'!$O$2:$O$186,MATCH($AJ63,'E-Banker master'!$A$2:$A$186,0)),"")</f>
        <v/>
      </c>
      <c r="AP63" s="496">
        <f>IFERROR(INDEX('E-Banker master'!$P$2:$P$186,MATCH($AJ63,'E-Banker master'!$A$2:$A$186,0)),"")</f>
        <v/>
      </c>
      <c r="AQ63" s="496">
        <f>IF(OR($AJ63="",AP63=""),"",R63-AP63)</f>
        <v/>
      </c>
    </row>
    <row r="64">
      <c r="A64" s="408" t="n"/>
      <c r="B64" s="408" t="n"/>
      <c r="C64" s="408" t="n"/>
      <c r="D64" s="392" t="n">
        <v>60</v>
      </c>
      <c r="E64" s="175" t="inlineStr">
        <is>
          <t>BenCal Technologies Ltd</t>
        </is>
      </c>
      <c r="F64" s="186" t="inlineStr">
        <is>
          <t>Debt</t>
        </is>
      </c>
      <c r="G64" s="187" t="n">
        <v>44977</v>
      </c>
      <c r="H64" s="187" t="n">
        <v>46803</v>
      </c>
      <c r="I64" s="188" t="n">
        <v>5</v>
      </c>
      <c r="J64" s="192" t="inlineStr">
        <is>
          <t>6 (Cap + Int)</t>
        </is>
      </c>
      <c r="K64" s="179" t="n">
        <v>10</v>
      </c>
      <c r="L64" s="186" t="n">
        <v>153974500</v>
      </c>
      <c r="M64" s="186" t="n">
        <v>153974500</v>
      </c>
      <c r="N64" s="186" t="n"/>
      <c r="O64" s="186" t="n">
        <v>153974500</v>
      </c>
      <c r="P64" s="186">
        <f>SUM('Amortisation and Repayments'!H3168:H3188)</f>
        <v/>
      </c>
      <c r="Q64" s="186">
        <f>-SUM('Amortisation and Repayments'!K3168:K3188)</f>
        <v/>
      </c>
      <c r="R64" s="302">
        <f>SUM(O64:Q64)</f>
        <v/>
      </c>
      <c r="S64" s="235" t="n"/>
      <c r="T64" s="235" t="n"/>
      <c r="U64" s="409">
        <f>+SUM(S64:T64)</f>
        <v/>
      </c>
      <c r="V64" s="278" t="n"/>
      <c r="W64" s="186" t="n">
        <v>0</v>
      </c>
      <c r="X64" s="186">
        <f>+U64-W64</f>
        <v/>
      </c>
      <c r="Y64" s="266" t="n"/>
      <c r="Z64" s="195" t="n"/>
      <c r="AJ64" s="498">
        <f>IFERROR(INDEX('Mapping'!$J$2:$J$110,MATCH(64,'Mapping'!$A$2:$A$110,0)),"")</f>
        <v/>
      </c>
      <c r="AK64" s="499">
        <f>IFERROR(INDEX('Mapping'!$K$2:$K$110,MATCH(64,'Mapping'!$A$2:$A$110,0)),"")</f>
        <v/>
      </c>
      <c r="AL64" s="495">
        <f>IFERROR(INDEX('E-Banker master'!$B$2:$B$186,MATCH($AJ64,'E-Banker master'!$A$2:$A$186,0)),"")</f>
        <v/>
      </c>
      <c r="AM64" s="495">
        <f>IFERROR(INDEX('E-Banker master'!$E$2:$E$186,MATCH($AJ64,'E-Banker master'!$A$2:$A$186,0)),"")</f>
        <v/>
      </c>
      <c r="AN64" s="496">
        <f>IFERROR(INDEX('E-Banker master'!$N$2:$N$186,MATCH($AJ64,'E-Banker master'!$A$2:$A$186,0)),"")</f>
        <v/>
      </c>
      <c r="AO64" s="496">
        <f>IFERROR(INDEX('E-Banker master'!$O$2:$O$186,MATCH($AJ64,'E-Banker master'!$A$2:$A$186,0)),"")</f>
        <v/>
      </c>
      <c r="AP64" s="496">
        <f>IFERROR(INDEX('E-Banker master'!$P$2:$P$186,MATCH($AJ64,'E-Banker master'!$A$2:$A$186,0)),"")</f>
        <v/>
      </c>
      <c r="AQ64" s="496">
        <f>IF(OR($AJ64="",AP64=""),"",R64-AP64)</f>
        <v/>
      </c>
    </row>
    <row r="65">
      <c r="A65" s="408" t="n"/>
      <c r="B65" s="408" t="n"/>
      <c r="C65" s="408" t="n"/>
      <c r="D65" s="426" t="n">
        <v>61</v>
      </c>
      <c r="E65" s="175" t="inlineStr">
        <is>
          <t>Chuma Mkandawire TA Chikoma Estates</t>
        </is>
      </c>
      <c r="F65" s="186" t="inlineStr">
        <is>
          <t>Debt</t>
        </is>
      </c>
      <c r="G65" s="187" t="n">
        <v>44985</v>
      </c>
      <c r="H65" s="187" t="n">
        <v>45350</v>
      </c>
      <c r="I65" s="188" t="n">
        <v>1</v>
      </c>
      <c r="J65" s="192" t="n">
        <v>0</v>
      </c>
      <c r="K65" s="179" t="n">
        <v>10</v>
      </c>
      <c r="L65" s="186" t="n">
        <v>20000000</v>
      </c>
      <c r="M65" s="190" t="n">
        <v>20000000</v>
      </c>
      <c r="N65" s="186" t="n"/>
      <c r="O65" s="191">
        <f>M65</f>
        <v/>
      </c>
      <c r="P65" s="186">
        <f>SUM('[1]Amortisation and Repayments'!H3246:H3252)</f>
        <v/>
      </c>
      <c r="Q65" s="186">
        <f>-SUM('Amortisation and Repayments'!K3246:K3257)</f>
        <v/>
      </c>
      <c r="R65" s="429">
        <f>SUM(O65:Q65)</f>
        <v/>
      </c>
      <c r="S65" s="235" t="n"/>
      <c r="T65" s="235" t="n"/>
      <c r="U65" s="409">
        <f>+SUM(S65:T65)</f>
        <v/>
      </c>
      <c r="V65" s="195" t="n"/>
      <c r="W65" s="186" t="n"/>
      <c r="X65" s="186" t="n"/>
      <c r="Y65" s="266" t="n"/>
      <c r="Z65" s="195" t="n"/>
      <c r="AJ65" s="498">
        <f>IFERROR(INDEX('Mapping'!$J$2:$J$110,MATCH(65,'Mapping'!$A$2:$A$110,0)),"")</f>
        <v/>
      </c>
      <c r="AK65" s="499">
        <f>IFERROR(INDEX('Mapping'!$K$2:$K$110,MATCH(65,'Mapping'!$A$2:$A$110,0)),"")</f>
        <v/>
      </c>
      <c r="AL65" s="495">
        <f>IFERROR(INDEX('E-Banker master'!$B$2:$B$186,MATCH($AJ65,'E-Banker master'!$A$2:$A$186,0)),"")</f>
        <v/>
      </c>
      <c r="AM65" s="495">
        <f>IFERROR(INDEX('E-Banker master'!$E$2:$E$186,MATCH($AJ65,'E-Banker master'!$A$2:$A$186,0)),"")</f>
        <v/>
      </c>
      <c r="AN65" s="496">
        <f>IFERROR(INDEX('E-Banker master'!$N$2:$N$186,MATCH($AJ65,'E-Banker master'!$A$2:$A$186,0)),"")</f>
        <v/>
      </c>
      <c r="AO65" s="496">
        <f>IFERROR(INDEX('E-Banker master'!$O$2:$O$186,MATCH($AJ65,'E-Banker master'!$A$2:$A$186,0)),"")</f>
        <v/>
      </c>
      <c r="AP65" s="496">
        <f>IFERROR(INDEX('E-Banker master'!$P$2:$P$186,MATCH($AJ65,'E-Banker master'!$A$2:$A$186,0)),"")</f>
        <v/>
      </c>
      <c r="AQ65" s="496">
        <f>IF(OR($AJ65="",AP65=""),"",R65-AP65)</f>
        <v/>
      </c>
    </row>
    <row r="66">
      <c r="A66" s="408" t="n"/>
      <c r="B66" s="408" t="n"/>
      <c r="C66" s="408" t="n"/>
      <c r="D66" s="392" t="n">
        <v>62</v>
      </c>
      <c r="E66" s="175" t="inlineStr">
        <is>
          <t>Imani Investments</t>
        </is>
      </c>
      <c r="F66" s="186" t="inlineStr">
        <is>
          <t>Debt</t>
        </is>
      </c>
      <c r="G66" s="187" t="n">
        <v>45005</v>
      </c>
      <c r="H66" s="187" t="n">
        <v>45736</v>
      </c>
      <c r="I66" s="188" t="n">
        <v>2</v>
      </c>
      <c r="J66" s="192" t="inlineStr">
        <is>
          <t>3 (Cap+Int)</t>
        </is>
      </c>
      <c r="K66" s="179" t="n">
        <v>10</v>
      </c>
      <c r="L66" s="186" t="n">
        <v>24000000</v>
      </c>
      <c r="M66" s="190" t="n">
        <v>24000000</v>
      </c>
      <c r="N66" s="186" t="n"/>
      <c r="O66" s="191">
        <f>M66</f>
        <v/>
      </c>
      <c r="P66" s="186">
        <f>SUM('Amortisation and Repayments'!H3275:H3294)</f>
        <v/>
      </c>
      <c r="Q66" s="186">
        <f>-SUM('Amortisation and Repayments'!K3275:K3294)</f>
        <v/>
      </c>
      <c r="R66" s="302">
        <f>SUM(O66:Q66)</f>
        <v/>
      </c>
      <c r="S66" s="235">
        <f>'Amortisation and Repayments'!I3294</f>
        <v/>
      </c>
      <c r="T66" s="235">
        <f>'Amortisation and Repayments'!L3294-'Loan Book'!S66</f>
        <v/>
      </c>
      <c r="U66" s="409">
        <f>+SUM(S66:T66)</f>
        <v/>
      </c>
      <c r="V66" s="195" t="n"/>
      <c r="W66" s="186">
        <f>U66</f>
        <v/>
      </c>
      <c r="X66" s="186">
        <f>U66-W66</f>
        <v/>
      </c>
      <c r="Y66" s="266">
        <f>U66-W66-X66</f>
        <v/>
      </c>
      <c r="Z66" s="195" t="n"/>
      <c r="AJ66" s="498">
        <f>IFERROR(INDEX('Mapping'!$J$2:$J$110,MATCH(66,'Mapping'!$A$2:$A$110,0)),"")</f>
        <v/>
      </c>
      <c r="AK66" s="499">
        <f>IFERROR(INDEX('Mapping'!$K$2:$K$110,MATCH(66,'Mapping'!$A$2:$A$110,0)),"")</f>
        <v/>
      </c>
      <c r="AL66" s="495">
        <f>IFERROR(INDEX('E-Banker master'!$B$2:$B$186,MATCH($AJ66,'E-Banker master'!$A$2:$A$186,0)),"")</f>
        <v/>
      </c>
      <c r="AM66" s="495">
        <f>IFERROR(INDEX('E-Banker master'!$E$2:$E$186,MATCH($AJ66,'E-Banker master'!$A$2:$A$186,0)),"")</f>
        <v/>
      </c>
      <c r="AN66" s="496">
        <f>IFERROR(INDEX('E-Banker master'!$N$2:$N$186,MATCH($AJ66,'E-Banker master'!$A$2:$A$186,0)),"")</f>
        <v/>
      </c>
      <c r="AO66" s="496">
        <f>IFERROR(INDEX('E-Banker master'!$O$2:$O$186,MATCH($AJ66,'E-Banker master'!$A$2:$A$186,0)),"")</f>
        <v/>
      </c>
      <c r="AP66" s="496">
        <f>IFERROR(INDEX('E-Banker master'!$P$2:$P$186,MATCH($AJ66,'E-Banker master'!$A$2:$A$186,0)),"")</f>
        <v/>
      </c>
      <c r="AQ66" s="496">
        <f>IF(OR($AJ66="",AP66=""),"",R66-AP66)</f>
        <v/>
      </c>
    </row>
    <row r="67">
      <c r="A67" s="408" t="n"/>
      <c r="B67" s="408" t="n"/>
      <c r="C67" s="408" t="n"/>
      <c r="D67" s="392" t="n">
        <v>63</v>
      </c>
      <c r="E67" s="175" t="inlineStr">
        <is>
          <t>Happie Foods Limited</t>
        </is>
      </c>
      <c r="F67" s="186" t="inlineStr">
        <is>
          <t>Debt</t>
        </is>
      </c>
      <c r="G67" s="187" t="n">
        <v>45009</v>
      </c>
      <c r="H67" s="187" t="n">
        <v>46470</v>
      </c>
      <c r="I67" s="188" t="n">
        <v>4</v>
      </c>
      <c r="J67" s="192" t="inlineStr">
        <is>
          <t>6 (Cap + Int)</t>
        </is>
      </c>
      <c r="K67" s="497">
        <f>'Amortisation and Repayments'!H3308</f>
        <v/>
      </c>
      <c r="L67" s="186" t="n">
        <v>257860750</v>
      </c>
      <c r="M67" s="190" t="n">
        <v>257860750</v>
      </c>
      <c r="N67" s="186" t="n"/>
      <c r="O67" s="191">
        <f>M67</f>
        <v/>
      </c>
      <c r="P67" s="186">
        <f>SUM('Amortisation and Repayments'!H3315:H3334)</f>
        <v/>
      </c>
      <c r="Q67" s="186">
        <f>-SUM('Amortisation and Repayments'!K3315:K3334)</f>
        <v/>
      </c>
      <c r="R67" s="302">
        <f>SUM(O67:Q67)</f>
        <v/>
      </c>
      <c r="S67" s="235" t="n">
        <v>0</v>
      </c>
      <c r="T67" s="235" t="n"/>
      <c r="U67" s="409">
        <f>+SUM(S67:T67)</f>
        <v/>
      </c>
      <c r="V67" s="195" t="n"/>
      <c r="W67" s="186" t="n"/>
      <c r="X67" s="186" t="n"/>
      <c r="Y67" s="266" t="n"/>
      <c r="Z67" s="195" t="n"/>
      <c r="AJ67" s="498">
        <f>IFERROR(INDEX('Mapping'!$J$2:$J$110,MATCH(67,'Mapping'!$A$2:$A$110,0)),"")</f>
        <v/>
      </c>
      <c r="AK67" s="499">
        <f>IFERROR(INDEX('Mapping'!$K$2:$K$110,MATCH(67,'Mapping'!$A$2:$A$110,0)),"")</f>
        <v/>
      </c>
      <c r="AL67" s="495">
        <f>IFERROR(INDEX('E-Banker master'!$B$2:$B$186,MATCH($AJ67,'E-Banker master'!$A$2:$A$186,0)),"")</f>
        <v/>
      </c>
      <c r="AM67" s="495">
        <f>IFERROR(INDEX('E-Banker master'!$E$2:$E$186,MATCH($AJ67,'E-Banker master'!$A$2:$A$186,0)),"")</f>
        <v/>
      </c>
      <c r="AN67" s="496">
        <f>IFERROR(INDEX('E-Banker master'!$N$2:$N$186,MATCH($AJ67,'E-Banker master'!$A$2:$A$186,0)),"")</f>
        <v/>
      </c>
      <c r="AO67" s="496">
        <f>IFERROR(INDEX('E-Banker master'!$O$2:$O$186,MATCH($AJ67,'E-Banker master'!$A$2:$A$186,0)),"")</f>
        <v/>
      </c>
      <c r="AP67" s="500">
        <f>IFERROR(INDEX('E-Banker master'!$P$2:$P$186,MATCH($AJ67,'E-Banker master'!$A$2:$A$186,0)),"")</f>
        <v/>
      </c>
      <c r="AQ67" s="496">
        <f>IF(OR($AJ67="",AP67=""),"",R67-AP67)</f>
        <v/>
      </c>
    </row>
    <row r="68">
      <c r="A68" s="408" t="n"/>
      <c r="B68" s="408" t="n"/>
      <c r="C68" s="408" t="n"/>
      <c r="D68" s="426" t="n">
        <v>64</v>
      </c>
      <c r="E68" s="175" t="inlineStr">
        <is>
          <t>Msusa Investments Ltd</t>
        </is>
      </c>
      <c r="F68" s="186" t="inlineStr">
        <is>
          <t>Debt</t>
        </is>
      </c>
      <c r="G68" s="187" t="n">
        <v>45034</v>
      </c>
      <c r="H68" s="187" t="n">
        <v>46495</v>
      </c>
      <c r="I68" s="188" t="n">
        <v>4</v>
      </c>
      <c r="J68" s="192" t="inlineStr">
        <is>
          <t>6 (Cap only)</t>
        </is>
      </c>
      <c r="K68" s="179" t="n">
        <v>10</v>
      </c>
      <c r="L68" s="186" t="n">
        <v>250000000</v>
      </c>
      <c r="M68" s="190" t="n">
        <v>250000000</v>
      </c>
      <c r="N68" s="186" t="n"/>
      <c r="O68" s="191">
        <f>M68</f>
        <v/>
      </c>
      <c r="P68" s="186">
        <f>SUM('Amortisation and Repayments'!H3381:H3399)</f>
        <v/>
      </c>
      <c r="Q68" s="186">
        <f>-SUM('Amortisation and Repayments'!K3381:K3399)</f>
        <v/>
      </c>
      <c r="R68" s="302">
        <f>SUM(O68:Q68)</f>
        <v/>
      </c>
      <c r="S68" s="235">
        <f>'Amortisation and Repayments'!I3399</f>
        <v/>
      </c>
      <c r="T68" s="235">
        <f>'Amortisation and Repayments'!L3399-'Loan Book'!S68</f>
        <v/>
      </c>
      <c r="U68" s="409">
        <f>+SUM(S68:T68)</f>
        <v/>
      </c>
      <c r="V68" s="195" t="n"/>
      <c r="W68" s="186">
        <f>U68</f>
        <v/>
      </c>
      <c r="X68" s="186">
        <f>U68-W68</f>
        <v/>
      </c>
      <c r="Y68" s="266" t="n">
        <v>0</v>
      </c>
      <c r="Z68" s="195" t="n"/>
      <c r="AJ68" s="498">
        <f>IFERROR(INDEX('Mapping'!$J$2:$J$110,MATCH(68,'Mapping'!$A$2:$A$110,0)),"")</f>
        <v/>
      </c>
      <c r="AK68" s="499">
        <f>IFERROR(INDEX('Mapping'!$K$2:$K$110,MATCH(68,'Mapping'!$A$2:$A$110,0)),"")</f>
        <v/>
      </c>
      <c r="AL68" s="495">
        <f>IFERROR(INDEX('E-Banker master'!$B$2:$B$186,MATCH($AJ68,'E-Banker master'!$A$2:$A$186,0)),"")</f>
        <v/>
      </c>
      <c r="AM68" s="495">
        <f>IFERROR(INDEX('E-Banker master'!$E$2:$E$186,MATCH($AJ68,'E-Banker master'!$A$2:$A$186,0)),"")</f>
        <v/>
      </c>
      <c r="AN68" s="496">
        <f>IFERROR(INDEX('E-Banker master'!$N$2:$N$186,MATCH($AJ68,'E-Banker master'!$A$2:$A$186,0)),"")</f>
        <v/>
      </c>
      <c r="AO68" s="496">
        <f>IFERROR(INDEX('E-Banker master'!$O$2:$O$186,MATCH($AJ68,'E-Banker master'!$A$2:$A$186,0)),"")</f>
        <v/>
      </c>
      <c r="AP68" s="496">
        <f>IFERROR(INDEX('E-Banker master'!$P$2:$P$186,MATCH($AJ68,'E-Banker master'!$A$2:$A$186,0)),"")</f>
        <v/>
      </c>
      <c r="AQ68" s="496">
        <f>IF(OR($AJ68="",AP68=""),"",R68-AP68)</f>
        <v/>
      </c>
    </row>
    <row r="69">
      <c r="A69" s="408" t="n"/>
      <c r="B69" s="408" t="n"/>
      <c r="C69" s="408" t="n"/>
      <c r="D69" s="392" t="n">
        <v>65</v>
      </c>
      <c r="E69" s="353" t="inlineStr">
        <is>
          <t>Gibson Gray Cane Furniture</t>
        </is>
      </c>
      <c r="F69" s="186" t="inlineStr">
        <is>
          <t>Debt</t>
        </is>
      </c>
      <c r="G69" s="187" t="n">
        <v>45048</v>
      </c>
      <c r="H69" s="187" t="n">
        <v>45779</v>
      </c>
      <c r="I69" s="188" t="n">
        <v>2</v>
      </c>
      <c r="J69" s="192" t="inlineStr">
        <is>
          <t>3 (Cap+Int)</t>
        </is>
      </c>
      <c r="K69" s="179" t="n">
        <v>10</v>
      </c>
      <c r="L69" s="186" t="n">
        <v>30000000</v>
      </c>
      <c r="M69" s="190" t="n">
        <v>30000000</v>
      </c>
      <c r="N69" s="186" t="n"/>
      <c r="O69" s="191">
        <f>M69</f>
        <v/>
      </c>
      <c r="P69" s="186">
        <f>SUM('Amortisation and Repayments'!H3447:H3464)</f>
        <v/>
      </c>
      <c r="Q69" s="186">
        <f>-SUM('Amortisation and Repayments'!K3447:K3464)</f>
        <v/>
      </c>
      <c r="R69" s="302">
        <f>SUM(O69:Q69)</f>
        <v/>
      </c>
      <c r="S69" s="235">
        <f>SUM('Amortisation and Repayments'!I3462:I3464)</f>
        <v/>
      </c>
      <c r="T69" s="235">
        <f>'Amortisation and Repayments'!L3464-'Loan Book'!S69</f>
        <v/>
      </c>
      <c r="U69" s="409">
        <f>+SUM(S69:T69)</f>
        <v/>
      </c>
      <c r="V69" s="195" t="n"/>
      <c r="W69" s="186">
        <f>'Amortisation and Repayments'!G3464</f>
        <v/>
      </c>
      <c r="X69" s="186">
        <f>U69-W69</f>
        <v/>
      </c>
      <c r="Y69" s="266">
        <f>+U69-W69-X69</f>
        <v/>
      </c>
      <c r="Z69" s="195" t="n"/>
      <c r="AJ69" s="498">
        <f>IFERROR(INDEX('Mapping'!$J$2:$J$110,MATCH(69,'Mapping'!$A$2:$A$110,0)),"")</f>
        <v/>
      </c>
      <c r="AK69" s="499">
        <f>IFERROR(INDEX('Mapping'!$K$2:$K$110,MATCH(69,'Mapping'!$A$2:$A$110,0)),"")</f>
        <v/>
      </c>
      <c r="AL69" s="495">
        <f>IFERROR(INDEX('E-Banker master'!$B$2:$B$186,MATCH($AJ69,'E-Banker master'!$A$2:$A$186,0)),"")</f>
        <v/>
      </c>
      <c r="AM69" s="495">
        <f>IFERROR(INDEX('E-Banker master'!$E$2:$E$186,MATCH($AJ69,'E-Banker master'!$A$2:$A$186,0)),"")</f>
        <v/>
      </c>
      <c r="AN69" s="496">
        <f>IFERROR(INDEX('E-Banker master'!$N$2:$N$186,MATCH($AJ69,'E-Banker master'!$A$2:$A$186,0)),"")</f>
        <v/>
      </c>
      <c r="AO69" s="496">
        <f>IFERROR(INDEX('E-Banker master'!$O$2:$O$186,MATCH($AJ69,'E-Banker master'!$A$2:$A$186,0)),"")</f>
        <v/>
      </c>
      <c r="AP69" s="496">
        <f>IFERROR(INDEX('E-Banker master'!$P$2:$P$186,MATCH($AJ69,'E-Banker master'!$A$2:$A$186,0)),"")</f>
        <v/>
      </c>
      <c r="AQ69" s="496">
        <f>IF(OR($AJ69="",AP69=""),"",R69-AP69)</f>
        <v/>
      </c>
    </row>
    <row r="70">
      <c r="A70" s="408" t="n"/>
      <c r="B70" s="408" t="n"/>
      <c r="C70" s="408" t="n"/>
      <c r="D70" s="392" t="n">
        <v>66</v>
      </c>
      <c r="E70" s="175" t="inlineStr">
        <is>
          <t>House of Men Clothing</t>
        </is>
      </c>
      <c r="F70" s="186" t="inlineStr">
        <is>
          <t>Debt</t>
        </is>
      </c>
      <c r="G70" s="187" t="n">
        <v>45064</v>
      </c>
      <c r="H70" s="187" t="n">
        <v>46525</v>
      </c>
      <c r="I70" s="188" t="n">
        <v>4</v>
      </c>
      <c r="J70" s="192" t="inlineStr">
        <is>
          <t>6 (Cap + Int)</t>
        </is>
      </c>
      <c r="K70" s="179" t="n">
        <v>10</v>
      </c>
      <c r="L70" s="186" t="n">
        <v>50000000</v>
      </c>
      <c r="M70" s="190" t="n">
        <v>50000000</v>
      </c>
      <c r="N70" s="186" t="n"/>
      <c r="O70" s="191">
        <f>M70</f>
        <v/>
      </c>
      <c r="P70" s="186">
        <f>SUM('Amortisation and Repayments'!H3485:H3502)</f>
        <v/>
      </c>
      <c r="Q70" s="186">
        <f>-SUM('Amortisation and Repayments'!K3485:K3502)</f>
        <v/>
      </c>
      <c r="R70" s="302">
        <f>SUM(O70:Q70)</f>
        <v/>
      </c>
      <c r="S70" s="235" t="n">
        <v>0</v>
      </c>
      <c r="T70" s="235" t="n">
        <v>0</v>
      </c>
      <c r="U70" s="409">
        <f>+SUM(S70:T70)</f>
        <v/>
      </c>
      <c r="V70" s="195" t="n"/>
      <c r="W70" s="186">
        <f>U70</f>
        <v/>
      </c>
      <c r="X70" s="186" t="n"/>
      <c r="Y70" s="266" t="n"/>
      <c r="Z70" s="195" t="n"/>
      <c r="AJ70" s="498">
        <f>IFERROR(INDEX('Mapping'!$J$2:$J$110,MATCH(70,'Mapping'!$A$2:$A$110,0)),"")</f>
        <v/>
      </c>
      <c r="AK70" s="499">
        <f>IFERROR(INDEX('Mapping'!$K$2:$K$110,MATCH(70,'Mapping'!$A$2:$A$110,0)),"")</f>
        <v/>
      </c>
      <c r="AL70" s="495">
        <f>IFERROR(INDEX('E-Banker master'!$B$2:$B$186,MATCH($AJ70,'E-Banker master'!$A$2:$A$186,0)),"")</f>
        <v/>
      </c>
      <c r="AM70" s="495">
        <f>IFERROR(INDEX('E-Banker master'!$E$2:$E$186,MATCH($AJ70,'E-Banker master'!$A$2:$A$186,0)),"")</f>
        <v/>
      </c>
      <c r="AN70" s="496">
        <f>IFERROR(INDEX('E-Banker master'!$N$2:$N$186,MATCH($AJ70,'E-Banker master'!$A$2:$A$186,0)),"")</f>
        <v/>
      </c>
      <c r="AO70" s="496">
        <f>IFERROR(INDEX('E-Banker master'!$O$2:$O$186,MATCH($AJ70,'E-Banker master'!$A$2:$A$186,0)),"")</f>
        <v/>
      </c>
      <c r="AP70" s="496">
        <f>IFERROR(INDEX('E-Banker master'!$P$2:$P$186,MATCH($AJ70,'E-Banker master'!$A$2:$A$186,0)),"")</f>
        <v/>
      </c>
      <c r="AQ70" s="496">
        <f>IF(OR($AJ70="",AP70=""),"",R70-AP70)</f>
        <v/>
      </c>
    </row>
    <row r="71">
      <c r="A71" s="408" t="n"/>
      <c r="B71" s="408" t="n"/>
      <c r="C71" s="408" t="n"/>
      <c r="D71" s="426" t="n">
        <v>67</v>
      </c>
      <c r="E71" s="353" t="inlineStr">
        <is>
          <t>Mphanga Hodings Limited</t>
        </is>
      </c>
      <c r="F71" s="186" t="inlineStr">
        <is>
          <t>Debt</t>
        </is>
      </c>
      <c r="G71" s="187" t="n">
        <v>45064</v>
      </c>
      <c r="H71" s="187" t="n">
        <v>45795</v>
      </c>
      <c r="I71" s="188" t="n">
        <v>2</v>
      </c>
      <c r="J71" s="192" t="inlineStr">
        <is>
          <t>3 (Cap+Int)</t>
        </is>
      </c>
      <c r="K71" s="179" t="n">
        <v>10</v>
      </c>
      <c r="L71" s="186" t="n">
        <v>150000000</v>
      </c>
      <c r="M71" s="190">
        <f>54923700+30000000</f>
        <v/>
      </c>
      <c r="N71" s="186">
        <f>L71-M71</f>
        <v/>
      </c>
      <c r="O71" s="191">
        <f>M71</f>
        <v/>
      </c>
      <c r="P71" s="186">
        <f>SUM('Amortisation and Repayments'!H3551:H3568)</f>
        <v/>
      </c>
      <c r="Q71" s="186">
        <f>-SUM('Amortisation and Repayments'!K3551:K3568)</f>
        <v/>
      </c>
      <c r="R71" s="302">
        <f>SUM(O71:Q71)</f>
        <v/>
      </c>
      <c r="S71" s="235" t="n"/>
      <c r="T71" s="235" t="n"/>
      <c r="U71" s="409" t="n"/>
      <c r="V71" s="195" t="n"/>
      <c r="W71" s="186" t="n"/>
      <c r="X71" s="186">
        <f>+U71-W71</f>
        <v/>
      </c>
      <c r="Y71" s="266" t="n"/>
      <c r="Z71" s="195" t="n"/>
      <c r="AJ71" s="498">
        <f>IFERROR(INDEX('Mapping'!$J$2:$J$110,MATCH(71,'Mapping'!$A$2:$A$110,0)),"")</f>
        <v/>
      </c>
      <c r="AK71" s="499">
        <f>IFERROR(INDEX('Mapping'!$K$2:$K$110,MATCH(71,'Mapping'!$A$2:$A$110,0)),"")</f>
        <v/>
      </c>
      <c r="AL71" s="495">
        <f>IFERROR(INDEX('E-Banker master'!$B$2:$B$186,MATCH($AJ71,'E-Banker master'!$A$2:$A$186,0)),"")</f>
        <v/>
      </c>
      <c r="AM71" s="495">
        <f>IFERROR(INDEX('E-Banker master'!$E$2:$E$186,MATCH($AJ71,'E-Banker master'!$A$2:$A$186,0)),"")</f>
        <v/>
      </c>
      <c r="AN71" s="496">
        <f>IFERROR(INDEX('E-Banker master'!$N$2:$N$186,MATCH($AJ71,'E-Banker master'!$A$2:$A$186,0)),"")</f>
        <v/>
      </c>
      <c r="AO71" s="496">
        <f>IFERROR(INDEX('E-Banker master'!$O$2:$O$186,MATCH($AJ71,'E-Banker master'!$A$2:$A$186,0)),"")</f>
        <v/>
      </c>
      <c r="AP71" s="496">
        <f>IFERROR(INDEX('E-Banker master'!$P$2:$P$186,MATCH($AJ71,'E-Banker master'!$A$2:$A$186,0)),"")</f>
        <v/>
      </c>
      <c r="AQ71" s="496">
        <f>IF(OR($AJ71="",AP71=""),"",R71-AP71)</f>
        <v/>
      </c>
    </row>
    <row r="72">
      <c r="A72" s="408" t="n"/>
      <c r="B72" s="408" t="n"/>
      <c r="C72" s="408" t="n"/>
      <c r="D72" s="392" t="n">
        <v>68</v>
      </c>
      <c r="E72" s="353" t="inlineStr">
        <is>
          <t>Teren Agro Limited</t>
        </is>
      </c>
      <c r="F72" s="186" t="inlineStr">
        <is>
          <t>Debt</t>
        </is>
      </c>
      <c r="G72" s="187" t="n">
        <v>45065</v>
      </c>
      <c r="H72" s="187" t="n">
        <v>45796</v>
      </c>
      <c r="I72" s="188" t="n">
        <v>2</v>
      </c>
      <c r="J72" s="192" t="inlineStr">
        <is>
          <t>3 (Cap+Int)</t>
        </is>
      </c>
      <c r="K72" s="179" t="n">
        <v>10</v>
      </c>
      <c r="L72" s="186" t="n">
        <v>30000000</v>
      </c>
      <c r="M72" s="190" t="n">
        <v>30000000</v>
      </c>
      <c r="N72" s="186" t="n"/>
      <c r="O72" s="191">
        <f>M72</f>
        <v/>
      </c>
      <c r="P72" s="186">
        <f>SUM('Amortisation and Repayments'!H3593:H3610)</f>
        <v/>
      </c>
      <c r="Q72" s="186">
        <f>-SUM('Amortisation and Repayments'!K3593:K3610)</f>
        <v/>
      </c>
      <c r="R72" s="302">
        <f>SUM(O72:Q72)</f>
        <v/>
      </c>
      <c r="S72" s="235">
        <f>'Amortisation and Repayments'!I3610</f>
        <v/>
      </c>
      <c r="T72" s="235">
        <f>+'Amortisation and Repayments'!L3610-'Loan Book'!S72</f>
        <v/>
      </c>
      <c r="U72" s="409">
        <f>+SUM(S72:T72)</f>
        <v/>
      </c>
      <c r="V72" s="195" t="n"/>
      <c r="W72" s="186">
        <f>'Amortisation and Repayments'!G3610</f>
        <v/>
      </c>
      <c r="X72" s="186">
        <f>U72-W72</f>
        <v/>
      </c>
      <c r="Y72" s="266" t="n">
        <v>0</v>
      </c>
      <c r="Z72" s="195" t="n"/>
      <c r="AJ72" s="498">
        <f>IFERROR(INDEX('Mapping'!$J$2:$J$110,MATCH(72,'Mapping'!$A$2:$A$110,0)),"")</f>
        <v/>
      </c>
      <c r="AK72" s="499">
        <f>IFERROR(INDEX('Mapping'!$K$2:$K$110,MATCH(72,'Mapping'!$A$2:$A$110,0)),"")</f>
        <v/>
      </c>
      <c r="AL72" s="495">
        <f>IFERROR(INDEX('E-Banker master'!$B$2:$B$186,MATCH($AJ72,'E-Banker master'!$A$2:$A$186,0)),"")</f>
        <v/>
      </c>
      <c r="AM72" s="495">
        <f>IFERROR(INDEX('E-Banker master'!$E$2:$E$186,MATCH($AJ72,'E-Banker master'!$A$2:$A$186,0)),"")</f>
        <v/>
      </c>
      <c r="AN72" s="496">
        <f>IFERROR(INDEX('E-Banker master'!$N$2:$N$186,MATCH($AJ72,'E-Banker master'!$A$2:$A$186,0)),"")</f>
        <v/>
      </c>
      <c r="AO72" s="496">
        <f>IFERROR(INDEX('E-Banker master'!$O$2:$O$186,MATCH($AJ72,'E-Banker master'!$A$2:$A$186,0)),"")</f>
        <v/>
      </c>
      <c r="AP72" s="496">
        <f>IFERROR(INDEX('E-Banker master'!$P$2:$P$186,MATCH($AJ72,'E-Banker master'!$A$2:$A$186,0)),"")</f>
        <v/>
      </c>
      <c r="AQ72" s="496">
        <f>IF(OR($AJ72="",AP72=""),"",R72-AP72)</f>
        <v/>
      </c>
    </row>
    <row r="73">
      <c r="A73" s="408" t="n"/>
      <c r="B73" s="408" t="n"/>
      <c r="C73" s="408" t="n"/>
      <c r="D73" s="392" t="n">
        <v>69</v>
      </c>
      <c r="E73" s="175" t="inlineStr">
        <is>
          <t>The Food Empire</t>
        </is>
      </c>
      <c r="F73" s="186" t="inlineStr">
        <is>
          <t>Debt</t>
        </is>
      </c>
      <c r="G73" s="187">
        <f>'Amortisation and Repayments'!C3637</f>
        <v/>
      </c>
      <c r="H73" s="187">
        <f>'Amortisation and Repayments'!D3685</f>
        <v/>
      </c>
      <c r="I73" s="188">
        <f>'Amortisation and Repayments'!D3630</f>
        <v/>
      </c>
      <c r="J73" s="192" t="inlineStr">
        <is>
          <t>3 (Cap+Int)</t>
        </is>
      </c>
      <c r="K73" s="179" t="n">
        <v>10</v>
      </c>
      <c r="L73" s="186">
        <f>'Amortisation and Repayments'!F3637</f>
        <v/>
      </c>
      <c r="M73" s="190">
        <f>'Amortisation and Repayments'!F3637</f>
        <v/>
      </c>
      <c r="N73" s="186">
        <f>L73-M73</f>
        <v/>
      </c>
      <c r="O73" s="186">
        <f>M73</f>
        <v/>
      </c>
      <c r="P73" s="186">
        <f>SUM('Amortisation and Repayments'!H3637:H3652)</f>
        <v/>
      </c>
      <c r="Q73" s="186">
        <f>-SUM('Amortisation and Repayments'!K3637:K3652)</f>
        <v/>
      </c>
      <c r="R73" s="190">
        <f>SUM(O73:Q73)</f>
        <v/>
      </c>
      <c r="S73" s="235">
        <f>'Amortisation and Repayments'!I3652</f>
        <v/>
      </c>
      <c r="T73" s="235">
        <f>'Amortisation and Repayments'!H3652</f>
        <v/>
      </c>
      <c r="U73" s="409">
        <f>+SUM(S73:T73)</f>
        <v/>
      </c>
      <c r="V73" s="195" t="n"/>
      <c r="W73" s="186">
        <f>U73</f>
        <v/>
      </c>
      <c r="X73" s="186">
        <f>U73-W73</f>
        <v/>
      </c>
      <c r="Y73" s="266" t="n"/>
      <c r="Z73" s="195" t="n"/>
      <c r="AJ73" s="498">
        <f>IFERROR(INDEX('Mapping'!$J$2:$J$110,MATCH(73,'Mapping'!$A$2:$A$110,0)),"")</f>
        <v/>
      </c>
      <c r="AK73" s="499">
        <f>IFERROR(INDEX('Mapping'!$K$2:$K$110,MATCH(73,'Mapping'!$A$2:$A$110,0)),"")</f>
        <v/>
      </c>
      <c r="AL73" s="495">
        <f>IFERROR(INDEX('E-Banker master'!$B$2:$B$186,MATCH($AJ73,'E-Banker master'!$A$2:$A$186,0)),"")</f>
        <v/>
      </c>
      <c r="AM73" s="495">
        <f>IFERROR(INDEX('E-Banker master'!$E$2:$E$186,MATCH($AJ73,'E-Banker master'!$A$2:$A$186,0)),"")</f>
        <v/>
      </c>
      <c r="AN73" s="496">
        <f>IFERROR(INDEX('E-Banker master'!$N$2:$N$186,MATCH($AJ73,'E-Banker master'!$A$2:$A$186,0)),"")</f>
        <v/>
      </c>
      <c r="AO73" s="496">
        <f>IFERROR(INDEX('E-Banker master'!$O$2:$O$186,MATCH($AJ73,'E-Banker master'!$A$2:$A$186,0)),"")</f>
        <v/>
      </c>
      <c r="AP73" s="496">
        <f>IFERROR(INDEX('E-Banker master'!$P$2:$P$186,MATCH($AJ73,'E-Banker master'!$A$2:$A$186,0)),"")</f>
        <v/>
      </c>
      <c r="AQ73" s="496">
        <f>IF(OR($AJ73="",AP73=""),"",R73-AP73)</f>
        <v/>
      </c>
    </row>
    <row r="74">
      <c r="A74" s="408" t="n"/>
      <c r="B74" s="408" t="n"/>
      <c r="C74" s="408" t="n"/>
      <c r="D74" s="426" t="n">
        <v>70</v>
      </c>
      <c r="E74" s="353" t="inlineStr">
        <is>
          <t>Chisitu Tea Blenders and Packers Ltd</t>
        </is>
      </c>
      <c r="F74" s="186" t="inlineStr">
        <is>
          <t>Debt</t>
        </is>
      </c>
      <c r="G74" s="187">
        <f>'Amortisation and Repayments'!C3703</f>
        <v/>
      </c>
      <c r="H74" s="187">
        <f>'Amortisation and Repayments'!D3751</f>
        <v/>
      </c>
      <c r="I74" s="188" t="n">
        <v>4</v>
      </c>
      <c r="J74" s="192" t="inlineStr">
        <is>
          <t>6 (Cap+Int)</t>
        </is>
      </c>
      <c r="K74" s="179" t="n">
        <v>10</v>
      </c>
      <c r="L74" s="186">
        <f>'Amortisation and Repayments'!D3694</f>
        <v/>
      </c>
      <c r="M74" s="190">
        <f>'Amortisation and Repayments'!F3703</f>
        <v/>
      </c>
      <c r="N74" s="186" t="n"/>
      <c r="O74" s="191">
        <f>M74</f>
        <v/>
      </c>
      <c r="P74" s="186">
        <f>SUM('Amortisation and Repayments'!H3703:H3718)</f>
        <v/>
      </c>
      <c r="Q74" s="186">
        <f>-SUM('Amortisation and Repayments'!K3703:K3718)</f>
        <v/>
      </c>
      <c r="R74" s="302">
        <f>SUM(O74:Q74)</f>
        <v/>
      </c>
      <c r="S74" s="235">
        <f>SUM('Amortisation and Repayments'!I3712:I3718)</f>
        <v/>
      </c>
      <c r="T74" s="235">
        <f>'Amortisation and Repayments'!L3718-'Loan Book'!S74</f>
        <v/>
      </c>
      <c r="U74" s="409">
        <f>+SUM(S74:T74)</f>
        <v/>
      </c>
      <c r="V74" s="195" t="n"/>
      <c r="W74" s="186">
        <f>'Amortisation and Repayments'!G3718</f>
        <v/>
      </c>
      <c r="X74" s="186">
        <f>W74*3</f>
        <v/>
      </c>
      <c r="Y74" s="266">
        <f>+U74-W74-X74</f>
        <v/>
      </c>
      <c r="Z74" s="195" t="n"/>
      <c r="AJ74" s="498">
        <f>IFERROR(INDEX('Mapping'!$J$2:$J$110,MATCH(74,'Mapping'!$A$2:$A$110,0)),"")</f>
        <v/>
      </c>
      <c r="AK74" s="499">
        <f>IFERROR(INDEX('Mapping'!$K$2:$K$110,MATCH(74,'Mapping'!$A$2:$A$110,0)),"")</f>
        <v/>
      </c>
      <c r="AL74" s="495">
        <f>IFERROR(INDEX('E-Banker master'!$B$2:$B$186,MATCH($AJ74,'E-Banker master'!$A$2:$A$186,0)),"")</f>
        <v/>
      </c>
      <c r="AM74" s="495">
        <f>IFERROR(INDEX('E-Banker master'!$E$2:$E$186,MATCH($AJ74,'E-Banker master'!$A$2:$A$186,0)),"")</f>
        <v/>
      </c>
      <c r="AN74" s="496">
        <f>IFERROR(INDEX('E-Banker master'!$N$2:$N$186,MATCH($AJ74,'E-Banker master'!$A$2:$A$186,0)),"")</f>
        <v/>
      </c>
      <c r="AO74" s="496">
        <f>IFERROR(INDEX('E-Banker master'!$O$2:$O$186,MATCH($AJ74,'E-Banker master'!$A$2:$A$186,0)),"")</f>
        <v/>
      </c>
      <c r="AP74" s="496">
        <f>IFERROR(INDEX('E-Banker master'!$P$2:$P$186,MATCH($AJ74,'E-Banker master'!$A$2:$A$186,0)),"")</f>
        <v/>
      </c>
      <c r="AQ74" s="496">
        <f>IF(OR($AJ74="",AP74=""),"",R74-AP74)</f>
        <v/>
      </c>
    </row>
    <row r="75">
      <c r="A75" s="408" t="n"/>
      <c r="B75" s="408" t="n"/>
      <c r="C75" s="408" t="n"/>
      <c r="D75" s="392" t="n">
        <v>71</v>
      </c>
      <c r="E75" s="353" t="inlineStr">
        <is>
          <t>Mchinji Civil Servants SACCO</t>
        </is>
      </c>
      <c r="F75" s="186" t="inlineStr">
        <is>
          <t>Debt</t>
        </is>
      </c>
      <c r="G75" s="187">
        <f>'Amortisation and Repayments'!C3769</f>
        <v/>
      </c>
      <c r="H75" s="187" t="n">
        <v>46599</v>
      </c>
      <c r="I75" s="188" t="n">
        <v>4</v>
      </c>
      <c r="J75" s="192" t="inlineStr">
        <is>
          <t>6 (Cap+Int)</t>
        </is>
      </c>
      <c r="K75" s="179" t="n">
        <v>10</v>
      </c>
      <c r="L75" s="186" t="n">
        <v>100000000</v>
      </c>
      <c r="M75" s="190" t="n">
        <v>100000000</v>
      </c>
      <c r="N75" s="186">
        <f>+L75-M75</f>
        <v/>
      </c>
      <c r="O75" s="191">
        <f>M75</f>
        <v/>
      </c>
      <c r="P75" s="186">
        <f>SUM('Amortisation and Repayments'!H3769:H3784)</f>
        <v/>
      </c>
      <c r="Q75" s="186">
        <f>-SUM('Amortisation and Repayments'!K3769:K3784)</f>
        <v/>
      </c>
      <c r="R75" s="302">
        <f>SUM(O75:Q75)</f>
        <v/>
      </c>
      <c r="S75" s="504" t="n">
        <v>4127024.918456476</v>
      </c>
      <c r="T75" s="235">
        <f>'Amortisation and Repayments'!L3784-'Loan Book'!S75</f>
        <v/>
      </c>
      <c r="U75" s="409">
        <f>+SUM(S75:T75)</f>
        <v/>
      </c>
      <c r="V75" s="195" t="n"/>
      <c r="W75" s="186">
        <f>U75</f>
        <v/>
      </c>
      <c r="X75" s="186">
        <f>+U75-W75</f>
        <v/>
      </c>
      <c r="Y75" s="266" t="n"/>
      <c r="Z75" s="195" t="n"/>
      <c r="AJ75" s="498">
        <f>IFERROR(INDEX('Mapping'!$J$2:$J$110,MATCH(75,'Mapping'!$A$2:$A$110,0)),"")</f>
        <v/>
      </c>
      <c r="AK75" s="499">
        <f>IFERROR(INDEX('Mapping'!$K$2:$K$110,MATCH(75,'Mapping'!$A$2:$A$110,0)),"")</f>
        <v/>
      </c>
      <c r="AL75" s="495">
        <f>IFERROR(INDEX('E-Banker master'!$B$2:$B$186,MATCH($AJ75,'E-Banker master'!$A$2:$A$186,0)),"")</f>
        <v/>
      </c>
      <c r="AM75" s="495">
        <f>IFERROR(INDEX('E-Banker master'!$E$2:$E$186,MATCH($AJ75,'E-Banker master'!$A$2:$A$186,0)),"")</f>
        <v/>
      </c>
      <c r="AN75" s="496">
        <f>IFERROR(INDEX('E-Banker master'!$N$2:$N$186,MATCH($AJ75,'E-Banker master'!$A$2:$A$186,0)),"")</f>
        <v/>
      </c>
      <c r="AO75" s="496">
        <f>IFERROR(INDEX('E-Banker master'!$O$2:$O$186,MATCH($AJ75,'E-Banker master'!$A$2:$A$186,0)),"")</f>
        <v/>
      </c>
      <c r="AP75" s="496">
        <f>IFERROR(INDEX('E-Banker master'!$P$2:$P$186,MATCH($AJ75,'E-Banker master'!$A$2:$A$186,0)),"")</f>
        <v/>
      </c>
      <c r="AQ75" s="496">
        <f>IF(OR($AJ75="",AP75=""),"",R75-AP75)</f>
        <v/>
      </c>
    </row>
    <row r="76">
      <c r="A76" s="408" t="n"/>
      <c r="B76" s="408" t="n"/>
      <c r="C76" s="408" t="n"/>
      <c r="D76" s="425" t="n">
        <v>72</v>
      </c>
      <c r="E76" s="353" t="inlineStr">
        <is>
          <t>Design Management Consultants Ltd</t>
        </is>
      </c>
      <c r="F76" s="186" t="inlineStr">
        <is>
          <t>Debt</t>
        </is>
      </c>
      <c r="G76" s="187">
        <f>'Amortisation and Repayments'!C3852</f>
        <v/>
      </c>
      <c r="H76" s="187">
        <f>'Amortisation and Repayments'!D3900</f>
        <v/>
      </c>
      <c r="I76" s="188" t="n">
        <v>4</v>
      </c>
      <c r="J76" s="192" t="inlineStr">
        <is>
          <t>6 (Cap+Int)</t>
        </is>
      </c>
      <c r="K76" s="179" t="n">
        <v>10</v>
      </c>
      <c r="L76" s="186">
        <f>'Amortisation and Repayments'!F3852</f>
        <v/>
      </c>
      <c r="M76" s="190">
        <f>L76</f>
        <v/>
      </c>
      <c r="N76" s="186">
        <f>+L76-M76</f>
        <v/>
      </c>
      <c r="O76" s="191">
        <f>M76</f>
        <v/>
      </c>
      <c r="P76" s="186">
        <f>SUM('Amortisation and Repayments'!H3852:H3867)</f>
        <v/>
      </c>
      <c r="Q76" s="186">
        <f>-SUM('Amortisation and Repayments'!K3852:K3867)</f>
        <v/>
      </c>
      <c r="R76" s="302">
        <f>SUM(O76:Q76)</f>
        <v/>
      </c>
      <c r="S76" s="235" t="n">
        <v>0</v>
      </c>
      <c r="T76" s="235" t="n"/>
      <c r="U76" s="409">
        <f>+SUM(S76:T76)</f>
        <v/>
      </c>
      <c r="V76" s="195" t="n"/>
      <c r="W76" s="186">
        <f>+U76</f>
        <v/>
      </c>
      <c r="X76" s="186" t="n"/>
      <c r="Y76" s="266" t="n"/>
      <c r="Z76" s="195" t="n"/>
      <c r="AJ76" s="498">
        <f>IFERROR(INDEX('Mapping'!$J$2:$J$110,MATCH(76,'Mapping'!$A$2:$A$110,0)),"")</f>
        <v/>
      </c>
      <c r="AK76" s="499">
        <f>IFERROR(INDEX('Mapping'!$K$2:$K$110,MATCH(76,'Mapping'!$A$2:$A$110,0)),"")</f>
        <v/>
      </c>
      <c r="AL76" s="498">
        <f>IFERROR(INDEX('E-Banker master'!$B$2:$B$186,MATCH($AJ76,'E-Banker master'!$A$2:$A$186,0)),"")</f>
        <v/>
      </c>
      <c r="AM76" s="495">
        <f>IFERROR(INDEX('E-Banker master'!$E$2:$E$186,MATCH($AJ76,'E-Banker master'!$A$2:$A$186,0)),"")</f>
        <v/>
      </c>
      <c r="AN76" s="496">
        <f>IFERROR(INDEX('E-Banker master'!$N$2:$N$186,MATCH($AJ76,'E-Banker master'!$A$2:$A$186,0)),"")</f>
        <v/>
      </c>
      <c r="AO76" s="496">
        <f>IFERROR(INDEX('E-Banker master'!$O$2:$O$186,MATCH($AJ76,'E-Banker master'!$A$2:$A$186,0)),"")</f>
        <v/>
      </c>
      <c r="AP76" s="496">
        <f>IFERROR(INDEX('E-Banker master'!$P$2:$P$186,MATCH($AJ76,'E-Banker master'!$A$2:$A$186,0)),"")</f>
        <v/>
      </c>
      <c r="AQ76" s="496">
        <f>IF(OR($AJ76="",AP76=""),"",R76-AP76)</f>
        <v/>
      </c>
    </row>
    <row r="77">
      <c r="A77" s="408" t="n"/>
      <c r="B77" s="408" t="n"/>
      <c r="C77" s="408" t="n"/>
      <c r="D77" s="426" t="n">
        <v>73</v>
      </c>
      <c r="E77" s="175" t="inlineStr">
        <is>
          <t>Jescal Enterprise</t>
        </is>
      </c>
      <c r="F77" s="186" t="inlineStr">
        <is>
          <t>Debt</t>
        </is>
      </c>
      <c r="G77" s="187">
        <f>+'Amortisation and Repayments'!C3918</f>
        <v/>
      </c>
      <c r="H77" s="187">
        <f>+'Amortisation and Repayments'!D3942</f>
        <v/>
      </c>
      <c r="I77" s="188" t="n">
        <v>2</v>
      </c>
      <c r="J77" s="192" t="inlineStr">
        <is>
          <t>3 (Cap+Int)</t>
        </is>
      </c>
      <c r="K77" s="179" t="n">
        <v>10</v>
      </c>
      <c r="L77" s="186">
        <f>'Amortisation and Repayments'!D3909</f>
        <v/>
      </c>
      <c r="M77" s="190">
        <f>L77</f>
        <v/>
      </c>
      <c r="N77" s="186">
        <f>+L77-M77</f>
        <v/>
      </c>
      <c r="O77" s="191">
        <f>M77</f>
        <v/>
      </c>
      <c r="P77" s="186">
        <f>SUM('Amortisation and Repayments'!H3918:H3933)</f>
        <v/>
      </c>
      <c r="Q77" s="186">
        <f>-SUM('Amortisation and Repayments'!K3918:K3933)</f>
        <v/>
      </c>
      <c r="R77" s="302">
        <f>SUM(O77:Q77)</f>
        <v/>
      </c>
      <c r="S77" s="235" t="n">
        <v>0</v>
      </c>
      <c r="T77" s="235" t="n"/>
      <c r="U77" s="409">
        <f>+SUM(S77:T77)</f>
        <v/>
      </c>
      <c r="V77" s="195" t="n"/>
      <c r="W77" s="186">
        <f>U77</f>
        <v/>
      </c>
      <c r="X77" s="186" t="n"/>
      <c r="Y77" s="266" t="n"/>
      <c r="Z77" s="195" t="n"/>
      <c r="AJ77" s="498">
        <f>IFERROR(INDEX('Mapping'!$J$2:$J$110,MATCH(77,'Mapping'!$A$2:$A$110,0)),"")</f>
        <v/>
      </c>
      <c r="AK77" s="499">
        <f>IFERROR(INDEX('Mapping'!$K$2:$K$110,MATCH(77,'Mapping'!$A$2:$A$110,0)),"")</f>
        <v/>
      </c>
      <c r="AL77" s="495">
        <f>IFERROR(INDEX('E-Banker master'!$B$2:$B$186,MATCH($AJ77,'E-Banker master'!$A$2:$A$186,0)),"")</f>
        <v/>
      </c>
      <c r="AM77" s="495">
        <f>IFERROR(INDEX('E-Banker master'!$E$2:$E$186,MATCH($AJ77,'E-Banker master'!$A$2:$A$186,0)),"")</f>
        <v/>
      </c>
      <c r="AN77" s="496">
        <f>IFERROR(INDEX('E-Banker master'!$N$2:$N$186,MATCH($AJ77,'E-Banker master'!$A$2:$A$186,0)),"")</f>
        <v/>
      </c>
      <c r="AO77" s="496">
        <f>IFERROR(INDEX('E-Banker master'!$O$2:$O$186,MATCH($AJ77,'E-Banker master'!$A$2:$A$186,0)),"")</f>
        <v/>
      </c>
      <c r="AP77" s="496">
        <f>IFERROR(INDEX('E-Banker master'!$P$2:$P$186,MATCH($AJ77,'E-Banker master'!$A$2:$A$186,0)),"")</f>
        <v/>
      </c>
      <c r="AQ77" s="496">
        <f>IF(OR($AJ77="",AP77=""),"",R77-AP77)</f>
        <v/>
      </c>
    </row>
    <row r="78">
      <c r="A78" s="408" t="n"/>
      <c r="B78" s="408" t="n"/>
      <c r="C78" s="408" t="n"/>
      <c r="D78" s="392" t="n">
        <v>74</v>
      </c>
      <c r="E78" s="175" t="inlineStr">
        <is>
          <t>Mosa Limited Company</t>
        </is>
      </c>
      <c r="F78" s="186" t="inlineStr">
        <is>
          <t>Debt</t>
        </is>
      </c>
      <c r="G78" s="187">
        <f>'Amortisation and Repayments'!C3960</f>
        <v/>
      </c>
      <c r="H78" s="187">
        <f>'Amortisation and Repayments'!D3984</f>
        <v/>
      </c>
      <c r="I78" s="188" t="n">
        <v>2</v>
      </c>
      <c r="J78" s="192" t="inlineStr">
        <is>
          <t>3 (Cap+Int)</t>
        </is>
      </c>
      <c r="K78" s="179" t="n">
        <v>10</v>
      </c>
      <c r="L78" s="186">
        <f>'Amortisation and Repayments'!D3951</f>
        <v/>
      </c>
      <c r="M78" s="190">
        <f>L78</f>
        <v/>
      </c>
      <c r="N78" s="186">
        <f>+L78-M78</f>
        <v/>
      </c>
      <c r="O78" s="191">
        <f>M78</f>
        <v/>
      </c>
      <c r="P78" s="186">
        <f>SUM('Amortisation and Repayments'!H3960:H3975)</f>
        <v/>
      </c>
      <c r="Q78" s="186">
        <f>-SUM('Amortisation and Repayments'!K3960:K3975)</f>
        <v/>
      </c>
      <c r="R78" s="302">
        <f>SUM(O78:Q78)</f>
        <v/>
      </c>
      <c r="S78" s="235">
        <f>SUM('Amortisation and Repayments'!I3974:I3975)</f>
        <v/>
      </c>
      <c r="T78" s="235">
        <f>'Amortisation and Repayments'!L3975-'Loan Book'!S78</f>
        <v/>
      </c>
      <c r="U78" s="409">
        <f>+SUM(S78:T78)</f>
        <v/>
      </c>
      <c r="V78" s="195" t="n"/>
      <c r="W78" s="186">
        <f>'Amortisation and Repayments'!G3975</f>
        <v/>
      </c>
      <c r="X78" s="186">
        <f>U78-W78</f>
        <v/>
      </c>
      <c r="Y78" s="266" t="n"/>
      <c r="Z78" s="195" t="n"/>
      <c r="AJ78" s="498">
        <f>IFERROR(INDEX('Mapping'!$J$2:$J$110,MATCH(78,'Mapping'!$A$2:$A$110,0)),"")</f>
        <v/>
      </c>
      <c r="AK78" s="499">
        <f>IFERROR(INDEX('Mapping'!$K$2:$K$110,MATCH(78,'Mapping'!$A$2:$A$110,0)),"")</f>
        <v/>
      </c>
      <c r="AL78" s="495">
        <f>IFERROR(INDEX('E-Banker master'!$B$2:$B$186,MATCH($AJ78,'E-Banker master'!$A$2:$A$186,0)),"")</f>
        <v/>
      </c>
      <c r="AM78" s="495">
        <f>IFERROR(INDEX('E-Banker master'!$E$2:$E$186,MATCH($AJ78,'E-Banker master'!$A$2:$A$186,0)),"")</f>
        <v/>
      </c>
      <c r="AN78" s="496">
        <f>IFERROR(INDEX('E-Banker master'!$N$2:$N$186,MATCH($AJ78,'E-Banker master'!$A$2:$A$186,0)),"")</f>
        <v/>
      </c>
      <c r="AO78" s="496">
        <f>IFERROR(INDEX('E-Banker master'!$O$2:$O$186,MATCH($AJ78,'E-Banker master'!$A$2:$A$186,0)),"")</f>
        <v/>
      </c>
      <c r="AP78" s="496">
        <f>IFERROR(INDEX('E-Banker master'!$P$2:$P$186,MATCH($AJ78,'E-Banker master'!$A$2:$A$186,0)),"")</f>
        <v/>
      </c>
      <c r="AQ78" s="496">
        <f>IF(OR($AJ78="",AP78=""),"",R78-AP78)</f>
        <v/>
      </c>
    </row>
    <row r="79" ht="11.4" customHeight="1">
      <c r="A79" s="408" t="n"/>
      <c r="B79" s="408" t="n"/>
      <c r="C79" s="408" t="n"/>
      <c r="D79" s="392" t="n">
        <v>75</v>
      </c>
      <c r="E79" s="175" t="inlineStr">
        <is>
          <t>Pamela Investments</t>
        </is>
      </c>
      <c r="F79" s="186" t="inlineStr">
        <is>
          <t>Debt</t>
        </is>
      </c>
      <c r="G79" s="187">
        <f>'Amortisation and Repayments'!C3810</f>
        <v/>
      </c>
      <c r="H79" s="187">
        <f>'Amortisation and Repayments'!D3834</f>
        <v/>
      </c>
      <c r="I79" s="188" t="n">
        <v>2</v>
      </c>
      <c r="J79" s="192" t="inlineStr">
        <is>
          <t>3 (Cap+Int)</t>
        </is>
      </c>
      <c r="K79" s="179" t="n">
        <v>10</v>
      </c>
      <c r="L79" s="186">
        <f>'Amortisation and Repayments'!F3810</f>
        <v/>
      </c>
      <c r="M79" s="190">
        <f>L79</f>
        <v/>
      </c>
      <c r="N79" s="186">
        <f>+L79-M79</f>
        <v/>
      </c>
      <c r="O79" s="191">
        <f>M79</f>
        <v/>
      </c>
      <c r="P79" s="186">
        <f>SUM('Amortisation and Repayments'!H3810:H3825)</f>
        <v/>
      </c>
      <c r="Q79" s="186">
        <f>-SUM('Amortisation and Repayments'!K3810:K3825)</f>
        <v/>
      </c>
      <c r="R79" s="302">
        <f>SUM(O79:Q79)</f>
        <v/>
      </c>
      <c r="S79" s="235">
        <f>SUM('Amortisation and Repayments'!I3820:I3825)</f>
        <v/>
      </c>
      <c r="T79" s="235">
        <f>'Amortisation and Repayments'!L3825-'Loan Book'!S79</f>
        <v/>
      </c>
      <c r="U79" s="409">
        <f>+SUM(S79:T79)</f>
        <v/>
      </c>
      <c r="V79" s="195" t="n"/>
      <c r="W79" s="186">
        <f>'Amortisation and Repayments'!G3825</f>
        <v/>
      </c>
      <c r="X79" s="186">
        <f>W79*3</f>
        <v/>
      </c>
      <c r="Y79" s="266">
        <f>+U79-W79-X79</f>
        <v/>
      </c>
      <c r="Z79" s="195" t="n"/>
      <c r="AJ79" s="498">
        <f>IFERROR(INDEX('Mapping'!$J$2:$J$110,MATCH(79,'Mapping'!$A$2:$A$110,0)),"")</f>
        <v/>
      </c>
      <c r="AK79" s="499">
        <f>IFERROR(INDEX('Mapping'!$K$2:$K$110,MATCH(79,'Mapping'!$A$2:$A$110,0)),"")</f>
        <v/>
      </c>
      <c r="AL79" s="495">
        <f>IFERROR(INDEX('E-Banker master'!$B$2:$B$186,MATCH($AJ79,'E-Banker master'!$A$2:$A$186,0)),"")</f>
        <v/>
      </c>
      <c r="AM79" s="495">
        <f>IFERROR(INDEX('E-Banker master'!$E$2:$E$186,MATCH($AJ79,'E-Banker master'!$A$2:$A$186,0)),"")</f>
        <v/>
      </c>
      <c r="AN79" s="496">
        <f>IFERROR(INDEX('E-Banker master'!$N$2:$N$186,MATCH($AJ79,'E-Banker master'!$A$2:$A$186,0)),"")</f>
        <v/>
      </c>
      <c r="AO79" s="496">
        <f>IFERROR(INDEX('E-Banker master'!$O$2:$O$186,MATCH($AJ79,'E-Banker master'!$A$2:$A$186,0)),"")</f>
        <v/>
      </c>
      <c r="AP79" s="496">
        <f>IFERROR(INDEX('E-Banker master'!$P$2:$P$186,MATCH($AJ79,'E-Banker master'!$A$2:$A$186,0)),"")</f>
        <v/>
      </c>
      <c r="AQ79" s="496">
        <f>IF(OR($AJ79="",AP79=""),"",R79-AP79)</f>
        <v/>
      </c>
    </row>
    <row r="80">
      <c r="A80" s="408" t="n"/>
      <c r="B80" s="408" t="n"/>
      <c r="C80" s="408" t="n"/>
      <c r="D80" s="426" t="n">
        <v>76</v>
      </c>
      <c r="E80" s="353" t="inlineStr">
        <is>
          <t>Global Seeds Limited FInES</t>
        </is>
      </c>
      <c r="F80" s="186" t="inlineStr">
        <is>
          <t>Debt</t>
        </is>
      </c>
      <c r="G80" s="187">
        <f>'Amortisation and Repayments'!C4002</f>
        <v/>
      </c>
      <c r="H80" s="187">
        <f>'Amortisation and Repayments'!D4050</f>
        <v/>
      </c>
      <c r="I80" s="188" t="n">
        <v>4</v>
      </c>
      <c r="J80" s="192" t="n">
        <v>0</v>
      </c>
      <c r="K80" s="179" t="n">
        <v>10</v>
      </c>
      <c r="L80" s="186">
        <f>'Amortisation and Repayments'!F4002</f>
        <v/>
      </c>
      <c r="M80" s="190" t="n">
        <v>250000000</v>
      </c>
      <c r="N80" s="186">
        <f>+L80-M80</f>
        <v/>
      </c>
      <c r="O80" s="191" t="n">
        <v>250000000</v>
      </c>
      <c r="P80" s="186">
        <f>SUM('Amortisation and Repayments'!H4002:H4016)</f>
        <v/>
      </c>
      <c r="Q80" s="186">
        <f>-SUM('Amortisation and Repayments'!K4002:K4016)</f>
        <v/>
      </c>
      <c r="R80" s="302">
        <f>SUM(O80:Q80)</f>
        <v/>
      </c>
      <c r="S80" s="235" t="n">
        <v>0</v>
      </c>
      <c r="T80" s="235" t="n">
        <v>0</v>
      </c>
      <c r="U80" s="409">
        <f>+SUM(S80:T80)</f>
        <v/>
      </c>
      <c r="V80" s="195" t="n"/>
      <c r="W80" s="186">
        <f>U80</f>
        <v/>
      </c>
      <c r="X80" s="186" t="n">
        <v>0</v>
      </c>
      <c r="Y80" s="266" t="n"/>
      <c r="Z80" s="195" t="n"/>
      <c r="AJ80" s="498">
        <f>IFERROR(INDEX('Mapping'!$J$2:$J$110,MATCH(80,'Mapping'!$A$2:$A$110,0)),"")</f>
        <v/>
      </c>
      <c r="AK80" s="499">
        <f>IFERROR(INDEX('Mapping'!$K$2:$K$110,MATCH(80,'Mapping'!$A$2:$A$110,0)),"")</f>
        <v/>
      </c>
      <c r="AL80" s="495">
        <f>IFERROR(INDEX('E-Banker master'!$B$2:$B$186,MATCH($AJ80,'E-Banker master'!$A$2:$A$186,0)),"")</f>
        <v/>
      </c>
      <c r="AM80" s="495">
        <f>IFERROR(INDEX('E-Banker master'!$E$2:$E$186,MATCH($AJ80,'E-Banker master'!$A$2:$A$186,0)),"")</f>
        <v/>
      </c>
      <c r="AN80" s="496">
        <f>IFERROR(INDEX('E-Banker master'!$N$2:$N$186,MATCH($AJ80,'E-Banker master'!$A$2:$A$186,0)),"")</f>
        <v/>
      </c>
      <c r="AO80" s="496">
        <f>IFERROR(INDEX('E-Banker master'!$O$2:$O$186,MATCH($AJ80,'E-Banker master'!$A$2:$A$186,0)),"")</f>
        <v/>
      </c>
      <c r="AP80" s="496">
        <f>IFERROR(INDEX('E-Banker master'!$P$2:$P$186,MATCH($AJ80,'E-Banker master'!$A$2:$A$186,0)),"")</f>
        <v/>
      </c>
      <c r="AQ80" s="496">
        <f>IF(OR($AJ80="",AP80=""),"",R80-AP80)</f>
        <v/>
      </c>
    </row>
    <row r="81">
      <c r="A81" s="408" t="n"/>
      <c r="B81" s="408" t="n"/>
      <c r="C81" s="408" t="n"/>
      <c r="D81" s="392" t="n">
        <v>77</v>
      </c>
      <c r="E81" s="353" t="inlineStr">
        <is>
          <t>Beaulaland Food Processors</t>
        </is>
      </c>
      <c r="F81" s="186" t="inlineStr">
        <is>
          <t>Debt</t>
        </is>
      </c>
      <c r="G81" s="187">
        <f>'Amortisation and Repayments'!C4067</f>
        <v/>
      </c>
      <c r="H81" s="187">
        <f>'Amortisation and Repayments'!D4091</f>
        <v/>
      </c>
      <c r="I81" s="188" t="n">
        <v>2</v>
      </c>
      <c r="J81" s="192" t="inlineStr">
        <is>
          <t>3 (Cap+Int)</t>
        </is>
      </c>
      <c r="K81" s="179" t="n">
        <v>10</v>
      </c>
      <c r="L81" s="186">
        <f>'Amortisation and Repayments'!F4067</f>
        <v/>
      </c>
      <c r="M81" s="190">
        <f>'Amortisation and Repayments'!F4067</f>
        <v/>
      </c>
      <c r="N81" s="186">
        <f>+L81-M81</f>
        <v/>
      </c>
      <c r="O81" s="191">
        <f>'Amortisation and Repayments'!F4067</f>
        <v/>
      </c>
      <c r="P81" s="186">
        <f>SUM('Amortisation and Repayments'!H4067:H4081)</f>
        <v/>
      </c>
      <c r="Q81" s="186">
        <f>-SUM('Amortisation and Repayments'!K4067:K4081)-150078.02</f>
        <v/>
      </c>
      <c r="R81" s="302">
        <f>SUM(O81:Q81)</f>
        <v/>
      </c>
      <c r="S81" s="235">
        <f>'Amortisation and Repayments'!L4081</f>
        <v/>
      </c>
      <c r="T81" s="235">
        <f>'Amortisation and Repayments'!L4081-'Loan Book'!S81</f>
        <v/>
      </c>
      <c r="U81" s="409">
        <f>+SUM(S81:T81)</f>
        <v/>
      </c>
      <c r="V81" s="195" t="n"/>
      <c r="W81" s="186">
        <f>U81</f>
        <v/>
      </c>
      <c r="X81" s="186" t="n"/>
      <c r="Y81" s="266" t="n"/>
      <c r="Z81" s="195" t="n"/>
      <c r="AJ81" s="498">
        <f>IFERROR(INDEX('Mapping'!$J$2:$J$110,MATCH(81,'Mapping'!$A$2:$A$110,0)),"")</f>
        <v/>
      </c>
      <c r="AK81" s="499">
        <f>IFERROR(INDEX('Mapping'!$K$2:$K$110,MATCH(81,'Mapping'!$A$2:$A$110,0)),"")</f>
        <v/>
      </c>
      <c r="AL81" s="495">
        <f>IFERROR(INDEX('E-Banker master'!$B$2:$B$186,MATCH($AJ81,'E-Banker master'!$A$2:$A$186,0)),"")</f>
        <v/>
      </c>
      <c r="AM81" s="495">
        <f>IFERROR(INDEX('E-Banker master'!$E$2:$E$186,MATCH($AJ81,'E-Banker master'!$A$2:$A$186,0)),"")</f>
        <v/>
      </c>
      <c r="AN81" s="496">
        <f>IFERROR(INDEX('E-Banker master'!$N$2:$N$186,MATCH($AJ81,'E-Banker master'!$A$2:$A$186,0)),"")</f>
        <v/>
      </c>
      <c r="AO81" s="496">
        <f>IFERROR(INDEX('E-Banker master'!$O$2:$O$186,MATCH($AJ81,'E-Banker master'!$A$2:$A$186,0)),"")</f>
        <v/>
      </c>
      <c r="AP81" s="496">
        <f>IFERROR(INDEX('E-Banker master'!$P$2:$P$186,MATCH($AJ81,'E-Banker master'!$A$2:$A$186,0)),"")</f>
        <v/>
      </c>
      <c r="AQ81" s="496">
        <f>IF(OR($AJ81="",AP81=""),"",R81-AP81)</f>
        <v/>
      </c>
    </row>
    <row r="82">
      <c r="A82" s="408" t="n"/>
      <c r="B82" s="408" t="n"/>
      <c r="C82" s="408" t="n"/>
      <c r="D82" s="392" t="n">
        <v>78</v>
      </c>
      <c r="E82" s="353" t="inlineStr">
        <is>
          <t>Kwithu Producers and Marketing Co 2</t>
        </is>
      </c>
      <c r="F82" s="186" t="inlineStr">
        <is>
          <t>Debt</t>
        </is>
      </c>
      <c r="G82" s="187">
        <f>'Amortisation and Repayments'!C4120</f>
        <v/>
      </c>
      <c r="H82" s="187">
        <f>'Amortisation and Repayments'!D4168</f>
        <v/>
      </c>
      <c r="I82" s="188" t="n">
        <v>4</v>
      </c>
      <c r="J82" s="192" t="inlineStr">
        <is>
          <t>3 ( Cap only)</t>
        </is>
      </c>
      <c r="K82" s="179" t="n">
        <v>10</v>
      </c>
      <c r="L82" s="186" t="n">
        <v>164000000</v>
      </c>
      <c r="M82" s="190" t="n">
        <v>164000000</v>
      </c>
      <c r="N82" s="186">
        <f>+L82-M82</f>
        <v/>
      </c>
      <c r="O82" s="191">
        <f>M82</f>
        <v/>
      </c>
      <c r="P82" s="186">
        <f>SUM('Amortisation and Repayments'!H4120:'Amortisation and Repayments'!H4132)</f>
        <v/>
      </c>
      <c r="Q82" s="186">
        <f>SUM('Amortisation and Repayments'!K4120:K4132)*-1</f>
        <v/>
      </c>
      <c r="R82" s="302">
        <f>SUM(O82:Q82)</f>
        <v/>
      </c>
      <c r="S82" s="235" t="n">
        <v>0</v>
      </c>
      <c r="T82" s="235" t="n">
        <v>0</v>
      </c>
      <c r="U82" s="409">
        <f>+SUM(S82:T82)</f>
        <v/>
      </c>
      <c r="V82" s="195" t="n"/>
      <c r="W82" s="186">
        <f>+U82</f>
        <v/>
      </c>
      <c r="X82" s="186" t="n"/>
      <c r="Y82" s="266" t="n"/>
      <c r="Z82" s="195" t="n"/>
      <c r="AJ82" s="498">
        <f>IFERROR(INDEX('Mapping'!$J$2:$J$110,MATCH(82,'Mapping'!$A$2:$A$110,0)),"")</f>
        <v/>
      </c>
      <c r="AK82" s="499">
        <f>IFERROR(INDEX('Mapping'!$K$2:$K$110,MATCH(82,'Mapping'!$A$2:$A$110,0)),"")</f>
        <v/>
      </c>
      <c r="AL82" s="495">
        <f>IFERROR(INDEX('E-Banker master'!$B$2:$B$186,MATCH($AJ82,'E-Banker master'!$A$2:$A$186,0)),"")</f>
        <v/>
      </c>
      <c r="AM82" s="495">
        <f>IFERROR(INDEX('E-Banker master'!$E$2:$E$186,MATCH($AJ82,'E-Banker master'!$A$2:$A$186,0)),"")</f>
        <v/>
      </c>
      <c r="AN82" s="496">
        <f>IFERROR(INDEX('E-Banker master'!$N$2:$N$186,MATCH($AJ82,'E-Banker master'!$A$2:$A$186,0)),"")</f>
        <v/>
      </c>
      <c r="AO82" s="496">
        <f>IFERROR(INDEX('E-Banker master'!$O$2:$O$186,MATCH($AJ82,'E-Banker master'!$A$2:$A$186,0)),"")</f>
        <v/>
      </c>
      <c r="AP82" s="496">
        <f>IFERROR(INDEX('E-Banker master'!$P$2:$P$186,MATCH($AJ82,'E-Banker master'!$A$2:$A$186,0)),"")</f>
        <v/>
      </c>
      <c r="AQ82" s="496">
        <f>IF(OR($AJ82="",AP82=""),"",R82-AP82)</f>
        <v/>
      </c>
    </row>
    <row r="83">
      <c r="A83" s="408" t="n"/>
      <c r="B83" s="408" t="n"/>
      <c r="C83" s="408" t="n"/>
      <c r="D83" s="426" t="n">
        <v>79</v>
      </c>
      <c r="E83" s="175" t="inlineStr">
        <is>
          <t>Green Pharmacy</t>
        </is>
      </c>
      <c r="F83" s="186" t="inlineStr">
        <is>
          <t>Debt</t>
        </is>
      </c>
      <c r="G83" s="187">
        <f>'Amortisation and Repayments'!C4184</f>
        <v/>
      </c>
      <c r="H83" s="187">
        <f>'Amortisation and Repayments'!D4220</f>
        <v/>
      </c>
      <c r="I83" s="188" t="n">
        <v>3</v>
      </c>
      <c r="J83" s="192" t="inlineStr">
        <is>
          <t>6 (Cap+Int)</t>
        </is>
      </c>
      <c r="K83" s="179" t="n">
        <v>10</v>
      </c>
      <c r="L83" s="186" t="n">
        <v>22000000</v>
      </c>
      <c r="M83" s="190" t="n">
        <v>22000000</v>
      </c>
      <c r="N83" s="186">
        <f>+L83-M83</f>
        <v/>
      </c>
      <c r="O83" s="191">
        <f>M83</f>
        <v/>
      </c>
      <c r="P83" s="186">
        <f>SUM('Amortisation and Repayments'!H4184:H4196)</f>
        <v/>
      </c>
      <c r="Q83" s="186">
        <f>-SUM('Amortisation and Repayments'!K4184:K4196)</f>
        <v/>
      </c>
      <c r="R83" s="302">
        <f>SUM(O83:Q83)</f>
        <v/>
      </c>
      <c r="S83" s="235">
        <f>SUM('Amortisation and Repayments'!I4191:I4196)</f>
        <v/>
      </c>
      <c r="T83" s="235">
        <f>SUM('Amortisation and Repayments'!H4191:H4196)</f>
        <v/>
      </c>
      <c r="U83" s="409">
        <f>+SUM(S83:T83)</f>
        <v/>
      </c>
      <c r="V83" s="195" t="n"/>
      <c r="W83" s="186">
        <f>'Amortisation and Repayments'!G4196</f>
        <v/>
      </c>
      <c r="X83" s="186">
        <f>W83*3</f>
        <v/>
      </c>
      <c r="Y83" s="266">
        <f>U83-X83-W83</f>
        <v/>
      </c>
      <c r="Z83" s="195" t="n"/>
      <c r="AJ83" s="498">
        <f>IFERROR(INDEX('Mapping'!$J$2:$J$110,MATCH(83,'Mapping'!$A$2:$A$110,0)),"")</f>
        <v/>
      </c>
      <c r="AK83" s="499">
        <f>IFERROR(INDEX('Mapping'!$K$2:$K$110,MATCH(83,'Mapping'!$A$2:$A$110,0)),"")</f>
        <v/>
      </c>
      <c r="AL83" s="495">
        <f>IFERROR(INDEX('E-Banker master'!$B$2:$B$186,MATCH($AJ83,'E-Banker master'!$A$2:$A$186,0)),"")</f>
        <v/>
      </c>
      <c r="AM83" s="495">
        <f>IFERROR(INDEX('E-Banker master'!$E$2:$E$186,MATCH($AJ83,'E-Banker master'!$A$2:$A$186,0)),"")</f>
        <v/>
      </c>
      <c r="AN83" s="496">
        <f>IFERROR(INDEX('E-Banker master'!$N$2:$N$186,MATCH($AJ83,'E-Banker master'!$A$2:$A$186,0)),"")</f>
        <v/>
      </c>
      <c r="AO83" s="496">
        <f>IFERROR(INDEX('E-Banker master'!$O$2:$O$186,MATCH($AJ83,'E-Banker master'!$A$2:$A$186,0)),"")</f>
        <v/>
      </c>
      <c r="AP83" s="496">
        <f>IFERROR(INDEX('E-Banker master'!$P$2:$P$186,MATCH($AJ83,'E-Banker master'!$A$2:$A$186,0)),"")</f>
        <v/>
      </c>
      <c r="AQ83" s="496">
        <f>IF(OR($AJ83="",AP83=""),"",R83-AP83)</f>
        <v/>
      </c>
    </row>
    <row r="84">
      <c r="A84" s="408" t="n"/>
      <c r="B84" s="408" t="n"/>
      <c r="C84" s="408" t="n"/>
      <c r="D84" s="392" t="n">
        <v>80</v>
      </c>
      <c r="E84" s="175" t="inlineStr">
        <is>
          <t>Lilongwe Private Clinic</t>
        </is>
      </c>
      <c r="F84" s="186" t="inlineStr">
        <is>
          <t>Debt</t>
        </is>
      </c>
      <c r="G84" s="187">
        <f>'Amortisation and Repayments'!C4235</f>
        <v/>
      </c>
      <c r="H84" s="187">
        <f>'Amortisation and Repayments'!D4283</f>
        <v/>
      </c>
      <c r="I84" s="188" t="n">
        <v>4</v>
      </c>
      <c r="J84" s="192" t="inlineStr">
        <is>
          <t>6 ( Cap only)</t>
        </is>
      </c>
      <c r="K84" s="179" t="n">
        <v>10</v>
      </c>
      <c r="L84" s="186" t="n">
        <v>150000000</v>
      </c>
      <c r="M84" s="190" t="n">
        <v>150000000</v>
      </c>
      <c r="N84" s="186">
        <f>+L84-M84</f>
        <v/>
      </c>
      <c r="O84" s="191">
        <f>M84</f>
        <v/>
      </c>
      <c r="P84" s="186">
        <f>SUM('Amortisation and Repayments'!H4235:H4247)</f>
        <v/>
      </c>
      <c r="Q84" s="186">
        <f>-SUM('Amortisation and Repayments'!K4238:K4247)</f>
        <v/>
      </c>
      <c r="R84" s="302">
        <f>SUM(O84:Q84)</f>
        <v/>
      </c>
      <c r="S84" s="235">
        <f>SUM('Amortisation and Repayments'!I4247:I4247)</f>
        <v/>
      </c>
      <c r="T84" s="235">
        <f>'Amortisation and Repayments'!L4247-'Loan Book'!S84</f>
        <v/>
      </c>
      <c r="U84" s="409">
        <f>+SUM(S84:T84)</f>
        <v/>
      </c>
      <c r="V84" s="195" t="n"/>
      <c r="W84" s="186">
        <f>'Amortisation and Repayments'!G4247</f>
        <v/>
      </c>
      <c r="X84" s="186">
        <f>U84-W84</f>
        <v/>
      </c>
      <c r="Y84" s="266" t="n"/>
      <c r="Z84" s="195" t="n"/>
      <c r="AJ84" s="498">
        <f>IFERROR(INDEX('Mapping'!$J$2:$J$110,MATCH(84,'Mapping'!$A$2:$A$110,0)),"")</f>
        <v/>
      </c>
      <c r="AK84" s="499">
        <f>IFERROR(INDEX('Mapping'!$K$2:$K$110,MATCH(84,'Mapping'!$A$2:$A$110,0)),"")</f>
        <v/>
      </c>
      <c r="AL84" s="495">
        <f>IFERROR(INDEX('E-Banker master'!$B$2:$B$186,MATCH($AJ84,'E-Banker master'!$A$2:$A$186,0)),"")</f>
        <v/>
      </c>
      <c r="AM84" s="495">
        <f>IFERROR(INDEX('E-Banker master'!$E$2:$E$186,MATCH($AJ84,'E-Banker master'!$A$2:$A$186,0)),"")</f>
        <v/>
      </c>
      <c r="AN84" s="496">
        <f>IFERROR(INDEX('E-Banker master'!$N$2:$N$186,MATCH($AJ84,'E-Banker master'!$A$2:$A$186,0)),"")</f>
        <v/>
      </c>
      <c r="AO84" s="496">
        <f>IFERROR(INDEX('E-Banker master'!$O$2:$O$186,MATCH($AJ84,'E-Banker master'!$A$2:$A$186,0)),"")</f>
        <v/>
      </c>
      <c r="AP84" s="496">
        <f>IFERROR(INDEX('E-Banker master'!$P$2:$P$186,MATCH($AJ84,'E-Banker master'!$A$2:$A$186,0)),"")</f>
        <v/>
      </c>
      <c r="AQ84" s="496">
        <f>IF(OR($AJ84="",AP84=""),"",R84-AP84)</f>
        <v/>
      </c>
    </row>
    <row r="85">
      <c r="A85" s="408" t="n"/>
      <c r="B85" s="408" t="n"/>
      <c r="C85" s="408" t="n"/>
      <c r="D85" s="392" t="n">
        <v>81</v>
      </c>
      <c r="E85" s="353" t="inlineStr">
        <is>
          <t>F&amp;K Construction</t>
        </is>
      </c>
      <c r="F85" s="186" t="inlineStr">
        <is>
          <t>Debt</t>
        </is>
      </c>
      <c r="G85" s="187">
        <f>'Amortisation and Repayments'!C4297</f>
        <v/>
      </c>
      <c r="H85" s="187">
        <f>'Amortisation and Repayments'!D4345</f>
        <v/>
      </c>
      <c r="I85" s="188" t="n">
        <v>4</v>
      </c>
      <c r="J85" s="192" t="inlineStr">
        <is>
          <t>6 ( Cap only)</t>
        </is>
      </c>
      <c r="K85" s="179" t="n">
        <v>10</v>
      </c>
      <c r="L85" s="186" t="n">
        <v>120000000</v>
      </c>
      <c r="M85" s="190" t="n">
        <v>120000000</v>
      </c>
      <c r="N85" s="186">
        <f>+L85-M85</f>
        <v/>
      </c>
      <c r="O85" s="191">
        <f>M85</f>
        <v/>
      </c>
      <c r="P85" s="186">
        <f>SUM('Amortisation and Repayments'!H4297:H4309)</f>
        <v/>
      </c>
      <c r="Q85" s="186">
        <f>-SUM('Amortisation and Repayments'!K4297:K4309)</f>
        <v/>
      </c>
      <c r="R85" s="302">
        <f>SUM(O85:Q85)</f>
        <v/>
      </c>
      <c r="S85" s="235">
        <f>'Amortisation and Repayments'!L4309-'Loan Book'!T85</f>
        <v/>
      </c>
      <c r="T85" s="235">
        <f>'Amortisation and Repayments'!H4309</f>
        <v/>
      </c>
      <c r="U85" s="409">
        <f>+SUM(S85:T85)</f>
        <v/>
      </c>
      <c r="V85" s="195" t="n"/>
      <c r="W85" s="186">
        <f>U85</f>
        <v/>
      </c>
      <c r="X85" s="186">
        <f>+U85-W85</f>
        <v/>
      </c>
      <c r="Y85" s="266" t="n"/>
      <c r="Z85" s="195" t="n"/>
      <c r="AJ85" s="498">
        <f>IFERROR(INDEX('Mapping'!$J$2:$J$110,MATCH(85,'Mapping'!$A$2:$A$110,0)),"")</f>
        <v/>
      </c>
      <c r="AK85" s="499">
        <f>IFERROR(INDEX('Mapping'!$K$2:$K$110,MATCH(85,'Mapping'!$A$2:$A$110,0)),"")</f>
        <v/>
      </c>
      <c r="AL85" s="495">
        <f>IFERROR(INDEX('E-Banker master'!$B$2:$B$186,MATCH($AJ85,'E-Banker master'!$A$2:$A$186,0)),"")</f>
        <v/>
      </c>
      <c r="AM85" s="495">
        <f>IFERROR(INDEX('E-Banker master'!$E$2:$E$186,MATCH($AJ85,'E-Banker master'!$A$2:$A$186,0)),"")</f>
        <v/>
      </c>
      <c r="AN85" s="496">
        <f>IFERROR(INDEX('E-Banker master'!$N$2:$N$186,MATCH($AJ85,'E-Banker master'!$A$2:$A$186,0)),"")</f>
        <v/>
      </c>
      <c r="AO85" s="496">
        <f>IFERROR(INDEX('E-Banker master'!$O$2:$O$186,MATCH($AJ85,'E-Banker master'!$A$2:$A$186,0)),"")</f>
        <v/>
      </c>
      <c r="AP85" s="496">
        <f>IFERROR(INDEX('E-Banker master'!$P$2:$P$186,MATCH($AJ85,'E-Banker master'!$A$2:$A$186,0)),"")</f>
        <v/>
      </c>
      <c r="AQ85" s="496">
        <f>IF(OR($AJ85="",AP85=""),"",R85-AP85)</f>
        <v/>
      </c>
    </row>
    <row r="86">
      <c r="A86" s="408" t="n"/>
      <c r="B86" s="408" t="n"/>
      <c r="C86" s="408" t="n"/>
      <c r="D86" s="426" t="n">
        <v>82</v>
      </c>
      <c r="E86" s="353" t="inlineStr">
        <is>
          <t>Sanwecka Tech Companions</t>
        </is>
      </c>
      <c r="F86" s="186" t="inlineStr">
        <is>
          <t>Debt</t>
        </is>
      </c>
      <c r="G86" s="187" t="n">
        <v>45252</v>
      </c>
      <c r="H86" s="187" t="n">
        <v>46356</v>
      </c>
      <c r="I86" s="188" t="n">
        <v>3</v>
      </c>
      <c r="J86" s="192" t="inlineStr">
        <is>
          <t>3 ( Cap only)</t>
        </is>
      </c>
      <c r="K86" s="179" t="n">
        <v>10</v>
      </c>
      <c r="L86" s="186" t="n">
        <v>60000000</v>
      </c>
      <c r="M86" s="190" t="n">
        <v>60000000</v>
      </c>
      <c r="N86" s="186">
        <f>+L86-M86</f>
        <v/>
      </c>
      <c r="O86" s="191">
        <f>M86</f>
        <v/>
      </c>
      <c r="P86" s="186">
        <f>SUM('Amortisation and Repayments'!H4362:H4373)</f>
        <v/>
      </c>
      <c r="Q86" s="186">
        <f>-SUM('Amortisation and Repayments'!K4362:K4373)</f>
        <v/>
      </c>
      <c r="R86" s="302">
        <f>SUM(O86:Q86)</f>
        <v/>
      </c>
      <c r="S86" s="235" t="n">
        <v>0</v>
      </c>
      <c r="T86" s="235" t="n">
        <v>0</v>
      </c>
      <c r="U86" s="409">
        <f>+SUM(S86:T86)</f>
        <v/>
      </c>
      <c r="V86" s="195" t="n"/>
      <c r="W86" s="186">
        <f>U86</f>
        <v/>
      </c>
      <c r="X86" s="186" t="n">
        <v>0</v>
      </c>
      <c r="Y86" s="266" t="n"/>
      <c r="Z86" s="195" t="n"/>
      <c r="AJ86" s="498">
        <f>IFERROR(INDEX('Mapping'!$J$2:$J$110,MATCH(86,'Mapping'!$A$2:$A$110,0)),"")</f>
        <v/>
      </c>
      <c r="AK86" s="499">
        <f>IFERROR(INDEX('Mapping'!$K$2:$K$110,MATCH(86,'Mapping'!$A$2:$A$110,0)),"")</f>
        <v/>
      </c>
      <c r="AL86" s="495">
        <f>IFERROR(INDEX('E-Banker master'!$B$2:$B$186,MATCH($AJ86,'E-Banker master'!$A$2:$A$186,0)),"")</f>
        <v/>
      </c>
      <c r="AM86" s="495">
        <f>IFERROR(INDEX('E-Banker master'!$E$2:$E$186,MATCH($AJ86,'E-Banker master'!$A$2:$A$186,0)),"")</f>
        <v/>
      </c>
      <c r="AN86" s="496">
        <f>IFERROR(INDEX('E-Banker master'!$N$2:$N$186,MATCH($AJ86,'E-Banker master'!$A$2:$A$186,0)),"")</f>
        <v/>
      </c>
      <c r="AO86" s="496">
        <f>IFERROR(INDEX('E-Banker master'!$O$2:$O$186,MATCH($AJ86,'E-Banker master'!$A$2:$A$186,0)),"")</f>
        <v/>
      </c>
      <c r="AP86" s="496">
        <f>IFERROR(INDEX('E-Banker master'!$P$2:$P$186,MATCH($AJ86,'E-Banker master'!$A$2:$A$186,0)),"")</f>
        <v/>
      </c>
      <c r="AQ86" s="496">
        <f>IF(OR($AJ86="",AP86=""),"",R86-AP86)</f>
        <v/>
      </c>
    </row>
    <row r="87" ht="12.65" customHeight="1">
      <c r="A87" s="408" t="n"/>
      <c r="B87" s="408" t="n"/>
      <c r="C87" s="408" t="n"/>
      <c r="D87" s="392" t="n">
        <v>83</v>
      </c>
      <c r="E87" s="353" t="inlineStr">
        <is>
          <t>Chuma Chikomanya</t>
        </is>
      </c>
      <c r="F87" s="186" t="inlineStr">
        <is>
          <t>Debt</t>
        </is>
      </c>
      <c r="G87" s="187">
        <f>'Amortisation and Repayments'!C4415</f>
        <v/>
      </c>
      <c r="H87" s="187">
        <f>'Amortisation and Repayments'!D4426</f>
        <v/>
      </c>
      <c r="I87" s="188" t="n">
        <v>1</v>
      </c>
      <c r="J87" s="192" t="n">
        <v>0</v>
      </c>
      <c r="K87" s="179" t="n">
        <v>10</v>
      </c>
      <c r="L87" s="186" t="n">
        <v>30000000</v>
      </c>
      <c r="M87" s="190" t="n">
        <v>30000000</v>
      </c>
      <c r="N87" s="186">
        <f>+L87-M87</f>
        <v/>
      </c>
      <c r="O87" s="191">
        <f>M87</f>
        <v/>
      </c>
      <c r="P87" s="186">
        <f>SUM('Amortisation and Repayments'!H4415:H4425)</f>
        <v/>
      </c>
      <c r="Q87" s="186">
        <f>-SUM('Amortisation and Repayments'!K4415:K4425)</f>
        <v/>
      </c>
      <c r="R87" s="302">
        <f>SUM(O87:Q87)</f>
        <v/>
      </c>
      <c r="S87" s="235" t="n"/>
      <c r="T87" s="235" t="n"/>
      <c r="U87" s="409">
        <f>+SUM(S87:T87)</f>
        <v/>
      </c>
      <c r="V87" s="195" t="n"/>
      <c r="W87" s="186" t="n"/>
      <c r="X87" s="186" t="n"/>
      <c r="Y87" s="266" t="n"/>
      <c r="Z87" s="195" t="n"/>
      <c r="AJ87" s="498">
        <f>IFERROR(INDEX('Mapping'!$J$2:$J$110,MATCH(87,'Mapping'!$A$2:$A$110,0)),"")</f>
        <v/>
      </c>
      <c r="AK87" s="499">
        <f>IFERROR(INDEX('Mapping'!$K$2:$K$110,MATCH(87,'Mapping'!$A$2:$A$110,0)),"")</f>
        <v/>
      </c>
      <c r="AL87" s="495">
        <f>IFERROR(INDEX('E-Banker master'!$B$2:$B$186,MATCH($AJ87,'E-Banker master'!$A$2:$A$186,0)),"")</f>
        <v/>
      </c>
      <c r="AM87" s="495">
        <f>IFERROR(INDEX('E-Banker master'!$E$2:$E$186,MATCH($AJ87,'E-Banker master'!$A$2:$A$186,0)),"")</f>
        <v/>
      </c>
      <c r="AN87" s="496">
        <f>IFERROR(INDEX('E-Banker master'!$N$2:$N$186,MATCH($AJ87,'E-Banker master'!$A$2:$A$186,0)),"")</f>
        <v/>
      </c>
      <c r="AO87" s="496">
        <f>IFERROR(INDEX('E-Banker master'!$O$2:$O$186,MATCH($AJ87,'E-Banker master'!$A$2:$A$186,0)),"")</f>
        <v/>
      </c>
      <c r="AP87" s="496">
        <f>IFERROR(INDEX('E-Banker master'!$P$2:$P$186,MATCH($AJ87,'E-Banker master'!$A$2:$A$186,0)),"")</f>
        <v/>
      </c>
      <c r="AQ87" s="496">
        <f>IF(OR($AJ87="",AP87=""),"",R87-AP87)</f>
        <v/>
      </c>
    </row>
    <row r="88">
      <c r="A88" s="408" t="n"/>
      <c r="B88" s="408" t="n"/>
      <c r="C88" s="408" t="n"/>
      <c r="D88" s="425" t="n">
        <v>84</v>
      </c>
      <c r="E88" s="175" t="inlineStr">
        <is>
          <t>DR PRINT</t>
        </is>
      </c>
      <c r="F88" s="186" t="inlineStr">
        <is>
          <t>Debt</t>
        </is>
      </c>
      <c r="G88" s="187">
        <f>'Amortisation and Repayments'!C4443</f>
        <v/>
      </c>
      <c r="H88" s="187">
        <f>'Amortisation and Repayments'!D4491</f>
        <v/>
      </c>
      <c r="I88" s="188" t="n">
        <v>4</v>
      </c>
      <c r="J88" s="192" t="inlineStr">
        <is>
          <t>6 ( Cap only)</t>
        </is>
      </c>
      <c r="K88" s="179" t="n">
        <v>10</v>
      </c>
      <c r="L88" s="186" t="n">
        <v>120000000</v>
      </c>
      <c r="M88" s="190">
        <f>+L88</f>
        <v/>
      </c>
      <c r="N88" s="186" t="n">
        <v>0</v>
      </c>
      <c r="O88" s="186">
        <f>+M88</f>
        <v/>
      </c>
      <c r="P88" s="186">
        <f>SUM('Amortisation and Repayments'!H4443:H4453)</f>
        <v/>
      </c>
      <c r="Q88" s="186">
        <f>-SUM('Amortisation and Repayments'!K4443:K4453)</f>
        <v/>
      </c>
      <c r="R88" s="190">
        <f>SUM(O88:Q88)</f>
        <v/>
      </c>
      <c r="S88" s="235">
        <f>SUM('Amortisation and Repayments'!I4450:I4453)</f>
        <v/>
      </c>
      <c r="T88" s="235">
        <f>'Amortisation and Repayments'!L4453-'Loan Book'!S88</f>
        <v/>
      </c>
      <c r="U88" s="409">
        <f>+SUM(S88:T88)</f>
        <v/>
      </c>
      <c r="V88" s="195" t="n"/>
      <c r="W88" s="186">
        <f>'Amortisation and Repayments'!G4453</f>
        <v/>
      </c>
      <c r="X88" s="186">
        <f>U88-W88</f>
        <v/>
      </c>
      <c r="Y88" s="266">
        <f>U88-W88-X88</f>
        <v/>
      </c>
      <c r="Z88" s="195" t="n"/>
      <c r="AJ88" s="498">
        <f>IFERROR(INDEX('Mapping'!$J$2:$J$110,MATCH(88,'Mapping'!$A$2:$A$110,0)),"")</f>
        <v/>
      </c>
      <c r="AK88" s="499">
        <f>IFERROR(INDEX('Mapping'!$K$2:$K$110,MATCH(88,'Mapping'!$A$2:$A$110,0)),"")</f>
        <v/>
      </c>
      <c r="AL88" s="498">
        <f>IFERROR(INDEX('E-Banker master'!$B$2:$B$186,MATCH($AJ88,'E-Banker master'!$A$2:$A$186,0)),"")</f>
        <v/>
      </c>
      <c r="AM88" s="495">
        <f>IFERROR(INDEX('E-Banker master'!$E$2:$E$186,MATCH($AJ88,'E-Banker master'!$A$2:$A$186,0)),"")</f>
        <v/>
      </c>
      <c r="AN88" s="496">
        <f>IFERROR(INDEX('E-Banker master'!$N$2:$N$186,MATCH($AJ88,'E-Banker master'!$A$2:$A$186,0)),"")</f>
        <v/>
      </c>
      <c r="AO88" s="496">
        <f>IFERROR(INDEX('E-Banker master'!$O$2:$O$186,MATCH($AJ88,'E-Banker master'!$A$2:$A$186,0)),"")</f>
        <v/>
      </c>
      <c r="AP88" s="496">
        <f>IFERROR(INDEX('E-Banker master'!$P$2:$P$186,MATCH($AJ88,'E-Banker master'!$A$2:$A$186,0)),"")</f>
        <v/>
      </c>
      <c r="AQ88" s="496">
        <f>IF(OR($AJ88="",AP88=""),"",R88-AP88)</f>
        <v/>
      </c>
    </row>
    <row r="89">
      <c r="A89" s="408" t="n"/>
      <c r="B89" s="408" t="n"/>
      <c r="C89" s="408" t="n"/>
      <c r="D89" s="426" t="n">
        <v>85</v>
      </c>
      <c r="E89" s="353" t="inlineStr">
        <is>
          <t>Ziweto Zathanzi Veterinary Shop</t>
        </is>
      </c>
      <c r="F89" s="186" t="inlineStr">
        <is>
          <t>Debt</t>
        </is>
      </c>
      <c r="G89" s="187">
        <f>'Amortisation and Repayments'!C4509</f>
        <v/>
      </c>
      <c r="H89" s="187">
        <f>'Amortisation and Repayments'!D4533</f>
        <v/>
      </c>
      <c r="I89" s="188" t="n">
        <v>2</v>
      </c>
      <c r="J89" s="192" t="inlineStr">
        <is>
          <t>3 ( Cap only)</t>
        </is>
      </c>
      <c r="K89" s="179" t="n">
        <v>10</v>
      </c>
      <c r="L89" s="186" t="n">
        <v>10000000</v>
      </c>
      <c r="M89" s="190" t="n">
        <v>10000000</v>
      </c>
      <c r="N89" s="186" t="n">
        <v>0</v>
      </c>
      <c r="O89" s="191">
        <f>+M89</f>
        <v/>
      </c>
      <c r="P89" s="186">
        <f>SUM('Amortisation and Repayments'!H4509:H4519)</f>
        <v/>
      </c>
      <c r="Q89" s="186">
        <f>-SUM('Amortisation and Repayments'!K4509:K4519)</f>
        <v/>
      </c>
      <c r="R89" s="302">
        <f>SUM(O89:Q89)</f>
        <v/>
      </c>
      <c r="S89" s="235">
        <f>SUM('Amortisation and Repayments'!I4519:I4519)</f>
        <v/>
      </c>
      <c r="T89" s="235">
        <f>'Amortisation and Repayments'!L4519-'Loan Book'!S89</f>
        <v/>
      </c>
      <c r="U89" s="409">
        <f>+SUM(S89:T89)</f>
        <v/>
      </c>
      <c r="V89" s="195" t="n"/>
      <c r="W89" s="186">
        <f>'Amortisation and Repayments'!G4519</f>
        <v/>
      </c>
      <c r="X89" s="186">
        <f>+U89-W89</f>
        <v/>
      </c>
      <c r="Y89" s="266" t="n"/>
      <c r="Z89" s="195" t="n"/>
      <c r="AJ89" s="498">
        <f>IFERROR(INDEX('Mapping'!$J$2:$J$110,MATCH(89,'Mapping'!$A$2:$A$110,0)),"")</f>
        <v/>
      </c>
      <c r="AK89" s="499">
        <f>IFERROR(INDEX('Mapping'!$K$2:$K$110,MATCH(89,'Mapping'!$A$2:$A$110,0)),"")</f>
        <v/>
      </c>
      <c r="AL89" s="495">
        <f>IFERROR(INDEX('E-Banker master'!$B$2:$B$186,MATCH($AJ89,'E-Banker master'!$A$2:$A$186,0)),"")</f>
        <v/>
      </c>
      <c r="AM89" s="495">
        <f>IFERROR(INDEX('E-Banker master'!$E$2:$E$186,MATCH($AJ89,'E-Banker master'!$A$2:$A$186,0)),"")</f>
        <v/>
      </c>
      <c r="AN89" s="496">
        <f>IFERROR(INDEX('E-Banker master'!$N$2:$N$186,MATCH($AJ89,'E-Banker master'!$A$2:$A$186,0)),"")</f>
        <v/>
      </c>
      <c r="AO89" s="496">
        <f>IFERROR(INDEX('E-Banker master'!$O$2:$O$186,MATCH($AJ89,'E-Banker master'!$A$2:$A$186,0)),"")</f>
        <v/>
      </c>
      <c r="AP89" s="496">
        <f>IFERROR(INDEX('E-Banker master'!$P$2:$P$186,MATCH($AJ89,'E-Banker master'!$A$2:$A$186,0)),"")</f>
        <v/>
      </c>
      <c r="AQ89" s="496">
        <f>IF(OR($AJ89="",AP89=""),"",R89-AP89)</f>
        <v/>
      </c>
    </row>
    <row r="90">
      <c r="A90" s="408" t="n"/>
      <c r="B90" s="408" t="n"/>
      <c r="C90" s="408" t="n"/>
      <c r="D90" s="392" t="n">
        <v>86</v>
      </c>
      <c r="E90" s="353" t="inlineStr">
        <is>
          <t>MMC Limited</t>
        </is>
      </c>
      <c r="F90" s="186" t="inlineStr">
        <is>
          <t>Debt</t>
        </is>
      </c>
      <c r="G90" s="187">
        <f>'Amortisation and Repayments'!C4550</f>
        <v/>
      </c>
      <c r="H90" s="187">
        <f>'Amortisation and Repayments'!D4586</f>
        <v/>
      </c>
      <c r="I90" s="188" t="n">
        <v>3</v>
      </c>
      <c r="J90" s="192" t="inlineStr">
        <is>
          <t>18 (Cap+Int)</t>
        </is>
      </c>
      <c r="K90" s="179" t="n">
        <v>10</v>
      </c>
      <c r="L90" s="186">
        <f>'Amortisation and Repayments'!D4541</f>
        <v/>
      </c>
      <c r="M90" s="190">
        <f>+L90</f>
        <v/>
      </c>
      <c r="N90" s="186" t="n">
        <v>0</v>
      </c>
      <c r="O90" s="191">
        <f>+M90</f>
        <v/>
      </c>
      <c r="P90" s="186">
        <f>SUM('Amortisation and Repayments'!H4550:H4559)</f>
        <v/>
      </c>
      <c r="Q90" s="186">
        <f>-SUM('Amortisation and Repayments'!K4550:K4559)</f>
        <v/>
      </c>
      <c r="R90" s="302">
        <f>SUM(O90:Q90)</f>
        <v/>
      </c>
      <c r="S90" s="235" t="n"/>
      <c r="T90" s="235" t="n"/>
      <c r="U90" s="409">
        <f>+SUM(S90:T90)</f>
        <v/>
      </c>
      <c r="V90" s="195" t="n"/>
      <c r="W90" s="186" t="n"/>
      <c r="X90" s="186" t="n"/>
      <c r="Y90" s="266" t="n"/>
      <c r="Z90" s="195" t="n"/>
      <c r="AJ90" s="498">
        <f>IFERROR(INDEX('Mapping'!$J$2:$J$110,MATCH(90,'Mapping'!$A$2:$A$110,0)),"")</f>
        <v/>
      </c>
      <c r="AK90" s="499">
        <f>IFERROR(INDEX('Mapping'!$K$2:$K$110,MATCH(90,'Mapping'!$A$2:$A$110,0)),"")</f>
        <v/>
      </c>
      <c r="AL90" s="495">
        <f>IFERROR(INDEX('E-Banker master'!$B$2:$B$186,MATCH($AJ90,'E-Banker master'!$A$2:$A$186,0)),"")</f>
        <v/>
      </c>
      <c r="AM90" s="495">
        <f>IFERROR(INDEX('E-Banker master'!$E$2:$E$186,MATCH($AJ90,'E-Banker master'!$A$2:$A$186,0)),"")</f>
        <v/>
      </c>
      <c r="AN90" s="496">
        <f>IFERROR(INDEX('E-Banker master'!$N$2:$N$186,MATCH($AJ90,'E-Banker master'!$A$2:$A$186,0)),"")</f>
        <v/>
      </c>
      <c r="AO90" s="496">
        <f>IFERROR(INDEX('E-Banker master'!$O$2:$O$186,MATCH($AJ90,'E-Banker master'!$A$2:$A$186,0)),"")</f>
        <v/>
      </c>
      <c r="AP90" s="496">
        <f>IFERROR(INDEX('E-Banker master'!$P$2:$P$186,MATCH($AJ90,'E-Banker master'!$A$2:$A$186,0)),"")</f>
        <v/>
      </c>
      <c r="AQ90" s="496">
        <f>IF(OR($AJ90="",AP90=""),"",R90-AP90)</f>
        <v/>
      </c>
    </row>
    <row r="91">
      <c r="A91" s="408" t="n"/>
      <c r="B91" s="408" t="n"/>
      <c r="C91" s="408" t="n"/>
      <c r="D91" s="392" t="n">
        <v>87</v>
      </c>
      <c r="E91" s="175" t="inlineStr">
        <is>
          <t>Chambaika Milling Company</t>
        </is>
      </c>
      <c r="F91" s="186" t="inlineStr">
        <is>
          <t>Debt</t>
        </is>
      </c>
      <c r="G91" s="187">
        <f>'Amortisation and Repayments'!C4551</f>
        <v/>
      </c>
      <c r="H91" s="187">
        <f>'Amortisation and Repayments'!D4661</f>
        <v/>
      </c>
      <c r="I91" s="188" t="n">
        <v>5</v>
      </c>
      <c r="J91" s="192" t="inlineStr">
        <is>
          <t>4 (Cap Only)</t>
        </is>
      </c>
      <c r="K91" s="179" t="n">
        <v>10</v>
      </c>
      <c r="L91" s="186">
        <f>'Amortisation and Repayments'!F4602</f>
        <v/>
      </c>
      <c r="M91" s="190">
        <f>+L91</f>
        <v/>
      </c>
      <c r="N91" s="186" t="n"/>
      <c r="O91" s="340">
        <f>+M91</f>
        <v/>
      </c>
      <c r="P91" s="186">
        <f>SUM('Amortisation and Repayments'!H4602:H4610)</f>
        <v/>
      </c>
      <c r="Q91" s="186">
        <f>-SUM('Amortisation and Repayments'!K4602:K4610)</f>
        <v/>
      </c>
      <c r="R91" s="302">
        <f>SUM(O91:Q91)</f>
        <v/>
      </c>
      <c r="S91" s="235" t="n"/>
      <c r="T91" s="235" t="n"/>
      <c r="U91" s="409">
        <f>+SUM(S91:T91)</f>
        <v/>
      </c>
      <c r="V91" s="195" t="n"/>
      <c r="W91" s="186" t="n"/>
      <c r="X91" s="186" t="n"/>
      <c r="Y91" s="266" t="n"/>
      <c r="Z91" s="195" t="n"/>
      <c r="AJ91" s="498">
        <f>IFERROR(INDEX('Mapping'!$J$2:$J$110,MATCH(91,'Mapping'!$A$2:$A$110,0)),"")</f>
        <v/>
      </c>
      <c r="AK91" s="499">
        <f>IFERROR(INDEX('Mapping'!$K$2:$K$110,MATCH(91,'Mapping'!$A$2:$A$110,0)),"")</f>
        <v/>
      </c>
      <c r="AL91" s="495">
        <f>IFERROR(INDEX('E-Banker master'!$B$2:$B$186,MATCH($AJ91,'E-Banker master'!$A$2:$A$186,0)),"")</f>
        <v/>
      </c>
      <c r="AM91" s="495">
        <f>IFERROR(INDEX('E-Banker master'!$E$2:$E$186,MATCH($AJ91,'E-Banker master'!$A$2:$A$186,0)),"")</f>
        <v/>
      </c>
      <c r="AN91" s="496">
        <f>IFERROR(INDEX('E-Banker master'!$N$2:$N$186,MATCH($AJ91,'E-Banker master'!$A$2:$A$186,0)),"")</f>
        <v/>
      </c>
      <c r="AO91" s="496">
        <f>IFERROR(INDEX('E-Banker master'!$O$2:$O$186,MATCH($AJ91,'E-Banker master'!$A$2:$A$186,0)),"")</f>
        <v/>
      </c>
      <c r="AP91" s="496">
        <f>IFERROR(INDEX('E-Banker master'!$P$2:$P$186,MATCH($AJ91,'E-Banker master'!$A$2:$A$186,0)),"")</f>
        <v/>
      </c>
      <c r="AQ91" s="496">
        <f>IF(OR($AJ91="",AP91=""),"",R91-AP91)</f>
        <v/>
      </c>
    </row>
    <row r="92">
      <c r="A92" s="408" t="n"/>
      <c r="B92" s="408" t="n"/>
      <c r="C92" s="408" t="n"/>
      <c r="D92" s="426" t="n">
        <v>88</v>
      </c>
      <c r="E92" s="353" t="inlineStr">
        <is>
          <t>Kings Foundationn Schools</t>
        </is>
      </c>
      <c r="F92" s="186" t="inlineStr">
        <is>
          <t>Debt</t>
        </is>
      </c>
      <c r="G92" s="187">
        <f>'Amortisation and Repayments'!C4678</f>
        <v/>
      </c>
      <c r="H92" s="187">
        <f>'Amortisation and Repayments'!D4725</f>
        <v/>
      </c>
      <c r="I92" s="188" t="n">
        <v>4</v>
      </c>
      <c r="J92" s="192" t="inlineStr">
        <is>
          <t>6 ( Cap only)</t>
        </is>
      </c>
      <c r="K92" s="179" t="n">
        <v>10</v>
      </c>
      <c r="L92" s="186">
        <f>'Amortisation and Repayments'!F4678</f>
        <v/>
      </c>
      <c r="M92" s="190">
        <f>+L92</f>
        <v/>
      </c>
      <c r="N92" s="186" t="n"/>
      <c r="O92" s="191">
        <f>+M92</f>
        <v/>
      </c>
      <c r="P92" s="186">
        <f>SUM('Amortisation and Repayments'!H4678:H4686)</f>
        <v/>
      </c>
      <c r="Q92" s="186">
        <f>-SUM('Amortisation and Repayments'!K4678:K4686)</f>
        <v/>
      </c>
      <c r="R92" s="302">
        <f>SUM(O92:Q92)</f>
        <v/>
      </c>
      <c r="S92" s="235">
        <f>SUM('Amortisation and Repayments'!I4685:I4686)</f>
        <v/>
      </c>
      <c r="T92" s="235">
        <f>'Amortisation and Repayments'!L4686-'Loan Book'!S92</f>
        <v/>
      </c>
      <c r="U92" s="409">
        <f>+SUM(S92:T92)</f>
        <v/>
      </c>
      <c r="V92" s="195" t="n"/>
      <c r="W92" s="186">
        <f>'Amortisation and Repayments'!G4686</f>
        <v/>
      </c>
      <c r="X92" s="186">
        <f>U92-W92</f>
        <v/>
      </c>
      <c r="Y92" s="266" t="n"/>
      <c r="Z92" s="195" t="n"/>
      <c r="AJ92" s="498">
        <f>IFERROR(INDEX('Mapping'!$J$2:$J$110,MATCH(92,'Mapping'!$A$2:$A$110,0)),"")</f>
        <v/>
      </c>
      <c r="AK92" s="499">
        <f>IFERROR(INDEX('Mapping'!$K$2:$K$110,MATCH(92,'Mapping'!$A$2:$A$110,0)),"")</f>
        <v/>
      </c>
      <c r="AL92" s="495">
        <f>IFERROR(INDEX('E-Banker master'!$B$2:$B$186,MATCH($AJ92,'E-Banker master'!$A$2:$A$186,0)),"")</f>
        <v/>
      </c>
      <c r="AM92" s="495">
        <f>IFERROR(INDEX('E-Banker master'!$E$2:$E$186,MATCH($AJ92,'E-Banker master'!$A$2:$A$186,0)),"")</f>
        <v/>
      </c>
      <c r="AN92" s="496">
        <f>IFERROR(INDEX('E-Banker master'!$N$2:$N$186,MATCH($AJ92,'E-Banker master'!$A$2:$A$186,0)),"")</f>
        <v/>
      </c>
      <c r="AO92" s="496">
        <f>IFERROR(INDEX('E-Banker master'!$O$2:$O$186,MATCH($AJ92,'E-Banker master'!$A$2:$A$186,0)),"")</f>
        <v/>
      </c>
      <c r="AP92" s="496">
        <f>IFERROR(INDEX('E-Banker master'!$P$2:$P$186,MATCH($AJ92,'E-Banker master'!$A$2:$A$186,0)),"")</f>
        <v/>
      </c>
      <c r="AQ92" s="496">
        <f>IF(OR($AJ92="",AP92=""),"",R92-AP92)</f>
        <v/>
      </c>
    </row>
    <row r="93">
      <c r="A93" s="408" t="n"/>
      <c r="B93" s="408" t="n"/>
      <c r="C93" s="408" t="n"/>
      <c r="D93" s="392" t="n">
        <v>89</v>
      </c>
      <c r="E93" s="175" t="inlineStr">
        <is>
          <t>Malasha Briquettes Limited</t>
        </is>
      </c>
      <c r="F93" s="186" t="inlineStr">
        <is>
          <t>Debt</t>
        </is>
      </c>
      <c r="G93" s="187">
        <f>'Amortisation and Repayments'!C4742</f>
        <v/>
      </c>
      <c r="H93" s="187">
        <f>'Amortisation and Repayments'!D4765</f>
        <v/>
      </c>
      <c r="I93" s="188" t="n">
        <v>2</v>
      </c>
      <c r="J93" s="192" t="inlineStr">
        <is>
          <t>3 (Cap+Int)</t>
        </is>
      </c>
      <c r="K93" s="179" t="n">
        <v>10</v>
      </c>
      <c r="L93" s="186">
        <f>'Amortisation and Repayments'!F4742</f>
        <v/>
      </c>
      <c r="M93" s="190">
        <f>+L93</f>
        <v/>
      </c>
      <c r="N93" s="186" t="n"/>
      <c r="O93" s="191">
        <f>+M93</f>
        <v/>
      </c>
      <c r="P93" s="186">
        <f>SUM('Amortisation and Repayments'!H4742:H4750)</f>
        <v/>
      </c>
      <c r="Q93" s="186">
        <f>-SUM('Amortisation and Repayments'!K4742:K4750)</f>
        <v/>
      </c>
      <c r="R93" s="302">
        <f>SUM(O93:Q93)</f>
        <v/>
      </c>
      <c r="S93" s="235" t="n">
        <v>0</v>
      </c>
      <c r="T93" s="235" t="n">
        <v>0</v>
      </c>
      <c r="U93" s="409">
        <f>+SUM(S93:T93)</f>
        <v/>
      </c>
      <c r="V93" s="195" t="n"/>
      <c r="W93" s="186">
        <f>U93</f>
        <v/>
      </c>
      <c r="X93" s="186" t="n"/>
      <c r="Y93" s="266" t="n"/>
      <c r="Z93" s="195" t="n"/>
      <c r="AJ93" s="498">
        <f>IFERROR(INDEX('Mapping'!$J$2:$J$110,MATCH(93,'Mapping'!$A$2:$A$110,0)),"")</f>
        <v/>
      </c>
      <c r="AK93" s="499">
        <f>IFERROR(INDEX('Mapping'!$K$2:$K$110,MATCH(93,'Mapping'!$A$2:$A$110,0)),"")</f>
        <v/>
      </c>
      <c r="AL93" s="495">
        <f>IFERROR(INDEX('E-Banker master'!$B$2:$B$186,MATCH($AJ93,'E-Banker master'!$A$2:$A$186,0)),"")</f>
        <v/>
      </c>
      <c r="AM93" s="495">
        <f>IFERROR(INDEX('E-Banker master'!$E$2:$E$186,MATCH($AJ93,'E-Banker master'!$A$2:$A$186,0)),"")</f>
        <v/>
      </c>
      <c r="AN93" s="496">
        <f>IFERROR(INDEX('E-Banker master'!$N$2:$N$186,MATCH($AJ93,'E-Banker master'!$A$2:$A$186,0)),"")</f>
        <v/>
      </c>
      <c r="AO93" s="496">
        <f>IFERROR(INDEX('E-Banker master'!$O$2:$O$186,MATCH($AJ93,'E-Banker master'!$A$2:$A$186,0)),"")</f>
        <v/>
      </c>
      <c r="AP93" s="496">
        <f>IFERROR(INDEX('E-Banker master'!$P$2:$P$186,MATCH($AJ93,'E-Banker master'!$A$2:$A$186,0)),"")</f>
        <v/>
      </c>
      <c r="AQ93" s="496">
        <f>IF(OR($AJ93="",AP93=""),"",R93-AP93)</f>
        <v/>
      </c>
    </row>
    <row r="94">
      <c r="A94" s="408" t="n"/>
      <c r="B94" s="408" t="n"/>
      <c r="C94" s="408" t="n"/>
      <c r="D94" s="392" t="n">
        <v>90</v>
      </c>
      <c r="E94" s="175" t="inlineStr">
        <is>
          <t>Lehome Investment Limited</t>
        </is>
      </c>
      <c r="F94" s="186" t="inlineStr">
        <is>
          <t>Debt</t>
        </is>
      </c>
      <c r="G94" s="187">
        <f>'Amortisation and Repayments'!C4780</f>
        <v/>
      </c>
      <c r="H94" s="187">
        <f>'Amortisation and Repayments'!D4827</f>
        <v/>
      </c>
      <c r="I94" s="188" t="n">
        <v>4</v>
      </c>
      <c r="J94" s="192" t="inlineStr">
        <is>
          <t>6 ( Cap only)</t>
        </is>
      </c>
      <c r="K94" s="179" t="n">
        <v>10</v>
      </c>
      <c r="L94" s="186">
        <f>'Amortisation and Repayments'!F4780</f>
        <v/>
      </c>
      <c r="M94" s="190">
        <f>+L94</f>
        <v/>
      </c>
      <c r="N94" s="186" t="n"/>
      <c r="O94" s="191">
        <f>+M94</f>
        <v/>
      </c>
      <c r="P94" s="186">
        <f>SUM('Amortisation and Repayments'!H4780:H4788)</f>
        <v/>
      </c>
      <c r="Q94" s="186">
        <f>-SUM('Amortisation and Repayments'!K4780:K4788)</f>
        <v/>
      </c>
      <c r="R94" s="302">
        <f>SUM(O94:Q94)</f>
        <v/>
      </c>
      <c r="S94" s="235" t="n">
        <v>0</v>
      </c>
      <c r="T94" s="235" t="n">
        <v>0</v>
      </c>
      <c r="U94" s="409">
        <f>+SUM(S94:T94)</f>
        <v/>
      </c>
      <c r="V94" s="195" t="n"/>
      <c r="W94" s="186">
        <f>+U94</f>
        <v/>
      </c>
      <c r="X94" s="186" t="n"/>
      <c r="Y94" s="266" t="n"/>
      <c r="Z94" s="195" t="n"/>
      <c r="AJ94" s="498">
        <f>IFERROR(INDEX('Mapping'!$J$2:$J$110,MATCH(94,'Mapping'!$A$2:$A$110,0)),"")</f>
        <v/>
      </c>
      <c r="AK94" s="499">
        <f>IFERROR(INDEX('Mapping'!$K$2:$K$110,MATCH(94,'Mapping'!$A$2:$A$110,0)),"")</f>
        <v/>
      </c>
      <c r="AL94" s="495">
        <f>IFERROR(INDEX('E-Banker master'!$B$2:$B$186,MATCH($AJ94,'E-Banker master'!$A$2:$A$186,0)),"")</f>
        <v/>
      </c>
      <c r="AM94" s="495">
        <f>IFERROR(INDEX('E-Banker master'!$E$2:$E$186,MATCH($AJ94,'E-Banker master'!$A$2:$A$186,0)),"")</f>
        <v/>
      </c>
      <c r="AN94" s="496">
        <f>IFERROR(INDEX('E-Banker master'!$N$2:$N$186,MATCH($AJ94,'E-Banker master'!$A$2:$A$186,0)),"")</f>
        <v/>
      </c>
      <c r="AO94" s="496">
        <f>IFERROR(INDEX('E-Banker master'!$O$2:$O$186,MATCH($AJ94,'E-Banker master'!$A$2:$A$186,0)),"")</f>
        <v/>
      </c>
      <c r="AP94" s="496">
        <f>IFERROR(INDEX('E-Banker master'!$P$2:$P$186,MATCH($AJ94,'E-Banker master'!$A$2:$A$186,0)),"")</f>
        <v/>
      </c>
      <c r="AQ94" s="496">
        <f>IF(OR($AJ94="",AP94=""),"",R94-AP94)</f>
        <v/>
      </c>
    </row>
    <row r="95">
      <c r="A95" s="408" t="n"/>
      <c r="B95" s="408" t="n"/>
      <c r="C95" s="408" t="n"/>
      <c r="D95" s="426" t="n">
        <v>91</v>
      </c>
      <c r="E95" s="175" t="inlineStr">
        <is>
          <t>JAT Investments</t>
        </is>
      </c>
      <c r="F95" s="186" t="inlineStr">
        <is>
          <t>Debt</t>
        </is>
      </c>
      <c r="G95" s="187">
        <f>'Amortisation and Repayments'!C4845</f>
        <v/>
      </c>
      <c r="H95" s="187">
        <f>'Amortisation and Repayments'!D4892</f>
        <v/>
      </c>
      <c r="I95" s="188" t="n">
        <v>4</v>
      </c>
      <c r="J95" s="192" t="inlineStr">
        <is>
          <t>6 ( Cap only)</t>
        </is>
      </c>
      <c r="K95" s="179" t="n">
        <v>10</v>
      </c>
      <c r="L95" s="186">
        <f>'Amortisation and Repayments'!F4845</f>
        <v/>
      </c>
      <c r="M95" s="190">
        <f>+L95</f>
        <v/>
      </c>
      <c r="N95" s="186" t="n"/>
      <c r="O95" s="191">
        <f>+M95</f>
        <v/>
      </c>
      <c r="P95" s="186">
        <f>SUM('Amortisation and Repayments'!H4845:H4853)</f>
        <v/>
      </c>
      <c r="Q95" s="186">
        <f>-SUM('Amortisation and Repayments'!K4850:K4853)</f>
        <v/>
      </c>
      <c r="R95" s="302">
        <f>SUM(O95:Q95)</f>
        <v/>
      </c>
      <c r="S95" s="235">
        <f>SUM('Amortisation and Repayments'!I4853:I4853)</f>
        <v/>
      </c>
      <c r="T95" s="235">
        <f>'Amortisation and Repayments'!L4853-'Loan Book'!S95</f>
        <v/>
      </c>
      <c r="U95" s="409">
        <f>+SUM(S95:T95)</f>
        <v/>
      </c>
      <c r="V95" s="195" t="n"/>
      <c r="W95" s="186">
        <f>U95</f>
        <v/>
      </c>
      <c r="X95" s="186">
        <f>U95-W95</f>
        <v/>
      </c>
      <c r="Y95" s="266" t="n"/>
      <c r="Z95" s="195" t="n"/>
      <c r="AJ95" s="498">
        <f>IFERROR(INDEX('Mapping'!$J$2:$J$110,MATCH(95,'Mapping'!$A$2:$A$110,0)),"")</f>
        <v/>
      </c>
      <c r="AK95" s="499">
        <f>IFERROR(INDEX('Mapping'!$K$2:$K$110,MATCH(95,'Mapping'!$A$2:$A$110,0)),"")</f>
        <v/>
      </c>
      <c r="AL95" s="495">
        <f>IFERROR(INDEX('E-Banker master'!$B$2:$B$186,MATCH($AJ95,'E-Banker master'!$A$2:$A$186,0)),"")</f>
        <v/>
      </c>
      <c r="AM95" s="495">
        <f>IFERROR(INDEX('E-Banker master'!$E$2:$E$186,MATCH($AJ95,'E-Banker master'!$A$2:$A$186,0)),"")</f>
        <v/>
      </c>
      <c r="AN95" s="496">
        <f>IFERROR(INDEX('E-Banker master'!$N$2:$N$186,MATCH($AJ95,'E-Banker master'!$A$2:$A$186,0)),"")</f>
        <v/>
      </c>
      <c r="AO95" s="496">
        <f>IFERROR(INDEX('E-Banker master'!$O$2:$O$186,MATCH($AJ95,'E-Banker master'!$A$2:$A$186,0)),"")</f>
        <v/>
      </c>
      <c r="AP95" s="496">
        <f>IFERROR(INDEX('E-Banker master'!$P$2:$P$186,MATCH($AJ95,'E-Banker master'!$A$2:$A$186,0)),"")</f>
        <v/>
      </c>
      <c r="AQ95" s="496">
        <f>IF(OR($AJ95="",AP95=""),"",R95-AP95)</f>
        <v/>
      </c>
    </row>
    <row r="96">
      <c r="A96" s="408" t="n"/>
      <c r="B96" s="408" t="n"/>
      <c r="C96" s="408" t="n"/>
      <c r="D96" s="392" t="n">
        <v>92</v>
      </c>
      <c r="E96" s="175" t="inlineStr">
        <is>
          <t>Chanje Investments</t>
        </is>
      </c>
      <c r="F96" s="186" t="inlineStr">
        <is>
          <t>Debt</t>
        </is>
      </c>
      <c r="G96" s="187">
        <f>'Amortisation and Repayments'!C4907</f>
        <v/>
      </c>
      <c r="H96" s="187">
        <f>'Amortisation and Repayments'!D4955</f>
        <v/>
      </c>
      <c r="I96" s="188" t="n">
        <v>4</v>
      </c>
      <c r="J96" s="192" t="inlineStr">
        <is>
          <t>6 ( Cap only)</t>
        </is>
      </c>
      <c r="K96" s="179" t="n">
        <v>10</v>
      </c>
      <c r="L96" s="186">
        <f>'Amortisation and Repayments'!F4907</f>
        <v/>
      </c>
      <c r="M96" s="190">
        <f>+L96</f>
        <v/>
      </c>
      <c r="N96" s="186" t="n"/>
      <c r="O96" s="191">
        <f>+M96</f>
        <v/>
      </c>
      <c r="P96" s="186">
        <f>SUM('Amortisation and Repayments'!H4907:H4915)</f>
        <v/>
      </c>
      <c r="Q96" s="186">
        <f>SUM('Amortisation and Repayments'!K4907:K4915)</f>
        <v/>
      </c>
      <c r="R96" s="302">
        <f>SUM(O96:Q96)</f>
        <v/>
      </c>
      <c r="S96" s="235">
        <f>SUM('Amortisation and Repayments'!I4914:I4915)</f>
        <v/>
      </c>
      <c r="T96" s="235">
        <f>'Amortisation and Repayments'!L4915-'Loan Book'!S96</f>
        <v/>
      </c>
      <c r="U96" s="409">
        <f>+SUM(S96:T96)</f>
        <v/>
      </c>
      <c r="V96" s="195" t="n"/>
      <c r="W96" s="186">
        <f>'Amortisation and Repayments'!G4915</f>
        <v/>
      </c>
      <c r="X96" s="186">
        <f>U96-W96</f>
        <v/>
      </c>
      <c r="Y96" s="266" t="n"/>
      <c r="Z96" s="195" t="n"/>
      <c r="AJ96" s="498">
        <f>IFERROR(INDEX('Mapping'!$J$2:$J$110,MATCH(96,'Mapping'!$A$2:$A$110,0)),"")</f>
        <v/>
      </c>
      <c r="AK96" s="499">
        <f>IFERROR(INDEX('Mapping'!$K$2:$K$110,MATCH(96,'Mapping'!$A$2:$A$110,0)),"")</f>
        <v/>
      </c>
      <c r="AL96" s="495">
        <f>IFERROR(INDEX('E-Banker master'!$B$2:$B$186,MATCH($AJ96,'E-Banker master'!$A$2:$A$186,0)),"")</f>
        <v/>
      </c>
      <c r="AM96" s="495">
        <f>IFERROR(INDEX('E-Banker master'!$E$2:$E$186,MATCH($AJ96,'E-Banker master'!$A$2:$A$186,0)),"")</f>
        <v/>
      </c>
      <c r="AN96" s="496">
        <f>IFERROR(INDEX('E-Banker master'!$N$2:$N$186,MATCH($AJ96,'E-Banker master'!$A$2:$A$186,0)),"")</f>
        <v/>
      </c>
      <c r="AO96" s="496">
        <f>IFERROR(INDEX('E-Banker master'!$O$2:$O$186,MATCH($AJ96,'E-Banker master'!$A$2:$A$186,0)),"")</f>
        <v/>
      </c>
      <c r="AP96" s="496">
        <f>IFERROR(INDEX('E-Banker master'!$P$2:$P$186,MATCH($AJ96,'E-Banker master'!$A$2:$A$186,0)),"")</f>
        <v/>
      </c>
      <c r="AQ96" s="496">
        <f>IF(OR($AJ96="",AP96=""),"",R96-AP96)</f>
        <v/>
      </c>
    </row>
    <row r="97">
      <c r="A97" s="408" t="n"/>
      <c r="B97" s="408" t="n"/>
      <c r="C97" s="408" t="n"/>
      <c r="D97" s="392" t="n">
        <v>93</v>
      </c>
      <c r="E97" s="353" t="inlineStr">
        <is>
          <t>FAVOA Innovation &amp; Investments Group</t>
        </is>
      </c>
      <c r="F97" s="186" t="inlineStr">
        <is>
          <t>Debt</t>
        </is>
      </c>
      <c r="G97" s="187" t="n">
        <v>45376</v>
      </c>
      <c r="H97" s="187">
        <f>'Amortisation and Repayments'!D4997</f>
        <v/>
      </c>
      <c r="I97" s="188" t="n">
        <v>2</v>
      </c>
      <c r="J97" s="192" t="inlineStr">
        <is>
          <t>3 (Cap+Int)</t>
        </is>
      </c>
      <c r="K97" s="179" t="n">
        <v>10</v>
      </c>
      <c r="L97" s="186" t="n">
        <v>30000000</v>
      </c>
      <c r="M97" s="190">
        <f>+L97</f>
        <v/>
      </c>
      <c r="N97" s="186" t="n"/>
      <c r="O97" s="191">
        <f>+M97</f>
        <v/>
      </c>
      <c r="P97" s="186">
        <f>SUM('Amortisation and Repayments'!H4973:H4980)</f>
        <v/>
      </c>
      <c r="Q97" s="186">
        <f>-SUM('Amortisation and Repayments'!K4977:K4980)</f>
        <v/>
      </c>
      <c r="R97" s="302">
        <f>SUM(O97:Q97)</f>
        <v/>
      </c>
      <c r="S97" s="408">
        <f>SUM('Amortisation and Repayments'!I4980)</f>
        <v/>
      </c>
      <c r="T97" s="235">
        <f>'Amortisation and Repayments'!L4980-'Loan Book'!S97</f>
        <v/>
      </c>
      <c r="U97" s="409">
        <f>+SUM(S97:T97)</f>
        <v/>
      </c>
      <c r="V97" s="195" t="n"/>
      <c r="W97" s="186">
        <f>U97</f>
        <v/>
      </c>
      <c r="X97" s="186" t="n"/>
      <c r="Y97" s="266" t="n"/>
      <c r="Z97" s="195" t="n"/>
      <c r="AJ97" s="498">
        <f>IFERROR(INDEX('Mapping'!$J$2:$J$110,MATCH(97,'Mapping'!$A$2:$A$110,0)),"")</f>
        <v/>
      </c>
      <c r="AK97" s="499">
        <f>IFERROR(INDEX('Mapping'!$K$2:$K$110,MATCH(97,'Mapping'!$A$2:$A$110,0)),"")</f>
        <v/>
      </c>
      <c r="AL97" s="495">
        <f>IFERROR(INDEX('E-Banker master'!$B$2:$B$186,MATCH($AJ97,'E-Banker master'!$A$2:$A$186,0)),"")</f>
        <v/>
      </c>
      <c r="AM97" s="495">
        <f>IFERROR(INDEX('E-Banker master'!$E$2:$E$186,MATCH($AJ97,'E-Banker master'!$A$2:$A$186,0)),"")</f>
        <v/>
      </c>
      <c r="AN97" s="496">
        <f>IFERROR(INDEX('E-Banker master'!$N$2:$N$186,MATCH($AJ97,'E-Banker master'!$A$2:$A$186,0)),"")</f>
        <v/>
      </c>
      <c r="AO97" s="496">
        <f>IFERROR(INDEX('E-Banker master'!$O$2:$O$186,MATCH($AJ97,'E-Banker master'!$A$2:$A$186,0)),"")</f>
        <v/>
      </c>
      <c r="AP97" s="496">
        <f>IFERROR(INDEX('E-Banker master'!$P$2:$P$186,MATCH($AJ97,'E-Banker master'!$A$2:$A$186,0)),"")</f>
        <v/>
      </c>
      <c r="AQ97" s="496">
        <f>IF(OR($AJ97="",AP97=""),"",R97-AP97)</f>
        <v/>
      </c>
    </row>
    <row r="98" ht="11.4" customHeight="1">
      <c r="A98" s="408" t="n"/>
      <c r="B98" s="408" t="n"/>
      <c r="C98" s="408" t="n"/>
      <c r="D98" s="426" t="n">
        <v>94</v>
      </c>
      <c r="E98" s="353" t="inlineStr">
        <is>
          <t>Difference Construction</t>
        </is>
      </c>
      <c r="F98" s="186" t="inlineStr">
        <is>
          <t>Debt</t>
        </is>
      </c>
      <c r="G98" s="187" t="n">
        <v>45377</v>
      </c>
      <c r="H98" s="187">
        <f>'Amortisation and Repayments'!D5049</f>
        <v/>
      </c>
      <c r="I98" s="188" t="n">
        <v>3</v>
      </c>
      <c r="J98" s="192" t="inlineStr">
        <is>
          <t>6 ( Cap only)</t>
        </is>
      </c>
      <c r="K98" s="179" t="n">
        <v>10</v>
      </c>
      <c r="L98" s="186" t="n">
        <v>120000000</v>
      </c>
      <c r="M98" s="190">
        <f>+L98</f>
        <v/>
      </c>
      <c r="N98" s="186" t="n"/>
      <c r="O98" s="191">
        <f>+M98</f>
        <v/>
      </c>
      <c r="P98" s="186">
        <f>SUM('Amortisation and Repayments'!H5013:H5020)</f>
        <v/>
      </c>
      <c r="Q98" s="186">
        <f>-SUM('Amortisation and Repayments'!K5013:K5020)</f>
        <v/>
      </c>
      <c r="R98" s="302">
        <f>SUM(O98:Q98)</f>
        <v/>
      </c>
      <c r="S98" s="235">
        <f>'Amortisation and Repayments'!L5020</f>
        <v/>
      </c>
      <c r="T98" s="235" t="n"/>
      <c r="U98" s="409">
        <f>+SUM(S98:T98)</f>
        <v/>
      </c>
      <c r="V98" s="195" t="n"/>
      <c r="W98" s="186">
        <f>U98</f>
        <v/>
      </c>
      <c r="X98" s="186" t="n"/>
      <c r="Y98" s="266" t="n"/>
      <c r="Z98" s="195" t="n"/>
      <c r="AJ98" s="498">
        <f>IFERROR(INDEX('Mapping'!$J$2:$J$110,MATCH(98,'Mapping'!$A$2:$A$110,0)),"")</f>
        <v/>
      </c>
      <c r="AK98" s="499">
        <f>IFERROR(INDEX('Mapping'!$K$2:$K$110,MATCH(98,'Mapping'!$A$2:$A$110,0)),"")</f>
        <v/>
      </c>
      <c r="AL98" s="495">
        <f>IFERROR(INDEX('E-Banker master'!$B$2:$B$186,MATCH($AJ98,'E-Banker master'!$A$2:$A$186,0)),"")</f>
        <v/>
      </c>
      <c r="AM98" s="495">
        <f>IFERROR(INDEX('E-Banker master'!$E$2:$E$186,MATCH($AJ98,'E-Banker master'!$A$2:$A$186,0)),"")</f>
        <v/>
      </c>
      <c r="AN98" s="496">
        <f>IFERROR(INDEX('E-Banker master'!$N$2:$N$186,MATCH($AJ98,'E-Banker master'!$A$2:$A$186,0)),"")</f>
        <v/>
      </c>
      <c r="AO98" s="496">
        <f>IFERROR(INDEX('E-Banker master'!$O$2:$O$186,MATCH($AJ98,'E-Banker master'!$A$2:$A$186,0)),"")</f>
        <v/>
      </c>
      <c r="AP98" s="496">
        <f>IFERROR(INDEX('E-Banker master'!$P$2:$P$186,MATCH($AJ98,'E-Banker master'!$A$2:$A$186,0)),"")</f>
        <v/>
      </c>
      <c r="AQ98" s="496">
        <f>IF(OR($AJ98="",AP98=""),"",R98-AP98)</f>
        <v/>
      </c>
    </row>
    <row r="99">
      <c r="A99" s="408" t="n"/>
      <c r="B99" s="408" t="n"/>
      <c r="C99" s="408" t="n"/>
      <c r="D99" s="392" t="n">
        <v>95</v>
      </c>
      <c r="E99" s="353" t="inlineStr">
        <is>
          <t>Favoured Farms</t>
        </is>
      </c>
      <c r="F99" s="186" t="inlineStr">
        <is>
          <t>Debt</t>
        </is>
      </c>
      <c r="G99" s="187" t="n">
        <v>45407</v>
      </c>
      <c r="H99" s="187" t="n">
        <v>46142</v>
      </c>
      <c r="I99" s="188" t="n">
        <v>2</v>
      </c>
      <c r="J99" s="192" t="inlineStr">
        <is>
          <t>3 (Cap+Int)</t>
        </is>
      </c>
      <c r="K99" s="179" t="n">
        <v>10</v>
      </c>
      <c r="L99" s="186" t="n">
        <v>30000000</v>
      </c>
      <c r="M99" s="190" t="n">
        <v>30000000</v>
      </c>
      <c r="N99" s="186" t="n"/>
      <c r="O99" s="191">
        <f>+M99</f>
        <v/>
      </c>
      <c r="P99" s="186">
        <f>SUM('Amortisation and Repayments'!H5065:H5071)</f>
        <v/>
      </c>
      <c r="Q99" s="186">
        <f>-SUM('Amortisation and Repayments'!K5065:K5072)</f>
        <v/>
      </c>
      <c r="R99" s="302">
        <f>SUM(O99:Q99)</f>
        <v/>
      </c>
      <c r="S99" s="235">
        <f>'Amortisation and Repayments'!L5071-'Loan Book'!T99</f>
        <v/>
      </c>
      <c r="T99" s="235">
        <f>'Amortisation and Repayments'!H5071</f>
        <v/>
      </c>
      <c r="U99" s="409">
        <f>+SUM(S99:T99)</f>
        <v/>
      </c>
      <c r="V99" s="195" t="n"/>
      <c r="W99" s="186">
        <f>U99</f>
        <v/>
      </c>
      <c r="X99" s="186">
        <f>U99-W99</f>
        <v/>
      </c>
      <c r="Y99" s="266" t="n"/>
      <c r="Z99" s="195" t="n"/>
      <c r="AJ99" s="498">
        <f>IFERROR(INDEX('Mapping'!$J$2:$J$110,MATCH(99,'Mapping'!$A$2:$A$110,0)),"")</f>
        <v/>
      </c>
      <c r="AK99" s="499">
        <f>IFERROR(INDEX('Mapping'!$K$2:$K$110,MATCH(99,'Mapping'!$A$2:$A$110,0)),"")</f>
        <v/>
      </c>
      <c r="AL99" s="495">
        <f>IFERROR(INDEX('E-Banker master'!$B$2:$B$186,MATCH($AJ99,'E-Banker master'!$A$2:$A$186,0)),"")</f>
        <v/>
      </c>
      <c r="AM99" s="495">
        <f>IFERROR(INDEX('E-Banker master'!$E$2:$E$186,MATCH($AJ99,'E-Banker master'!$A$2:$A$186,0)),"")</f>
        <v/>
      </c>
      <c r="AN99" s="496">
        <f>IFERROR(INDEX('E-Banker master'!$N$2:$N$186,MATCH($AJ99,'E-Banker master'!$A$2:$A$186,0)),"")</f>
        <v/>
      </c>
      <c r="AO99" s="496">
        <f>IFERROR(INDEX('E-Banker master'!$O$2:$O$186,MATCH($AJ99,'E-Banker master'!$A$2:$A$186,0)),"")</f>
        <v/>
      </c>
      <c r="AP99" s="496">
        <f>IFERROR(INDEX('E-Banker master'!$P$2:$P$186,MATCH($AJ99,'E-Banker master'!$A$2:$A$186,0)),"")</f>
        <v/>
      </c>
      <c r="AQ99" s="496">
        <f>IF(OR($AJ99="",AP99=""),"",R99-AP99)</f>
        <v/>
      </c>
    </row>
    <row r="100">
      <c r="A100" s="408" t="n"/>
      <c r="B100" s="408" t="n"/>
      <c r="C100" s="408" t="n"/>
      <c r="D100" s="392" t="n">
        <v>96</v>
      </c>
      <c r="E100" s="437" t="inlineStr">
        <is>
          <t>Hortinet Foods Limited</t>
        </is>
      </c>
      <c r="F100" s="186" t="inlineStr">
        <is>
          <t>Debt</t>
        </is>
      </c>
      <c r="G100" s="187" t="n">
        <v>45412</v>
      </c>
      <c r="H100" s="187" t="n">
        <v>46142</v>
      </c>
      <c r="I100" s="188" t="n">
        <v>2</v>
      </c>
      <c r="J100" s="192" t="inlineStr">
        <is>
          <t>3 ( Cap only)</t>
        </is>
      </c>
      <c r="K100" s="179" t="n">
        <v>10</v>
      </c>
      <c r="L100" s="186" t="n">
        <v>50000000</v>
      </c>
      <c r="M100" s="190" t="n">
        <v>50000000</v>
      </c>
      <c r="N100" s="186" t="n"/>
      <c r="O100" s="191">
        <f>+M100</f>
        <v/>
      </c>
      <c r="P100" s="186">
        <f>SUM('Amortisation and Repayments'!H5105:H5111)</f>
        <v/>
      </c>
      <c r="Q100" s="186">
        <f>-SUM('Amortisation and Repayments'!K5106:K5111)</f>
        <v/>
      </c>
      <c r="R100" s="302">
        <f>SUM(O100:Q100)</f>
        <v/>
      </c>
      <c r="S100" s="235" t="n">
        <v>0</v>
      </c>
      <c r="T100" s="235" t="n">
        <v>0</v>
      </c>
      <c r="U100" s="409">
        <f>+SUM(S100:T100)</f>
        <v/>
      </c>
      <c r="V100" s="195" t="n"/>
      <c r="W100" s="186" t="n">
        <v>0</v>
      </c>
      <c r="X100" s="186">
        <f>+U100-W100</f>
        <v/>
      </c>
      <c r="Y100" s="266" t="n"/>
      <c r="Z100" s="195" t="n"/>
      <c r="AJ100" s="498">
        <f>IFERROR(INDEX('Mapping'!$J$2:$J$110,MATCH(100,'Mapping'!$A$2:$A$110,0)),"")</f>
        <v/>
      </c>
      <c r="AK100" s="499">
        <f>IFERROR(INDEX('Mapping'!$K$2:$K$110,MATCH(100,'Mapping'!$A$2:$A$110,0)),"")</f>
        <v/>
      </c>
      <c r="AL100" s="495">
        <f>IFERROR(INDEX('E-Banker master'!$B$2:$B$186,MATCH($AJ100,'E-Banker master'!$A$2:$A$186,0)),"")</f>
        <v/>
      </c>
      <c r="AM100" s="495">
        <f>IFERROR(INDEX('E-Banker master'!$E$2:$E$186,MATCH($AJ100,'E-Banker master'!$A$2:$A$186,0)),"")</f>
        <v/>
      </c>
      <c r="AN100" s="496">
        <f>IFERROR(INDEX('E-Banker master'!$N$2:$N$186,MATCH($AJ100,'E-Banker master'!$A$2:$A$186,0)),"")</f>
        <v/>
      </c>
      <c r="AO100" s="496">
        <f>IFERROR(INDEX('E-Banker master'!$O$2:$O$186,MATCH($AJ100,'E-Banker master'!$A$2:$A$186,0)),"")</f>
        <v/>
      </c>
      <c r="AP100" s="496">
        <f>IFERROR(INDEX('E-Banker master'!$P$2:$P$186,MATCH($AJ100,'E-Banker master'!$A$2:$A$186,0)),"")</f>
        <v/>
      </c>
      <c r="AQ100" s="496">
        <f>IF(OR($AJ100="",AP100=""),"",R100-AP100)</f>
        <v/>
      </c>
    </row>
    <row r="101">
      <c r="A101" s="408" t="n"/>
      <c r="B101" s="408" t="n"/>
      <c r="C101" s="408" t="n"/>
      <c r="D101" s="426" t="n">
        <v>97</v>
      </c>
      <c r="E101" s="353" t="inlineStr">
        <is>
          <t>7 Arts Holdings Limited</t>
        </is>
      </c>
      <c r="F101" s="186" t="inlineStr">
        <is>
          <t>Debt</t>
        </is>
      </c>
      <c r="G101" s="187" t="n">
        <v>45412</v>
      </c>
      <c r="H101" s="187" t="n">
        <v>47238</v>
      </c>
      <c r="I101" s="188">
        <f>+(H101-G101)/365</f>
        <v/>
      </c>
      <c r="J101" s="192" t="inlineStr">
        <is>
          <t>6 ( Cap only)</t>
        </is>
      </c>
      <c r="K101" s="179" t="n">
        <v>10</v>
      </c>
      <c r="L101" s="186" t="n">
        <v>65000000</v>
      </c>
      <c r="M101" s="190">
        <f>L101</f>
        <v/>
      </c>
      <c r="N101" s="186" t="n"/>
      <c r="O101" s="191" t="n">
        <v>65000000</v>
      </c>
      <c r="P101" s="186">
        <f>SUM('Amortisation and Repayments'!H5143:H5149)</f>
        <v/>
      </c>
      <c r="Q101" s="186">
        <f>-SUM('Amortisation and Repayments'!K5143:K5149)</f>
        <v/>
      </c>
      <c r="R101" s="302">
        <f>SUM(O101:Q101)</f>
        <v/>
      </c>
      <c r="S101" s="235">
        <f>+'Amortisation and Repayments'!I5149</f>
        <v/>
      </c>
      <c r="T101" s="235">
        <f>SUM('Amortisation and Repayments'!H5148:H5149)</f>
        <v/>
      </c>
      <c r="U101" s="409">
        <f>+SUM(S101:T101)</f>
        <v/>
      </c>
      <c r="V101" s="195" t="n"/>
      <c r="W101" s="186">
        <f>'Amortisation and Repayments'!G5149</f>
        <v/>
      </c>
      <c r="X101" s="186">
        <f>+U101-W101</f>
        <v/>
      </c>
      <c r="Y101" s="266" t="n"/>
      <c r="Z101" s="195" t="n"/>
      <c r="AJ101" s="498">
        <f>IFERROR(INDEX('Mapping'!$J$2:$J$110,MATCH(101,'Mapping'!$A$2:$A$110,0)),"")</f>
        <v/>
      </c>
      <c r="AK101" s="499">
        <f>IFERROR(INDEX('Mapping'!$K$2:$K$110,MATCH(101,'Mapping'!$A$2:$A$110,0)),"")</f>
        <v/>
      </c>
      <c r="AL101" s="498">
        <f>IFERROR(INDEX('E-Banker master'!$B$2:$B$186,MATCH($AJ101,'E-Banker master'!$A$2:$A$186,0)),"")</f>
        <v/>
      </c>
      <c r="AM101" s="495">
        <f>IFERROR(INDEX('E-Banker master'!$E$2:$E$186,MATCH($AJ101,'E-Banker master'!$A$2:$A$186,0)),"")</f>
        <v/>
      </c>
      <c r="AN101" s="496">
        <f>IFERROR(INDEX('E-Banker master'!$N$2:$N$186,MATCH($AJ101,'E-Banker master'!$A$2:$A$186,0)),"")</f>
        <v/>
      </c>
      <c r="AO101" s="496">
        <f>IFERROR(INDEX('E-Banker master'!$O$2:$O$186,MATCH($AJ101,'E-Banker master'!$A$2:$A$186,0)),"")</f>
        <v/>
      </c>
      <c r="AP101" s="496">
        <f>IFERROR(INDEX('E-Banker master'!$P$2:$P$186,MATCH($AJ101,'E-Banker master'!$A$2:$A$186,0)),"")</f>
        <v/>
      </c>
      <c r="AQ101" s="496">
        <f>IF(OR($AJ101="",AP101=""),"",R101-AP101)</f>
        <v/>
      </c>
    </row>
    <row r="102">
      <c r="A102" s="408" t="n"/>
      <c r="B102" s="408" t="n"/>
      <c r="C102" s="408" t="n"/>
      <c r="D102" s="425" t="n">
        <v>98</v>
      </c>
      <c r="E102" s="353" t="inlineStr">
        <is>
          <t>Infracon Limited</t>
        </is>
      </c>
      <c r="F102" s="186" t="inlineStr">
        <is>
          <t>Debt</t>
        </is>
      </c>
      <c r="G102" s="187">
        <f>'Amortisation and Repayments'!C5219</f>
        <v/>
      </c>
      <c r="H102" s="187">
        <f>'Amortisation and Repayments'!D5279</f>
        <v/>
      </c>
      <c r="I102" s="188" t="n">
        <v>6</v>
      </c>
      <c r="J102" s="192" t="inlineStr">
        <is>
          <t>6 (Cap+Int)</t>
        </is>
      </c>
      <c r="K102" s="432">
        <f>'Amortisation and Repayments'!D5211</f>
        <v/>
      </c>
      <c r="L102" s="186">
        <f>627746500</f>
        <v/>
      </c>
      <c r="M102" s="190" t="n">
        <v>627746500</v>
      </c>
      <c r="N102" s="186">
        <f>+L102-M102</f>
        <v/>
      </c>
      <c r="O102" s="191">
        <f>M102</f>
        <v/>
      </c>
      <c r="P102" s="186">
        <f>SUM('Amortisation and Repayments'!H5219:H5224)</f>
        <v/>
      </c>
      <c r="Q102" s="186">
        <f>-SUM('Amortisation and Repayments'!K5219:K5224)</f>
        <v/>
      </c>
      <c r="R102" s="302">
        <f>SUM(O102:Q102)</f>
        <v/>
      </c>
      <c r="S102" s="235" t="n">
        <v>0</v>
      </c>
      <c r="T102" s="235" t="n"/>
      <c r="U102" s="409">
        <f>+SUM(S102:T102)</f>
        <v/>
      </c>
      <c r="V102" s="195" t="n"/>
      <c r="W102" s="186" t="n"/>
      <c r="X102" s="186" t="n"/>
      <c r="Y102" s="266" t="n"/>
      <c r="Z102" s="195" t="n"/>
      <c r="AJ102" s="498">
        <f>IFERROR(INDEX('Mapping'!$J$2:$J$110,MATCH(102,'Mapping'!$A$2:$A$110,0)),"")</f>
        <v/>
      </c>
      <c r="AK102" s="499">
        <f>IFERROR(INDEX('Mapping'!$K$2:$K$110,MATCH(102,'Mapping'!$A$2:$A$110,0)),"")</f>
        <v/>
      </c>
      <c r="AL102" s="498">
        <f>IFERROR(INDEX('E-Banker master'!$B$2:$B$186,MATCH($AJ102,'E-Banker master'!$A$2:$A$186,0)),"")</f>
        <v/>
      </c>
      <c r="AM102" s="495">
        <f>IFERROR(INDEX('E-Banker master'!$E$2:$E$186,MATCH($AJ102,'E-Banker master'!$A$2:$A$186,0)),"")</f>
        <v/>
      </c>
      <c r="AN102" s="496">
        <f>IFERROR(INDEX('E-Banker master'!$N$2:$N$186,MATCH($AJ102,'E-Banker master'!$A$2:$A$186,0)),"")</f>
        <v/>
      </c>
      <c r="AO102" s="496">
        <f>IFERROR(INDEX('E-Banker master'!$O$2:$O$186,MATCH($AJ102,'E-Banker master'!$A$2:$A$186,0)),"")</f>
        <v/>
      </c>
      <c r="AP102" s="496">
        <f>IFERROR(INDEX('E-Banker master'!$P$2:$P$186,MATCH($AJ102,'E-Banker master'!$A$2:$A$186,0)),"")</f>
        <v/>
      </c>
      <c r="AQ102" s="496">
        <f>IF(OR($AJ102="",AP102=""),"",R102-AP102)</f>
        <v/>
      </c>
    </row>
    <row r="103">
      <c r="A103" s="408" t="n"/>
      <c r="B103" s="408" t="n"/>
      <c r="C103" s="408" t="n"/>
      <c r="D103" s="392" t="n">
        <v>99</v>
      </c>
      <c r="E103" s="353" t="inlineStr">
        <is>
          <t>Infraworks Development Ltd</t>
        </is>
      </c>
      <c r="F103" s="186" t="inlineStr">
        <is>
          <t>Debt</t>
        </is>
      </c>
      <c r="G103" s="187">
        <f>'Amortisation and Repayments'!C5295</f>
        <v/>
      </c>
      <c r="H103" s="187">
        <f>'Amortisation and Repayments'!D5343</f>
        <v/>
      </c>
      <c r="I103" s="188" t="n">
        <v>4</v>
      </c>
      <c r="J103" s="192" t="inlineStr">
        <is>
          <t>6 ( Cap only)</t>
        </is>
      </c>
      <c r="K103" s="179" t="n">
        <v>10</v>
      </c>
      <c r="L103" s="186" t="n">
        <v>400000000</v>
      </c>
      <c r="M103" s="190" t="n">
        <v>400000000</v>
      </c>
      <c r="N103" s="186" t="n">
        <v>0</v>
      </c>
      <c r="O103" s="191">
        <f>M103</f>
        <v/>
      </c>
      <c r="P103" s="186">
        <f>SUM('Amortisation and Repayments'!H5295:H5300)</f>
        <v/>
      </c>
      <c r="Q103" s="186">
        <f>-SUM('Amortisation and Repayments'!K5295:K5300)</f>
        <v/>
      </c>
      <c r="R103" s="302">
        <f>SUM(O103:Q103)</f>
        <v/>
      </c>
      <c r="S103" s="408" t="n">
        <v>0</v>
      </c>
      <c r="T103" s="235">
        <f>'Amortisation and Repayments'!L5300</f>
        <v/>
      </c>
      <c r="U103" s="409">
        <f>+SUM(S103:T103)</f>
        <v/>
      </c>
      <c r="V103" s="195" t="n"/>
      <c r="W103" s="186">
        <f>U103</f>
        <v/>
      </c>
      <c r="X103" s="186">
        <f>+U103-W103</f>
        <v/>
      </c>
      <c r="Y103" s="266" t="n"/>
      <c r="Z103" s="195" t="n"/>
      <c r="AJ103" s="498">
        <f>IFERROR(INDEX('Mapping'!$J$2:$J$110,MATCH(103,'Mapping'!$A$2:$A$110,0)),"")</f>
        <v/>
      </c>
      <c r="AK103" s="499">
        <f>IFERROR(INDEX('Mapping'!$K$2:$K$110,MATCH(103,'Mapping'!$A$2:$A$110,0)),"")</f>
        <v/>
      </c>
      <c r="AL103" s="495">
        <f>IFERROR(INDEX('E-Banker master'!$B$2:$B$186,MATCH($AJ103,'E-Banker master'!$A$2:$A$186,0)),"")</f>
        <v/>
      </c>
      <c r="AM103" s="495">
        <f>IFERROR(INDEX('E-Banker master'!$E$2:$E$186,MATCH($AJ103,'E-Banker master'!$A$2:$A$186,0)),"")</f>
        <v/>
      </c>
      <c r="AN103" s="496">
        <f>IFERROR(INDEX('E-Banker master'!$N$2:$N$186,MATCH($AJ103,'E-Banker master'!$A$2:$A$186,0)),"")</f>
        <v/>
      </c>
      <c r="AO103" s="496">
        <f>IFERROR(INDEX('E-Banker master'!$O$2:$O$186,MATCH($AJ103,'E-Banker master'!$A$2:$A$186,0)),"")</f>
        <v/>
      </c>
      <c r="AP103" s="496">
        <f>IFERROR(INDEX('E-Banker master'!$P$2:$P$186,MATCH($AJ103,'E-Banker master'!$A$2:$A$186,0)),"")</f>
        <v/>
      </c>
      <c r="AQ103" s="496">
        <f>IF(OR($AJ103="",AP103=""),"",R103-AP103)</f>
        <v/>
      </c>
    </row>
    <row r="104">
      <c r="A104" s="408" t="n"/>
      <c r="B104" s="408" t="n"/>
      <c r="C104" s="408" t="n"/>
      <c r="D104" s="426" t="n">
        <v>100</v>
      </c>
      <c r="E104" s="353" t="inlineStr">
        <is>
          <t>Bio-Energy Resources Limited</t>
        </is>
      </c>
      <c r="F104" s="186" t="inlineStr">
        <is>
          <t>Debt</t>
        </is>
      </c>
      <c r="G104" s="187">
        <f>'Amortisation and Repayments'!C5358</f>
        <v/>
      </c>
      <c r="H104" s="187">
        <f>'Amortisation and Repayments'!D5405</f>
        <v/>
      </c>
      <c r="I104" s="188" t="n">
        <v>6</v>
      </c>
      <c r="J104" s="192" t="inlineStr">
        <is>
          <t>6 (Cap+Int)</t>
        </is>
      </c>
      <c r="K104" s="179" t="n">
        <v>10</v>
      </c>
      <c r="L104" s="186">
        <f>'Amortisation and Repayments'!D5349</f>
        <v/>
      </c>
      <c r="M104" s="190">
        <f>L104</f>
        <v/>
      </c>
      <c r="N104" s="186">
        <f>+L104-M104</f>
        <v/>
      </c>
      <c r="O104" s="191">
        <f>M104</f>
        <v/>
      </c>
      <c r="P104" s="186">
        <f>SUM('Amortisation and Repayments'!H5358:H5362)</f>
        <v/>
      </c>
      <c r="Q104" s="186">
        <f>SUM('Amortisation and Repayments'!K5358:K5362)</f>
        <v/>
      </c>
      <c r="R104" s="302">
        <f>SUM(O104:Q104)</f>
        <v/>
      </c>
      <c r="S104" s="235" t="n"/>
      <c r="T104" s="235" t="n"/>
      <c r="U104" s="409">
        <f>+SUM(S104:T104)</f>
        <v/>
      </c>
      <c r="V104" s="195" t="n"/>
      <c r="W104" s="186" t="n"/>
      <c r="X104" s="186" t="n"/>
      <c r="Y104" s="266" t="n"/>
      <c r="Z104" s="195" t="n"/>
      <c r="AJ104" s="498">
        <f>IFERROR(INDEX('Mapping'!$J$2:$J$110,MATCH(104,'Mapping'!$A$2:$A$110,0)),"")</f>
        <v/>
      </c>
      <c r="AK104" s="499">
        <f>IFERROR(INDEX('Mapping'!$K$2:$K$110,MATCH(104,'Mapping'!$A$2:$A$110,0)),"")</f>
        <v/>
      </c>
      <c r="AL104" s="495">
        <f>IFERROR(INDEX('E-Banker master'!$B$2:$B$186,MATCH($AJ104,'E-Banker master'!$A$2:$A$186,0)),"")</f>
        <v/>
      </c>
      <c r="AM104" s="495">
        <f>IFERROR(INDEX('E-Banker master'!$E$2:$E$186,MATCH($AJ104,'E-Banker master'!$A$2:$A$186,0)),"")</f>
        <v/>
      </c>
      <c r="AN104" s="496">
        <f>IFERROR(INDEX('E-Banker master'!$N$2:$N$186,MATCH($AJ104,'E-Banker master'!$A$2:$A$186,0)),"")</f>
        <v/>
      </c>
      <c r="AO104" s="496">
        <f>IFERROR(INDEX('E-Banker master'!$O$2:$O$186,MATCH($AJ104,'E-Banker master'!$A$2:$A$186,0)),"")</f>
        <v/>
      </c>
      <c r="AP104" s="496">
        <f>IFERROR(INDEX('E-Banker master'!$P$2:$P$186,MATCH($AJ104,'E-Banker master'!$A$2:$A$186,0)),"")</f>
        <v/>
      </c>
      <c r="AQ104" s="496">
        <f>IF(OR($AJ104="",AP104=""),"",R104-AP104)</f>
        <v/>
      </c>
    </row>
    <row r="105">
      <c r="A105" s="408" t="n"/>
      <c r="B105" s="408" t="n"/>
      <c r="C105" s="408" t="n"/>
      <c r="D105" s="392" t="n">
        <v>101</v>
      </c>
      <c r="E105" s="353" t="inlineStr">
        <is>
          <t>Hortinet Foods Ltd MAIIC</t>
        </is>
      </c>
      <c r="F105" s="186" t="inlineStr">
        <is>
          <t>Debt</t>
        </is>
      </c>
      <c r="G105" s="187">
        <f>'Amortisation and Repayments'!C5425</f>
        <v/>
      </c>
      <c r="H105" s="187">
        <f>'Amortisation and Repayments'!D5472</f>
        <v/>
      </c>
      <c r="I105" s="188" t="n">
        <v>4</v>
      </c>
      <c r="J105" s="192" t="inlineStr">
        <is>
          <t>4 (Cap+Int)</t>
        </is>
      </c>
      <c r="K105" s="179" t="n">
        <v>10</v>
      </c>
      <c r="L105" s="186">
        <f>'Amortisation and Repayments'!F5425</f>
        <v/>
      </c>
      <c r="M105" s="190">
        <f>L105</f>
        <v/>
      </c>
      <c r="N105" s="186" t="n">
        <v>0</v>
      </c>
      <c r="O105" s="191">
        <f>M105</f>
        <v/>
      </c>
      <c r="P105" s="186">
        <f>SUM('Amortisation and Repayments'!H5425:H5428)</f>
        <v/>
      </c>
      <c r="Q105" s="186">
        <f>SUM('Amortisation and Repayments'!K5425:K5427)</f>
        <v/>
      </c>
      <c r="R105" s="302">
        <f>SUM(O105:Q105)</f>
        <v/>
      </c>
      <c r="S105" s="235" t="n"/>
      <c r="T105" s="235" t="n"/>
      <c r="U105" s="409">
        <f>+SUM(S105:T105)</f>
        <v/>
      </c>
      <c r="V105" s="195" t="n"/>
      <c r="W105" s="186" t="n"/>
      <c r="X105" s="186" t="n"/>
      <c r="Y105" s="266" t="n"/>
      <c r="Z105" s="195" t="n"/>
      <c r="AJ105" s="498">
        <f>IFERROR(INDEX('Mapping'!$J$2:$J$110,MATCH(105,'Mapping'!$A$2:$A$110,0)),"")</f>
        <v/>
      </c>
      <c r="AK105" s="499">
        <f>IFERROR(INDEX('Mapping'!$K$2:$K$110,MATCH(105,'Mapping'!$A$2:$A$110,0)),"")</f>
        <v/>
      </c>
      <c r="AL105" s="495">
        <f>IFERROR(INDEX('E-Banker master'!$B$2:$B$186,MATCH($AJ105,'E-Banker master'!$A$2:$A$186,0)),"")</f>
        <v/>
      </c>
      <c r="AM105" s="495">
        <f>IFERROR(INDEX('E-Banker master'!$E$2:$E$186,MATCH($AJ105,'E-Banker master'!$A$2:$A$186,0)),"")</f>
        <v/>
      </c>
      <c r="AN105" s="496">
        <f>IFERROR(INDEX('E-Banker master'!$N$2:$N$186,MATCH($AJ105,'E-Banker master'!$A$2:$A$186,0)),"")</f>
        <v/>
      </c>
      <c r="AO105" s="496">
        <f>IFERROR(INDEX('E-Banker master'!$O$2:$O$186,MATCH($AJ105,'E-Banker master'!$A$2:$A$186,0)),"")</f>
        <v/>
      </c>
      <c r="AP105" s="496">
        <f>IFERROR(INDEX('E-Banker master'!$P$2:$P$186,MATCH($AJ105,'E-Banker master'!$A$2:$A$186,0)),"")</f>
        <v/>
      </c>
      <c r="AQ105" s="496">
        <f>IF(OR($AJ105="",AP105=""),"",R105-AP105)</f>
        <v/>
      </c>
    </row>
    <row r="106">
      <c r="A106" s="408" t="n"/>
      <c r="B106" s="408" t="n"/>
      <c r="C106" s="408" t="n"/>
      <c r="D106" s="426" t="n">
        <v>102</v>
      </c>
      <c r="E106" s="353" t="inlineStr">
        <is>
          <t>Chimwemwe Mafeni Transport</t>
        </is>
      </c>
      <c r="F106" s="186" t="inlineStr">
        <is>
          <t>Debt</t>
        </is>
      </c>
      <c r="G106" s="187">
        <f>'Amortisation and Repayments'!C5488</f>
        <v/>
      </c>
      <c r="H106" s="187">
        <f>'Amortisation and Repayments'!D5547</f>
        <v/>
      </c>
      <c r="I106" s="188" t="n">
        <v>5</v>
      </c>
      <c r="J106" s="192" t="inlineStr">
        <is>
          <t>12 (Cap+Int)</t>
        </is>
      </c>
      <c r="K106" s="179" t="n">
        <v>10</v>
      </c>
      <c r="L106" s="186">
        <f>'Amortisation and Repayments'!D5479</f>
        <v/>
      </c>
      <c r="M106" s="190">
        <f>'Amortisation and Repayments'!D5479</f>
        <v/>
      </c>
      <c r="N106" s="186" t="n"/>
      <c r="O106" s="191">
        <f>M106</f>
        <v/>
      </c>
      <c r="P106" s="186">
        <f>SUM('Amortisation and Repayments'!H5488)</f>
        <v/>
      </c>
      <c r="Q106" s="186" t="n"/>
      <c r="R106" s="302">
        <f>SUM(O106:Q106)</f>
        <v/>
      </c>
      <c r="S106" s="235" t="n"/>
      <c r="T106" s="235" t="n"/>
      <c r="U106" s="409" t="n"/>
      <c r="V106" s="195" t="n"/>
      <c r="W106" s="186" t="n"/>
      <c r="X106" s="186" t="n"/>
      <c r="Y106" s="266" t="n"/>
      <c r="Z106" s="195" t="n"/>
      <c r="AJ106" s="498">
        <f>IFERROR(INDEX('Mapping'!$J$2:$J$110,MATCH(106,'Mapping'!$A$2:$A$110,0)),"")</f>
        <v/>
      </c>
      <c r="AK106" s="499">
        <f>IFERROR(INDEX('Mapping'!$K$2:$K$110,MATCH(106,'Mapping'!$A$2:$A$110,0)),"")</f>
        <v/>
      </c>
      <c r="AL106" s="495">
        <f>IFERROR(INDEX('E-Banker master'!$B$2:$B$186,MATCH($AJ106,'E-Banker master'!$A$2:$A$186,0)),"")</f>
        <v/>
      </c>
      <c r="AM106" s="495">
        <f>IFERROR(INDEX('E-Banker master'!$E$2:$E$186,MATCH($AJ106,'E-Banker master'!$A$2:$A$186,0)),"")</f>
        <v/>
      </c>
      <c r="AN106" s="496">
        <f>IFERROR(INDEX('E-Banker master'!$N$2:$N$186,MATCH($AJ106,'E-Banker master'!$A$2:$A$186,0)),"")</f>
        <v/>
      </c>
      <c r="AO106" s="496">
        <f>IFERROR(INDEX('E-Banker master'!$O$2:$O$186,MATCH($AJ106,'E-Banker master'!$A$2:$A$186,0)),"")</f>
        <v/>
      </c>
      <c r="AP106" s="496">
        <f>IFERROR(INDEX('E-Banker master'!$P$2:$P$186,MATCH($AJ106,'E-Banker master'!$A$2:$A$186,0)),"")</f>
        <v/>
      </c>
      <c r="AQ106" s="496">
        <f>IF(OR($AJ106="",AP106=""),"",R106-AP106)</f>
        <v/>
      </c>
    </row>
    <row r="107">
      <c r="A107" s="408" t="n"/>
      <c r="B107" s="408" t="n"/>
      <c r="C107" s="408" t="n"/>
      <c r="D107" s="392" t="n">
        <v>103</v>
      </c>
      <c r="E107" s="353" t="inlineStr">
        <is>
          <t>Agwenda Investment Limited</t>
        </is>
      </c>
      <c r="F107" s="186" t="inlineStr">
        <is>
          <t>Debt</t>
        </is>
      </c>
      <c r="G107" s="187">
        <f>'Amortisation and Repayments'!C5564</f>
        <v/>
      </c>
      <c r="H107" s="187">
        <f>'Amortisation and Repayments'!D5588</f>
        <v/>
      </c>
      <c r="I107" s="188" t="n">
        <v>2</v>
      </c>
      <c r="J107" s="192" t="inlineStr">
        <is>
          <t>3 (Cap+Int)</t>
        </is>
      </c>
      <c r="K107" s="179" t="n">
        <v>33</v>
      </c>
      <c r="L107" s="186" t="n">
        <v>50000000</v>
      </c>
      <c r="M107" s="190">
        <f>'Amortisation and Repayments'!D5555</f>
        <v/>
      </c>
      <c r="N107" s="186">
        <f>L107-M107</f>
        <v/>
      </c>
      <c r="O107" s="191">
        <f>M107</f>
        <v/>
      </c>
      <c r="P107" s="186">
        <f>SUM('Amortisation and Repayments'!H5564)</f>
        <v/>
      </c>
      <c r="Q107" s="186" t="n"/>
      <c r="R107" s="302">
        <f>SUM(O107:Q107)</f>
        <v/>
      </c>
      <c r="S107" s="235" t="n"/>
      <c r="T107" s="235" t="n"/>
      <c r="U107" s="409" t="n"/>
      <c r="V107" s="195" t="n"/>
      <c r="W107" s="186" t="n"/>
      <c r="X107" s="186" t="n"/>
      <c r="Y107" s="266" t="n"/>
      <c r="Z107" s="195" t="n"/>
      <c r="AJ107" s="498">
        <f>IFERROR(INDEX('Mapping'!$J$2:$J$110,MATCH(107,'Mapping'!$A$2:$A$110,0)),"")</f>
        <v/>
      </c>
      <c r="AK107" s="499">
        <f>IFERROR(INDEX('Mapping'!$K$2:$K$110,MATCH(107,'Mapping'!$A$2:$A$110,0)),"")</f>
        <v/>
      </c>
      <c r="AL107" s="495">
        <f>IFERROR(INDEX('E-Banker master'!$B$2:$B$186,MATCH($AJ107,'E-Banker master'!$A$2:$A$186,0)),"")</f>
        <v/>
      </c>
      <c r="AM107" s="495">
        <f>IFERROR(INDEX('E-Banker master'!$E$2:$E$186,MATCH($AJ107,'E-Banker master'!$A$2:$A$186,0)),"")</f>
        <v/>
      </c>
      <c r="AN107" s="496">
        <f>IFERROR(INDEX('E-Banker master'!$N$2:$N$186,MATCH($AJ107,'E-Banker master'!$A$2:$A$186,0)),"")</f>
        <v/>
      </c>
      <c r="AO107" s="496">
        <f>IFERROR(INDEX('E-Banker master'!$O$2:$O$186,MATCH($AJ107,'E-Banker master'!$A$2:$A$186,0)),"")</f>
        <v/>
      </c>
      <c r="AP107" s="496">
        <f>IFERROR(INDEX('E-Banker master'!$P$2:$P$186,MATCH($AJ107,'E-Banker master'!$A$2:$A$186,0)),"")</f>
        <v/>
      </c>
      <c r="AQ107" s="496">
        <f>IF(OR($AJ107="",AP107=""),"",R107-AP107)</f>
        <v/>
      </c>
    </row>
    <row r="108">
      <c r="A108" s="408" t="n"/>
      <c r="B108" s="408" t="n"/>
      <c r="C108" s="408" t="n"/>
      <c r="D108" s="392" t="n"/>
      <c r="E108" s="175" t="n"/>
      <c r="F108" s="186" t="n"/>
      <c r="G108" s="187" t="n"/>
      <c r="H108" s="187" t="n"/>
      <c r="I108" s="188" t="n"/>
      <c r="J108" s="192" t="n"/>
      <c r="K108" s="179" t="n"/>
      <c r="L108" s="186" t="n"/>
      <c r="M108" s="190">
        <f>L108</f>
        <v/>
      </c>
      <c r="N108" s="186" t="n"/>
      <c r="O108" s="191">
        <f>M108</f>
        <v/>
      </c>
      <c r="P108" s="186" t="n"/>
      <c r="Q108" s="186" t="n"/>
      <c r="R108" s="302">
        <f>SUM(O108:Q108)</f>
        <v/>
      </c>
      <c r="S108" s="235" t="n"/>
      <c r="T108" s="235" t="n"/>
      <c r="U108" s="191" t="n"/>
      <c r="V108" s="195" t="n"/>
      <c r="W108" s="186" t="n"/>
      <c r="X108" s="186" t="n"/>
      <c r="Y108" s="266" t="n"/>
      <c r="Z108" s="195" t="n"/>
      <c r="AJ108" s="408" t="n"/>
      <c r="AK108" s="147" t="n"/>
    </row>
    <row r="109" ht="12" customHeight="1" thickBot="1">
      <c r="D109" s="452" t="n"/>
      <c r="E109" s="453" t="n"/>
      <c r="F109" s="453" t="n"/>
      <c r="G109" s="454" t="n"/>
      <c r="H109" s="454" t="n"/>
      <c r="I109" s="454" t="n"/>
      <c r="J109" s="454" t="n"/>
      <c r="K109" s="454" t="n"/>
      <c r="L109" s="455">
        <f>SUM(L5:L108)</f>
        <v/>
      </c>
      <c r="M109" s="455">
        <f>SUM(M5:M108)</f>
        <v/>
      </c>
      <c r="N109" s="455">
        <f>SUM(N5:N108)</f>
        <v/>
      </c>
      <c r="O109" s="455">
        <f>SUM(O5:O108)</f>
        <v/>
      </c>
      <c r="P109" s="455">
        <f>SUM(P5:P108)</f>
        <v/>
      </c>
      <c r="Q109" s="455">
        <f>SUM(Q5:Q108)</f>
        <v/>
      </c>
      <c r="R109" s="455">
        <f>SUM(R5:R108)</f>
        <v/>
      </c>
      <c r="S109" s="455">
        <f>SUM(S5:S108)</f>
        <v/>
      </c>
      <c r="T109" s="455">
        <f>SUM(T5:T108)</f>
        <v/>
      </c>
      <c r="U109" s="455">
        <f>SUM(U5:U108)</f>
        <v/>
      </c>
      <c r="V109" s="455">
        <f>SUM(V5:V108)</f>
        <v/>
      </c>
      <c r="W109" s="455">
        <f>SUM(W5:W108)</f>
        <v/>
      </c>
      <c r="X109" s="455">
        <f>SUM(X5:X108)</f>
        <v/>
      </c>
      <c r="Y109" s="455">
        <f>SUM(Y5:Y108)</f>
        <v/>
      </c>
      <c r="Z109" s="455">
        <f>SUM(Z5:Z108)</f>
        <v/>
      </c>
      <c r="AJ109" s="408" t="n"/>
      <c r="AK109" s="147" t="n"/>
    </row>
    <row r="110">
      <c r="D110" s="153" t="n"/>
      <c r="F110" s="154" t="n"/>
      <c r="G110" s="154" t="n"/>
      <c r="H110" s="154" t="n"/>
      <c r="I110" s="154" t="n"/>
      <c r="J110" s="154" t="n"/>
      <c r="K110" s="154" t="n"/>
      <c r="L110" s="154" t="n"/>
      <c r="M110" s="262" t="n"/>
      <c r="N110" s="262" t="n"/>
      <c r="O110" s="154" t="n"/>
      <c r="P110" s="154" t="n"/>
      <c r="Q110" s="154" t="n"/>
      <c r="R110" s="362" t="n"/>
      <c r="S110" s="451" t="n"/>
      <c r="T110" s="451" t="n"/>
      <c r="U110" s="355" t="n"/>
      <c r="V110" s="154" t="n"/>
      <c r="W110" s="154" t="n"/>
      <c r="X110" s="154" t="n"/>
      <c r="Y110" s="154" t="n"/>
      <c r="Z110" s="154" t="n"/>
      <c r="AJ110" s="408" t="n"/>
      <c r="AK110" s="147" t="n"/>
    </row>
    <row r="111" ht="14.5" customHeight="1">
      <c r="A111" s="408" t="n"/>
      <c r="B111" s="408" t="n"/>
      <c r="C111" s="408" t="n"/>
      <c r="D111" s="193" t="n">
        <v>1</v>
      </c>
      <c r="E111" s="175" t="inlineStr">
        <is>
          <t>MMC Limited</t>
        </is>
      </c>
      <c r="F111" s="186" t="inlineStr">
        <is>
          <t>Equity</t>
        </is>
      </c>
      <c r="G111" s="187" t="n">
        <v>44918</v>
      </c>
      <c r="H111" s="186" t="n"/>
      <c r="I111" s="188" t="n"/>
      <c r="J111" s="192" t="n"/>
      <c r="K111" s="179" t="n"/>
      <c r="L111" s="186" t="n">
        <v>819476000</v>
      </c>
      <c r="M111" s="190" t="n">
        <v>819476000</v>
      </c>
      <c r="N111" s="186">
        <f>L111-M111</f>
        <v/>
      </c>
      <c r="O111" s="191">
        <f>M111</f>
        <v/>
      </c>
      <c r="P111" s="194" t="n"/>
      <c r="Q111" s="194" t="n"/>
      <c r="R111" s="441">
        <f>SUM(O111:Q111)</f>
        <v/>
      </c>
      <c r="S111" s="505" t="n"/>
      <c r="T111" s="506" t="n"/>
      <c r="U111" s="442" t="n"/>
      <c r="V111" s="195" t="n"/>
      <c r="W111" s="186" t="n"/>
      <c r="X111" s="186" t="n"/>
      <c r="Y111" s="186" t="n"/>
      <c r="Z111" s="195" t="n"/>
      <c r="AA111" s="41" t="n"/>
      <c r="AB111" s="41" t="n"/>
      <c r="AC111" s="41" t="n"/>
      <c r="AD111" s="41" t="n"/>
      <c r="AE111" s="41" t="n"/>
      <c r="AF111" s="41" t="n"/>
      <c r="AG111" s="41" t="n"/>
      <c r="AH111" s="41" t="n"/>
      <c r="AJ111" s="498">
        <f>IFERROR(INDEX('Mapping'!$J$2:$J$110,MATCH(111,'Mapping'!$A$2:$A$110,0)),"")</f>
        <v/>
      </c>
      <c r="AK111" s="499">
        <f>IFERROR(INDEX('Mapping'!$K$2:$K$110,MATCH(111,'Mapping'!$A$2:$A$110,0)),"")</f>
        <v/>
      </c>
      <c r="AL111" s="495">
        <f>IFERROR(INDEX('E-Banker master'!$B$2:$B$186,MATCH($AJ111,'E-Banker master'!$A$2:$A$186,0)),"")</f>
        <v/>
      </c>
      <c r="AM111" s="495">
        <f>IFERROR(INDEX('E-Banker master'!$E$2:$E$186,MATCH($AJ111,'E-Banker master'!$A$2:$A$186,0)),"")</f>
        <v/>
      </c>
      <c r="AN111" s="496">
        <f>IFERROR(INDEX('E-Banker master'!$N$2:$N$186,MATCH($AJ111,'E-Banker master'!$A$2:$A$186,0)),"")</f>
        <v/>
      </c>
      <c r="AO111" s="496">
        <f>IFERROR(INDEX('E-Banker master'!$O$2:$O$186,MATCH($AJ111,'E-Banker master'!$A$2:$A$186,0)),"")</f>
        <v/>
      </c>
      <c r="AP111" s="496">
        <f>IFERROR(INDEX('E-Banker master'!$P$2:$P$186,MATCH($AJ111,'E-Banker master'!$A$2:$A$186,0)),"")</f>
        <v/>
      </c>
      <c r="AQ111" s="496">
        <f>IF(OR($AJ111="",AP111=""),"",R111-AP111)</f>
        <v/>
      </c>
    </row>
    <row r="112">
      <c r="A112" s="408" t="n"/>
      <c r="B112" s="408" t="n"/>
      <c r="C112" s="408" t="n"/>
      <c r="D112" s="193" t="n">
        <v>2</v>
      </c>
      <c r="E112" s="175" t="inlineStr">
        <is>
          <t>Wi Jays Enterprises</t>
        </is>
      </c>
      <c r="F112" s="186" t="inlineStr">
        <is>
          <t>Equity</t>
        </is>
      </c>
      <c r="G112" s="187" t="n">
        <v>44918</v>
      </c>
      <c r="H112" s="186" t="n"/>
      <c r="I112" s="188" t="n"/>
      <c r="J112" s="192" t="n"/>
      <c r="K112" s="179" t="n"/>
      <c r="L112" s="186" t="n">
        <v>177939650</v>
      </c>
      <c r="M112" s="190" t="n">
        <v>177939650</v>
      </c>
      <c r="N112" s="186">
        <f>L112-M112</f>
        <v/>
      </c>
      <c r="O112" s="191">
        <f>M112</f>
        <v/>
      </c>
      <c r="P112" s="194" t="n">
        <v>32126085</v>
      </c>
      <c r="Q112" s="194" t="n"/>
      <c r="R112" s="302">
        <f>SUM(O112:Q112)</f>
        <v/>
      </c>
      <c r="S112" s="186" t="n"/>
      <c r="T112" s="186" t="n"/>
      <c r="U112" s="307" t="n"/>
      <c r="V112" s="195" t="n"/>
      <c r="W112" s="186" t="n"/>
      <c r="X112" s="186" t="n"/>
      <c r="Y112" s="186" t="n"/>
      <c r="Z112" s="195" t="n"/>
      <c r="AA112" s="41" t="n"/>
      <c r="AB112" s="41" t="n"/>
      <c r="AC112" s="41" t="n"/>
      <c r="AD112" s="41" t="n"/>
      <c r="AE112" s="41" t="n"/>
      <c r="AF112" s="41" t="n"/>
      <c r="AG112" s="41" t="n"/>
      <c r="AH112" s="41" t="n"/>
      <c r="AJ112" s="498">
        <f>IFERROR(INDEX('Mapping'!$J$2:$J$110,MATCH(112,'Mapping'!$A$2:$A$110,0)),"")</f>
        <v/>
      </c>
      <c r="AK112" s="499">
        <f>IFERROR(INDEX('Mapping'!$K$2:$K$110,MATCH(112,'Mapping'!$A$2:$A$110,0)),"")</f>
        <v/>
      </c>
      <c r="AL112" s="495">
        <f>IFERROR(INDEX('E-Banker master'!$B$2:$B$186,MATCH($AJ112,'E-Banker master'!$A$2:$A$186,0)),"")</f>
        <v/>
      </c>
      <c r="AM112" s="495">
        <f>IFERROR(INDEX('E-Banker master'!$E$2:$E$186,MATCH($AJ112,'E-Banker master'!$A$2:$A$186,0)),"")</f>
        <v/>
      </c>
      <c r="AN112" s="496">
        <f>IFERROR(INDEX('E-Banker master'!$N$2:$N$186,MATCH($AJ112,'E-Banker master'!$A$2:$A$186,0)),"")</f>
        <v/>
      </c>
      <c r="AO112" s="496">
        <f>IFERROR(INDEX('E-Banker master'!$O$2:$O$186,MATCH($AJ112,'E-Banker master'!$A$2:$A$186,0)),"")</f>
        <v/>
      </c>
      <c r="AP112" s="496">
        <f>IFERROR(INDEX('E-Banker master'!$P$2:$P$186,MATCH($AJ112,'E-Banker master'!$A$2:$A$186,0)),"")</f>
        <v/>
      </c>
      <c r="AQ112" s="496">
        <f>IF(OR($AJ112="",AP112=""),"",R112-AP112)</f>
        <v/>
      </c>
    </row>
    <row r="113">
      <c r="A113" s="408" t="n"/>
      <c r="B113" s="408" t="n"/>
      <c r="C113" s="408" t="n"/>
      <c r="D113" s="193" t="n">
        <v>3</v>
      </c>
      <c r="E113" s="175" t="inlineStr">
        <is>
          <t>Good Hope</t>
        </is>
      </c>
      <c r="F113" s="186" t="inlineStr">
        <is>
          <t>Equity</t>
        </is>
      </c>
      <c r="G113" s="187" t="n">
        <v>45016</v>
      </c>
      <c r="H113" s="186" t="n"/>
      <c r="I113" s="188" t="n"/>
      <c r="J113" s="192" t="n"/>
      <c r="K113" s="179" t="n"/>
      <c r="L113" s="186" t="n">
        <v>1500000000</v>
      </c>
      <c r="M113" s="190" t="n">
        <v>1500000000</v>
      </c>
      <c r="N113" s="186">
        <f>L113-M113</f>
        <v/>
      </c>
      <c r="O113" s="191">
        <f>M113</f>
        <v/>
      </c>
      <c r="P113" s="194" t="n"/>
      <c r="Q113" s="194">
        <f>-21718750-102656250</f>
        <v/>
      </c>
      <c r="R113" s="302">
        <f>SUM(O113:Q113)</f>
        <v/>
      </c>
      <c r="S113" s="262" t="n"/>
      <c r="T113" s="262" t="n"/>
      <c r="U113" s="261" t="n"/>
      <c r="V113" s="154" t="n"/>
      <c r="W113" s="262" t="n"/>
      <c r="X113" s="262" t="n"/>
      <c r="Y113" s="262" t="n"/>
      <c r="Z113" s="154" t="n"/>
      <c r="AJ113" s="498">
        <f>IFERROR(INDEX('Mapping'!$J$2:$J$110,MATCH(113,'Mapping'!$A$2:$A$110,0)),"")</f>
        <v/>
      </c>
      <c r="AK113" s="499">
        <f>IFERROR(INDEX('Mapping'!$K$2:$K$110,MATCH(113,'Mapping'!$A$2:$A$110,0)),"")</f>
        <v/>
      </c>
      <c r="AL113" s="495">
        <f>IFERROR(INDEX('E-Banker master'!$B$2:$B$186,MATCH($AJ113,'E-Banker master'!$A$2:$A$186,0)),"")</f>
        <v/>
      </c>
      <c r="AM113" s="495">
        <f>IFERROR(INDEX('E-Banker master'!$E$2:$E$186,MATCH($AJ113,'E-Banker master'!$A$2:$A$186,0)),"")</f>
        <v/>
      </c>
      <c r="AN113" s="496">
        <f>IFERROR(INDEX('E-Banker master'!$N$2:$N$186,MATCH($AJ113,'E-Banker master'!$A$2:$A$186,0)),"")</f>
        <v/>
      </c>
      <c r="AO113" s="496">
        <f>IFERROR(INDEX('E-Banker master'!$O$2:$O$186,MATCH($AJ113,'E-Banker master'!$A$2:$A$186,0)),"")</f>
        <v/>
      </c>
      <c r="AP113" s="496">
        <f>IFERROR(INDEX('E-Banker master'!$P$2:$P$186,MATCH($AJ113,'E-Banker master'!$A$2:$A$186,0)),"")</f>
        <v/>
      </c>
      <c r="AQ113" s="496">
        <f>IF(OR($AJ113="",AP113=""),"",R113-AP113)</f>
        <v/>
      </c>
    </row>
    <row r="114">
      <c r="A114" s="408" t="n"/>
      <c r="B114" s="408" t="n"/>
      <c r="C114" s="408" t="n"/>
      <c r="D114" s="193" t="n">
        <v>4</v>
      </c>
      <c r="E114" s="353" t="inlineStr">
        <is>
          <t>NASCOMEX Limited</t>
        </is>
      </c>
      <c r="F114" s="186" t="inlineStr">
        <is>
          <t>Equity</t>
        </is>
      </c>
      <c r="G114" s="187" t="n">
        <v>45443</v>
      </c>
      <c r="H114" s="186" t="n"/>
      <c r="I114" s="188" t="n"/>
      <c r="J114" s="192" t="n"/>
      <c r="K114" s="179" t="n"/>
      <c r="L114" s="186" t="n">
        <v>2500000000</v>
      </c>
      <c r="M114" s="190" t="n">
        <v>2500000000</v>
      </c>
      <c r="N114" s="186">
        <f>L114-M114</f>
        <v/>
      </c>
      <c r="O114" s="191">
        <f>M114</f>
        <v/>
      </c>
      <c r="P114" s="194" t="n"/>
      <c r="Q114" s="194" t="n"/>
      <c r="R114" s="302">
        <f>SUM(O114:Q114)</f>
        <v/>
      </c>
      <c r="S114" s="262" t="n"/>
      <c r="T114" s="408" t="n"/>
      <c r="U114" s="261" t="n"/>
      <c r="V114" s="255" t="n"/>
      <c r="W114" s="262" t="n"/>
      <c r="X114" s="262" t="n"/>
      <c r="Y114" s="262" t="n"/>
      <c r="Z114" s="154" t="n"/>
      <c r="AJ114" s="498">
        <f>IFERROR(INDEX('Mapping'!$J$2:$J$110,MATCH(114,'Mapping'!$A$2:$A$110,0)),"")</f>
        <v/>
      </c>
      <c r="AK114" s="499">
        <f>IFERROR(INDEX('Mapping'!$K$2:$K$110,MATCH(114,'Mapping'!$A$2:$A$110,0)),"")</f>
        <v/>
      </c>
      <c r="AL114" s="495">
        <f>IFERROR(INDEX('E-Banker master'!$B$2:$B$186,MATCH($AJ114,'E-Banker master'!$A$2:$A$186,0)),"")</f>
        <v/>
      </c>
      <c r="AM114" s="495">
        <f>IFERROR(INDEX('E-Banker master'!$E$2:$E$186,MATCH($AJ114,'E-Banker master'!$A$2:$A$186,0)),"")</f>
        <v/>
      </c>
      <c r="AN114" s="496">
        <f>IFERROR(INDEX('E-Banker master'!$N$2:$N$186,MATCH($AJ114,'E-Banker master'!$A$2:$A$186,0)),"")</f>
        <v/>
      </c>
      <c r="AO114" s="496">
        <f>IFERROR(INDEX('E-Banker master'!$O$2:$O$186,MATCH($AJ114,'E-Banker master'!$A$2:$A$186,0)),"")</f>
        <v/>
      </c>
      <c r="AP114" s="496">
        <f>IFERROR(INDEX('E-Banker master'!$P$2:$P$186,MATCH($AJ114,'E-Banker master'!$A$2:$A$186,0)),"")</f>
        <v/>
      </c>
      <c r="AQ114" s="496">
        <f>IF(OR($AJ114="",AP114=""),"",R114-AP114)</f>
        <v/>
      </c>
    </row>
    <row r="115">
      <c r="A115" s="408" t="n"/>
      <c r="B115" s="408" t="n"/>
      <c r="C115" s="408" t="n"/>
      <c r="D115" s="193" t="n">
        <v>5</v>
      </c>
      <c r="E115" s="175" t="inlineStr">
        <is>
          <t>Natures Gift</t>
        </is>
      </c>
      <c r="F115" s="186" t="inlineStr">
        <is>
          <t>Equity</t>
        </is>
      </c>
      <c r="G115" s="187" t="n">
        <v>45446</v>
      </c>
      <c r="H115" s="186" t="n"/>
      <c r="I115" s="188" t="n"/>
      <c r="J115" s="192" t="n"/>
      <c r="K115" s="179" t="n"/>
      <c r="L115" s="186" t="n">
        <v>500000000</v>
      </c>
      <c r="M115" s="190">
        <f>+L115</f>
        <v/>
      </c>
      <c r="N115" s="186" t="n">
        <v>0</v>
      </c>
      <c r="O115" s="191">
        <f>M115</f>
        <v/>
      </c>
      <c r="P115" s="194" t="n"/>
      <c r="Q115" s="194" t="n"/>
      <c r="R115" s="302">
        <f>SUM(O115:Q115)</f>
        <v/>
      </c>
      <c r="S115" s="262" t="n"/>
      <c r="T115" s="408" t="n"/>
      <c r="U115" s="261" t="n"/>
      <c r="V115" s="255" t="n"/>
      <c r="W115" s="262" t="n"/>
      <c r="X115" s="262" t="n"/>
      <c r="Y115" s="262" t="n"/>
      <c r="Z115" s="154" t="n"/>
      <c r="AJ115" s="498">
        <f>IFERROR(INDEX('Mapping'!$J$2:$J$110,MATCH(115,'Mapping'!$A$2:$A$110,0)),"")</f>
        <v/>
      </c>
      <c r="AK115" s="499">
        <f>IFERROR(INDEX('Mapping'!$K$2:$K$110,MATCH(115,'Mapping'!$A$2:$A$110,0)),"")</f>
        <v/>
      </c>
      <c r="AL115" s="495">
        <f>IFERROR(INDEX('E-Banker master'!$B$2:$B$186,MATCH($AJ115,'E-Banker master'!$A$2:$A$186,0)),"")</f>
        <v/>
      </c>
      <c r="AM115" s="495">
        <f>IFERROR(INDEX('E-Banker master'!$E$2:$E$186,MATCH($AJ115,'E-Banker master'!$A$2:$A$186,0)),"")</f>
        <v/>
      </c>
      <c r="AN115" s="496">
        <f>IFERROR(INDEX('E-Banker master'!$N$2:$N$186,MATCH($AJ115,'E-Banker master'!$A$2:$A$186,0)),"")</f>
        <v/>
      </c>
      <c r="AO115" s="496">
        <f>IFERROR(INDEX('E-Banker master'!$O$2:$O$186,MATCH($AJ115,'E-Banker master'!$A$2:$A$186,0)),"")</f>
        <v/>
      </c>
      <c r="AP115" s="496">
        <f>IFERROR(INDEX('E-Banker master'!$P$2:$P$186,MATCH($AJ115,'E-Banker master'!$A$2:$A$186,0)),"")</f>
        <v/>
      </c>
      <c r="AQ115" s="496">
        <f>IF(OR($AJ115="",AP115=""),"",R115-AP115)</f>
        <v/>
      </c>
    </row>
    <row r="116">
      <c r="A116" s="408" t="n"/>
      <c r="B116" s="408" t="n"/>
      <c r="C116" s="408" t="n"/>
      <c r="D116" s="193" t="n">
        <v>6</v>
      </c>
      <c r="E116" s="353" t="inlineStr">
        <is>
          <t>Small Farm Cities Africa Ltd</t>
        </is>
      </c>
      <c r="F116" s="186" t="inlineStr">
        <is>
          <t>Equity</t>
        </is>
      </c>
      <c r="G116" s="187" t="n">
        <v>45488</v>
      </c>
      <c r="H116" s="186" t="n"/>
      <c r="I116" s="188" t="n"/>
      <c r="J116" s="192" t="n"/>
      <c r="K116" s="179" t="n"/>
      <c r="L116" s="186" t="n">
        <v>250000000</v>
      </c>
      <c r="M116" s="190">
        <f>+L116</f>
        <v/>
      </c>
      <c r="N116" s="186" t="n"/>
      <c r="O116" s="191">
        <f>M116</f>
        <v/>
      </c>
      <c r="P116" s="194" t="n"/>
      <c r="Q116" s="194" t="n"/>
      <c r="R116" s="302">
        <f>SUM(O116:Q116)</f>
        <v/>
      </c>
      <c r="S116" s="262" t="n"/>
      <c r="T116" s="408" t="n"/>
      <c r="U116" s="261" t="n"/>
      <c r="V116" s="255" t="n"/>
      <c r="W116" s="262" t="n"/>
      <c r="X116" s="262" t="n"/>
      <c r="Y116" s="262" t="n"/>
      <c r="Z116" s="154" t="n"/>
      <c r="AJ116" s="498">
        <f>IFERROR(INDEX('Mapping'!$J$2:$J$110,MATCH(116,'Mapping'!$A$2:$A$110,0)),"")</f>
        <v/>
      </c>
      <c r="AK116" s="499">
        <f>IFERROR(INDEX('Mapping'!$K$2:$K$110,MATCH(116,'Mapping'!$A$2:$A$110,0)),"")</f>
        <v/>
      </c>
      <c r="AL116" s="495">
        <f>IFERROR(INDEX('E-Banker master'!$B$2:$B$186,MATCH($AJ116,'E-Banker master'!$A$2:$A$186,0)),"")</f>
        <v/>
      </c>
      <c r="AM116" s="495">
        <f>IFERROR(INDEX('E-Banker master'!$E$2:$E$186,MATCH($AJ116,'E-Banker master'!$A$2:$A$186,0)),"")</f>
        <v/>
      </c>
      <c r="AN116" s="496">
        <f>IFERROR(INDEX('E-Banker master'!$N$2:$N$186,MATCH($AJ116,'E-Banker master'!$A$2:$A$186,0)),"")</f>
        <v/>
      </c>
      <c r="AO116" s="496">
        <f>IFERROR(INDEX('E-Banker master'!$O$2:$O$186,MATCH($AJ116,'E-Banker master'!$A$2:$A$186,0)),"")</f>
        <v/>
      </c>
      <c r="AP116" s="496">
        <f>IFERROR(INDEX('E-Banker master'!$P$2:$P$186,MATCH($AJ116,'E-Banker master'!$A$2:$A$186,0)),"")</f>
        <v/>
      </c>
      <c r="AQ116" s="496">
        <f>IF(OR($AJ116="",AP116=""),"",R116-AP116)</f>
        <v/>
      </c>
    </row>
    <row r="117">
      <c r="A117" s="408" t="n"/>
      <c r="B117" s="408" t="n"/>
      <c r="C117" s="408" t="n"/>
      <c r="D117" s="193" t="n"/>
      <c r="E117" s="353" t="n"/>
      <c r="F117" s="186" t="n"/>
      <c r="G117" s="187" t="n"/>
      <c r="H117" s="186" t="n"/>
      <c r="I117" s="188" t="n"/>
      <c r="J117" s="192" t="n"/>
      <c r="K117" s="179" t="n"/>
      <c r="L117" s="186" t="n"/>
      <c r="M117" s="190" t="n"/>
      <c r="N117" s="186" t="n"/>
      <c r="O117" s="191" t="n"/>
      <c r="P117" s="194" t="n"/>
      <c r="Q117" s="194" t="n"/>
      <c r="R117" s="302" t="n"/>
      <c r="S117" s="262" t="n"/>
      <c r="T117" s="408" t="n"/>
      <c r="U117" s="261" t="n"/>
      <c r="V117" s="255" t="n"/>
      <c r="W117" s="262" t="n"/>
      <c r="X117" s="262" t="n"/>
      <c r="Y117" s="262" t="n"/>
      <c r="Z117" s="154" t="n"/>
      <c r="AJ117" s="408" t="n"/>
      <c r="AK117" s="147" t="n"/>
    </row>
    <row r="118">
      <c r="A118" s="408" t="n"/>
      <c r="B118" s="408" t="n"/>
      <c r="C118" s="408" t="n"/>
      <c r="D118" s="193" t="n"/>
      <c r="E118" s="175" t="n"/>
      <c r="F118" s="186" t="n"/>
      <c r="G118" s="186" t="n"/>
      <c r="H118" s="186" t="n"/>
      <c r="I118" s="188" t="n"/>
      <c r="J118" s="192" t="n"/>
      <c r="K118" s="179" t="n"/>
      <c r="L118" s="191">
        <f>SUM(L111:L116)</f>
        <v/>
      </c>
      <c r="M118" s="191">
        <f>SUM(M111:M116)</f>
        <v/>
      </c>
      <c r="N118" s="191">
        <f>SUM(N111:N116)</f>
        <v/>
      </c>
      <c r="O118" s="191">
        <f>SUM(O111:O116)</f>
        <v/>
      </c>
      <c r="P118" s="191">
        <f>SUM(P111:P116)</f>
        <v/>
      </c>
      <c r="Q118" s="191">
        <f>SUM(Q111:Q116)</f>
        <v/>
      </c>
      <c r="R118" s="302">
        <f>SUM(R111:R116)</f>
        <v/>
      </c>
      <c r="S118" s="262" t="n"/>
      <c r="T118" s="262" t="n"/>
      <c r="U118" s="261" t="n"/>
      <c r="V118" s="154" t="n"/>
      <c r="W118" s="262" t="n"/>
      <c r="X118" s="262" t="n"/>
      <c r="Y118" s="262" t="n"/>
      <c r="Z118" s="154" t="n"/>
      <c r="AJ118" s="408" t="n"/>
      <c r="AK118" s="147" t="n"/>
    </row>
    <row r="119">
      <c r="D119" s="153" t="n"/>
      <c r="F119" s="154" t="n"/>
      <c r="G119" s="154" t="n"/>
      <c r="H119" s="154" t="n"/>
      <c r="I119" s="154" t="n"/>
      <c r="J119" s="154" t="n"/>
      <c r="K119" s="154" t="n"/>
      <c r="L119" s="154" t="n"/>
      <c r="M119" s="262" t="n"/>
      <c r="N119" s="262" t="n"/>
      <c r="O119" s="154" t="n"/>
      <c r="P119" s="154" t="n"/>
      <c r="Q119" s="255" t="n"/>
      <c r="R119" s="431" t="n"/>
      <c r="S119" s="255" t="n"/>
      <c r="T119" s="262" t="n"/>
      <c r="U119" s="203" t="n"/>
      <c r="V119" s="154" t="n"/>
      <c r="W119" s="154" t="n"/>
      <c r="X119" s="154" t="n"/>
      <c r="Y119" s="154" t="n"/>
      <c r="Z119" s="154" t="n"/>
      <c r="AJ119" s="408" t="n"/>
      <c r="AK119" s="147" t="n"/>
    </row>
    <row r="120">
      <c r="D120" s="153" t="n"/>
      <c r="E120" s="196" t="inlineStr">
        <is>
          <t>Total Portfolio</t>
        </is>
      </c>
      <c r="F120" s="197" t="n"/>
      <c r="G120" s="197" t="n"/>
      <c r="H120" s="197" t="n"/>
      <c r="I120" s="197" t="n"/>
      <c r="J120" s="197" t="n"/>
      <c r="K120" s="198" t="n"/>
      <c r="L120" s="507">
        <f>L109+L118</f>
        <v/>
      </c>
      <c r="M120" s="507">
        <f>M109+M118</f>
        <v/>
      </c>
      <c r="N120" s="507">
        <f>N109+N118</f>
        <v/>
      </c>
      <c r="O120" s="507">
        <f>O109+O118</f>
        <v/>
      </c>
      <c r="P120" s="507">
        <f>P109+P118</f>
        <v/>
      </c>
      <c r="Q120" s="191">
        <f>Q109+Q118</f>
        <v/>
      </c>
      <c r="R120" s="508">
        <f>R109+R118</f>
        <v/>
      </c>
      <c r="S120" s="154" t="n"/>
      <c r="T120" s="391" t="n"/>
      <c r="U120" s="355" t="n"/>
      <c r="V120" s="154" t="n"/>
      <c r="W120" s="200" t="n"/>
      <c r="X120" s="200">
        <f>X109/U109</f>
        <v/>
      </c>
      <c r="Y120" s="200">
        <f>Y109/U109</f>
        <v/>
      </c>
      <c r="Z120" s="154" t="n"/>
      <c r="AJ120" s="408" t="n"/>
      <c r="AK120" s="147" t="n"/>
    </row>
    <row r="121" ht="12" customHeight="1" thickBot="1">
      <c r="D121" s="153" t="n"/>
      <c r="F121" s="154" t="n"/>
      <c r="G121" s="154" t="n"/>
      <c r="H121" s="154" t="n"/>
      <c r="I121" s="154" t="n"/>
      <c r="J121" s="154" t="n"/>
      <c r="K121" s="154" t="n"/>
      <c r="L121" s="154" t="n"/>
      <c r="M121" s="262" t="n"/>
      <c r="N121" s="262" t="n"/>
      <c r="O121" s="154" t="n"/>
      <c r="P121" s="154" t="n"/>
      <c r="Q121" s="154" t="n"/>
      <c r="R121" s="259" t="n"/>
      <c r="S121" s="154" t="n"/>
      <c r="T121" s="262" t="n"/>
      <c r="U121" s="203" t="n"/>
      <c r="V121" s="154" t="n"/>
      <c r="W121" s="154" t="n"/>
      <c r="X121" s="154" t="n"/>
      <c r="Y121" s="154" t="n"/>
      <c r="Z121" s="154" t="n"/>
      <c r="AJ121" s="408" t="n"/>
      <c r="AK121" s="147" t="n"/>
    </row>
    <row r="122" ht="12" customHeight="1" thickBot="1">
      <c r="D122" s="153" t="n"/>
      <c r="F122" s="154" t="n"/>
      <c r="G122" s="154" t="n"/>
      <c r="H122" s="154" t="n"/>
      <c r="I122" s="154" t="n"/>
      <c r="J122" s="154" t="n"/>
      <c r="K122" s="154" t="n"/>
      <c r="L122" s="154" t="n"/>
      <c r="M122" s="262" t="n"/>
      <c r="N122" s="262" t="n"/>
      <c r="O122" s="255" t="n"/>
      <c r="P122" s="154" t="n"/>
      <c r="Q122" s="201" t="inlineStr">
        <is>
          <t>TOTAL NPLs</t>
        </is>
      </c>
      <c r="R122" s="509">
        <f>R7+R10+R13+R17+R27+R9+R22+R46+R51+R20+R54+R16</f>
        <v/>
      </c>
      <c r="S122" s="262" t="n"/>
      <c r="T122" s="262" t="n"/>
      <c r="U122" s="510" t="n"/>
      <c r="V122" s="154" t="n"/>
      <c r="W122" s="154" t="n"/>
      <c r="X122" s="203" t="n"/>
      <c r="Y122" s="204" t="n"/>
      <c r="Z122" s="154" t="n"/>
      <c r="AJ122" s="408" t="n"/>
      <c r="AK122" s="147" t="n"/>
    </row>
    <row r="123" ht="12" customHeight="1" thickBot="1">
      <c r="D123" s="153" t="n"/>
      <c r="F123" s="154" t="n"/>
      <c r="G123" s="154" t="n"/>
      <c r="H123" s="154" t="n"/>
      <c r="I123" s="154" t="n"/>
      <c r="J123" s="154" t="n"/>
      <c r="K123" s="154" t="n"/>
      <c r="L123" s="154" t="n"/>
      <c r="M123" s="262" t="n"/>
      <c r="N123" s="262" t="n"/>
      <c r="O123" s="154" t="n"/>
      <c r="P123" s="154" t="n"/>
      <c r="Q123" s="205" t="n"/>
      <c r="R123" s="259" t="n"/>
      <c r="S123" s="154" t="n"/>
      <c r="T123" s="355" t="n"/>
      <c r="U123" s="203" t="n"/>
      <c r="V123" s="154" t="n"/>
      <c r="W123" s="154" t="n"/>
      <c r="X123" s="154" t="n"/>
      <c r="Y123" s="154" t="n"/>
      <c r="Z123" s="154" t="n"/>
      <c r="AJ123" s="408" t="n"/>
      <c r="AK123" s="147" t="n"/>
    </row>
    <row r="124" ht="12" customHeight="1" thickBot="1">
      <c r="D124" s="153" t="n"/>
      <c r="F124" s="154" t="n"/>
      <c r="G124" s="154" t="n"/>
      <c r="H124" s="154" t="n"/>
      <c r="I124" s="154" t="n"/>
      <c r="J124" s="154" t="n"/>
      <c r="K124" s="154" t="n"/>
      <c r="L124" s="154" t="n"/>
      <c r="M124" s="262" t="n"/>
      <c r="N124" s="262" t="n"/>
      <c r="O124" s="154" t="n"/>
      <c r="P124" s="154" t="n"/>
      <c r="Q124" s="205" t="inlineStr">
        <is>
          <t>NPL RATIO</t>
        </is>
      </c>
      <c r="R124" s="365">
        <f>R122/R109</f>
        <v/>
      </c>
      <c r="S124" s="154" t="n"/>
      <c r="T124" s="511" t="n"/>
      <c r="U124" s="510" t="n"/>
      <c r="V124" s="154" t="n"/>
      <c r="W124" s="154" t="n"/>
      <c r="X124" s="154" t="n"/>
      <c r="Y124" s="206" t="n"/>
      <c r="Z124" s="154" t="n"/>
      <c r="AJ124" s="408" t="n"/>
      <c r="AK124" s="147" t="n"/>
    </row>
    <row r="125" ht="12" customHeight="1" thickBot="1">
      <c r="T125" s="491" t="n"/>
      <c r="U125" s="512" t="n"/>
      <c r="AJ125" s="408" t="n"/>
      <c r="AK125" s="147" t="n"/>
    </row>
    <row r="126" ht="23.5" customHeight="1" thickBot="1">
      <c r="Q126" s="221" t="inlineStr">
        <is>
          <t>Open Asset Exposure Ratio</t>
        </is>
      </c>
      <c r="R126" s="366">
        <f>S126/T126</f>
        <v/>
      </c>
      <c r="S126" s="491" t="n"/>
      <c r="T126" s="491" t="n"/>
      <c r="U126" s="512" t="n"/>
      <c r="AJ126" s="408" t="n"/>
      <c r="AK126" s="147" t="n"/>
    </row>
    <row r="127">
      <c r="O127" s="491" t="n"/>
      <c r="AJ127" s="408" t="n"/>
      <c r="AK127" s="147" t="n"/>
    </row>
    <row r="128">
      <c r="O128" s="491" t="n"/>
      <c r="AJ128" s="408" t="n"/>
      <c r="AK128" s="147" t="n"/>
    </row>
    <row r="129" outlineLevel="1">
      <c r="O129" s="147" t="n"/>
      <c r="AJ129" s="408" t="n"/>
      <c r="AK129" s="147" t="n"/>
    </row>
    <row r="130" outlineLevel="1" ht="12" customHeight="1" thickBot="1">
      <c r="AJ130" s="408" t="n"/>
    </row>
    <row r="131" outlineLevel="1" ht="37.25" customHeight="1" thickBot="1">
      <c r="M131" s="104" t="n"/>
      <c r="N131" s="105" t="n"/>
      <c r="O131" s="106" t="inlineStr">
        <is>
          <t>Watch listed exposures</t>
        </is>
      </c>
      <c r="P131" s="106" t="inlineStr">
        <is>
          <t>Non -Defaulted exposures</t>
        </is>
      </c>
      <c r="Q131" s="105" t="inlineStr">
        <is>
          <t>Total exposure</t>
        </is>
      </c>
      <c r="R131" s="367" t="inlineStr">
        <is>
          <t>Total Provision</t>
        </is>
      </c>
      <c r="AJ131" s="408" t="n"/>
    </row>
    <row r="132" outlineLevel="1" ht="38" customHeight="1" thickBot="1">
      <c r="M132" s="99" t="inlineStr">
        <is>
          <t>On Balance sheet exposures</t>
        </is>
      </c>
      <c r="N132" s="100" t="n"/>
      <c r="O132" s="100" t="n"/>
      <c r="P132" s="100" t="n"/>
      <c r="Q132" s="100" t="n"/>
      <c r="R132" s="368" t="n"/>
      <c r="AJ132" s="408" t="n"/>
    </row>
    <row r="133" outlineLevel="1" ht="38" customHeight="1" thickBot="1">
      <c r="M133" s="99" t="inlineStr">
        <is>
          <t>Off Balance Sheet Exposures</t>
        </is>
      </c>
      <c r="N133" s="101" t="n"/>
      <c r="O133" s="101" t="inlineStr">
        <is>
          <t>-</t>
        </is>
      </c>
      <c r="P133" s="101" t="inlineStr">
        <is>
          <t>-</t>
        </is>
      </c>
      <c r="Q133" s="101" t="inlineStr">
        <is>
          <t>-</t>
        </is>
      </c>
      <c r="R133" s="369" t="n">
        <v>0</v>
      </c>
      <c r="AJ133" s="408" t="n"/>
    </row>
    <row r="134" outlineLevel="1" ht="13" customHeight="1" thickBot="1">
      <c r="M134" s="99" t="inlineStr">
        <is>
          <t>Equity</t>
        </is>
      </c>
      <c r="N134" s="101" t="n"/>
      <c r="O134" s="101" t="inlineStr">
        <is>
          <t>-</t>
        </is>
      </c>
      <c r="P134" s="101" t="inlineStr">
        <is>
          <t>-</t>
        </is>
      </c>
      <c r="Q134" s="101" t="inlineStr">
        <is>
          <t>-</t>
        </is>
      </c>
      <c r="R134" s="369" t="n">
        <v>0</v>
      </c>
      <c r="AJ134" s="408" t="n"/>
    </row>
    <row r="135" outlineLevel="1" ht="13" customHeight="1" thickBot="1">
      <c r="M135" s="102" t="inlineStr">
        <is>
          <t>TOTALS</t>
        </is>
      </c>
      <c r="N135" s="103" t="n"/>
      <c r="O135" s="103">
        <f>SUM(O132:O134)</f>
        <v/>
      </c>
      <c r="P135" s="103">
        <f>SUM(P132:P134)</f>
        <v/>
      </c>
      <c r="Q135" s="103">
        <f>SUM(Q132:Q134)</f>
        <v/>
      </c>
      <c r="R135" s="370">
        <f>SUM(R132:R134)</f>
        <v/>
      </c>
      <c r="AJ135" s="408" t="n"/>
    </row>
    <row r="136" outlineLevel="1">
      <c r="AJ136" s="408" t="n"/>
    </row>
    <row r="137">
      <c r="R137" s="513" t="n"/>
      <c r="AJ137" s="408" t="n"/>
    </row>
  </sheetData>
  <autoFilter ref="A1:AP137"/>
  <pageMargins left="0.7086614173228351" right="0.7086614173228351" top="0.748031496062992" bottom="0.748031496062992" header="0.31496062992126" footer="0.31496062992126"/>
  <pageSetup orientation="portrait" scale="80"/>
  <legacyDrawing xmlns:r="http://schemas.openxmlformats.org/officeDocument/2006/relationships" r:id="anysvml"/>
</worksheet>
</file>

<file path=xl/worksheets/sheet10.xml><?xml version="1.0" encoding="utf-8"?>
<worksheet xmlns="http://schemas.openxmlformats.org/spreadsheetml/2006/main">
  <sheetPr codeName="Sheet3">
    <tabColor rgb="FF92D050"/>
    <outlinePr summaryBelow="1" summaryRight="1"/>
    <pageSetUpPr fitToPage="1"/>
  </sheetPr>
  <dimension ref="A1:S5624"/>
  <sheetViews>
    <sheetView showGridLines="0" tabSelected="1" topLeftCell="C1" zoomScale="83" zoomScaleNormal="92" workbookViewId="0">
      <selection activeCell="C3799" sqref="C3799"/>
    </sheetView>
  </sheetViews>
  <sheetFormatPr baseColWidth="8" defaultColWidth="8.81640625" defaultRowHeight="14" outlineLevelRow="1"/>
  <cols>
    <col width="1.54296875" customWidth="1" style="7" min="1" max="1"/>
    <col width="5.453125" customWidth="1" style="7" min="2" max="2"/>
    <col width="17.1796875" customWidth="1" style="7" min="3" max="3"/>
    <col width="20" customWidth="1" style="7" min="4" max="4"/>
    <col width="15.54296875" customWidth="1" style="7" min="5" max="5"/>
    <col width="14.1796875" customWidth="1" style="237" min="6" max="6"/>
    <col width="14.90625" bestFit="1" customWidth="1" style="237" min="7" max="7"/>
    <col width="15.1796875" customWidth="1" style="237" min="8" max="8"/>
    <col width="23.453125" customWidth="1" style="237" min="9" max="9"/>
    <col width="18.90625" bestFit="1" customWidth="1" style="237" min="10" max="10"/>
    <col width="17.453125" customWidth="1" style="7" min="11" max="11"/>
    <col width="22.81640625" customWidth="1" style="7" min="12" max="12"/>
    <col width="22.54296875" customWidth="1" style="237" min="13" max="13"/>
    <col width="18.08984375" customWidth="1" style="7" min="14" max="14"/>
    <col width="14.54296875" bestFit="1" customWidth="1" style="7" min="15" max="15"/>
    <col width="14.90625" bestFit="1" customWidth="1" style="7" min="16" max="16"/>
    <col width="8.81640625" customWidth="1" style="7" min="17" max="16384"/>
    <col width="30" customWidth="1" min="18" max="18"/>
    <col width="22" customWidth="1" min="19" max="19"/>
  </cols>
  <sheetData>
    <row r="1" ht="11.5" customFormat="1" customHeight="1" s="1">
      <c r="C1" s="2" t="inlineStr">
        <is>
          <t>Loan Armotization Schedules</t>
        </is>
      </c>
      <c r="D1" s="319" t="n"/>
      <c r="E1" s="319" t="n"/>
      <c r="F1" s="319" t="n"/>
      <c r="G1" s="319" t="n"/>
      <c r="H1" s="319" t="n"/>
      <c r="I1" s="319" t="n"/>
      <c r="J1" s="319" t="n"/>
      <c r="K1" s="319" t="n"/>
      <c r="L1" s="319" t="n"/>
      <c r="M1" s="319" t="n"/>
      <c r="N1" s="319" t="n"/>
      <c r="O1" s="319" t="n"/>
      <c r="R1" s="492" t="inlineStr">
        <is>
          <t>Purple cells were added by Dupleix on 7 October 2026 and are linked to the 'Blocks' and 'E-Banker master' sheets. Nothing else on this sheet was changed.</t>
        </is>
      </c>
    </row>
    <row r="2" ht="11.5" customFormat="1" customHeight="1" s="1">
      <c r="C2" s="4" t="n"/>
      <c r="D2" s="5" t="n"/>
      <c r="E2" s="5" t="n"/>
      <c r="F2" s="5" t="n"/>
      <c r="G2" s="5" t="n"/>
      <c r="H2" s="5" t="n"/>
      <c r="I2" s="5" t="n"/>
      <c r="J2" s="5" t="n"/>
      <c r="K2" s="319" t="n"/>
      <c r="L2" s="319" t="n"/>
      <c r="M2" s="319" t="n"/>
      <c r="N2" s="319" t="n"/>
      <c r="O2" s="319" t="n"/>
    </row>
    <row r="3" hidden="1">
      <c r="D3" s="237" t="n"/>
      <c r="E3" s="237" t="n"/>
      <c r="K3" s="237" t="n"/>
      <c r="L3" s="237" t="n"/>
      <c r="N3" s="237" t="n"/>
      <c r="O3" s="237" t="n"/>
    </row>
    <row r="4" hidden="1" ht="11.5" customFormat="1" customHeight="1" s="1">
      <c r="C4" s="9" t="inlineStr">
        <is>
          <t>Chikho Hotel Armortization</t>
        </is>
      </c>
      <c r="D4" s="319" t="n"/>
      <c r="E4" s="319" t="n"/>
      <c r="F4" s="319" t="n"/>
      <c r="G4" s="319" t="n"/>
      <c r="H4" s="319" t="n"/>
      <c r="I4" s="319" t="n"/>
      <c r="J4" s="290" t="inlineStr">
        <is>
          <t>13.9 to 16.6%</t>
        </is>
      </c>
      <c r="K4" s="319" t="inlineStr">
        <is>
          <t>16.6% to 17.3%</t>
        </is>
      </c>
      <c r="L4" s="290" t="inlineStr">
        <is>
          <t>17.3% to 20%</t>
        </is>
      </c>
      <c r="M4" s="290" t="inlineStr">
        <is>
          <t>20% to 21.40%</t>
        </is>
      </c>
      <c r="N4" s="290" t="inlineStr">
        <is>
          <t>21.40 to 22.70%</t>
        </is>
      </c>
      <c r="O4" s="319" t="n"/>
      <c r="R4" s="514" t="inlineStr">
        <is>
          <t>E-Banker account (Dupleix)</t>
        </is>
      </c>
      <c r="S4" s="495">
        <f>IFERROR(INDEX('Blocks'!$I$2:$I$101,MATCH(1,'Blocks'!$A$2:$A$101,0)),"")</f>
        <v/>
      </c>
    </row>
    <row r="5" hidden="1" ht="11.5" customFormat="1" customHeight="1" s="1">
      <c r="D5" s="319" t="inlineStr">
        <is>
          <t>Restructured</t>
        </is>
      </c>
      <c r="E5" s="319" t="n"/>
      <c r="F5" s="319" t="n"/>
      <c r="G5" s="319" t="n"/>
      <c r="H5" s="319" t="n"/>
      <c r="I5" s="290" t="n">
        <v>44805</v>
      </c>
      <c r="J5" s="248" t="n">
        <v>44866</v>
      </c>
      <c r="K5" s="248" t="n">
        <v>44896</v>
      </c>
      <c r="L5" s="248" t="n">
        <v>45047</v>
      </c>
      <c r="M5" s="248" t="n">
        <v>45108</v>
      </c>
      <c r="N5" s="248" t="n">
        <v>45139</v>
      </c>
      <c r="O5" s="319" t="n"/>
      <c r="R5" s="514" t="inlineStr">
        <is>
          <t>Facility (Loan Book)</t>
        </is>
      </c>
      <c r="S5" s="495">
        <f>IFERROR(INDEX('Blocks'!$H$2:$H$101,MATCH(1,'Blocks'!$A$2:$A$101,0)),"")</f>
        <v/>
      </c>
    </row>
    <row r="6" hidden="1" ht="11.5" customFormat="1" customHeight="1" s="1">
      <c r="C6" s="10" t="inlineStr">
        <is>
          <t>Principal (MK)</t>
        </is>
      </c>
      <c r="D6" s="11" t="n">
        <v>607931248.6807271</v>
      </c>
      <c r="E6" s="319" t="n"/>
      <c r="F6" s="319" t="n"/>
      <c r="G6" s="291" t="inlineStr">
        <is>
          <t>Principal (MK)</t>
        </is>
      </c>
      <c r="H6" s="11" t="n">
        <v>606836176.4457746</v>
      </c>
      <c r="I6" s="290" t="inlineStr">
        <is>
          <t>Rate Adj</t>
        </is>
      </c>
      <c r="J6" s="290" t="inlineStr">
        <is>
          <t>Rate Adj</t>
        </is>
      </c>
      <c r="K6" s="290" t="inlineStr">
        <is>
          <t>Rate Adj</t>
        </is>
      </c>
      <c r="L6" s="290" t="inlineStr">
        <is>
          <t>Rate Adj</t>
        </is>
      </c>
      <c r="M6" s="290" t="inlineStr">
        <is>
          <t>Rate Adj</t>
        </is>
      </c>
      <c r="N6" s="290" t="inlineStr">
        <is>
          <t>Rate Adj</t>
        </is>
      </c>
      <c r="O6" s="319" t="n"/>
      <c r="R6" s="514" t="inlineStr">
        <is>
          <t>Take-on posting 31 Jul 2024</t>
        </is>
      </c>
      <c r="S6" s="496">
        <f>IFERROR(INDEX('E-Banker master'!$N$2:$N$186,MATCH(S4,'E-Banker master'!$A$2:$A$186,0)),"")</f>
        <v/>
      </c>
    </row>
    <row r="7" hidden="1" ht="11.5" customFormat="1" customHeight="1" s="1">
      <c r="C7" s="13" t="inlineStr">
        <is>
          <t>Rate</t>
        </is>
      </c>
      <c r="D7" s="14" t="n">
        <v>0.1927</v>
      </c>
      <c r="E7" s="257" t="n"/>
      <c r="F7" s="319" t="n"/>
      <c r="G7" s="292" t="inlineStr">
        <is>
          <t>Rate</t>
        </is>
      </c>
      <c r="H7" s="296" t="n">
        <v>0.2057</v>
      </c>
      <c r="I7" s="319">
        <f>H7+0.4%</f>
        <v/>
      </c>
      <c r="J7" s="319">
        <f>20.97%+2.7%</f>
        <v/>
      </c>
      <c r="K7" s="257">
        <f>23.67%+0.7%</f>
        <v/>
      </c>
      <c r="L7" s="257">
        <f>K7+2.7%</f>
        <v/>
      </c>
      <c r="M7" s="257">
        <f>L7+1.4%</f>
        <v/>
      </c>
      <c r="N7" s="257">
        <f>M7+1.3%</f>
        <v/>
      </c>
      <c r="O7" s="319" t="n"/>
      <c r="R7" s="514" t="inlineStr">
        <is>
          <t>E-Banker balance 31 Oct 2024</t>
        </is>
      </c>
      <c r="S7" s="496">
        <f>IFERROR(INDEX('E-Banker master'!$P$2:$P$186,MATCH(S4,'E-Banker master'!$A$2:$A$186,0)),"")</f>
        <v/>
      </c>
    </row>
    <row r="8" hidden="1" ht="11.5" customFormat="1" customHeight="1" s="1">
      <c r="C8" s="13" t="inlineStr">
        <is>
          <t>n</t>
        </is>
      </c>
      <c r="D8" s="16" t="n">
        <v>12</v>
      </c>
      <c r="F8" s="319" t="n"/>
      <c r="G8" s="292" t="inlineStr">
        <is>
          <t>n</t>
        </is>
      </c>
      <c r="H8" s="296" t="n">
        <v>12</v>
      </c>
      <c r="I8" s="319" t="n"/>
      <c r="J8" s="319" t="n"/>
      <c r="M8" s="319" t="n"/>
    </row>
    <row r="9" hidden="1" ht="11.5" customFormat="1" customHeight="1" s="1">
      <c r="C9" s="13" t="inlineStr">
        <is>
          <t>Per</t>
        </is>
      </c>
      <c r="D9" s="16" t="n">
        <v>12</v>
      </c>
      <c r="F9" s="319" t="n"/>
      <c r="G9" s="292" t="inlineStr">
        <is>
          <t>Per</t>
        </is>
      </c>
      <c r="H9" s="296" t="n">
        <v>12</v>
      </c>
      <c r="I9" s="319" t="inlineStr">
        <is>
          <t>22.70% to 23.40%</t>
        </is>
      </c>
      <c r="J9" s="319" t="inlineStr">
        <is>
          <t>23.40% to 23.50%</t>
        </is>
      </c>
      <c r="K9" s="319" t="inlineStr">
        <is>
          <t>23.50% to 23.60%</t>
        </is>
      </c>
      <c r="M9" s="319" t="n"/>
    </row>
    <row r="10" hidden="1" ht="11.5" customFormat="1" customHeight="1" s="1">
      <c r="C10" s="13" t="inlineStr">
        <is>
          <t>nPer</t>
        </is>
      </c>
      <c r="D10" s="515">
        <f>D8*D9</f>
        <v/>
      </c>
      <c r="F10" s="319" t="n"/>
      <c r="G10" s="292" t="inlineStr">
        <is>
          <t>nPer</t>
        </is>
      </c>
      <c r="H10" s="296" t="n">
        <v>143</v>
      </c>
      <c r="I10" s="290" t="n">
        <v>45170</v>
      </c>
      <c r="J10" s="248" t="n">
        <v>45200</v>
      </c>
      <c r="K10" s="248" t="n">
        <v>45261</v>
      </c>
      <c r="M10" s="319" t="n"/>
    </row>
    <row r="11" hidden="1" ht="11.5" customFormat="1" customHeight="1" s="1">
      <c r="C11" s="13" t="inlineStr">
        <is>
          <t>Days in a year</t>
        </is>
      </c>
      <c r="D11" s="18" t="n">
        <v>365</v>
      </c>
      <c r="F11" s="319" t="n"/>
      <c r="G11" s="292" t="inlineStr">
        <is>
          <t>Days in a year</t>
        </is>
      </c>
      <c r="H11" s="296" t="n">
        <v>365</v>
      </c>
      <c r="I11" s="290" t="inlineStr">
        <is>
          <t>Rate Adj</t>
        </is>
      </c>
      <c r="J11" s="290" t="inlineStr">
        <is>
          <t>Rate Adj</t>
        </is>
      </c>
      <c r="K11" s="290" t="inlineStr">
        <is>
          <t>Rate Adj</t>
        </is>
      </c>
      <c r="M11" s="319" t="n"/>
    </row>
    <row r="12" hidden="1" ht="11.5" customFormat="1" customHeight="1" s="1">
      <c r="C12" s="19" t="inlineStr">
        <is>
          <t>Pmt (MK)</t>
        </is>
      </c>
      <c r="D12" s="20">
        <f>-PMT(D7/D9,D10,D6,0,0)</f>
        <v/>
      </c>
      <c r="E12" s="319" t="n"/>
      <c r="F12" s="319" t="n"/>
      <c r="G12" s="293" t="inlineStr">
        <is>
          <t>Pmt (MK)</t>
        </is>
      </c>
      <c r="H12" s="20">
        <f>-PMT(H7/H9,H10,H6,0,0)</f>
        <v/>
      </c>
      <c r="I12" s="319">
        <f>N7+0.7%</f>
        <v/>
      </c>
      <c r="J12" s="257">
        <f>I12+0.1%</f>
        <v/>
      </c>
      <c r="K12" s="257">
        <f>J12+0.1%</f>
        <v/>
      </c>
      <c r="M12" s="319" t="n"/>
    </row>
    <row r="13" hidden="1" ht="11.5" customFormat="1" customHeight="1" s="1">
      <c r="D13" s="319" t="n"/>
      <c r="E13" s="319" t="n"/>
      <c r="F13" s="319" t="n"/>
      <c r="G13" s="319" t="n"/>
      <c r="H13" s="319" t="n"/>
      <c r="I13" s="319" t="n"/>
      <c r="J13" s="319" t="n"/>
      <c r="M13" s="319" t="n"/>
    </row>
    <row r="14" hidden="1" ht="11.5" customFormat="1" customHeight="1" s="1">
      <c r="C14" s="21" t="inlineStr">
        <is>
          <t>Period Start</t>
        </is>
      </c>
      <c r="D14" s="22" t="inlineStr">
        <is>
          <t>Period End</t>
        </is>
      </c>
      <c r="E14" s="22" t="inlineStr">
        <is>
          <t>Days</t>
        </is>
      </c>
      <c r="F14" s="294" t="inlineStr">
        <is>
          <t>Opening bal.</t>
        </is>
      </c>
      <c r="G14" s="294" t="inlineStr">
        <is>
          <t>Pmt</t>
        </is>
      </c>
      <c r="H14" s="294" t="inlineStr">
        <is>
          <t>Interest</t>
        </is>
      </c>
      <c r="I14" s="294" t="inlineStr">
        <is>
          <t>Principal</t>
        </is>
      </c>
      <c r="J14" s="294" t="inlineStr">
        <is>
          <t>Closing balance</t>
        </is>
      </c>
      <c r="K14" s="23" t="inlineStr">
        <is>
          <t>Amount Repaid</t>
        </is>
      </c>
      <c r="L14" s="23" t="inlineStr">
        <is>
          <t>Accumulated Arrears</t>
        </is>
      </c>
      <c r="M14" s="319" t="n"/>
      <c r="N14" s="319" t="n"/>
    </row>
    <row r="15" hidden="1" ht="11.5" customFormat="1" customHeight="1" s="1">
      <c r="B15" s="1" t="n">
        <v>1</v>
      </c>
      <c r="C15" s="24" t="n">
        <v>44652</v>
      </c>
      <c r="D15" s="24" t="n">
        <v>44681</v>
      </c>
      <c r="E15" s="25">
        <f>D15-C15+1</f>
        <v/>
      </c>
      <c r="F15" s="319">
        <f>D6</f>
        <v/>
      </c>
      <c r="G15" s="319">
        <f>-PMT($D$7/$D$9,144,$F$15,,0)</f>
        <v/>
      </c>
      <c r="H15" s="319">
        <f>$D$7/$D$9*F15</f>
        <v/>
      </c>
      <c r="I15" s="319">
        <f>G15-H15</f>
        <v/>
      </c>
      <c r="J15" s="319">
        <f>F15-I15</f>
        <v/>
      </c>
      <c r="K15" s="516" t="n">
        <v>10857434.87</v>
      </c>
      <c r="L15" s="516">
        <f>G15-K15</f>
        <v/>
      </c>
      <c r="M15" s="149" t="n"/>
      <c r="O15" s="27" t="n"/>
      <c r="P15" s="27" t="n"/>
    </row>
    <row r="16" hidden="1" ht="11.5" customFormat="1" customHeight="1" s="1">
      <c r="B16" s="1" t="n">
        <v>2</v>
      </c>
      <c r="C16" s="24" t="n">
        <v>44682</v>
      </c>
      <c r="D16" s="24" t="n">
        <v>44712</v>
      </c>
      <c r="E16" s="25">
        <f>D16-C16+1</f>
        <v/>
      </c>
      <c r="F16" s="319">
        <f>J15+F6</f>
        <v/>
      </c>
      <c r="G16" s="319">
        <f>-PMT($H$7/$D$9,143,$F$16,,0)</f>
        <v/>
      </c>
      <c r="H16" s="319">
        <f>$H$7/$D$9*F16</f>
        <v/>
      </c>
      <c r="I16" s="319">
        <f>G16-H16</f>
        <v/>
      </c>
      <c r="J16" s="319">
        <f>F16-I16</f>
        <v/>
      </c>
      <c r="K16" s="516" t="n">
        <v>10857434.87</v>
      </c>
      <c r="L16" s="516">
        <f>G16-K16</f>
        <v/>
      </c>
      <c r="M16" s="319" t="n"/>
      <c r="N16" s="319" t="n"/>
    </row>
    <row r="17" hidden="1" ht="11.5" customFormat="1" customHeight="1" s="309">
      <c r="B17" s="309" t="n">
        <v>3</v>
      </c>
      <c r="C17" s="310" t="n">
        <v>44713</v>
      </c>
      <c r="D17" s="310" t="n">
        <v>44742</v>
      </c>
      <c r="E17" s="311">
        <f>D17-C17+1</f>
        <v/>
      </c>
      <c r="F17" s="295">
        <f>J16+F7</f>
        <v/>
      </c>
      <c r="G17" s="295">
        <f>-PMT($H$7/$D$9,143,$F$16,,0)</f>
        <v/>
      </c>
      <c r="H17" s="295">
        <f>$H$7/$D$9*F17</f>
        <v/>
      </c>
      <c r="I17" s="295">
        <f>G17-H17</f>
        <v/>
      </c>
      <c r="J17" s="295">
        <f>F17-I17</f>
        <v/>
      </c>
      <c r="K17" s="517">
        <f>548393.66+11405828.54</f>
        <v/>
      </c>
      <c r="L17" s="517">
        <f>L16+G17-K17</f>
        <v/>
      </c>
      <c r="M17" s="295" t="n"/>
      <c r="N17" s="295" t="n"/>
    </row>
    <row r="18" hidden="1" ht="11.5" customFormat="1" customHeight="1" s="1">
      <c r="B18" s="1" t="n">
        <v>4</v>
      </c>
      <c r="C18" s="24" t="n">
        <v>44743</v>
      </c>
      <c r="D18" s="24" t="n">
        <v>44773</v>
      </c>
      <c r="E18" s="25">
        <f>D18-C18+1</f>
        <v/>
      </c>
      <c r="F18" s="319">
        <f>J17</f>
        <v/>
      </c>
      <c r="G18" s="319">
        <f>-PMT($H$7/$D$9,143,$F$16,,0)</f>
        <v/>
      </c>
      <c r="H18" s="319">
        <f>$H$7/$D$9*F18</f>
        <v/>
      </c>
      <c r="I18" s="319">
        <f>G18-H18</f>
        <v/>
      </c>
      <c r="J18" s="319">
        <f>F18-I18</f>
        <v/>
      </c>
      <c r="K18" s="516" t="n">
        <v>11405828.53</v>
      </c>
      <c r="L18" s="516">
        <f>L17+G18-K18</f>
        <v/>
      </c>
      <c r="M18" s="319" t="n"/>
      <c r="N18" s="319" t="n"/>
    </row>
    <row r="19" hidden="1" ht="11.5" customFormat="1" customHeight="1" s="1">
      <c r="B19" s="1" t="n">
        <v>5</v>
      </c>
      <c r="C19" s="24" t="n">
        <v>44774</v>
      </c>
      <c r="D19" s="24" t="n">
        <v>44804</v>
      </c>
      <c r="E19" s="25">
        <f>D19-C19+1</f>
        <v/>
      </c>
      <c r="F19" s="319">
        <f>J18</f>
        <v/>
      </c>
      <c r="G19" s="319">
        <f>-PMT($H$7/$D$9,143,$F$16,,0)</f>
        <v/>
      </c>
      <c r="H19" s="319">
        <f>$H$7/$D$9*F19</f>
        <v/>
      </c>
      <c r="I19" s="319">
        <f>G19-H19</f>
        <v/>
      </c>
      <c r="J19" s="319">
        <f>F19-I19</f>
        <v/>
      </c>
      <c r="K19" s="516" t="n">
        <v>11405828.53</v>
      </c>
      <c r="L19" s="516">
        <f>L18+G19-K19</f>
        <v/>
      </c>
      <c r="M19" s="319" t="n"/>
      <c r="N19" s="319" t="n"/>
    </row>
    <row r="20" hidden="1" ht="11.5" customFormat="1" customHeight="1" s="1">
      <c r="B20" s="1" t="n">
        <v>6</v>
      </c>
      <c r="C20" s="24" t="n">
        <v>44805</v>
      </c>
      <c r="D20" s="24" t="n">
        <v>44834</v>
      </c>
      <c r="E20" s="25">
        <f>D20-C20+1</f>
        <v/>
      </c>
      <c r="F20" s="319">
        <f>J19</f>
        <v/>
      </c>
      <c r="G20" s="319">
        <f>-PMT($I$7/$D$9,139,$F$20,,0)</f>
        <v/>
      </c>
      <c r="H20" s="319">
        <f>$I$7/$D$9*F20</f>
        <v/>
      </c>
      <c r="I20" s="319">
        <f>G20-H20</f>
        <v/>
      </c>
      <c r="J20" s="319">
        <f>F20-I20</f>
        <v/>
      </c>
      <c r="K20" s="516" t="n">
        <v>11405828.53</v>
      </c>
      <c r="L20" s="516">
        <f>L19+G20-K20</f>
        <v/>
      </c>
      <c r="M20" s="319" t="n"/>
    </row>
    <row r="21" hidden="1" ht="11.5" customFormat="1" customHeight="1" s="1">
      <c r="B21" s="1" t="n">
        <v>7</v>
      </c>
      <c r="C21" s="24" t="n">
        <v>44835</v>
      </c>
      <c r="D21" s="24" t="n">
        <v>44865</v>
      </c>
      <c r="E21" s="25">
        <f>D21-C21+1</f>
        <v/>
      </c>
      <c r="F21" s="319">
        <f>J20</f>
        <v/>
      </c>
      <c r="G21" s="319">
        <f>-PMT($I$7/$D$9,139,$F$20,,0)</f>
        <v/>
      </c>
      <c r="H21" s="319">
        <f>$I$7/$D$9*F21</f>
        <v/>
      </c>
      <c r="I21" s="319">
        <f>G21-H21</f>
        <v/>
      </c>
      <c r="J21" s="319">
        <f>F21-I21</f>
        <v/>
      </c>
      <c r="K21" s="516" t="n">
        <v>11405828.53</v>
      </c>
      <c r="L21" s="516">
        <f>L20+G21-K21</f>
        <v/>
      </c>
      <c r="M21" s="516" t="n"/>
    </row>
    <row r="22" hidden="1" ht="11.5" customFormat="1" customHeight="1" s="1">
      <c r="B22" s="1" t="n">
        <v>8</v>
      </c>
      <c r="C22" s="24" t="n">
        <v>44866</v>
      </c>
      <c r="D22" s="24" t="n">
        <v>44895</v>
      </c>
      <c r="E22" s="25">
        <f>D22-C22+1</f>
        <v/>
      </c>
      <c r="F22" s="319">
        <f>J21</f>
        <v/>
      </c>
      <c r="G22" s="319">
        <f>-PMT($J$7/$D$9,137,$F$22,,0)</f>
        <v/>
      </c>
      <c r="H22" s="319">
        <f>$J$7/$D$9*F22</f>
        <v/>
      </c>
      <c r="I22" s="319">
        <f>G22-H22</f>
        <v/>
      </c>
      <c r="J22" s="319">
        <f>F22-I22</f>
        <v/>
      </c>
      <c r="K22" s="516" t="n">
        <v>11405828.53</v>
      </c>
      <c r="L22" s="516">
        <f>L21+G22-K22</f>
        <v/>
      </c>
      <c r="M22" s="319" t="n"/>
    </row>
    <row r="23" hidden="1" ht="11.5" customFormat="1" customHeight="1" s="1">
      <c r="B23" s="1" t="n">
        <v>9</v>
      </c>
      <c r="C23" s="24" t="n">
        <v>44896</v>
      </c>
      <c r="D23" s="24" t="n">
        <v>44926</v>
      </c>
      <c r="E23" s="25">
        <f>D23-C23+1</f>
        <v/>
      </c>
      <c r="F23" s="319">
        <f>J22</f>
        <v/>
      </c>
      <c r="G23" s="319">
        <f>-PMT($K$7/$D$9,136,$F$23,,0)</f>
        <v/>
      </c>
      <c r="H23" s="319">
        <f>$K$7/$D$9*F23</f>
        <v/>
      </c>
      <c r="I23" s="319">
        <f>G23-H23</f>
        <v/>
      </c>
      <c r="J23" s="319">
        <f>F23-I23</f>
        <v/>
      </c>
      <c r="K23" s="516" t="n"/>
      <c r="L23" s="516">
        <f>L22+G23-K23</f>
        <v/>
      </c>
      <c r="M23" s="518" t="n"/>
      <c r="N23" s="516" t="n"/>
    </row>
    <row r="24" hidden="1" ht="11.5" customFormat="1" customHeight="1" s="1">
      <c r="B24" s="1" t="n">
        <v>10</v>
      </c>
      <c r="C24" s="24" t="n">
        <v>44927</v>
      </c>
      <c r="D24" s="24" t="n">
        <v>44957</v>
      </c>
      <c r="E24" s="25">
        <f>D24-C24+1</f>
        <v/>
      </c>
      <c r="F24" s="319">
        <f>J23</f>
        <v/>
      </c>
      <c r="G24" s="319">
        <f>-PMT($K$7/$D$9,136,$F$23,,0)</f>
        <v/>
      </c>
      <c r="H24" s="319">
        <f>$K$7/$D$9*F24</f>
        <v/>
      </c>
      <c r="I24" s="319">
        <f>G24-H24</f>
        <v/>
      </c>
      <c r="J24" s="319">
        <f>F24-I24</f>
        <v/>
      </c>
      <c r="K24" s="516">
        <f>14679183.74+13025630.25</f>
        <v/>
      </c>
      <c r="L24" s="516">
        <f>L23+G24-K24</f>
        <v/>
      </c>
      <c r="M24" s="319" t="n"/>
    </row>
    <row r="25" hidden="1" ht="11.5" customFormat="1" customHeight="1" s="1">
      <c r="B25" s="1" t="n">
        <v>11</v>
      </c>
      <c r="C25" s="24" t="n">
        <v>44958</v>
      </c>
      <c r="D25" s="24" t="n">
        <v>44985</v>
      </c>
      <c r="E25" s="25">
        <f>D25-C25+1</f>
        <v/>
      </c>
      <c r="F25" s="319">
        <f>J24</f>
        <v/>
      </c>
      <c r="G25" s="319">
        <f>-PMT($K$7/$D$9,136,$F$23,,0)</f>
        <v/>
      </c>
      <c r="H25" s="319">
        <f>$K$7/$D$9*F25</f>
        <v/>
      </c>
      <c r="I25" s="319">
        <f>G25-H25</f>
        <v/>
      </c>
      <c r="J25" s="319">
        <f>F25-I25</f>
        <v/>
      </c>
      <c r="K25" s="516" t="n">
        <v>13025630.26</v>
      </c>
      <c r="L25" s="516">
        <f>L24+G25-K25</f>
        <v/>
      </c>
      <c r="M25" s="319" t="n"/>
    </row>
    <row r="26" hidden="1" ht="11.5" customFormat="1" customHeight="1" s="1">
      <c r="B26" s="1" t="n">
        <v>12</v>
      </c>
      <c r="C26" s="24" t="n">
        <v>44986</v>
      </c>
      <c r="D26" s="24" t="n">
        <v>45016</v>
      </c>
      <c r="E26" s="25">
        <f>D26-C26+1</f>
        <v/>
      </c>
      <c r="F26" s="319">
        <f>J25</f>
        <v/>
      </c>
      <c r="G26" s="319">
        <f>-PMT($K$7/$D$9,136,$F$23,,0)</f>
        <v/>
      </c>
      <c r="H26" s="319">
        <f>$K$7/$D$9*F26</f>
        <v/>
      </c>
      <c r="I26" s="319">
        <f>G26-H26</f>
        <v/>
      </c>
      <c r="J26" s="319">
        <f>F26-I26</f>
        <v/>
      </c>
      <c r="K26" s="516" t="n">
        <v>13025630.26</v>
      </c>
      <c r="L26" s="516">
        <f>L25+G26-K26</f>
        <v/>
      </c>
      <c r="M26" s="319" t="n"/>
      <c r="N26" s="516" t="n"/>
    </row>
    <row r="27" hidden="1" ht="11.5" customFormat="1" customHeight="1" s="1">
      <c r="B27" s="1" t="n">
        <v>13</v>
      </c>
      <c r="C27" s="24" t="n">
        <v>45017</v>
      </c>
      <c r="D27" s="24" t="n">
        <v>45046</v>
      </c>
      <c r="E27" s="25">
        <f>D27-C27+1</f>
        <v/>
      </c>
      <c r="F27" s="319">
        <f>J26</f>
        <v/>
      </c>
      <c r="G27" s="319">
        <f>-PMT($K$7/$D$9,136,$F$23,,0)</f>
        <v/>
      </c>
      <c r="H27" s="319">
        <f>$K$7/$D$9*F27</f>
        <v/>
      </c>
      <c r="I27" s="319">
        <f>G27-H27</f>
        <v/>
      </c>
      <c r="J27" s="319">
        <f>F27-I27</f>
        <v/>
      </c>
      <c r="K27" s="516" t="n">
        <v>13025630.26</v>
      </c>
      <c r="L27" s="516">
        <f>L26+G27-K27</f>
        <v/>
      </c>
      <c r="M27" s="319" t="n"/>
    </row>
    <row r="28" hidden="1" ht="11.5" customFormat="1" customHeight="1" s="1">
      <c r="B28" s="1" t="n">
        <v>14</v>
      </c>
      <c r="C28" s="24" t="n">
        <v>45047</v>
      </c>
      <c r="D28" s="24" t="n">
        <v>45077</v>
      </c>
      <c r="E28" s="25">
        <f>D28-C28+1</f>
        <v/>
      </c>
      <c r="F28" s="319">
        <f>J27</f>
        <v/>
      </c>
      <c r="G28" s="319">
        <f>-PMT($L$7/$D$9,131,$F$28,,0)</f>
        <v/>
      </c>
      <c r="H28" s="319">
        <f>$L$7/$D$9*F28</f>
        <v/>
      </c>
      <c r="I28" s="319">
        <f>G28-H28</f>
        <v/>
      </c>
      <c r="J28" s="319">
        <f>F28-I28</f>
        <v/>
      </c>
      <c r="K28" s="516" t="n">
        <v>13025630.26</v>
      </c>
      <c r="L28" s="516">
        <f>L27+G28-K28</f>
        <v/>
      </c>
      <c r="M28" s="319">
        <f>+[2]Sheet2!$AD$4</f>
        <v/>
      </c>
    </row>
    <row r="29" hidden="1" ht="11.5" customFormat="1" customHeight="1" s="1">
      <c r="B29" s="1" t="n">
        <v>15</v>
      </c>
      <c r="C29" s="24" t="n">
        <v>45078</v>
      </c>
      <c r="D29" s="24" t="n">
        <v>45107</v>
      </c>
      <c r="E29" s="25">
        <f>D29-C29+1</f>
        <v/>
      </c>
      <c r="F29" s="319">
        <f>J28</f>
        <v/>
      </c>
      <c r="G29" s="319">
        <f>-PMT($L$7/$D$9,131,$F$28,,0)</f>
        <v/>
      </c>
      <c r="H29" s="319">
        <f>$L$7/$D$9*F29</f>
        <v/>
      </c>
      <c r="I29" s="319">
        <f>G29-H29</f>
        <v/>
      </c>
      <c r="J29" s="319">
        <f>F29-I29</f>
        <v/>
      </c>
      <c r="K29" s="516" t="n">
        <v>13025630.26</v>
      </c>
      <c r="L29" s="519">
        <f>L28+G29-K29</f>
        <v/>
      </c>
      <c r="M29" s="319" t="n"/>
    </row>
    <row r="30" hidden="1" ht="11.5" customFormat="1" customHeight="1" s="1">
      <c r="B30" s="1" t="n">
        <v>16</v>
      </c>
      <c r="C30" s="24" t="n">
        <v>45108</v>
      </c>
      <c r="D30" s="24" t="n">
        <v>45138</v>
      </c>
      <c r="E30" s="25">
        <f>D30-C30+1</f>
        <v/>
      </c>
      <c r="F30" s="319">
        <f>J29</f>
        <v/>
      </c>
      <c r="G30" s="295">
        <f>-PMT($M$7/$D$9,129,$F$30,,0)</f>
        <v/>
      </c>
      <c r="H30" s="319">
        <f>$M$7/$D$9*F30</f>
        <v/>
      </c>
      <c r="I30" s="319">
        <f>G30-H30</f>
        <v/>
      </c>
      <c r="J30" s="319">
        <f>F30-I30</f>
        <v/>
      </c>
      <c r="K30" s="516" t="n">
        <v>13025630.26</v>
      </c>
      <c r="L30" s="519">
        <f>L29+G30-K30</f>
        <v/>
      </c>
      <c r="M30" s="319" t="n"/>
    </row>
    <row r="31" hidden="1" ht="11.5" customFormat="1" customHeight="1" s="1">
      <c r="B31" s="1" t="n">
        <v>17</v>
      </c>
      <c r="C31" s="24" t="n">
        <v>45139</v>
      </c>
      <c r="D31" s="24" t="n">
        <v>45169</v>
      </c>
      <c r="E31" s="25">
        <f>D31-C31+1</f>
        <v/>
      </c>
      <c r="F31" s="319">
        <f>J30</f>
        <v/>
      </c>
      <c r="G31" s="295">
        <f>-PMT($N$7/$D$9,128,$F$31,,0)</f>
        <v/>
      </c>
      <c r="H31" s="319">
        <f>$N$7/$D$9*F31</f>
        <v/>
      </c>
      <c r="I31" s="319">
        <f>G31-H31</f>
        <v/>
      </c>
      <c r="J31" s="319">
        <f>F31-I31</f>
        <v/>
      </c>
      <c r="K31" s="517" t="n">
        <v>13025630.26</v>
      </c>
      <c r="L31" s="516">
        <f>L30+G31-K31</f>
        <v/>
      </c>
      <c r="M31" s="319" t="n"/>
    </row>
    <row r="32" hidden="1" ht="11.5" customFormat="1" customHeight="1" s="1">
      <c r="B32" s="1" t="n">
        <v>18</v>
      </c>
      <c r="C32" s="24" t="n">
        <v>45170</v>
      </c>
      <c r="D32" s="24" t="n">
        <v>45199</v>
      </c>
      <c r="E32" s="25">
        <f>D32-C32+1</f>
        <v/>
      </c>
      <c r="F32" s="319">
        <f>J31</f>
        <v/>
      </c>
      <c r="G32" s="295">
        <f>-PMT($I$12/$D$9,127,$F$32,,0)</f>
        <v/>
      </c>
      <c r="H32" s="319">
        <f>$I$12/$D$9*F32</f>
        <v/>
      </c>
      <c r="I32" s="319">
        <f>G32-H32</f>
        <v/>
      </c>
      <c r="J32" s="319">
        <f>F32-I32</f>
        <v/>
      </c>
      <c r="K32" s="516">
        <f>6472370.33+13025630.26</f>
        <v/>
      </c>
      <c r="L32" s="516">
        <f>L31+G32-K32</f>
        <v/>
      </c>
      <c r="M32" s="319">
        <f>K33-G33-L32</f>
        <v/>
      </c>
    </row>
    <row r="33" hidden="1" ht="11.5" customFormat="1" customHeight="1" s="1">
      <c r="B33" s="1" t="n">
        <v>19</v>
      </c>
      <c r="C33" s="24" t="n">
        <v>45200</v>
      </c>
      <c r="D33" s="24" t="n">
        <v>45230</v>
      </c>
      <c r="E33" s="25">
        <f>D33-C33+1</f>
        <v/>
      </c>
      <c r="F33" s="319">
        <f>J32</f>
        <v/>
      </c>
      <c r="G33" s="295">
        <f>-PMT($J$12/$D$9,126,$F$33,,0)</f>
        <v/>
      </c>
      <c r="H33" s="319">
        <f>$J$12/$D$9*F33</f>
        <v/>
      </c>
      <c r="I33" s="319">
        <f>G33-H33</f>
        <v/>
      </c>
      <c r="J33" s="319">
        <f>F33-I33-M32</f>
        <v/>
      </c>
      <c r="K33" s="516">
        <f>209494816.3</f>
        <v/>
      </c>
      <c r="L33" s="516" t="n"/>
      <c r="M33" s="319" t="n"/>
    </row>
    <row r="34" hidden="1" ht="11.5" customFormat="1" customHeight="1" s="1">
      <c r="B34" s="1" t="n">
        <v>20</v>
      </c>
      <c r="C34" s="24" t="n">
        <v>45231</v>
      </c>
      <c r="D34" s="24" t="n">
        <v>45244</v>
      </c>
      <c r="E34" s="25">
        <f>D34-C34+1</f>
        <v/>
      </c>
      <c r="F34" s="319">
        <f>J33</f>
        <v/>
      </c>
      <c r="G34" s="295" t="n">
        <v>204355178.08</v>
      </c>
      <c r="H34" s="319">
        <f>($J$12*F34)*13/365</f>
        <v/>
      </c>
      <c r="I34" s="319">
        <f>G34-H34</f>
        <v/>
      </c>
      <c r="J34" s="319">
        <f>F34-I34</f>
        <v/>
      </c>
      <c r="K34" s="516">
        <f>204355178.08+5324423.52</f>
        <v/>
      </c>
      <c r="L34" s="520">
        <f>L33+G34-K34</f>
        <v/>
      </c>
      <c r="M34" s="319" t="n"/>
    </row>
    <row r="35" hidden="1" ht="11.5" customFormat="1" customHeight="1" s="1">
      <c r="C35" s="24" t="n">
        <v>45244</v>
      </c>
      <c r="D35" s="24" t="n">
        <v>45260</v>
      </c>
      <c r="E35" s="25" t="n">
        <v>16</v>
      </c>
      <c r="F35" s="319">
        <f>J34</f>
        <v/>
      </c>
      <c r="G35" s="295">
        <f>100000000+5324423.52</f>
        <v/>
      </c>
      <c r="H35" s="319">
        <f>($J$12*F35)*16/365</f>
        <v/>
      </c>
      <c r="I35" s="319">
        <f>G35-H35</f>
        <v/>
      </c>
      <c r="J35" s="319">
        <f>F35-I35</f>
        <v/>
      </c>
      <c r="K35" s="516" t="n">
        <v>100000000</v>
      </c>
      <c r="L35" s="520">
        <f>L34+G35-K35</f>
        <v/>
      </c>
      <c r="M35" s="319" t="n"/>
    </row>
    <row r="36" hidden="1" ht="11.5" customFormat="1" customHeight="1" s="1">
      <c r="B36" s="1" t="n">
        <v>21</v>
      </c>
      <c r="C36" s="24" t="n">
        <v>45261</v>
      </c>
      <c r="D36" s="24" t="n">
        <v>45291</v>
      </c>
      <c r="E36" s="25">
        <f>D36-C36+1</f>
        <v/>
      </c>
      <c r="F36" s="319">
        <f>J35</f>
        <v/>
      </c>
      <c r="G36" s="295" t="n">
        <v>98800475.86</v>
      </c>
      <c r="H36" s="319">
        <f>($K$12/$D$9*F36)*18/31</f>
        <v/>
      </c>
      <c r="I36" s="319">
        <f>G36-H36</f>
        <v/>
      </c>
      <c r="J36" s="319">
        <f>F36-I36</f>
        <v/>
      </c>
      <c r="K36" s="516">
        <f>F36+H36</f>
        <v/>
      </c>
      <c r="L36" s="516" t="inlineStr">
        <is>
          <t>FULLY REPAID</t>
        </is>
      </c>
      <c r="M36" s="319" t="n"/>
    </row>
    <row r="37" hidden="1" ht="11.5" customFormat="1" customHeight="1" s="1">
      <c r="C37" s="24" t="n"/>
      <c r="D37" s="24" t="n"/>
      <c r="E37" s="25" t="n"/>
      <c r="F37" s="319" t="n"/>
      <c r="G37" s="319" t="n"/>
      <c r="H37" s="319" t="n"/>
      <c r="I37" s="319" t="n"/>
      <c r="J37" s="319" t="n"/>
      <c r="K37" s="516" t="n"/>
      <c r="L37" s="516" t="n"/>
      <c r="M37" s="319" t="n"/>
    </row>
    <row r="38" hidden="1" ht="11.5" customFormat="1" customHeight="1" s="1">
      <c r="E38" s="30">
        <f>SUM(E15:E36)</f>
        <v/>
      </c>
      <c r="F38" s="319" t="n"/>
      <c r="G38" s="319" t="n"/>
      <c r="H38" s="319" t="n"/>
      <c r="I38" s="319" t="n"/>
      <c r="J38" s="319" t="n"/>
      <c r="M38" s="319" t="n"/>
    </row>
    <row r="39" ht="11.5" customFormat="1" customHeight="1" s="1">
      <c r="F39" s="319" t="n"/>
      <c r="G39" s="319" t="n"/>
      <c r="H39" s="319" t="n"/>
      <c r="I39" s="319" t="n"/>
      <c r="J39" s="319" t="n"/>
      <c r="M39" s="319" t="n"/>
    </row>
    <row r="40" ht="11.5" customFormat="1" customHeight="1" s="1">
      <c r="F40" s="319">
        <f>+D45-12.2</f>
        <v/>
      </c>
      <c r="G40" s="319" t="n"/>
      <c r="H40" s="319" t="n"/>
      <c r="I40" s="319" t="n"/>
      <c r="J40" s="319" t="n"/>
      <c r="M40" s="319" t="n"/>
    </row>
    <row r="41" ht="11.5" customFormat="1" customHeight="1" s="1">
      <c r="C41" s="9" t="inlineStr">
        <is>
          <t>Edgeview Academy Armortization</t>
        </is>
      </c>
      <c r="D41" s="319" t="n"/>
      <c r="E41" s="319" t="n"/>
      <c r="F41" s="319">
        <f>+D45-12.2%</f>
        <v/>
      </c>
      <c r="G41" s="319" t="n"/>
      <c r="H41" s="319" t="n"/>
      <c r="I41" s="319" t="n"/>
      <c r="J41" s="319" t="n"/>
      <c r="K41" s="319" t="n"/>
      <c r="L41" s="319" t="n"/>
      <c r="M41" s="319" t="n"/>
      <c r="R41" s="514" t="inlineStr">
        <is>
          <t>E-Banker account (Dupleix)</t>
        </is>
      </c>
      <c r="S41" s="495">
        <f>IFERROR(INDEX('Blocks'!$I$2:$I$101,MATCH(2,'Blocks'!$A$2:$A$101,0)),"")</f>
        <v/>
      </c>
    </row>
    <row r="42" ht="11.5" customFormat="1" customHeight="1" s="1">
      <c r="C42" s="9" t="n"/>
      <c r="D42" s="319" t="n"/>
      <c r="E42" s="319" t="n"/>
      <c r="F42" s="319" t="n"/>
      <c r="G42" s="319" t="n"/>
      <c r="H42" s="319" t="n"/>
      <c r="I42" s="290" t="inlineStr">
        <is>
          <t>13.9 to 16.6%</t>
        </is>
      </c>
      <c r="J42" s="319" t="inlineStr">
        <is>
          <t>16.6% to 17.3%</t>
        </is>
      </c>
      <c r="K42" s="290" t="inlineStr">
        <is>
          <t>17.3% to 20%</t>
        </is>
      </c>
      <c r="L42" s="290" t="inlineStr">
        <is>
          <t>20% to 21.40%</t>
        </is>
      </c>
      <c r="M42" s="290" t="inlineStr">
        <is>
          <t>21.40 to 22.70%</t>
        </is>
      </c>
      <c r="R42" s="514" t="inlineStr">
        <is>
          <t>Facility (Loan Book)</t>
        </is>
      </c>
      <c r="S42" s="495">
        <f>IFERROR(INDEX('Blocks'!$H$2:$H$101,MATCH(2,'Blocks'!$A$2:$A$101,0)),"")</f>
        <v/>
      </c>
    </row>
    <row r="43" ht="11.5" customFormat="1" customHeight="1" s="1">
      <c r="D43" s="280" t="inlineStr">
        <is>
          <t>Restructured</t>
        </is>
      </c>
      <c r="E43" s="319" t="n"/>
      <c r="F43" s="288" t="n"/>
      <c r="G43" s="288" t="n"/>
      <c r="H43" s="290" t="n">
        <v>44805</v>
      </c>
      <c r="I43" s="290" t="n">
        <v>44866</v>
      </c>
      <c r="J43" s="290" t="n">
        <v>44896</v>
      </c>
      <c r="K43" s="304" t="n">
        <v>45047</v>
      </c>
      <c r="L43" s="248" t="n">
        <v>45108</v>
      </c>
      <c r="M43" s="248" t="n">
        <v>45139</v>
      </c>
      <c r="R43" s="514" t="inlineStr">
        <is>
          <t>Take-on posting 31 Jul 2024</t>
        </is>
      </c>
      <c r="S43" s="496">
        <f>IFERROR(INDEX('E-Banker master'!$N$2:$N$186,MATCH(S41,'E-Banker master'!$A$2:$A$186,0)),"")</f>
        <v/>
      </c>
    </row>
    <row r="44" ht="11.5" customFormat="1" customHeight="1" s="1">
      <c r="C44" s="10" t="inlineStr">
        <is>
          <t>Principal (MK)</t>
        </is>
      </c>
      <c r="D44" s="11" t="n">
        <v>331395845.480462</v>
      </c>
      <c r="E44" s="319" t="n"/>
      <c r="F44" s="291" t="inlineStr">
        <is>
          <t>Principal (MK)</t>
        </is>
      </c>
      <c r="G44" s="11" t="n">
        <v>330832214.071156</v>
      </c>
      <c r="H44" s="290" t="inlineStr">
        <is>
          <t>Rate Adj</t>
        </is>
      </c>
      <c r="I44" s="290" t="inlineStr">
        <is>
          <t>Rate Adj</t>
        </is>
      </c>
      <c r="J44" s="290" t="inlineStr">
        <is>
          <t>Rate Adj</t>
        </is>
      </c>
      <c r="K44" s="290" t="inlineStr">
        <is>
          <t>Rate Adj</t>
        </is>
      </c>
      <c r="L44" s="290" t="inlineStr">
        <is>
          <t>Rate Adj</t>
        </is>
      </c>
      <c r="M44" s="290" t="inlineStr">
        <is>
          <t>Rate Adj</t>
        </is>
      </c>
      <c r="R44" s="514" t="inlineStr">
        <is>
          <t>E-Banker balance 31 Oct 2024</t>
        </is>
      </c>
      <c r="S44" s="496">
        <f>IFERROR(INDEX('E-Banker master'!$P$2:$P$186,MATCH(S41,'E-Banker master'!$A$2:$A$186,0)),"")</f>
        <v/>
      </c>
    </row>
    <row r="45" ht="11.5" customFormat="1" customHeight="1" s="1">
      <c r="C45" s="13" t="inlineStr">
        <is>
          <t>Rate</t>
        </is>
      </c>
      <c r="D45" s="14" t="n">
        <v>0.1999</v>
      </c>
      <c r="E45" s="257" t="n"/>
      <c r="F45" s="292" t="inlineStr">
        <is>
          <t>Rate</t>
        </is>
      </c>
      <c r="G45" s="296" t="n">
        <v>0.2129</v>
      </c>
      <c r="H45" s="319">
        <f>G45+0.4%</f>
        <v/>
      </c>
      <c r="I45" s="319">
        <f>21.69%+2.7%</f>
        <v/>
      </c>
      <c r="J45" s="319">
        <f>I45+0.7%</f>
        <v/>
      </c>
      <c r="K45" s="257">
        <f>J45+2.7%</f>
        <v/>
      </c>
      <c r="L45" s="257">
        <f>K45+1.4%</f>
        <v/>
      </c>
      <c r="M45" s="257">
        <f>L45+1.3%</f>
        <v/>
      </c>
    </row>
    <row r="46" ht="11.5" customFormat="1" customHeight="1" s="1">
      <c r="C46" s="13" t="inlineStr">
        <is>
          <t>n</t>
        </is>
      </c>
      <c r="D46" s="16" t="n">
        <v>12</v>
      </c>
      <c r="F46" s="292" t="inlineStr">
        <is>
          <t>n</t>
        </is>
      </c>
      <c r="G46" s="296" t="n">
        <v>12</v>
      </c>
      <c r="H46" s="319" t="n"/>
      <c r="I46" s="319" t="n"/>
      <c r="J46" s="319" t="n"/>
      <c r="M46" s="319" t="n"/>
    </row>
    <row r="47" ht="11.5" customFormat="1" customHeight="1" s="1">
      <c r="C47" s="13" t="inlineStr">
        <is>
          <t>Per</t>
        </is>
      </c>
      <c r="D47" s="16" t="n">
        <v>12</v>
      </c>
      <c r="F47" s="292" t="inlineStr">
        <is>
          <t>Per</t>
        </is>
      </c>
      <c r="G47" s="296" t="n">
        <v>12</v>
      </c>
      <c r="H47" s="319" t="inlineStr">
        <is>
          <t>22.70% to 23.40%</t>
        </is>
      </c>
      <c r="I47" s="319" t="inlineStr">
        <is>
          <t>23.40% to 23.50%</t>
        </is>
      </c>
      <c r="J47" s="319" t="inlineStr">
        <is>
          <t>23.50% to 23.60%</t>
        </is>
      </c>
      <c r="K47" s="319" t="inlineStr">
        <is>
          <t>23.60% to 24.90%</t>
        </is>
      </c>
      <c r="L47" s="373" t="inlineStr">
        <is>
          <t>24.90% to 25.00%</t>
        </is>
      </c>
      <c r="M47" s="373" t="inlineStr">
        <is>
          <t xml:space="preserve"> 25.00% to 25.10%</t>
        </is>
      </c>
      <c r="N47" s="373" t="inlineStr">
        <is>
          <t xml:space="preserve"> 25.10% to 25.40%</t>
        </is>
      </c>
    </row>
    <row r="48" ht="11.5" customFormat="1" customHeight="1" s="1">
      <c r="C48" s="13" t="inlineStr">
        <is>
          <t>nPer</t>
        </is>
      </c>
      <c r="D48" s="515">
        <f>D46*D47</f>
        <v/>
      </c>
      <c r="F48" s="292" t="inlineStr">
        <is>
          <t>nPer</t>
        </is>
      </c>
      <c r="G48" s="296" t="n">
        <v>143</v>
      </c>
      <c r="H48" s="248" t="n">
        <v>45170</v>
      </c>
      <c r="I48" s="290" t="n">
        <v>45200</v>
      </c>
      <c r="J48" s="248" t="n">
        <v>45261</v>
      </c>
      <c r="K48" s="248" t="n">
        <v>44958</v>
      </c>
      <c r="L48" s="372" t="n">
        <v>45047</v>
      </c>
      <c r="M48" s="372" t="n">
        <v>45078</v>
      </c>
      <c r="N48" s="372" t="n">
        <v>45108</v>
      </c>
    </row>
    <row r="49" ht="11.5" customFormat="1" customHeight="1" s="1">
      <c r="C49" s="13" t="inlineStr">
        <is>
          <t>Days in a year</t>
        </is>
      </c>
      <c r="D49" s="18" t="n">
        <v>365</v>
      </c>
      <c r="F49" s="292" t="inlineStr">
        <is>
          <t>Days in a year</t>
        </is>
      </c>
      <c r="G49" s="296" t="n">
        <v>365</v>
      </c>
      <c r="H49" s="290" t="inlineStr">
        <is>
          <t>Rate Adj</t>
        </is>
      </c>
      <c r="I49" s="290" t="inlineStr">
        <is>
          <t>Rate Adj</t>
        </is>
      </c>
      <c r="J49" s="290" t="inlineStr">
        <is>
          <t>Rate Adj</t>
        </is>
      </c>
      <c r="K49" s="290" t="inlineStr">
        <is>
          <t>Rate Adj</t>
        </is>
      </c>
      <c r="L49" s="373" t="inlineStr">
        <is>
          <t>Rate Adj</t>
        </is>
      </c>
      <c r="M49" s="373" t="inlineStr">
        <is>
          <t>Rate Adj</t>
        </is>
      </c>
      <c r="N49" s="373" t="inlineStr">
        <is>
          <t>Rate Adj</t>
        </is>
      </c>
    </row>
    <row r="50" ht="11.5" customFormat="1" customHeight="1" s="1">
      <c r="C50" s="19" t="inlineStr">
        <is>
          <t>Pmt (MK)</t>
        </is>
      </c>
      <c r="D50" s="20">
        <f>-PMT(D45/D47,D48,D44,0,0)</f>
        <v/>
      </c>
      <c r="E50" s="319" t="n"/>
      <c r="F50" s="293" t="inlineStr">
        <is>
          <t>Pmt (MK)</t>
        </is>
      </c>
      <c r="G50" s="20">
        <f>-PMT(G45/G47,G48,G44,0,0)</f>
        <v/>
      </c>
      <c r="H50" s="257">
        <f>M45+0.7%</f>
        <v/>
      </c>
      <c r="I50" s="319">
        <f>H50+0.1%</f>
        <v/>
      </c>
      <c r="J50" s="257">
        <f>I50+0.1%</f>
        <v/>
      </c>
      <c r="K50" s="257">
        <f>J50+1.3%</f>
        <v/>
      </c>
      <c r="L50" s="279">
        <f>+K50+0.1%</f>
        <v/>
      </c>
      <c r="M50" s="279">
        <f>+L50+0.1%</f>
        <v/>
      </c>
      <c r="N50" s="279">
        <f>+M50+0.3%</f>
        <v/>
      </c>
    </row>
    <row r="51" ht="11.5" customFormat="1" customHeight="1" s="1">
      <c r="D51" s="319" t="n"/>
      <c r="E51" s="319" t="n"/>
      <c r="F51" s="319" t="n"/>
      <c r="G51" s="319" t="n"/>
      <c r="H51" s="319" t="n"/>
      <c r="I51" s="319" t="n"/>
      <c r="J51" s="319" t="n"/>
      <c r="M51" s="319" t="n"/>
    </row>
    <row r="52">
      <c r="B52" s="1" t="n"/>
      <c r="C52" s="21" t="inlineStr">
        <is>
          <t>Period Start</t>
        </is>
      </c>
      <c r="D52" s="22" t="inlineStr">
        <is>
          <t>Period End</t>
        </is>
      </c>
      <c r="E52" s="22" t="inlineStr">
        <is>
          <t>Days</t>
        </is>
      </c>
      <c r="F52" s="294" t="inlineStr">
        <is>
          <t>Opening bal.</t>
        </is>
      </c>
      <c r="G52" s="294" t="inlineStr">
        <is>
          <t>Pmt</t>
        </is>
      </c>
      <c r="H52" s="294" t="inlineStr">
        <is>
          <t>Interest</t>
        </is>
      </c>
      <c r="I52" s="294" t="inlineStr">
        <is>
          <t>Principal</t>
        </is>
      </c>
      <c r="J52" s="294" t="inlineStr">
        <is>
          <t>Closing balance</t>
        </is>
      </c>
      <c r="K52" s="23" t="inlineStr">
        <is>
          <t>Amount Repaid</t>
        </is>
      </c>
      <c r="L52" s="23" t="inlineStr">
        <is>
          <t>Accumulated Arrears</t>
        </is>
      </c>
    </row>
    <row r="53">
      <c r="B53" s="1" t="n">
        <v>1</v>
      </c>
      <c r="C53" s="24" t="n">
        <v>44652</v>
      </c>
      <c r="D53" s="24" t="n">
        <v>44681</v>
      </c>
      <c r="E53" s="25">
        <f>D53-C53+1</f>
        <v/>
      </c>
      <c r="F53" s="319">
        <f>D44</f>
        <v/>
      </c>
      <c r="G53" s="319">
        <f>-PMT($D$45/$D$47,144,$F$53,,0)</f>
        <v/>
      </c>
      <c r="H53" s="319">
        <f>$D$45/$D$47*F53</f>
        <v/>
      </c>
      <c r="I53" s="319">
        <f>G53-H53</f>
        <v/>
      </c>
      <c r="J53" s="319">
        <f>F53-I53</f>
        <v/>
      </c>
      <c r="K53" s="516" t="n">
        <v>6100000</v>
      </c>
      <c r="L53" s="516">
        <f>G53-K53</f>
        <v/>
      </c>
    </row>
    <row r="54">
      <c r="B54" s="1" t="n">
        <v>2</v>
      </c>
      <c r="C54" s="24" t="n">
        <v>44682</v>
      </c>
      <c r="D54" s="24" t="n">
        <v>44712</v>
      </c>
      <c r="E54" s="25">
        <f>D54-C54+1</f>
        <v/>
      </c>
      <c r="F54" s="319">
        <f>J53</f>
        <v/>
      </c>
      <c r="G54" s="319">
        <f>-PMT($G$45/$D$47,143,$F$54,0)</f>
        <v/>
      </c>
      <c r="H54" s="319">
        <f>$G$45/$D$47*F54</f>
        <v/>
      </c>
      <c r="I54" s="319">
        <f>G54-H54</f>
        <v/>
      </c>
      <c r="J54" s="319">
        <f>F54-I54</f>
        <v/>
      </c>
      <c r="K54" s="516" t="n">
        <v>6387000</v>
      </c>
      <c r="L54" s="516">
        <f>L53+G54-K54</f>
        <v/>
      </c>
    </row>
    <row r="55">
      <c r="B55" s="1" t="n">
        <v>3</v>
      </c>
      <c r="C55" s="24" t="n">
        <v>44713</v>
      </c>
      <c r="D55" s="24" t="n">
        <v>44742</v>
      </c>
      <c r="E55" s="25">
        <f>D55-C55+1</f>
        <v/>
      </c>
      <c r="F55" s="319">
        <f>J54</f>
        <v/>
      </c>
      <c r="G55" s="319">
        <f>-PMT($G$45/$D$47,143,$F$54,0)</f>
        <v/>
      </c>
      <c r="H55" s="319">
        <f>$G$45/$D$47*F55</f>
        <v/>
      </c>
      <c r="I55" s="319">
        <f>G55-H55</f>
        <v/>
      </c>
      <c r="J55" s="319">
        <f>F55-I55</f>
        <v/>
      </c>
      <c r="K55" s="516" t="n">
        <v>0</v>
      </c>
      <c r="L55" s="516">
        <f>L54+G55-K55</f>
        <v/>
      </c>
    </row>
    <row r="56">
      <c r="B56" s="1" t="n">
        <v>4</v>
      </c>
      <c r="C56" s="24" t="n">
        <v>44743</v>
      </c>
      <c r="D56" s="24" t="n">
        <v>44773</v>
      </c>
      <c r="E56" s="25">
        <f>D56-C56+1</f>
        <v/>
      </c>
      <c r="F56" s="319">
        <f>J55</f>
        <v/>
      </c>
      <c r="G56" s="319">
        <f>-PMT($G$45/$D$47,143,$F$54,0)</f>
        <v/>
      </c>
      <c r="H56" s="319">
        <f>$G$45/$D$47*F56</f>
        <v/>
      </c>
      <c r="I56" s="319">
        <f>G56-H56</f>
        <v/>
      </c>
      <c r="J56" s="319">
        <f>F56-I56</f>
        <v/>
      </c>
      <c r="K56" s="516" t="n">
        <v>0</v>
      </c>
      <c r="L56" s="516">
        <f>L55+G56-K56</f>
        <v/>
      </c>
    </row>
    <row r="57">
      <c r="B57" s="1" t="n">
        <v>5</v>
      </c>
      <c r="C57" s="24" t="n">
        <v>44774</v>
      </c>
      <c r="D57" s="24" t="n">
        <v>44804</v>
      </c>
      <c r="E57" s="25">
        <f>D57-C57+1</f>
        <v/>
      </c>
      <c r="F57" s="319">
        <f>J56</f>
        <v/>
      </c>
      <c r="G57" s="319">
        <f>-PMT($G$45/$D$47,143,$F$54,0)</f>
        <v/>
      </c>
      <c r="H57" s="319">
        <f>$G$45/$D$47*F57</f>
        <v/>
      </c>
      <c r="I57" s="319">
        <f>G57-H57</f>
        <v/>
      </c>
      <c r="J57" s="319">
        <f>F57-I57</f>
        <v/>
      </c>
      <c r="K57" s="516" t="n">
        <v>13000000</v>
      </c>
      <c r="L57" s="516">
        <f>L56+G57-K57</f>
        <v/>
      </c>
    </row>
    <row r="58">
      <c r="B58" s="1" t="n">
        <v>6</v>
      </c>
      <c r="C58" s="24" t="n">
        <v>44805</v>
      </c>
      <c r="D58" s="24" t="n">
        <v>44834</v>
      </c>
      <c r="E58" s="25">
        <f>D58-C58+1</f>
        <v/>
      </c>
      <c r="F58" s="319">
        <f>J57</f>
        <v/>
      </c>
      <c r="G58" s="319">
        <f>-PMT($H$45/$D$47,139,$F$58,0)</f>
        <v/>
      </c>
      <c r="H58" s="319">
        <f>$H$45/$D$47*F58</f>
        <v/>
      </c>
      <c r="I58" s="319">
        <f>G58-H58</f>
        <v/>
      </c>
      <c r="J58" s="319">
        <f>F58-I58</f>
        <v/>
      </c>
      <c r="K58" s="516" t="n"/>
      <c r="L58" s="516">
        <f>L57+G58-K58</f>
        <v/>
      </c>
    </row>
    <row r="59">
      <c r="B59" s="1" t="n">
        <v>7</v>
      </c>
      <c r="C59" s="24" t="n">
        <v>44835</v>
      </c>
      <c r="D59" s="24" t="n">
        <v>44865</v>
      </c>
      <c r="E59" s="25">
        <f>D59-C59+1</f>
        <v/>
      </c>
      <c r="F59" s="319">
        <f>J58</f>
        <v/>
      </c>
      <c r="G59" s="319">
        <f>-PMT($H$45/$D$47,139,$F$58,0)</f>
        <v/>
      </c>
      <c r="H59" s="319">
        <f>$H$45/$D$47*F59</f>
        <v/>
      </c>
      <c r="I59" s="319">
        <f>G59-H59</f>
        <v/>
      </c>
      <c r="J59" s="319">
        <f>F59-I59</f>
        <v/>
      </c>
      <c r="K59" s="516" t="n">
        <v>0</v>
      </c>
      <c r="L59" s="516">
        <f>L58+G59-K59</f>
        <v/>
      </c>
    </row>
    <row r="60">
      <c r="B60" s="1" t="n">
        <v>8</v>
      </c>
      <c r="C60" s="24" t="n">
        <v>44866</v>
      </c>
      <c r="D60" s="24" t="n">
        <v>44895</v>
      </c>
      <c r="E60" s="25">
        <f>D60-C60+1</f>
        <v/>
      </c>
      <c r="F60" s="319">
        <f>J59</f>
        <v/>
      </c>
      <c r="G60" s="319">
        <f>-PMT($I$45/$D$47,137,$F$60,0)</f>
        <v/>
      </c>
      <c r="H60" s="319">
        <f>$I$45/$D$47*F60</f>
        <v/>
      </c>
      <c r="I60" s="319">
        <f>G60-H60</f>
        <v/>
      </c>
      <c r="J60" s="319">
        <f>F60-I60</f>
        <v/>
      </c>
      <c r="K60" s="516">
        <f>2500000+1500000</f>
        <v/>
      </c>
      <c r="L60" s="516">
        <f>L59+G60-K60</f>
        <v/>
      </c>
    </row>
    <row r="61">
      <c r="B61" s="1" t="n">
        <v>9</v>
      </c>
      <c r="C61" s="24" t="n">
        <v>44896</v>
      </c>
      <c r="D61" s="24" t="n">
        <v>44926</v>
      </c>
      <c r="E61" s="25">
        <f>D61-C61+1</f>
        <v/>
      </c>
      <c r="F61" s="319">
        <f>J60</f>
        <v/>
      </c>
      <c r="G61" s="319">
        <f>-PMT($J$45/$D$47,136,$F$61,0)</f>
        <v/>
      </c>
      <c r="H61" s="319">
        <f>$J$45/$D$47*F61</f>
        <v/>
      </c>
      <c r="I61" s="319">
        <f>G61-H61</f>
        <v/>
      </c>
      <c r="J61" s="319">
        <f>F61-I61</f>
        <v/>
      </c>
      <c r="K61" s="516" t="n">
        <v>5000000</v>
      </c>
      <c r="L61" s="516">
        <f>L60+G61-K61</f>
        <v/>
      </c>
    </row>
    <row r="62">
      <c r="B62" s="1" t="n">
        <v>10</v>
      </c>
      <c r="C62" s="24" t="n">
        <v>44927</v>
      </c>
      <c r="D62" s="24" t="n">
        <v>44957</v>
      </c>
      <c r="E62" s="25">
        <f>D62-C62+1</f>
        <v/>
      </c>
      <c r="F62" s="319">
        <f>J61</f>
        <v/>
      </c>
      <c r="G62" s="319">
        <f>-PMT($J$45/$D$47,136,$F$61,0)</f>
        <v/>
      </c>
      <c r="H62" s="319">
        <f>$J$45/$D$47*F62</f>
        <v/>
      </c>
      <c r="I62" s="319">
        <f>G62-H62</f>
        <v/>
      </c>
      <c r="J62" s="319">
        <f>F62-I62</f>
        <v/>
      </c>
      <c r="K62" s="516" t="n">
        <v>0</v>
      </c>
      <c r="L62" s="519">
        <f>L61+G62-K62</f>
        <v/>
      </c>
    </row>
    <row r="63">
      <c r="B63" s="1" t="n">
        <v>11</v>
      </c>
      <c r="C63" s="24" t="n">
        <v>44958</v>
      </c>
      <c r="D63" s="24" t="n">
        <v>44985</v>
      </c>
      <c r="E63" s="25">
        <f>D63-C63+1</f>
        <v/>
      </c>
      <c r="F63" s="319">
        <f>J62</f>
        <v/>
      </c>
      <c r="G63" s="319">
        <f>-PMT($J$45/$D$47,136,$F$61,0)</f>
        <v/>
      </c>
      <c r="H63" s="319">
        <f>$J$45/$D$47*F63</f>
        <v/>
      </c>
      <c r="I63" s="319">
        <f>G63-H63</f>
        <v/>
      </c>
      <c r="J63" s="319">
        <f>F63-I63</f>
        <v/>
      </c>
      <c r="K63" s="516" t="n">
        <v>10000000</v>
      </c>
      <c r="L63" s="516">
        <f>L62+G63-K63</f>
        <v/>
      </c>
    </row>
    <row r="64">
      <c r="B64" s="1" t="n">
        <v>12</v>
      </c>
      <c r="C64" s="24" t="n">
        <v>44986</v>
      </c>
      <c r="D64" s="24" t="n">
        <v>45016</v>
      </c>
      <c r="E64" s="25">
        <f>D64-C64+1</f>
        <v/>
      </c>
      <c r="F64" s="319">
        <f>J63</f>
        <v/>
      </c>
      <c r="G64" s="319">
        <f>-PMT($J$45/$D$47,136,$F$61,0)</f>
        <v/>
      </c>
      <c r="H64" s="319">
        <f>$J$45/$D$47*F64</f>
        <v/>
      </c>
      <c r="I64" s="319">
        <f>G64-H64</f>
        <v/>
      </c>
      <c r="J64" s="319">
        <f>F64-I64</f>
        <v/>
      </c>
      <c r="K64" s="516" t="n">
        <v>25000000</v>
      </c>
      <c r="L64" s="516">
        <f>L63+G64-K64</f>
        <v/>
      </c>
    </row>
    <row r="65">
      <c r="B65" s="1" t="n">
        <v>13</v>
      </c>
      <c r="C65" s="24" t="n">
        <v>45017</v>
      </c>
      <c r="D65" s="24" t="n">
        <v>45046</v>
      </c>
      <c r="E65" s="25">
        <f>D65-C65+1</f>
        <v/>
      </c>
      <c r="F65" s="319">
        <f>J64</f>
        <v/>
      </c>
      <c r="G65" s="319">
        <f>-PMT($J$45/$D$47,136,$F$61,0)</f>
        <v/>
      </c>
      <c r="H65" s="319">
        <f>$J$45/$D$47*F65</f>
        <v/>
      </c>
      <c r="I65" s="319">
        <f>G65-H65</f>
        <v/>
      </c>
      <c r="J65" s="319">
        <f>F65-I65</f>
        <v/>
      </c>
      <c r="K65" s="516" t="n">
        <v>0</v>
      </c>
      <c r="L65" s="516">
        <f>L64+G65-K65</f>
        <v/>
      </c>
    </row>
    <row r="66">
      <c r="B66" s="1" t="n">
        <v>14</v>
      </c>
      <c r="C66" s="281" t="n">
        <v>45047</v>
      </c>
      <c r="D66" s="281" t="n">
        <v>45077</v>
      </c>
      <c r="E66" s="282">
        <f>D66-C66+1</f>
        <v/>
      </c>
      <c r="F66" s="5">
        <f>J65</f>
        <v/>
      </c>
      <c r="G66" s="5">
        <f>-PMT($K$45/$D$47,131,$F$66,0)</f>
        <v/>
      </c>
      <c r="H66" s="5">
        <f>$K$45/$D$47*F66</f>
        <v/>
      </c>
      <c r="I66" s="5">
        <f>G66-H66</f>
        <v/>
      </c>
      <c r="J66" s="5">
        <f>F66-I66</f>
        <v/>
      </c>
      <c r="K66" s="516" t="n">
        <v>5000000</v>
      </c>
      <c r="L66" s="516">
        <f>L65+G66-K66</f>
        <v/>
      </c>
    </row>
    <row r="67">
      <c r="B67" s="1" t="n">
        <v>15</v>
      </c>
      <c r="C67" s="24" t="n">
        <v>45078</v>
      </c>
      <c r="D67" s="24" t="n">
        <v>45107</v>
      </c>
      <c r="E67" s="25">
        <f>D67-C67+1</f>
        <v/>
      </c>
      <c r="F67" s="319">
        <f>J66</f>
        <v/>
      </c>
      <c r="G67" s="319">
        <f>-PMT($K$45/$D$47,131,$F$66,0)</f>
        <v/>
      </c>
      <c r="H67" s="319">
        <f>$K$45/$D$47*F67</f>
        <v/>
      </c>
      <c r="I67" s="319">
        <f>G67-H67</f>
        <v/>
      </c>
      <c r="J67" s="319">
        <f>F67-I67</f>
        <v/>
      </c>
      <c r="K67" s="516" t="n">
        <v>8000000</v>
      </c>
      <c r="L67" s="519">
        <f>L66+G67-K67</f>
        <v/>
      </c>
      <c r="N67" s="148" t="n"/>
    </row>
    <row r="68">
      <c r="B68" s="1" t="n">
        <v>16</v>
      </c>
      <c r="C68" s="24" t="n">
        <v>45108</v>
      </c>
      <c r="D68" s="24" t="n">
        <v>45138</v>
      </c>
      <c r="E68" s="25">
        <f>D68-C68+1</f>
        <v/>
      </c>
      <c r="F68" s="319">
        <f>J67</f>
        <v/>
      </c>
      <c r="G68" s="319">
        <f>-PMT($L$45/$D$47,129,$F$68,0)</f>
        <v/>
      </c>
      <c r="H68" s="319">
        <f>$L$45/$D$47*F68</f>
        <v/>
      </c>
      <c r="I68" s="319">
        <f>G68-H68</f>
        <v/>
      </c>
      <c r="J68" s="319">
        <f>F68-I68</f>
        <v/>
      </c>
      <c r="K68" s="516" t="n"/>
      <c r="L68" s="519">
        <f>L67+G68-K68</f>
        <v/>
      </c>
      <c r="N68" s="521" t="n"/>
    </row>
    <row r="69">
      <c r="B69" s="1" t="n">
        <v>17</v>
      </c>
      <c r="C69" s="24" t="n">
        <v>45139</v>
      </c>
      <c r="D69" s="24" t="n">
        <v>45169</v>
      </c>
      <c r="E69" s="25">
        <f>D69-C69+1</f>
        <v/>
      </c>
      <c r="F69" s="319">
        <f>J68</f>
        <v/>
      </c>
      <c r="G69" s="319">
        <f>-PMT($M$45/$D$47,128,$F$69,0)</f>
        <v/>
      </c>
      <c r="H69" s="319">
        <f>$M$45/$D$47*F69</f>
        <v/>
      </c>
      <c r="I69" s="319">
        <f>G69-H69</f>
        <v/>
      </c>
      <c r="J69" s="319">
        <f>F69-I69</f>
        <v/>
      </c>
      <c r="K69" s="516" t="n">
        <v>10000000</v>
      </c>
      <c r="L69" s="516">
        <f>L68+G69-K69</f>
        <v/>
      </c>
      <c r="N69" s="521" t="n"/>
    </row>
    <row r="70">
      <c r="B70" s="1" t="n">
        <v>18</v>
      </c>
      <c r="C70" s="24" t="n">
        <v>45170</v>
      </c>
      <c r="D70" s="24" t="n">
        <v>45199</v>
      </c>
      <c r="E70" s="25">
        <f>D70-C70+1</f>
        <v/>
      </c>
      <c r="F70" s="319">
        <f>J69</f>
        <v/>
      </c>
      <c r="G70" s="319">
        <f>-PMT($H$50/$D$47,127,$F$70,0)</f>
        <v/>
      </c>
      <c r="H70" s="319">
        <f>$H$50/$D$47*F70</f>
        <v/>
      </c>
      <c r="I70" s="319">
        <f>G70-H70</f>
        <v/>
      </c>
      <c r="J70" s="319">
        <f>F70-I70</f>
        <v/>
      </c>
      <c r="K70" s="516" t="n">
        <v>10000000</v>
      </c>
      <c r="L70" s="516">
        <f>L69+G70-K70</f>
        <v/>
      </c>
    </row>
    <row r="71">
      <c r="B71" s="1" t="n">
        <v>19</v>
      </c>
      <c r="C71" s="24" t="n">
        <v>45200</v>
      </c>
      <c r="D71" s="24" t="n">
        <v>45230</v>
      </c>
      <c r="E71" s="25">
        <f>D71-C71+1</f>
        <v/>
      </c>
      <c r="F71" s="319">
        <f>J70</f>
        <v/>
      </c>
      <c r="G71" s="319">
        <f>-PMT($I$50/$D$47,126,$F$71,0)</f>
        <v/>
      </c>
      <c r="H71" s="319">
        <f>$I$50/$D$47*F71</f>
        <v/>
      </c>
      <c r="I71" s="319">
        <f>G71-H71</f>
        <v/>
      </c>
      <c r="J71" s="319">
        <f>F71-I71</f>
        <v/>
      </c>
      <c r="K71" s="516" t="n">
        <v>0</v>
      </c>
      <c r="L71" s="516">
        <f>L70+G71-K71</f>
        <v/>
      </c>
    </row>
    <row r="72">
      <c r="B72" s="1" t="n">
        <v>20</v>
      </c>
      <c r="C72" s="24" t="n">
        <v>45231</v>
      </c>
      <c r="D72" s="24" t="n">
        <v>45260</v>
      </c>
      <c r="E72" s="25">
        <f>D72-C72+1</f>
        <v/>
      </c>
      <c r="F72" s="319">
        <f>J71</f>
        <v/>
      </c>
      <c r="G72" s="319">
        <f>-PMT($I$50/$D$47,126,$F$71,0)</f>
        <v/>
      </c>
      <c r="H72" s="319">
        <f>$I$50/$D$47*F72</f>
        <v/>
      </c>
      <c r="I72" s="319">
        <f>G72-H72</f>
        <v/>
      </c>
      <c r="J72" s="319">
        <f>F72-I72</f>
        <v/>
      </c>
      <c r="K72" s="516" t="n">
        <v>5000000</v>
      </c>
      <c r="L72" s="516">
        <f>L71+G72-K72</f>
        <v/>
      </c>
    </row>
    <row r="73">
      <c r="B73" s="1" t="n">
        <v>21</v>
      </c>
      <c r="C73" s="24" t="n">
        <v>45261</v>
      </c>
      <c r="D73" s="24" t="n">
        <v>45291</v>
      </c>
      <c r="E73" s="25">
        <f>D73-C73+1</f>
        <v/>
      </c>
      <c r="F73" s="319">
        <f>J72</f>
        <v/>
      </c>
      <c r="G73" s="319">
        <f>-PMT($J$50/$D$47,124,$F$73,0)</f>
        <v/>
      </c>
      <c r="H73" s="319">
        <f>$J$50/$D$47*F73</f>
        <v/>
      </c>
      <c r="I73" s="319">
        <f>G73-H73</f>
        <v/>
      </c>
      <c r="J73" s="319">
        <f>F73-I73</f>
        <v/>
      </c>
      <c r="K73" s="516" t="n"/>
      <c r="L73" s="516">
        <f>L72+G73-K73</f>
        <v/>
      </c>
    </row>
    <row r="74">
      <c r="B74" s="1" t="n">
        <v>22</v>
      </c>
      <c r="C74" s="24" t="n">
        <v>45292</v>
      </c>
      <c r="D74" s="24" t="n">
        <v>45322</v>
      </c>
      <c r="E74" s="25">
        <f>D74-C74+1</f>
        <v/>
      </c>
      <c r="F74" s="319">
        <f>J73</f>
        <v/>
      </c>
      <c r="G74" s="319">
        <f>-PMT($J$50/$D$47,124,$F$73,0)</f>
        <v/>
      </c>
      <c r="H74" s="319">
        <f>$J$50/$D$47*F74</f>
        <v/>
      </c>
      <c r="I74" s="319">
        <f>G74-H74</f>
        <v/>
      </c>
      <c r="J74" s="319">
        <f>F74-I74</f>
        <v/>
      </c>
      <c r="K74" s="516">
        <f>10000000+5000000+5000000</f>
        <v/>
      </c>
      <c r="L74" s="516">
        <f>L73+G74-K74</f>
        <v/>
      </c>
    </row>
    <row r="75">
      <c r="B75" s="1" t="n">
        <v>23</v>
      </c>
      <c r="C75" s="24" t="n">
        <v>45323</v>
      </c>
      <c r="D75" s="24" t="n">
        <v>45351</v>
      </c>
      <c r="E75" s="25">
        <f>D75-C75+1</f>
        <v/>
      </c>
      <c r="F75" s="319">
        <f>J74</f>
        <v/>
      </c>
      <c r="G75" s="319">
        <f>-PMT($K$50/$D$47,122,$F$75,0)</f>
        <v/>
      </c>
      <c r="H75" s="319">
        <f>$K$50/$D$47*F75</f>
        <v/>
      </c>
      <c r="I75" s="319">
        <f>G75-H75</f>
        <v/>
      </c>
      <c r="J75" s="319">
        <f>F75-I75</f>
        <v/>
      </c>
      <c r="K75" s="516" t="n"/>
      <c r="L75" s="516">
        <f>L74+G75-K75</f>
        <v/>
      </c>
    </row>
    <row r="76">
      <c r="B76" s="1" t="n">
        <v>24</v>
      </c>
      <c r="C76" s="24" t="n">
        <v>45352</v>
      </c>
      <c r="D76" s="24" t="n">
        <v>45382</v>
      </c>
      <c r="E76" s="25">
        <f>D76-C76+1</f>
        <v/>
      </c>
      <c r="F76" s="319">
        <f>J75</f>
        <v/>
      </c>
      <c r="G76" s="319">
        <f>-PMT($K$50/$D$47,122,$F$75,0)</f>
        <v/>
      </c>
      <c r="H76" s="319">
        <f>$K$50/$D$47*F76</f>
        <v/>
      </c>
      <c r="I76" s="319">
        <f>G76-H76</f>
        <v/>
      </c>
      <c r="J76" s="319">
        <f>F76-I76</f>
        <v/>
      </c>
      <c r="K76" s="516" t="n">
        <v>20000000</v>
      </c>
      <c r="L76" s="516">
        <f>L75+G76-K76</f>
        <v/>
      </c>
    </row>
    <row r="77">
      <c r="B77" s="1" t="n">
        <v>25</v>
      </c>
      <c r="C77" s="24" t="n">
        <v>45383</v>
      </c>
      <c r="D77" s="24" t="n">
        <v>45412</v>
      </c>
      <c r="E77" s="25">
        <f>D77-C77+1</f>
        <v/>
      </c>
      <c r="F77" s="319">
        <f>J76</f>
        <v/>
      </c>
      <c r="G77" s="319">
        <f>-PMT($K$50/$D$47,122,$F$75,0)</f>
        <v/>
      </c>
      <c r="H77" s="319">
        <f>$K$50/$D$47*F77</f>
        <v/>
      </c>
      <c r="I77" s="319">
        <f>G77-H77</f>
        <v/>
      </c>
      <c r="J77" s="319">
        <f>F77-I77</f>
        <v/>
      </c>
      <c r="K77" s="516" t="n">
        <v>10000000</v>
      </c>
      <c r="L77" s="516">
        <f>L76+G77-K77</f>
        <v/>
      </c>
    </row>
    <row r="78">
      <c r="B78" s="1" t="n">
        <v>26</v>
      </c>
      <c r="C78" s="24" t="n">
        <v>45413</v>
      </c>
      <c r="D78" s="24" t="n">
        <v>45443</v>
      </c>
      <c r="E78" s="25">
        <f>D78-C78+1</f>
        <v/>
      </c>
      <c r="F78" s="319">
        <f>J77</f>
        <v/>
      </c>
      <c r="G78" s="319">
        <f>-PMT($L$50/$D$47,119,$F$78,0)</f>
        <v/>
      </c>
      <c r="H78" s="319">
        <f>$L$50/$D$47*F78</f>
        <v/>
      </c>
      <c r="I78" s="319">
        <f>G78-H78</f>
        <v/>
      </c>
      <c r="J78" s="319">
        <f>F78-I78</f>
        <v/>
      </c>
      <c r="K78" s="516" t="n"/>
      <c r="L78" s="516">
        <f>L77+G78-K78</f>
        <v/>
      </c>
    </row>
    <row r="79">
      <c r="B79" s="1" t="n">
        <v>27</v>
      </c>
      <c r="C79" s="24" t="n">
        <v>45444</v>
      </c>
      <c r="D79" s="24" t="n">
        <v>45473</v>
      </c>
      <c r="E79" s="25">
        <f>D79-C79+1</f>
        <v/>
      </c>
      <c r="F79" s="319">
        <f>J78</f>
        <v/>
      </c>
      <c r="G79" s="319">
        <f>-PMT($M$50/$D$47,118,$F$79,0)</f>
        <v/>
      </c>
      <c r="H79" s="319">
        <f>$M$50/$D$47*F79</f>
        <v/>
      </c>
      <c r="I79" s="319">
        <f>G79-H79</f>
        <v/>
      </c>
      <c r="J79" s="319">
        <f>F79-I79</f>
        <v/>
      </c>
      <c r="K79" s="516" t="n">
        <v>10000000</v>
      </c>
      <c r="L79" s="516">
        <f>L78+G79-K79</f>
        <v/>
      </c>
    </row>
    <row r="80">
      <c r="B80" s="1" t="n">
        <v>28</v>
      </c>
      <c r="C80" s="24" t="n">
        <v>45474</v>
      </c>
      <c r="D80" s="24" t="n">
        <v>45504</v>
      </c>
      <c r="E80" s="25">
        <f>D80-C80+1</f>
        <v/>
      </c>
      <c r="F80" s="319">
        <f>J79</f>
        <v/>
      </c>
      <c r="G80" s="522">
        <f>-PMT($N$50/$D$47,117,$F$80,0)</f>
        <v/>
      </c>
      <c r="H80" s="319">
        <f>$N$50/$D$47*F80</f>
        <v/>
      </c>
      <c r="I80" s="319">
        <f>G80-H80</f>
        <v/>
      </c>
      <c r="J80" s="319">
        <f>F80-I80</f>
        <v/>
      </c>
      <c r="K80" s="516" t="n"/>
      <c r="L80" s="516">
        <f>L79+G80-K80</f>
        <v/>
      </c>
    </row>
    <row r="81">
      <c r="B81" s="1" t="n">
        <v>29</v>
      </c>
      <c r="C81" s="24" t="n">
        <v>45505</v>
      </c>
      <c r="D81" s="24" t="n">
        <v>45535</v>
      </c>
      <c r="E81" s="25">
        <f>D81-C81+1</f>
        <v/>
      </c>
      <c r="F81" s="319">
        <f>J80</f>
        <v/>
      </c>
      <c r="G81" s="522">
        <f>-PMT($N$50/$D$47,117,$F$80,0)</f>
        <v/>
      </c>
      <c r="H81" s="319">
        <f>$N$50/$D$47*F81</f>
        <v/>
      </c>
      <c r="I81" s="319">
        <f>G81-H81</f>
        <v/>
      </c>
      <c r="J81" s="319">
        <f>F81-I81</f>
        <v/>
      </c>
      <c r="K81" s="516" t="n">
        <v>10000000</v>
      </c>
      <c r="L81" s="516">
        <f>L80+G81-K81</f>
        <v/>
      </c>
    </row>
    <row r="82">
      <c r="B82" s="1" t="n">
        <v>30</v>
      </c>
      <c r="C82" s="24" t="n">
        <v>45536</v>
      </c>
      <c r="D82" s="24" t="n">
        <v>45565</v>
      </c>
      <c r="E82" s="25">
        <f>D82-C82+1</f>
        <v/>
      </c>
      <c r="F82" s="319">
        <f>J81</f>
        <v/>
      </c>
      <c r="G82" s="522">
        <f>-PMT($N$50/$D$47,117,$F$80,0)</f>
        <v/>
      </c>
      <c r="H82" s="319">
        <f>$N$50/$D$47*F82</f>
        <v/>
      </c>
      <c r="I82" s="319">
        <f>G82-H82</f>
        <v/>
      </c>
      <c r="J82" s="319">
        <f>F82-I82</f>
        <v/>
      </c>
      <c r="K82" s="516" t="n"/>
      <c r="L82" s="516">
        <f>L81+G82-K82</f>
        <v/>
      </c>
    </row>
    <row r="83">
      <c r="B83" s="1" t="n">
        <v>31</v>
      </c>
      <c r="C83" s="24" t="n">
        <v>45566</v>
      </c>
      <c r="D83" s="24" t="n">
        <v>45596</v>
      </c>
      <c r="E83" s="25">
        <f>D83-C83+1</f>
        <v/>
      </c>
      <c r="F83" s="319">
        <f>J82</f>
        <v/>
      </c>
      <c r="G83" s="522">
        <f>-PMT($N$50/$D$47,117,$F$80,0)</f>
        <v/>
      </c>
      <c r="H83" s="319">
        <f>$N$50/$D$47*F83</f>
        <v/>
      </c>
      <c r="I83" s="319">
        <f>G83-H83</f>
        <v/>
      </c>
      <c r="J83" s="319">
        <f>F83-I83</f>
        <v/>
      </c>
      <c r="K83" s="516">
        <f>10000000+5000000</f>
        <v/>
      </c>
      <c r="L83" s="523">
        <f>L82+G83-K83</f>
        <v/>
      </c>
    </row>
    <row r="84">
      <c r="B84" s="1" t="n">
        <v>32</v>
      </c>
      <c r="C84" s="24" t="n">
        <v>45597</v>
      </c>
      <c r="D84" s="24" t="n">
        <v>45626</v>
      </c>
      <c r="E84" s="25">
        <f>D84-C84+1</f>
        <v/>
      </c>
      <c r="F84" s="319">
        <f>J83</f>
        <v/>
      </c>
      <c r="G84" s="522">
        <f>-PMT($N$50/$D$47,117,$F$80,0)</f>
        <v/>
      </c>
      <c r="H84" s="319">
        <f>$N$50/$D$47*F84</f>
        <v/>
      </c>
      <c r="I84" s="319">
        <f>G84-H84</f>
        <v/>
      </c>
      <c r="J84" s="319">
        <f>F84-I84</f>
        <v/>
      </c>
      <c r="K84" s="516" t="n"/>
      <c r="L84" s="516" t="n"/>
    </row>
    <row r="85">
      <c r="B85" s="1" t="n">
        <v>33</v>
      </c>
      <c r="C85" s="24" t="n">
        <v>45627</v>
      </c>
      <c r="D85" s="24" t="n">
        <v>45657</v>
      </c>
      <c r="E85" s="25">
        <f>D85-C85+1</f>
        <v/>
      </c>
      <c r="F85" s="319">
        <f>J84</f>
        <v/>
      </c>
      <c r="G85" s="522">
        <f>-PMT($N$50/$D$47,117,$F$80,0)</f>
        <v/>
      </c>
      <c r="H85" s="319">
        <f>$N$50/$D$47*F85</f>
        <v/>
      </c>
      <c r="I85" s="319">
        <f>G85-H85</f>
        <v/>
      </c>
      <c r="J85" s="319">
        <f>F85-I85</f>
        <v/>
      </c>
      <c r="K85" s="516" t="n"/>
      <c r="L85" s="516" t="n"/>
    </row>
    <row r="86">
      <c r="B86" s="1" t="n">
        <v>34</v>
      </c>
      <c r="C86" s="24" t="n">
        <v>45658</v>
      </c>
      <c r="D86" s="24" t="n">
        <v>45688</v>
      </c>
      <c r="E86" s="25">
        <f>D86-C86+1</f>
        <v/>
      </c>
      <c r="F86" s="319">
        <f>J85</f>
        <v/>
      </c>
      <c r="G86" s="522">
        <f>-PMT($N$50/$D$47,117,$F$80,0)</f>
        <v/>
      </c>
      <c r="H86" s="319">
        <f>$N$50/$D$47*F86</f>
        <v/>
      </c>
      <c r="I86" s="319">
        <f>G86-H86</f>
        <v/>
      </c>
      <c r="J86" s="319">
        <f>F86-I86</f>
        <v/>
      </c>
      <c r="K86" s="516" t="n"/>
      <c r="L86" s="516" t="n"/>
    </row>
    <row r="87">
      <c r="B87" s="1" t="n">
        <v>35</v>
      </c>
      <c r="C87" s="24" t="n">
        <v>45689</v>
      </c>
      <c r="D87" s="24" t="n">
        <v>45716</v>
      </c>
      <c r="E87" s="25">
        <f>D87-C87+1</f>
        <v/>
      </c>
      <c r="F87" s="319">
        <f>J86</f>
        <v/>
      </c>
      <c r="G87" s="522">
        <f>-PMT($N$50/$D$47,117,$F$80,0)</f>
        <v/>
      </c>
      <c r="H87" s="319">
        <f>$N$50/$D$47*F87</f>
        <v/>
      </c>
      <c r="I87" s="319">
        <f>G87-H87</f>
        <v/>
      </c>
      <c r="J87" s="319">
        <f>F87-I87</f>
        <v/>
      </c>
      <c r="K87" s="516" t="n"/>
      <c r="L87" s="516" t="n"/>
    </row>
    <row r="88">
      <c r="B88" s="1" t="n">
        <v>36</v>
      </c>
      <c r="C88" s="24" t="n">
        <v>45717</v>
      </c>
      <c r="D88" s="24" t="n">
        <v>45747</v>
      </c>
      <c r="E88" s="25">
        <f>D88-C88+1</f>
        <v/>
      </c>
      <c r="F88" s="319">
        <f>J87</f>
        <v/>
      </c>
      <c r="G88" s="522">
        <f>-PMT($N$50/$D$47,117,$F$80,0)</f>
        <v/>
      </c>
      <c r="H88" s="319">
        <f>$N$50/$D$47*F88</f>
        <v/>
      </c>
      <c r="I88" s="319">
        <f>G88-H88</f>
        <v/>
      </c>
      <c r="J88" s="319">
        <f>F88-I88</f>
        <v/>
      </c>
      <c r="K88" s="516" t="n"/>
      <c r="L88" s="516" t="n"/>
    </row>
    <row r="89">
      <c r="B89" s="1" t="n">
        <v>37</v>
      </c>
      <c r="C89" s="24" t="n">
        <v>45748</v>
      </c>
      <c r="D89" s="24" t="n">
        <v>45777</v>
      </c>
      <c r="E89" s="25">
        <f>D89-C89+1</f>
        <v/>
      </c>
      <c r="F89" s="319">
        <f>J88</f>
        <v/>
      </c>
      <c r="G89" s="522">
        <f>-PMT($N$50/$D$47,117,$F$80,0)</f>
        <v/>
      </c>
      <c r="H89" s="319">
        <f>$N$50/$D$47*F89</f>
        <v/>
      </c>
      <c r="I89" s="319">
        <f>G89-H89</f>
        <v/>
      </c>
      <c r="J89" s="319">
        <f>F89-I89</f>
        <v/>
      </c>
      <c r="K89" s="516" t="n"/>
      <c r="L89" s="516" t="n"/>
    </row>
    <row r="90">
      <c r="B90" s="1" t="n">
        <v>38</v>
      </c>
      <c r="C90" s="24" t="n">
        <v>45778</v>
      </c>
      <c r="D90" s="24" t="n">
        <v>45808</v>
      </c>
      <c r="E90" s="25">
        <f>D90-C90+1</f>
        <v/>
      </c>
      <c r="F90" s="319">
        <f>J89</f>
        <v/>
      </c>
      <c r="G90" s="522">
        <f>-PMT($N$50/$D$47,117,$F$80,0)</f>
        <v/>
      </c>
      <c r="H90" s="319">
        <f>$N$50/$D$47*F90</f>
        <v/>
      </c>
      <c r="I90" s="319">
        <f>G90-H90</f>
        <v/>
      </c>
      <c r="J90" s="319">
        <f>F90-I90</f>
        <v/>
      </c>
      <c r="K90" s="516" t="n"/>
      <c r="L90" s="516" t="n"/>
    </row>
    <row r="91">
      <c r="B91" s="1" t="n">
        <v>39</v>
      </c>
      <c r="C91" s="24" t="n">
        <v>45809</v>
      </c>
      <c r="D91" s="24" t="n">
        <v>45838</v>
      </c>
      <c r="E91" s="25">
        <f>D91-C91+1</f>
        <v/>
      </c>
      <c r="F91" s="319">
        <f>J90</f>
        <v/>
      </c>
      <c r="G91" s="522">
        <f>-PMT($N$50/$D$47,117,$F$80,0)</f>
        <v/>
      </c>
      <c r="H91" s="319">
        <f>$N$50/$D$47*F91</f>
        <v/>
      </c>
      <c r="I91" s="319">
        <f>G91-H91</f>
        <v/>
      </c>
      <c r="J91" s="319">
        <f>F91-I91</f>
        <v/>
      </c>
      <c r="K91" s="516" t="n"/>
      <c r="L91" s="516" t="n"/>
    </row>
    <row r="92">
      <c r="B92" s="1" t="n">
        <v>40</v>
      </c>
      <c r="C92" s="24" t="n">
        <v>45839</v>
      </c>
      <c r="D92" s="24" t="n">
        <v>45869</v>
      </c>
      <c r="E92" s="25">
        <f>D92-C92+1</f>
        <v/>
      </c>
      <c r="F92" s="319">
        <f>J91</f>
        <v/>
      </c>
      <c r="G92" s="522">
        <f>-PMT($N$50/$D$47,117,$F$80,0)</f>
        <v/>
      </c>
      <c r="H92" s="319">
        <f>$N$50/$D$47*F92</f>
        <v/>
      </c>
      <c r="I92" s="319">
        <f>G92-H92</f>
        <v/>
      </c>
      <c r="J92" s="319">
        <f>F92-I92</f>
        <v/>
      </c>
      <c r="K92" s="516" t="n"/>
      <c r="L92" s="516" t="n"/>
    </row>
    <row r="93">
      <c r="B93" s="1" t="n">
        <v>41</v>
      </c>
      <c r="C93" s="24" t="n">
        <v>45870</v>
      </c>
      <c r="D93" s="24" t="n">
        <v>45900</v>
      </c>
      <c r="E93" s="25">
        <f>D93-C93+1</f>
        <v/>
      </c>
      <c r="F93" s="319">
        <f>J92</f>
        <v/>
      </c>
      <c r="G93" s="522">
        <f>-PMT($N$50/$D$47,117,$F$80,0)</f>
        <v/>
      </c>
      <c r="H93" s="319">
        <f>$N$50/$D$47*F93</f>
        <v/>
      </c>
      <c r="I93" s="319">
        <f>G93-H93</f>
        <v/>
      </c>
      <c r="J93" s="319">
        <f>F93-I93</f>
        <v/>
      </c>
      <c r="K93" s="516" t="n"/>
      <c r="L93" s="516" t="n"/>
    </row>
    <row r="94">
      <c r="B94" s="1" t="n">
        <v>42</v>
      </c>
      <c r="C94" s="24" t="n">
        <v>45901</v>
      </c>
      <c r="D94" s="24" t="n">
        <v>45930</v>
      </c>
      <c r="E94" s="25">
        <f>D94-C94+1</f>
        <v/>
      </c>
      <c r="F94" s="319">
        <f>J93</f>
        <v/>
      </c>
      <c r="G94" s="522">
        <f>-PMT($N$50/$D$47,117,$F$80,0)</f>
        <v/>
      </c>
      <c r="H94" s="319">
        <f>$N$50/$D$47*F94</f>
        <v/>
      </c>
      <c r="I94" s="319">
        <f>G94-H94</f>
        <v/>
      </c>
      <c r="J94" s="319">
        <f>F94-I94</f>
        <v/>
      </c>
      <c r="K94" s="516" t="n"/>
      <c r="L94" s="516" t="n"/>
    </row>
    <row r="95">
      <c r="B95" s="1" t="n">
        <v>43</v>
      </c>
      <c r="C95" s="24" t="n">
        <v>45931</v>
      </c>
      <c r="D95" s="24" t="n">
        <v>45961</v>
      </c>
      <c r="E95" s="25">
        <f>D95-C95+1</f>
        <v/>
      </c>
      <c r="F95" s="319">
        <f>J94</f>
        <v/>
      </c>
      <c r="G95" s="522">
        <f>-PMT($N$50/$D$47,117,$F$80,0)</f>
        <v/>
      </c>
      <c r="H95" s="319">
        <f>$N$50/$D$47*F95</f>
        <v/>
      </c>
      <c r="I95" s="319">
        <f>G95-H95</f>
        <v/>
      </c>
      <c r="J95" s="319">
        <f>F95-I95</f>
        <v/>
      </c>
      <c r="K95" s="516" t="n"/>
      <c r="L95" s="516" t="n"/>
    </row>
    <row r="96">
      <c r="B96" s="1" t="n">
        <v>44</v>
      </c>
      <c r="C96" s="24" t="n">
        <v>45962</v>
      </c>
      <c r="D96" s="24" t="n">
        <v>45991</v>
      </c>
      <c r="E96" s="25">
        <f>D96-C96+1</f>
        <v/>
      </c>
      <c r="F96" s="319">
        <f>J95</f>
        <v/>
      </c>
      <c r="G96" s="522">
        <f>-PMT($N$50/$D$47,117,$F$80,0)</f>
        <v/>
      </c>
      <c r="H96" s="319">
        <f>$N$50/$D$47*F96</f>
        <v/>
      </c>
      <c r="I96" s="319">
        <f>G96-H96</f>
        <v/>
      </c>
      <c r="J96" s="319">
        <f>F96-I96</f>
        <v/>
      </c>
      <c r="K96" s="516" t="n"/>
      <c r="L96" s="516" t="n"/>
    </row>
    <row r="97">
      <c r="B97" s="1" t="n">
        <v>45</v>
      </c>
      <c r="C97" s="24" t="n">
        <v>45992</v>
      </c>
      <c r="D97" s="24" t="n">
        <v>46022</v>
      </c>
      <c r="E97" s="25">
        <f>D97-C97+1</f>
        <v/>
      </c>
      <c r="F97" s="319">
        <f>J96</f>
        <v/>
      </c>
      <c r="G97" s="522">
        <f>-PMT($N$50/$D$47,117,$F$80,0)</f>
        <v/>
      </c>
      <c r="H97" s="319">
        <f>$N$50/$D$47*F97</f>
        <v/>
      </c>
      <c r="I97" s="319">
        <f>G97-H97</f>
        <v/>
      </c>
      <c r="J97" s="319">
        <f>F97-I97</f>
        <v/>
      </c>
      <c r="K97" s="516" t="n"/>
      <c r="L97" s="516" t="n"/>
    </row>
    <row r="98">
      <c r="B98" s="1" t="n">
        <v>46</v>
      </c>
      <c r="C98" s="24" t="n">
        <v>46023</v>
      </c>
      <c r="D98" s="24" t="n">
        <v>46053</v>
      </c>
      <c r="E98" s="25">
        <f>D98-C98+1</f>
        <v/>
      </c>
      <c r="F98" s="319">
        <f>J97</f>
        <v/>
      </c>
      <c r="G98" s="522">
        <f>-PMT($N$50/$D$47,117,$F$80,0)</f>
        <v/>
      </c>
      <c r="H98" s="319">
        <f>$N$50/$D$47*F98</f>
        <v/>
      </c>
      <c r="I98" s="319">
        <f>G98-H98</f>
        <v/>
      </c>
      <c r="J98" s="319">
        <f>F98-I98</f>
        <v/>
      </c>
      <c r="K98" s="516" t="n"/>
      <c r="L98" s="516" t="n"/>
    </row>
    <row r="99">
      <c r="B99" s="1" t="n">
        <v>47</v>
      </c>
      <c r="C99" s="24" t="n">
        <v>46054</v>
      </c>
      <c r="D99" s="24" t="n">
        <v>46081</v>
      </c>
      <c r="E99" s="25">
        <f>D99-C99+1</f>
        <v/>
      </c>
      <c r="F99" s="319">
        <f>J98</f>
        <v/>
      </c>
      <c r="G99" s="522">
        <f>-PMT($N$50/$D$47,117,$F$80,0)</f>
        <v/>
      </c>
      <c r="H99" s="319">
        <f>$N$50/$D$47*F99</f>
        <v/>
      </c>
      <c r="I99" s="319">
        <f>G99-H99</f>
        <v/>
      </c>
      <c r="J99" s="319">
        <f>F99-I99</f>
        <v/>
      </c>
      <c r="K99" s="516" t="n"/>
      <c r="L99" s="516" t="n"/>
    </row>
    <row r="100">
      <c r="B100" s="1" t="n">
        <v>48</v>
      </c>
      <c r="C100" s="24" t="n">
        <v>46082</v>
      </c>
      <c r="D100" s="24" t="n">
        <v>46112</v>
      </c>
      <c r="E100" s="25">
        <f>D100-C100+1</f>
        <v/>
      </c>
      <c r="F100" s="319">
        <f>J99</f>
        <v/>
      </c>
      <c r="G100" s="522">
        <f>-PMT($N$50/$D$47,117,$F$80,0)</f>
        <v/>
      </c>
      <c r="H100" s="319">
        <f>$N$50/$D$47*F100</f>
        <v/>
      </c>
      <c r="I100" s="319">
        <f>G100-H100</f>
        <v/>
      </c>
      <c r="J100" s="319">
        <f>F100-I100</f>
        <v/>
      </c>
      <c r="K100" s="516" t="n"/>
      <c r="L100" s="516" t="n"/>
    </row>
    <row r="101">
      <c r="B101" s="1" t="n">
        <v>49</v>
      </c>
      <c r="C101" s="24" t="n">
        <v>46113</v>
      </c>
      <c r="D101" s="24" t="n">
        <v>46142</v>
      </c>
      <c r="E101" s="25">
        <f>D101-C101+1</f>
        <v/>
      </c>
      <c r="F101" s="319">
        <f>J100</f>
        <v/>
      </c>
      <c r="G101" s="522">
        <f>-PMT($N$50/$D$47,117,$F$80,0)</f>
        <v/>
      </c>
      <c r="H101" s="319">
        <f>$N$50/$D$47*F101</f>
        <v/>
      </c>
      <c r="I101" s="319">
        <f>G101-H101</f>
        <v/>
      </c>
      <c r="J101" s="319">
        <f>F101-I101</f>
        <v/>
      </c>
      <c r="K101" s="516" t="n"/>
      <c r="L101" s="516" t="n"/>
    </row>
    <row r="102">
      <c r="B102" s="1" t="n">
        <v>50</v>
      </c>
      <c r="C102" s="24" t="n">
        <v>46143</v>
      </c>
      <c r="D102" s="24" t="n">
        <v>46173</v>
      </c>
      <c r="E102" s="25">
        <f>D102-C102+1</f>
        <v/>
      </c>
      <c r="F102" s="319">
        <f>J101</f>
        <v/>
      </c>
      <c r="G102" s="522">
        <f>-PMT($N$50/$D$47,117,$F$80,0)</f>
        <v/>
      </c>
      <c r="H102" s="319">
        <f>$N$50/$D$47*F102</f>
        <v/>
      </c>
      <c r="I102" s="319">
        <f>G102-H102</f>
        <v/>
      </c>
      <c r="J102" s="319">
        <f>F102-I102</f>
        <v/>
      </c>
      <c r="K102" s="516" t="n"/>
      <c r="L102" s="516" t="n"/>
    </row>
    <row r="103">
      <c r="B103" s="1" t="n">
        <v>51</v>
      </c>
      <c r="C103" s="24" t="n">
        <v>46174</v>
      </c>
      <c r="D103" s="24" t="n">
        <v>46203</v>
      </c>
      <c r="E103" s="25">
        <f>D103-C103+1</f>
        <v/>
      </c>
      <c r="F103" s="319">
        <f>J102</f>
        <v/>
      </c>
      <c r="G103" s="522">
        <f>-PMT($N$50/$D$47,117,$F$80,0)</f>
        <v/>
      </c>
      <c r="H103" s="319">
        <f>$N$50/$D$47*F103</f>
        <v/>
      </c>
      <c r="I103" s="319">
        <f>G103-H103</f>
        <v/>
      </c>
      <c r="J103" s="319">
        <f>F103-I103</f>
        <v/>
      </c>
      <c r="K103" s="516" t="n"/>
      <c r="L103" s="516" t="n"/>
    </row>
    <row r="104">
      <c r="B104" s="1" t="n">
        <v>52</v>
      </c>
      <c r="C104" s="24" t="n">
        <v>46204</v>
      </c>
      <c r="D104" s="24" t="n">
        <v>46234</v>
      </c>
      <c r="E104" s="25">
        <f>D104-C104+1</f>
        <v/>
      </c>
      <c r="F104" s="319">
        <f>J103</f>
        <v/>
      </c>
      <c r="G104" s="522">
        <f>-PMT($N$50/$D$47,117,$F$80,0)</f>
        <v/>
      </c>
      <c r="H104" s="319">
        <f>$N$50/$D$47*F104</f>
        <v/>
      </c>
      <c r="I104" s="319">
        <f>G104-H104</f>
        <v/>
      </c>
      <c r="J104" s="319">
        <f>F104-I104</f>
        <v/>
      </c>
      <c r="K104" s="516" t="n"/>
      <c r="L104" s="516" t="n"/>
    </row>
    <row r="105">
      <c r="B105" s="1" t="n">
        <v>53</v>
      </c>
      <c r="C105" s="24" t="n">
        <v>46235</v>
      </c>
      <c r="D105" s="24" t="n">
        <v>46265</v>
      </c>
      <c r="E105" s="25">
        <f>D105-C105+1</f>
        <v/>
      </c>
      <c r="F105" s="319">
        <f>J104</f>
        <v/>
      </c>
      <c r="G105" s="522">
        <f>-PMT($N$50/$D$47,117,$F$80,0)</f>
        <v/>
      </c>
      <c r="H105" s="319">
        <f>$N$50/$D$47*F105</f>
        <v/>
      </c>
      <c r="I105" s="319">
        <f>G105-H105</f>
        <v/>
      </c>
      <c r="J105" s="319">
        <f>F105-I105</f>
        <v/>
      </c>
      <c r="K105" s="516" t="n"/>
      <c r="L105" s="516" t="n"/>
    </row>
    <row r="106">
      <c r="B106" s="1" t="n">
        <v>54</v>
      </c>
      <c r="C106" s="24" t="n">
        <v>46266</v>
      </c>
      <c r="D106" s="24" t="n">
        <v>46295</v>
      </c>
      <c r="E106" s="25">
        <f>D106-C106+1</f>
        <v/>
      </c>
      <c r="F106" s="319">
        <f>J105</f>
        <v/>
      </c>
      <c r="G106" s="522">
        <f>-PMT($N$50/$D$47,117,$F$80,0)</f>
        <v/>
      </c>
      <c r="H106" s="319">
        <f>$N$50/$D$47*F106</f>
        <v/>
      </c>
      <c r="I106" s="319">
        <f>G106-H106</f>
        <v/>
      </c>
      <c r="J106" s="319">
        <f>F106-I106</f>
        <v/>
      </c>
      <c r="K106" s="516" t="n"/>
      <c r="L106" s="516" t="n"/>
    </row>
    <row r="107">
      <c r="B107" s="1" t="n">
        <v>55</v>
      </c>
      <c r="C107" s="24" t="n">
        <v>46296</v>
      </c>
      <c r="D107" s="24" t="n">
        <v>46326</v>
      </c>
      <c r="E107" s="25">
        <f>D107-C107+1</f>
        <v/>
      </c>
      <c r="F107" s="319">
        <f>J106</f>
        <v/>
      </c>
      <c r="G107" s="522">
        <f>-PMT($N$50/$D$47,117,$F$80,0)</f>
        <v/>
      </c>
      <c r="H107" s="319">
        <f>$N$50/$D$47*F107</f>
        <v/>
      </c>
      <c r="I107" s="319">
        <f>G107-H107</f>
        <v/>
      </c>
      <c r="J107" s="319">
        <f>F107-I107</f>
        <v/>
      </c>
      <c r="K107" s="516" t="n"/>
      <c r="L107" s="516" t="n"/>
    </row>
    <row r="108">
      <c r="B108" s="1" t="n">
        <v>56</v>
      </c>
      <c r="C108" s="24" t="n">
        <v>46327</v>
      </c>
      <c r="D108" s="24" t="n">
        <v>46356</v>
      </c>
      <c r="E108" s="25">
        <f>D108-C108+1</f>
        <v/>
      </c>
      <c r="F108" s="319">
        <f>J107</f>
        <v/>
      </c>
      <c r="G108" s="522">
        <f>-PMT($N$50/$D$47,117,$F$80,0)</f>
        <v/>
      </c>
      <c r="H108" s="319">
        <f>$N$50/$D$47*F108</f>
        <v/>
      </c>
      <c r="I108" s="319">
        <f>G108-H108</f>
        <v/>
      </c>
      <c r="J108" s="319">
        <f>F108-I108</f>
        <v/>
      </c>
      <c r="K108" s="516" t="n"/>
      <c r="L108" s="516" t="n"/>
    </row>
    <row r="109">
      <c r="B109" s="1" t="n">
        <v>57</v>
      </c>
      <c r="C109" s="24" t="n">
        <v>46357</v>
      </c>
      <c r="D109" s="24" t="n">
        <v>46387</v>
      </c>
      <c r="E109" s="25">
        <f>D109-C109+1</f>
        <v/>
      </c>
      <c r="F109" s="319">
        <f>J108</f>
        <v/>
      </c>
      <c r="G109" s="522">
        <f>-PMT($N$50/$D$47,117,$F$80,0)</f>
        <v/>
      </c>
      <c r="H109" s="319">
        <f>$N$50/$D$47*F109</f>
        <v/>
      </c>
      <c r="I109" s="319">
        <f>G109-H109</f>
        <v/>
      </c>
      <c r="J109" s="319">
        <f>F109-I109</f>
        <v/>
      </c>
      <c r="K109" s="516" t="n"/>
      <c r="L109" s="516" t="n"/>
    </row>
    <row r="110">
      <c r="B110" s="1" t="n">
        <v>58</v>
      </c>
      <c r="C110" s="24" t="n">
        <v>46388</v>
      </c>
      <c r="D110" s="24" t="n">
        <v>46418</v>
      </c>
      <c r="E110" s="25">
        <f>D110-C110+1</f>
        <v/>
      </c>
      <c r="F110" s="319">
        <f>J109</f>
        <v/>
      </c>
      <c r="G110" s="522">
        <f>-PMT($N$50/$D$47,117,$F$80,0)</f>
        <v/>
      </c>
      <c r="H110" s="319">
        <f>$N$50/$D$47*F110</f>
        <v/>
      </c>
      <c r="I110" s="319">
        <f>G110-H110</f>
        <v/>
      </c>
      <c r="J110" s="319">
        <f>F110-I110</f>
        <v/>
      </c>
      <c r="K110" s="516" t="n"/>
      <c r="L110" s="516" t="n"/>
    </row>
    <row r="111">
      <c r="B111" s="1" t="n">
        <v>59</v>
      </c>
      <c r="C111" s="24" t="n">
        <v>46419</v>
      </c>
      <c r="D111" s="24" t="n">
        <v>46446</v>
      </c>
      <c r="E111" s="25">
        <f>D111-C111+1</f>
        <v/>
      </c>
      <c r="F111" s="319">
        <f>J110</f>
        <v/>
      </c>
      <c r="G111" s="522">
        <f>-PMT($N$50/$D$47,117,$F$80,0)</f>
        <v/>
      </c>
      <c r="H111" s="319">
        <f>$N$50/$D$47*F111</f>
        <v/>
      </c>
      <c r="I111" s="319">
        <f>G111-H111</f>
        <v/>
      </c>
      <c r="J111" s="319">
        <f>F111-I111</f>
        <v/>
      </c>
      <c r="K111" s="516" t="n"/>
      <c r="L111" s="516" t="n"/>
    </row>
    <row r="112">
      <c r="B112" s="1" t="n">
        <v>60</v>
      </c>
      <c r="C112" s="24" t="n">
        <v>46447</v>
      </c>
      <c r="D112" s="24" t="n">
        <v>46477</v>
      </c>
      <c r="E112" s="25">
        <f>D112-C112+1</f>
        <v/>
      </c>
      <c r="F112" s="319">
        <f>J111</f>
        <v/>
      </c>
      <c r="G112" s="522">
        <f>-PMT($N$50/$D$47,117,$F$80,0)</f>
        <v/>
      </c>
      <c r="H112" s="319">
        <f>$N$50/$D$47*F112</f>
        <v/>
      </c>
      <c r="I112" s="319">
        <f>G112-H112</f>
        <v/>
      </c>
      <c r="J112" s="319">
        <f>F112-I112</f>
        <v/>
      </c>
      <c r="K112" s="516" t="n"/>
      <c r="L112" s="516" t="n"/>
    </row>
    <row r="113">
      <c r="B113" s="1" t="n">
        <v>61</v>
      </c>
      <c r="C113" s="24" t="n">
        <v>46478</v>
      </c>
      <c r="D113" s="24" t="n">
        <v>46507</v>
      </c>
      <c r="E113" s="25">
        <f>D113-C113+1</f>
        <v/>
      </c>
      <c r="F113" s="319">
        <f>J112</f>
        <v/>
      </c>
      <c r="G113" s="522">
        <f>-PMT($N$50/$D$47,117,$F$80,0)</f>
        <v/>
      </c>
      <c r="H113" s="319">
        <f>$N$50/$D$47*F113</f>
        <v/>
      </c>
      <c r="I113" s="319">
        <f>G113-H113</f>
        <v/>
      </c>
      <c r="J113" s="319">
        <f>F113-I113</f>
        <v/>
      </c>
      <c r="K113" s="516" t="n"/>
      <c r="L113" s="516" t="n"/>
    </row>
    <row r="114">
      <c r="B114" s="1" t="n">
        <v>62</v>
      </c>
      <c r="C114" s="24" t="n">
        <v>46508</v>
      </c>
      <c r="D114" s="24" t="n">
        <v>46538</v>
      </c>
      <c r="E114" s="25">
        <f>D114-C114+1</f>
        <v/>
      </c>
      <c r="F114" s="319">
        <f>J113</f>
        <v/>
      </c>
      <c r="G114" s="522">
        <f>-PMT($N$50/$D$47,117,$F$80,0)</f>
        <v/>
      </c>
      <c r="H114" s="319">
        <f>$N$50/$D$47*F114</f>
        <v/>
      </c>
      <c r="I114" s="319">
        <f>G114-H114</f>
        <v/>
      </c>
      <c r="J114" s="319">
        <f>F114-I114</f>
        <v/>
      </c>
      <c r="K114" s="516" t="n"/>
      <c r="L114" s="516" t="n"/>
    </row>
    <row r="115">
      <c r="B115" s="1" t="n">
        <v>63</v>
      </c>
      <c r="C115" s="24" t="n">
        <v>46539</v>
      </c>
      <c r="D115" s="24" t="n">
        <v>46568</v>
      </c>
      <c r="E115" s="25">
        <f>D115-C115+1</f>
        <v/>
      </c>
      <c r="F115" s="319">
        <f>J114</f>
        <v/>
      </c>
      <c r="G115" s="522">
        <f>-PMT($N$50/$D$47,117,$F$80,0)</f>
        <v/>
      </c>
      <c r="H115" s="319">
        <f>$N$50/$D$47*F115</f>
        <v/>
      </c>
      <c r="I115" s="319">
        <f>G115-H115</f>
        <v/>
      </c>
      <c r="J115" s="319">
        <f>F115-I115</f>
        <v/>
      </c>
      <c r="K115" s="516" t="n"/>
      <c r="L115" s="516" t="n"/>
    </row>
    <row r="116">
      <c r="B116" s="1" t="n">
        <v>64</v>
      </c>
      <c r="C116" s="24" t="n">
        <v>46569</v>
      </c>
      <c r="D116" s="24" t="n">
        <v>46599</v>
      </c>
      <c r="E116" s="25">
        <f>D116-C116+1</f>
        <v/>
      </c>
      <c r="F116" s="319">
        <f>J115</f>
        <v/>
      </c>
      <c r="G116" s="522">
        <f>-PMT($N$50/$D$47,117,$F$80,0)</f>
        <v/>
      </c>
      <c r="H116" s="319">
        <f>$N$50/$D$47*F116</f>
        <v/>
      </c>
      <c r="I116" s="319">
        <f>G116-H116</f>
        <v/>
      </c>
      <c r="J116" s="319">
        <f>F116-I116</f>
        <v/>
      </c>
      <c r="K116" s="516" t="n"/>
      <c r="L116" s="516" t="n"/>
    </row>
    <row r="117">
      <c r="B117" s="1" t="n">
        <v>65</v>
      </c>
      <c r="C117" s="24" t="n">
        <v>46600</v>
      </c>
      <c r="D117" s="24" t="n">
        <v>46630</v>
      </c>
      <c r="E117" s="25">
        <f>D117-C117+1</f>
        <v/>
      </c>
      <c r="F117" s="319">
        <f>J116</f>
        <v/>
      </c>
      <c r="G117" s="522">
        <f>-PMT($N$50/$D$47,117,$F$80,0)</f>
        <v/>
      </c>
      <c r="H117" s="319">
        <f>$N$50/$D$47*F117</f>
        <v/>
      </c>
      <c r="I117" s="319">
        <f>G117-H117</f>
        <v/>
      </c>
      <c r="J117" s="319">
        <f>F117-I117</f>
        <v/>
      </c>
      <c r="K117" s="516" t="n"/>
      <c r="L117" s="516" t="n"/>
    </row>
    <row r="118">
      <c r="B118" s="1" t="n">
        <v>66</v>
      </c>
      <c r="C118" s="24" t="n">
        <v>46631</v>
      </c>
      <c r="D118" s="24" t="n">
        <v>46660</v>
      </c>
      <c r="E118" s="25">
        <f>D118-C118+1</f>
        <v/>
      </c>
      <c r="F118" s="319">
        <f>J117</f>
        <v/>
      </c>
      <c r="G118" s="522">
        <f>-PMT($N$50/$D$47,117,$F$80,0)</f>
        <v/>
      </c>
      <c r="H118" s="319">
        <f>$N$50/$D$47*F118</f>
        <v/>
      </c>
      <c r="I118" s="319">
        <f>G118-H118</f>
        <v/>
      </c>
      <c r="J118" s="319">
        <f>F118-I118</f>
        <v/>
      </c>
      <c r="K118" s="516" t="n"/>
      <c r="L118" s="516" t="n"/>
    </row>
    <row r="119">
      <c r="B119" s="1" t="n">
        <v>67</v>
      </c>
      <c r="C119" s="24" t="n">
        <v>46661</v>
      </c>
      <c r="D119" s="24" t="n">
        <v>46691</v>
      </c>
      <c r="E119" s="25">
        <f>D119-C119+1</f>
        <v/>
      </c>
      <c r="F119" s="319">
        <f>J118</f>
        <v/>
      </c>
      <c r="G119" s="522">
        <f>-PMT($N$50/$D$47,117,$F$80,0)</f>
        <v/>
      </c>
      <c r="H119" s="319">
        <f>$N$50/$D$47*F119</f>
        <v/>
      </c>
      <c r="I119" s="319">
        <f>G119-H119</f>
        <v/>
      </c>
      <c r="J119" s="319">
        <f>F119-I119</f>
        <v/>
      </c>
      <c r="K119" s="516" t="n"/>
      <c r="L119" s="516" t="n"/>
    </row>
    <row r="120">
      <c r="B120" s="1" t="n">
        <v>68</v>
      </c>
      <c r="C120" s="24" t="n">
        <v>46692</v>
      </c>
      <c r="D120" s="24" t="n">
        <v>46721</v>
      </c>
      <c r="E120" s="25">
        <f>D120-C120+1</f>
        <v/>
      </c>
      <c r="F120" s="319">
        <f>J119</f>
        <v/>
      </c>
      <c r="G120" s="522">
        <f>-PMT($N$50/$D$47,117,$F$80,0)</f>
        <v/>
      </c>
      <c r="H120" s="319">
        <f>$N$50/$D$47*F120</f>
        <v/>
      </c>
      <c r="I120" s="319">
        <f>G120-H120</f>
        <v/>
      </c>
      <c r="J120" s="319">
        <f>F120-I120</f>
        <v/>
      </c>
      <c r="K120" s="516" t="n"/>
      <c r="L120" s="516" t="n"/>
    </row>
    <row r="121">
      <c r="B121" s="1" t="n">
        <v>69</v>
      </c>
      <c r="C121" s="24" t="n">
        <v>46722</v>
      </c>
      <c r="D121" s="24" t="n">
        <v>46752</v>
      </c>
      <c r="E121" s="25">
        <f>D121-C121+1</f>
        <v/>
      </c>
      <c r="F121" s="319">
        <f>J120</f>
        <v/>
      </c>
      <c r="G121" s="522">
        <f>-PMT($N$50/$D$47,117,$F$80,0)</f>
        <v/>
      </c>
      <c r="H121" s="319">
        <f>$N$50/$D$47*F121</f>
        <v/>
      </c>
      <c r="I121" s="319">
        <f>G121-H121</f>
        <v/>
      </c>
      <c r="J121" s="319">
        <f>F121-I121</f>
        <v/>
      </c>
      <c r="K121" s="516" t="n"/>
      <c r="L121" s="516" t="n"/>
    </row>
    <row r="122">
      <c r="B122" s="1" t="n">
        <v>70</v>
      </c>
      <c r="C122" s="24" t="n">
        <v>46753</v>
      </c>
      <c r="D122" s="24" t="n">
        <v>46783</v>
      </c>
      <c r="E122" s="25">
        <f>D122-C122+1</f>
        <v/>
      </c>
      <c r="F122" s="319">
        <f>J121</f>
        <v/>
      </c>
      <c r="G122" s="522">
        <f>-PMT($N$50/$D$47,117,$F$80,0)</f>
        <v/>
      </c>
      <c r="H122" s="319">
        <f>$N$50/$D$47*F122</f>
        <v/>
      </c>
      <c r="I122" s="319">
        <f>G122-H122</f>
        <v/>
      </c>
      <c r="J122" s="319">
        <f>F122-I122</f>
        <v/>
      </c>
      <c r="K122" s="516" t="n"/>
      <c r="L122" s="516" t="n"/>
    </row>
    <row r="123">
      <c r="B123" s="1" t="n">
        <v>71</v>
      </c>
      <c r="C123" s="24" t="n">
        <v>46784</v>
      </c>
      <c r="D123" s="24" t="n">
        <v>46812</v>
      </c>
      <c r="E123" s="25">
        <f>D123-C123+1</f>
        <v/>
      </c>
      <c r="F123" s="319">
        <f>J122</f>
        <v/>
      </c>
      <c r="G123" s="522">
        <f>-PMT($N$50/$D$47,117,$F$80,0)</f>
        <v/>
      </c>
      <c r="H123" s="319">
        <f>$N$50/$D$47*F123</f>
        <v/>
      </c>
      <c r="I123" s="319">
        <f>G123-H123</f>
        <v/>
      </c>
      <c r="J123" s="319">
        <f>F123-I123</f>
        <v/>
      </c>
      <c r="K123" s="516" t="n"/>
      <c r="L123" s="516" t="n"/>
    </row>
    <row r="124">
      <c r="B124" s="1" t="n">
        <v>72</v>
      </c>
      <c r="C124" s="24" t="n">
        <v>46813</v>
      </c>
      <c r="D124" s="24" t="n">
        <v>46843</v>
      </c>
      <c r="E124" s="25">
        <f>D124-C124+1</f>
        <v/>
      </c>
      <c r="F124" s="319">
        <f>J123</f>
        <v/>
      </c>
      <c r="G124" s="522">
        <f>-PMT($N$50/$D$47,117,$F$80,0)</f>
        <v/>
      </c>
      <c r="H124" s="319">
        <f>$N$50/$D$47*F124</f>
        <v/>
      </c>
      <c r="I124" s="319">
        <f>G124-H124</f>
        <v/>
      </c>
      <c r="J124" s="319">
        <f>F124-I124</f>
        <v/>
      </c>
      <c r="K124" s="516" t="n"/>
      <c r="L124" s="516" t="n"/>
    </row>
    <row r="125">
      <c r="B125" s="1" t="n">
        <v>73</v>
      </c>
      <c r="C125" s="24" t="n">
        <v>46844</v>
      </c>
      <c r="D125" s="24" t="n">
        <v>46873</v>
      </c>
      <c r="E125" s="25">
        <f>D125-C125+1</f>
        <v/>
      </c>
      <c r="F125" s="319">
        <f>J124</f>
        <v/>
      </c>
      <c r="G125" s="522">
        <f>-PMT($N$50/$D$47,117,$F$80,0)</f>
        <v/>
      </c>
      <c r="H125" s="319">
        <f>$N$50/$D$47*F125</f>
        <v/>
      </c>
      <c r="I125" s="319">
        <f>G125-H125</f>
        <v/>
      </c>
      <c r="J125" s="319">
        <f>F125-I125</f>
        <v/>
      </c>
      <c r="K125" s="516" t="n"/>
      <c r="L125" s="516" t="n"/>
    </row>
    <row r="126">
      <c r="B126" s="1" t="n">
        <v>74</v>
      </c>
      <c r="C126" s="24" t="n">
        <v>46874</v>
      </c>
      <c r="D126" s="24" t="n">
        <v>46904</v>
      </c>
      <c r="E126" s="25">
        <f>D126-C126+1</f>
        <v/>
      </c>
      <c r="F126" s="319">
        <f>J125</f>
        <v/>
      </c>
      <c r="G126" s="522">
        <f>-PMT($N$50/$D$47,117,$F$80,0)</f>
        <v/>
      </c>
      <c r="H126" s="319">
        <f>$N$50/$D$47*F126</f>
        <v/>
      </c>
      <c r="I126" s="319">
        <f>G126-H126</f>
        <v/>
      </c>
      <c r="J126" s="319">
        <f>F126-I126</f>
        <v/>
      </c>
      <c r="K126" s="516" t="n"/>
      <c r="L126" s="516" t="n"/>
    </row>
    <row r="127">
      <c r="B127" s="1" t="n">
        <v>75</v>
      </c>
      <c r="C127" s="24" t="n">
        <v>46905</v>
      </c>
      <c r="D127" s="24" t="n">
        <v>46934</v>
      </c>
      <c r="E127" s="25">
        <f>D127-C127+1</f>
        <v/>
      </c>
      <c r="F127" s="319">
        <f>J126</f>
        <v/>
      </c>
      <c r="G127" s="522">
        <f>-PMT($N$50/$D$47,117,$F$80,0)</f>
        <v/>
      </c>
      <c r="H127" s="319">
        <f>$N$50/$D$47*F127</f>
        <v/>
      </c>
      <c r="I127" s="319">
        <f>G127-H127</f>
        <v/>
      </c>
      <c r="J127" s="319">
        <f>F127-I127</f>
        <v/>
      </c>
      <c r="K127" s="516" t="n"/>
      <c r="L127" s="516" t="n"/>
    </row>
    <row r="128">
      <c r="B128" s="1" t="n">
        <v>76</v>
      </c>
      <c r="C128" s="24" t="n">
        <v>46935</v>
      </c>
      <c r="D128" s="24" t="n">
        <v>46965</v>
      </c>
      <c r="E128" s="25">
        <f>D128-C128+1</f>
        <v/>
      </c>
      <c r="F128" s="319">
        <f>J127</f>
        <v/>
      </c>
      <c r="G128" s="522">
        <f>-PMT($N$50/$D$47,117,$F$80,0)</f>
        <v/>
      </c>
      <c r="H128" s="319">
        <f>$N$50/$D$47*F128</f>
        <v/>
      </c>
      <c r="I128" s="319">
        <f>G128-H128</f>
        <v/>
      </c>
      <c r="J128" s="319">
        <f>F128-I128</f>
        <v/>
      </c>
      <c r="K128" s="516" t="n"/>
      <c r="L128" s="516" t="n"/>
    </row>
    <row r="129">
      <c r="B129" s="1" t="n">
        <v>77</v>
      </c>
      <c r="C129" s="24" t="n">
        <v>46966</v>
      </c>
      <c r="D129" s="24" t="n">
        <v>46996</v>
      </c>
      <c r="E129" s="25">
        <f>D129-C129+1</f>
        <v/>
      </c>
      <c r="F129" s="319">
        <f>J128</f>
        <v/>
      </c>
      <c r="G129" s="522">
        <f>-PMT($N$50/$D$47,117,$F$80,0)</f>
        <v/>
      </c>
      <c r="H129" s="319">
        <f>$N$50/$D$47*F129</f>
        <v/>
      </c>
      <c r="I129" s="319">
        <f>G129-H129</f>
        <v/>
      </c>
      <c r="J129" s="319">
        <f>F129-I129</f>
        <v/>
      </c>
      <c r="K129" s="516" t="n"/>
      <c r="L129" s="516" t="n"/>
    </row>
    <row r="130">
      <c r="B130" s="1" t="n">
        <v>78</v>
      </c>
      <c r="C130" s="24" t="n">
        <v>46997</v>
      </c>
      <c r="D130" s="24" t="n">
        <v>47026</v>
      </c>
      <c r="E130" s="25">
        <f>D130-C130+1</f>
        <v/>
      </c>
      <c r="F130" s="319">
        <f>J129</f>
        <v/>
      </c>
      <c r="G130" s="522">
        <f>-PMT($N$50/$D$47,117,$F$80,0)</f>
        <v/>
      </c>
      <c r="H130" s="319">
        <f>$N$50/$D$47*F130</f>
        <v/>
      </c>
      <c r="I130" s="319">
        <f>G130-H130</f>
        <v/>
      </c>
      <c r="J130" s="319">
        <f>F130-I130</f>
        <v/>
      </c>
      <c r="K130" s="516" t="n"/>
      <c r="L130" s="516" t="n"/>
    </row>
    <row r="131">
      <c r="B131" s="1" t="n">
        <v>79</v>
      </c>
      <c r="C131" s="24" t="n">
        <v>47027</v>
      </c>
      <c r="D131" s="24" t="n">
        <v>47057</v>
      </c>
      <c r="E131" s="25">
        <f>D131-C131+1</f>
        <v/>
      </c>
      <c r="F131" s="319">
        <f>J130</f>
        <v/>
      </c>
      <c r="G131" s="522">
        <f>-PMT($N$50/$D$47,117,$F$80,0)</f>
        <v/>
      </c>
      <c r="H131" s="319">
        <f>$N$50/$D$47*F131</f>
        <v/>
      </c>
      <c r="I131" s="319">
        <f>G131-H131</f>
        <v/>
      </c>
      <c r="J131" s="319">
        <f>F131-I131</f>
        <v/>
      </c>
      <c r="K131" s="516" t="n"/>
      <c r="L131" s="516" t="n"/>
    </row>
    <row r="132">
      <c r="B132" s="1" t="n">
        <v>80</v>
      </c>
      <c r="C132" s="24" t="n">
        <v>47058</v>
      </c>
      <c r="D132" s="24" t="n">
        <v>47087</v>
      </c>
      <c r="E132" s="25">
        <f>D132-C132+1</f>
        <v/>
      </c>
      <c r="F132" s="319">
        <f>J131</f>
        <v/>
      </c>
      <c r="G132" s="522">
        <f>-PMT($N$50/$D$47,117,$F$80,0)</f>
        <v/>
      </c>
      <c r="H132" s="319">
        <f>$N$50/$D$47*F132</f>
        <v/>
      </c>
      <c r="I132" s="319">
        <f>G132-H132</f>
        <v/>
      </c>
      <c r="J132" s="319">
        <f>F132-I132</f>
        <v/>
      </c>
      <c r="K132" s="516" t="n"/>
      <c r="L132" s="516" t="n"/>
    </row>
    <row r="133">
      <c r="B133" s="1" t="n">
        <v>81</v>
      </c>
      <c r="C133" s="24" t="n">
        <v>47088</v>
      </c>
      <c r="D133" s="24" t="n">
        <v>47118</v>
      </c>
      <c r="E133" s="25">
        <f>D133-C133+1</f>
        <v/>
      </c>
      <c r="F133" s="319">
        <f>J132</f>
        <v/>
      </c>
      <c r="G133" s="522">
        <f>-PMT($N$50/$D$47,117,$F$80,0)</f>
        <v/>
      </c>
      <c r="H133" s="319">
        <f>$N$50/$D$47*F133</f>
        <v/>
      </c>
      <c r="I133" s="319">
        <f>G133-H133</f>
        <v/>
      </c>
      <c r="J133" s="319">
        <f>F133-I133</f>
        <v/>
      </c>
      <c r="K133" s="516" t="n"/>
      <c r="L133" s="516" t="n"/>
    </row>
    <row r="134">
      <c r="B134" s="1" t="n">
        <v>82</v>
      </c>
      <c r="C134" s="24" t="n">
        <v>47119</v>
      </c>
      <c r="D134" s="24" t="n">
        <v>47149</v>
      </c>
      <c r="E134" s="25">
        <f>D134-C134+1</f>
        <v/>
      </c>
      <c r="F134" s="319">
        <f>J133</f>
        <v/>
      </c>
      <c r="G134" s="522">
        <f>-PMT($N$50/$D$47,117,$F$80,0)</f>
        <v/>
      </c>
      <c r="H134" s="319">
        <f>$N$50/$D$47*F134</f>
        <v/>
      </c>
      <c r="I134" s="319">
        <f>G134-H134</f>
        <v/>
      </c>
      <c r="J134" s="319">
        <f>F134-I134</f>
        <v/>
      </c>
      <c r="K134" s="516" t="n"/>
      <c r="L134" s="516" t="n"/>
    </row>
    <row r="135">
      <c r="B135" s="1" t="n">
        <v>83</v>
      </c>
      <c r="C135" s="24" t="n">
        <v>47150</v>
      </c>
      <c r="D135" s="24" t="n">
        <v>47177</v>
      </c>
      <c r="E135" s="25">
        <f>D135-C135+1</f>
        <v/>
      </c>
      <c r="F135" s="319">
        <f>J134</f>
        <v/>
      </c>
      <c r="G135" s="522">
        <f>-PMT($N$50/$D$47,117,$F$80,0)</f>
        <v/>
      </c>
      <c r="H135" s="319">
        <f>$N$50/$D$47*F135</f>
        <v/>
      </c>
      <c r="I135" s="319">
        <f>G135-H135</f>
        <v/>
      </c>
      <c r="J135" s="319">
        <f>F135-I135</f>
        <v/>
      </c>
      <c r="K135" s="516" t="n"/>
      <c r="L135" s="516" t="n"/>
    </row>
    <row r="136">
      <c r="B136" s="1" t="n">
        <v>84</v>
      </c>
      <c r="C136" s="24" t="n">
        <v>47178</v>
      </c>
      <c r="D136" s="24" t="n">
        <v>47208</v>
      </c>
      <c r="E136" s="25">
        <f>D136-C136+1</f>
        <v/>
      </c>
      <c r="F136" s="319">
        <f>J135</f>
        <v/>
      </c>
      <c r="G136" s="522">
        <f>-PMT($N$50/$D$47,117,$F$80,0)</f>
        <v/>
      </c>
      <c r="H136" s="319">
        <f>$N$50/$D$47*F136</f>
        <v/>
      </c>
      <c r="I136" s="319">
        <f>G136-H136</f>
        <v/>
      </c>
      <c r="J136" s="319">
        <f>F136-I136</f>
        <v/>
      </c>
      <c r="K136" s="516" t="n"/>
      <c r="L136" s="516" t="n"/>
    </row>
    <row r="137">
      <c r="B137" s="1" t="n">
        <v>85</v>
      </c>
      <c r="C137" s="24" t="n">
        <v>47209</v>
      </c>
      <c r="D137" s="24" t="n">
        <v>47238</v>
      </c>
      <c r="E137" s="25">
        <f>D137-C137+1</f>
        <v/>
      </c>
      <c r="F137" s="319">
        <f>J136</f>
        <v/>
      </c>
      <c r="G137" s="522">
        <f>-PMT($N$50/$D$47,117,$F$80,0)</f>
        <v/>
      </c>
      <c r="H137" s="319">
        <f>$N$50/$D$47*F137</f>
        <v/>
      </c>
      <c r="I137" s="319">
        <f>G137-H137</f>
        <v/>
      </c>
      <c r="J137" s="319">
        <f>F137-I137</f>
        <v/>
      </c>
      <c r="K137" s="516" t="n"/>
      <c r="L137" s="516" t="n"/>
    </row>
    <row r="138">
      <c r="B138" s="1" t="n">
        <v>86</v>
      </c>
      <c r="C138" s="24" t="n">
        <v>47239</v>
      </c>
      <c r="D138" s="24" t="n">
        <v>47269</v>
      </c>
      <c r="E138" s="25">
        <f>D138-C138+1</f>
        <v/>
      </c>
      <c r="F138" s="319">
        <f>J137</f>
        <v/>
      </c>
      <c r="G138" s="522">
        <f>-PMT($N$50/$D$47,117,$F$80,0)</f>
        <v/>
      </c>
      <c r="H138" s="319">
        <f>$N$50/$D$47*F138</f>
        <v/>
      </c>
      <c r="I138" s="319">
        <f>G138-H138</f>
        <v/>
      </c>
      <c r="J138" s="319">
        <f>F138-I138</f>
        <v/>
      </c>
      <c r="K138" s="516" t="n"/>
      <c r="L138" s="516" t="n"/>
    </row>
    <row r="139">
      <c r="B139" s="1" t="n">
        <v>87</v>
      </c>
      <c r="C139" s="24" t="n">
        <v>47270</v>
      </c>
      <c r="D139" s="24" t="n">
        <v>47299</v>
      </c>
      <c r="E139" s="25">
        <f>D139-C139+1</f>
        <v/>
      </c>
      <c r="F139" s="319">
        <f>J138</f>
        <v/>
      </c>
      <c r="G139" s="522">
        <f>-PMT($N$50/$D$47,117,$F$80,0)</f>
        <v/>
      </c>
      <c r="H139" s="319">
        <f>$N$50/$D$47*F139</f>
        <v/>
      </c>
      <c r="I139" s="319">
        <f>G139-H139</f>
        <v/>
      </c>
      <c r="J139" s="319">
        <f>F139-I139</f>
        <v/>
      </c>
      <c r="K139" s="516" t="n"/>
      <c r="L139" s="516" t="n"/>
    </row>
    <row r="140">
      <c r="B140" s="1" t="n">
        <v>88</v>
      </c>
      <c r="C140" s="24" t="n">
        <v>47300</v>
      </c>
      <c r="D140" s="24" t="n">
        <v>47330</v>
      </c>
      <c r="E140" s="25">
        <f>D140-C140+1</f>
        <v/>
      </c>
      <c r="F140" s="319">
        <f>J139</f>
        <v/>
      </c>
      <c r="G140" s="522">
        <f>-PMT($N$50/$D$47,117,$F$80,0)</f>
        <v/>
      </c>
      <c r="H140" s="319">
        <f>$N$50/$D$47*F140</f>
        <v/>
      </c>
      <c r="I140" s="319">
        <f>G140-H140</f>
        <v/>
      </c>
      <c r="J140" s="319">
        <f>F140-I140</f>
        <v/>
      </c>
      <c r="K140" s="516" t="n"/>
      <c r="L140" s="516" t="n"/>
    </row>
    <row r="141">
      <c r="B141" s="1" t="n">
        <v>89</v>
      </c>
      <c r="C141" s="24" t="n">
        <v>47331</v>
      </c>
      <c r="D141" s="24" t="n">
        <v>47361</v>
      </c>
      <c r="E141" s="25">
        <f>D141-C141+1</f>
        <v/>
      </c>
      <c r="F141" s="319">
        <f>J140</f>
        <v/>
      </c>
      <c r="G141" s="522">
        <f>-PMT($N$50/$D$47,117,$F$80,0)</f>
        <v/>
      </c>
      <c r="H141" s="319">
        <f>$N$50/$D$47*F141</f>
        <v/>
      </c>
      <c r="I141" s="319">
        <f>G141-H141</f>
        <v/>
      </c>
      <c r="J141" s="319">
        <f>F141-I141</f>
        <v/>
      </c>
      <c r="K141" s="516" t="n"/>
      <c r="L141" s="516" t="n"/>
    </row>
    <row r="142">
      <c r="B142" s="1" t="n">
        <v>90</v>
      </c>
      <c r="C142" s="24" t="n">
        <v>47362</v>
      </c>
      <c r="D142" s="24" t="n">
        <v>47391</v>
      </c>
      <c r="E142" s="25">
        <f>D142-C142+1</f>
        <v/>
      </c>
      <c r="F142" s="319">
        <f>J141</f>
        <v/>
      </c>
      <c r="G142" s="522">
        <f>-PMT($N$50/$D$47,117,$F$80,0)</f>
        <v/>
      </c>
      <c r="H142" s="319">
        <f>$N$50/$D$47*F142</f>
        <v/>
      </c>
      <c r="I142" s="319">
        <f>G142-H142</f>
        <v/>
      </c>
      <c r="J142" s="319">
        <f>F142-I142</f>
        <v/>
      </c>
      <c r="K142" s="516" t="n"/>
      <c r="L142" s="516" t="n"/>
    </row>
    <row r="143">
      <c r="B143" s="1" t="n">
        <v>91</v>
      </c>
      <c r="C143" s="24" t="n">
        <v>47392</v>
      </c>
      <c r="D143" s="24" t="n">
        <v>47422</v>
      </c>
      <c r="E143" s="25">
        <f>D143-C143+1</f>
        <v/>
      </c>
      <c r="F143" s="319">
        <f>J142</f>
        <v/>
      </c>
      <c r="G143" s="522">
        <f>-PMT($N$50/$D$47,117,$F$80,0)</f>
        <v/>
      </c>
      <c r="H143" s="319">
        <f>$N$50/$D$47*F143</f>
        <v/>
      </c>
      <c r="I143" s="319">
        <f>G143-H143</f>
        <v/>
      </c>
      <c r="J143" s="319">
        <f>F143-I143</f>
        <v/>
      </c>
      <c r="K143" s="516" t="n"/>
      <c r="L143" s="516" t="n"/>
    </row>
    <row r="144">
      <c r="B144" s="1" t="n">
        <v>92</v>
      </c>
      <c r="C144" s="24" t="n">
        <v>47423</v>
      </c>
      <c r="D144" s="24" t="n">
        <v>47452</v>
      </c>
      <c r="E144" s="25">
        <f>D144-C144+1</f>
        <v/>
      </c>
      <c r="F144" s="319">
        <f>J143</f>
        <v/>
      </c>
      <c r="G144" s="522">
        <f>-PMT($N$50/$D$47,117,$F$80,0)</f>
        <v/>
      </c>
      <c r="H144" s="319">
        <f>$N$50/$D$47*F144</f>
        <v/>
      </c>
      <c r="I144" s="319">
        <f>G144-H144</f>
        <v/>
      </c>
      <c r="J144" s="319">
        <f>F144-I144</f>
        <v/>
      </c>
      <c r="K144" s="516" t="n"/>
      <c r="L144" s="516" t="n"/>
    </row>
    <row r="145">
      <c r="B145" s="1" t="n">
        <v>93</v>
      </c>
      <c r="C145" s="24" t="n">
        <v>47453</v>
      </c>
      <c r="D145" s="24" t="n">
        <v>47483</v>
      </c>
      <c r="E145" s="25">
        <f>D145-C145+1</f>
        <v/>
      </c>
      <c r="F145" s="319">
        <f>J144</f>
        <v/>
      </c>
      <c r="G145" s="522">
        <f>-PMT($N$50/$D$47,117,$F$80,0)</f>
        <v/>
      </c>
      <c r="H145" s="319">
        <f>$N$50/$D$47*F145</f>
        <v/>
      </c>
      <c r="I145" s="319">
        <f>G145-H145</f>
        <v/>
      </c>
      <c r="J145" s="319">
        <f>F145-I145</f>
        <v/>
      </c>
      <c r="K145" s="516" t="n"/>
      <c r="L145" s="516" t="n"/>
    </row>
    <row r="146">
      <c r="B146" s="1" t="n">
        <v>94</v>
      </c>
      <c r="C146" s="24" t="n">
        <v>47484</v>
      </c>
      <c r="D146" s="24" t="n">
        <v>47514</v>
      </c>
      <c r="E146" s="25">
        <f>D146-C146+1</f>
        <v/>
      </c>
      <c r="F146" s="319">
        <f>J145</f>
        <v/>
      </c>
      <c r="G146" s="522">
        <f>-PMT($N$50/$D$47,117,$F$80,0)</f>
        <v/>
      </c>
      <c r="H146" s="319">
        <f>$N$50/$D$47*F146</f>
        <v/>
      </c>
      <c r="I146" s="319">
        <f>G146-H146</f>
        <v/>
      </c>
      <c r="J146" s="319">
        <f>F146-I146</f>
        <v/>
      </c>
      <c r="K146" s="516" t="n"/>
      <c r="L146" s="516" t="n"/>
    </row>
    <row r="147">
      <c r="B147" s="1" t="n">
        <v>95</v>
      </c>
      <c r="C147" s="24" t="n">
        <v>47515</v>
      </c>
      <c r="D147" s="24" t="n">
        <v>47542</v>
      </c>
      <c r="E147" s="25">
        <f>D147-C147+1</f>
        <v/>
      </c>
      <c r="F147" s="319">
        <f>J146</f>
        <v/>
      </c>
      <c r="G147" s="522">
        <f>-PMT($N$50/$D$47,117,$F$80,0)</f>
        <v/>
      </c>
      <c r="H147" s="319">
        <f>$N$50/$D$47*F147</f>
        <v/>
      </c>
      <c r="I147" s="319">
        <f>G147-H147</f>
        <v/>
      </c>
      <c r="J147" s="319">
        <f>F147-I147</f>
        <v/>
      </c>
      <c r="K147" s="516" t="n"/>
      <c r="L147" s="516" t="n"/>
    </row>
    <row r="148">
      <c r="B148" s="1" t="n">
        <v>96</v>
      </c>
      <c r="C148" s="24" t="n">
        <v>47543</v>
      </c>
      <c r="D148" s="24" t="n">
        <v>47573</v>
      </c>
      <c r="E148" s="25">
        <f>D148-C148+1</f>
        <v/>
      </c>
      <c r="F148" s="319">
        <f>J147</f>
        <v/>
      </c>
      <c r="G148" s="522">
        <f>-PMT($N$50/$D$47,117,$F$80,0)</f>
        <v/>
      </c>
      <c r="H148" s="319">
        <f>$N$50/$D$47*F148</f>
        <v/>
      </c>
      <c r="I148" s="319">
        <f>G148-H148</f>
        <v/>
      </c>
      <c r="J148" s="319">
        <f>F148-I148</f>
        <v/>
      </c>
      <c r="K148" s="516" t="n"/>
      <c r="L148" s="516" t="n"/>
    </row>
    <row r="149">
      <c r="B149" s="1" t="n">
        <v>97</v>
      </c>
      <c r="C149" s="24" t="n">
        <v>47574</v>
      </c>
      <c r="D149" s="24" t="n">
        <v>47603</v>
      </c>
      <c r="E149" s="25">
        <f>D149-C149+1</f>
        <v/>
      </c>
      <c r="F149" s="319">
        <f>J148</f>
        <v/>
      </c>
      <c r="G149" s="522">
        <f>-PMT($N$50/$D$47,117,$F$80,0)</f>
        <v/>
      </c>
      <c r="H149" s="319">
        <f>$N$50/$D$47*F149</f>
        <v/>
      </c>
      <c r="I149" s="319">
        <f>G149-H149</f>
        <v/>
      </c>
      <c r="J149" s="319">
        <f>F149-I149</f>
        <v/>
      </c>
      <c r="K149" s="516" t="n"/>
      <c r="L149" s="516" t="n"/>
    </row>
    <row r="150">
      <c r="B150" s="1" t="n">
        <v>98</v>
      </c>
      <c r="C150" s="24" t="n">
        <v>47604</v>
      </c>
      <c r="D150" s="24" t="n">
        <v>47634</v>
      </c>
      <c r="E150" s="25">
        <f>D150-C150+1</f>
        <v/>
      </c>
      <c r="F150" s="319">
        <f>J149</f>
        <v/>
      </c>
      <c r="G150" s="522">
        <f>-PMT($N$50/$D$47,117,$F$80,0)</f>
        <v/>
      </c>
      <c r="H150" s="319">
        <f>$N$50/$D$47*F150</f>
        <v/>
      </c>
      <c r="I150" s="319">
        <f>G150-H150</f>
        <v/>
      </c>
      <c r="J150" s="319">
        <f>F150-I150</f>
        <v/>
      </c>
      <c r="K150" s="516" t="n"/>
      <c r="L150" s="516" t="n"/>
    </row>
    <row r="151">
      <c r="B151" s="1" t="n">
        <v>99</v>
      </c>
      <c r="C151" s="24" t="n">
        <v>47635</v>
      </c>
      <c r="D151" s="24" t="n">
        <v>47664</v>
      </c>
      <c r="E151" s="25">
        <f>D151-C151+1</f>
        <v/>
      </c>
      <c r="F151" s="319">
        <f>J150</f>
        <v/>
      </c>
      <c r="G151" s="522">
        <f>-PMT($N$50/$D$47,117,$F$80,0)</f>
        <v/>
      </c>
      <c r="H151" s="319">
        <f>$N$50/$D$47*F151</f>
        <v/>
      </c>
      <c r="I151" s="319">
        <f>G151-H151</f>
        <v/>
      </c>
      <c r="J151" s="319">
        <f>F151-I151</f>
        <v/>
      </c>
      <c r="K151" s="516" t="n"/>
      <c r="L151" s="516" t="n"/>
    </row>
    <row r="152">
      <c r="B152" s="1" t="n">
        <v>100</v>
      </c>
      <c r="C152" s="24" t="n">
        <v>47665</v>
      </c>
      <c r="D152" s="24" t="n">
        <v>47695</v>
      </c>
      <c r="E152" s="25">
        <f>D152-C152+1</f>
        <v/>
      </c>
      <c r="F152" s="319">
        <f>J151</f>
        <v/>
      </c>
      <c r="G152" s="522">
        <f>-PMT($N$50/$D$47,117,$F$80,0)</f>
        <v/>
      </c>
      <c r="H152" s="319">
        <f>$N$50/$D$47*F152</f>
        <v/>
      </c>
      <c r="I152" s="319">
        <f>G152-H152</f>
        <v/>
      </c>
      <c r="J152" s="319">
        <f>F152-I152</f>
        <v/>
      </c>
      <c r="K152" s="516" t="n"/>
      <c r="L152" s="516" t="n"/>
    </row>
    <row r="153">
      <c r="B153" s="1" t="n">
        <v>101</v>
      </c>
      <c r="C153" s="24" t="n">
        <v>47696</v>
      </c>
      <c r="D153" s="24" t="n">
        <v>47726</v>
      </c>
      <c r="E153" s="25">
        <f>D153-C153+1</f>
        <v/>
      </c>
      <c r="F153" s="319">
        <f>J152</f>
        <v/>
      </c>
      <c r="G153" s="522">
        <f>-PMT($N$50/$D$47,117,$F$80,0)</f>
        <v/>
      </c>
      <c r="H153" s="319">
        <f>$N$50/$D$47*F153</f>
        <v/>
      </c>
      <c r="I153" s="319">
        <f>G153-H153</f>
        <v/>
      </c>
      <c r="J153" s="319">
        <f>F153-I153</f>
        <v/>
      </c>
      <c r="K153" s="516" t="n"/>
      <c r="L153" s="516" t="n"/>
    </row>
    <row r="154">
      <c r="B154" s="1" t="n">
        <v>102</v>
      </c>
      <c r="C154" s="24" t="n">
        <v>47727</v>
      </c>
      <c r="D154" s="24" t="n">
        <v>47756</v>
      </c>
      <c r="E154" s="25">
        <f>D154-C154+1</f>
        <v/>
      </c>
      <c r="F154" s="319">
        <f>J153</f>
        <v/>
      </c>
      <c r="G154" s="522">
        <f>-PMT($N$50/$D$47,117,$F$80,0)</f>
        <v/>
      </c>
      <c r="H154" s="319">
        <f>$N$50/$D$47*F154</f>
        <v/>
      </c>
      <c r="I154" s="319">
        <f>G154-H154</f>
        <v/>
      </c>
      <c r="J154" s="319">
        <f>F154-I154</f>
        <v/>
      </c>
      <c r="K154" s="516" t="n"/>
      <c r="L154" s="516" t="n"/>
    </row>
    <row r="155">
      <c r="B155" s="1" t="n">
        <v>103</v>
      </c>
      <c r="C155" s="24" t="n">
        <v>47757</v>
      </c>
      <c r="D155" s="24" t="n">
        <v>47787</v>
      </c>
      <c r="E155" s="25">
        <f>D155-C155+1</f>
        <v/>
      </c>
      <c r="F155" s="319">
        <f>J154</f>
        <v/>
      </c>
      <c r="G155" s="522">
        <f>-PMT($N$50/$D$47,117,$F$80,0)</f>
        <v/>
      </c>
      <c r="H155" s="319">
        <f>$N$50/$D$47*F155</f>
        <v/>
      </c>
      <c r="I155" s="319">
        <f>G155-H155</f>
        <v/>
      </c>
      <c r="J155" s="319">
        <f>F155-I155</f>
        <v/>
      </c>
      <c r="K155" s="516" t="n"/>
      <c r="L155" s="516" t="n"/>
    </row>
    <row r="156">
      <c r="B156" s="1" t="n">
        <v>104</v>
      </c>
      <c r="C156" s="24" t="n">
        <v>47788</v>
      </c>
      <c r="D156" s="24" t="n">
        <v>47817</v>
      </c>
      <c r="E156" s="25">
        <f>D156-C156+1</f>
        <v/>
      </c>
      <c r="F156" s="319">
        <f>J155</f>
        <v/>
      </c>
      <c r="G156" s="522">
        <f>-PMT($N$50/$D$47,117,$F$80,0)</f>
        <v/>
      </c>
      <c r="H156" s="319">
        <f>$N$50/$D$47*F156</f>
        <v/>
      </c>
      <c r="I156" s="319">
        <f>G156-H156</f>
        <v/>
      </c>
      <c r="J156" s="319">
        <f>F156-I156</f>
        <v/>
      </c>
      <c r="K156" s="516" t="n"/>
      <c r="L156" s="516" t="n"/>
    </row>
    <row r="157">
      <c r="B157" s="1" t="n">
        <v>105</v>
      </c>
      <c r="C157" s="24" t="n">
        <v>47818</v>
      </c>
      <c r="D157" s="24" t="n">
        <v>47848</v>
      </c>
      <c r="E157" s="25">
        <f>D157-C157+1</f>
        <v/>
      </c>
      <c r="F157" s="319">
        <f>J156</f>
        <v/>
      </c>
      <c r="G157" s="522">
        <f>-PMT($N$50/$D$47,117,$F$80,0)</f>
        <v/>
      </c>
      <c r="H157" s="319">
        <f>$N$50/$D$47*F157</f>
        <v/>
      </c>
      <c r="I157" s="319">
        <f>G157-H157</f>
        <v/>
      </c>
      <c r="J157" s="319">
        <f>F157-I157</f>
        <v/>
      </c>
      <c r="K157" s="516" t="n"/>
      <c r="L157" s="516" t="n"/>
    </row>
    <row r="158">
      <c r="B158" s="1" t="n">
        <v>106</v>
      </c>
      <c r="C158" s="24" t="n">
        <v>47849</v>
      </c>
      <c r="D158" s="24" t="n">
        <v>47879</v>
      </c>
      <c r="E158" s="25">
        <f>D158-C158+1</f>
        <v/>
      </c>
      <c r="F158" s="319">
        <f>J157</f>
        <v/>
      </c>
      <c r="G158" s="522">
        <f>-PMT($N$50/$D$47,117,$F$80,0)</f>
        <v/>
      </c>
      <c r="H158" s="319">
        <f>$N$50/$D$47*F158</f>
        <v/>
      </c>
      <c r="I158" s="319">
        <f>G158-H158</f>
        <v/>
      </c>
      <c r="J158" s="319">
        <f>F158-I158</f>
        <v/>
      </c>
      <c r="K158" s="516" t="n"/>
      <c r="L158" s="516" t="n"/>
    </row>
    <row r="159">
      <c r="B159" s="1" t="n">
        <v>107</v>
      </c>
      <c r="C159" s="24" t="n">
        <v>47880</v>
      </c>
      <c r="D159" s="24" t="n">
        <v>47907</v>
      </c>
      <c r="E159" s="25">
        <f>D159-C159+1</f>
        <v/>
      </c>
      <c r="F159" s="319">
        <f>J158</f>
        <v/>
      </c>
      <c r="G159" s="522">
        <f>-PMT($N$50/$D$47,117,$F$80,0)</f>
        <v/>
      </c>
      <c r="H159" s="319">
        <f>$N$50/$D$47*F159</f>
        <v/>
      </c>
      <c r="I159" s="319">
        <f>G159-H159</f>
        <v/>
      </c>
      <c r="J159" s="319">
        <f>F159-I159</f>
        <v/>
      </c>
      <c r="K159" s="516" t="n"/>
      <c r="L159" s="516" t="n"/>
    </row>
    <row r="160">
      <c r="B160" s="1" t="n">
        <v>108</v>
      </c>
      <c r="C160" s="24" t="n">
        <v>47908</v>
      </c>
      <c r="D160" s="24" t="n">
        <v>47938</v>
      </c>
      <c r="E160" s="25">
        <f>D160-C160+1</f>
        <v/>
      </c>
      <c r="F160" s="319">
        <f>J159</f>
        <v/>
      </c>
      <c r="G160" s="522">
        <f>-PMT($N$50/$D$47,117,$F$80,0)</f>
        <v/>
      </c>
      <c r="H160" s="319">
        <f>$N$50/$D$47*F160</f>
        <v/>
      </c>
      <c r="I160" s="319">
        <f>G160-H160</f>
        <v/>
      </c>
      <c r="J160" s="319">
        <f>F160-I160</f>
        <v/>
      </c>
      <c r="K160" s="516" t="n"/>
      <c r="L160" s="516" t="n"/>
    </row>
    <row r="161">
      <c r="B161" s="1" t="n">
        <v>109</v>
      </c>
      <c r="C161" s="24" t="n">
        <v>47939</v>
      </c>
      <c r="D161" s="24" t="n">
        <v>47968</v>
      </c>
      <c r="E161" s="25">
        <f>D161-C161+1</f>
        <v/>
      </c>
      <c r="F161" s="319">
        <f>J160</f>
        <v/>
      </c>
      <c r="G161" s="522">
        <f>-PMT($N$50/$D$47,117,$F$80,0)</f>
        <v/>
      </c>
      <c r="H161" s="319">
        <f>$N$50/$D$47*F161</f>
        <v/>
      </c>
      <c r="I161" s="319">
        <f>G161-H161</f>
        <v/>
      </c>
      <c r="J161" s="319">
        <f>F161-I161</f>
        <v/>
      </c>
      <c r="K161" s="516" t="n"/>
      <c r="L161" s="516" t="n"/>
    </row>
    <row r="162">
      <c r="B162" s="1" t="n">
        <v>110</v>
      </c>
      <c r="C162" s="24" t="n">
        <v>47969</v>
      </c>
      <c r="D162" s="24" t="n">
        <v>47999</v>
      </c>
      <c r="E162" s="25">
        <f>D162-C162+1</f>
        <v/>
      </c>
      <c r="F162" s="319">
        <f>J161</f>
        <v/>
      </c>
      <c r="G162" s="522">
        <f>-PMT($N$50/$D$47,117,$F$80,0)</f>
        <v/>
      </c>
      <c r="H162" s="319">
        <f>$N$50/$D$47*F162</f>
        <v/>
      </c>
      <c r="I162" s="319">
        <f>G162-H162</f>
        <v/>
      </c>
      <c r="J162" s="319">
        <f>F162-I162</f>
        <v/>
      </c>
      <c r="K162" s="516" t="n"/>
      <c r="L162" s="516" t="n"/>
    </row>
    <row r="163">
      <c r="B163" s="1" t="n">
        <v>111</v>
      </c>
      <c r="C163" s="24" t="n">
        <v>48000</v>
      </c>
      <c r="D163" s="24" t="n">
        <v>48029</v>
      </c>
      <c r="E163" s="25">
        <f>D163-C163+1</f>
        <v/>
      </c>
      <c r="F163" s="319">
        <f>J162</f>
        <v/>
      </c>
      <c r="G163" s="522">
        <f>-PMT($N$50/$D$47,117,$F$80,0)</f>
        <v/>
      </c>
      <c r="H163" s="319">
        <f>$N$50/$D$47*F163</f>
        <v/>
      </c>
      <c r="I163" s="319">
        <f>G163-H163</f>
        <v/>
      </c>
      <c r="J163" s="319">
        <f>F163-I163</f>
        <v/>
      </c>
      <c r="K163" s="516" t="n"/>
      <c r="L163" s="516" t="n"/>
    </row>
    <row r="164">
      <c r="B164" s="1" t="n">
        <v>112</v>
      </c>
      <c r="C164" s="24" t="n">
        <v>48030</v>
      </c>
      <c r="D164" s="24" t="n">
        <v>48060</v>
      </c>
      <c r="E164" s="25">
        <f>D164-C164+1</f>
        <v/>
      </c>
      <c r="F164" s="319">
        <f>J163</f>
        <v/>
      </c>
      <c r="G164" s="522">
        <f>-PMT($N$50/$D$47,117,$F$80,0)</f>
        <v/>
      </c>
      <c r="H164" s="319">
        <f>$N$50/$D$47*F164</f>
        <v/>
      </c>
      <c r="I164" s="319">
        <f>G164-H164</f>
        <v/>
      </c>
      <c r="J164" s="319">
        <f>F164-I164</f>
        <v/>
      </c>
      <c r="K164" s="516" t="n"/>
      <c r="L164" s="516" t="n"/>
    </row>
    <row r="165">
      <c r="B165" s="1" t="n">
        <v>113</v>
      </c>
      <c r="C165" s="24" t="n">
        <v>48061</v>
      </c>
      <c r="D165" s="24" t="n">
        <v>48091</v>
      </c>
      <c r="E165" s="25">
        <f>D165-C165+1</f>
        <v/>
      </c>
      <c r="F165" s="319">
        <f>J164</f>
        <v/>
      </c>
      <c r="G165" s="522">
        <f>-PMT($N$50/$D$47,117,$F$80,0)</f>
        <v/>
      </c>
      <c r="H165" s="319">
        <f>$N$50/$D$47*F165</f>
        <v/>
      </c>
      <c r="I165" s="319">
        <f>G165-H165</f>
        <v/>
      </c>
      <c r="J165" s="319">
        <f>F165-I165</f>
        <v/>
      </c>
      <c r="K165" s="516" t="n"/>
      <c r="L165" s="516" t="n"/>
    </row>
    <row r="166">
      <c r="B166" s="1" t="n">
        <v>114</v>
      </c>
      <c r="C166" s="24" t="n">
        <v>48092</v>
      </c>
      <c r="D166" s="24" t="n">
        <v>48121</v>
      </c>
      <c r="E166" s="25">
        <f>D166-C166+1</f>
        <v/>
      </c>
      <c r="F166" s="319">
        <f>J165</f>
        <v/>
      </c>
      <c r="G166" s="522">
        <f>-PMT($N$50/$D$47,117,$F$80,0)</f>
        <v/>
      </c>
      <c r="H166" s="319">
        <f>$N$50/$D$47*F166</f>
        <v/>
      </c>
      <c r="I166" s="319">
        <f>G166-H166</f>
        <v/>
      </c>
      <c r="J166" s="319">
        <f>F166-I166</f>
        <v/>
      </c>
      <c r="K166" s="516" t="n"/>
      <c r="L166" s="516" t="n"/>
    </row>
    <row r="167">
      <c r="B167" s="1" t="n">
        <v>115</v>
      </c>
      <c r="C167" s="24" t="n">
        <v>48122</v>
      </c>
      <c r="D167" s="24" t="n">
        <v>48152</v>
      </c>
      <c r="E167" s="25">
        <f>D167-C167+1</f>
        <v/>
      </c>
      <c r="F167" s="319">
        <f>J166</f>
        <v/>
      </c>
      <c r="G167" s="522">
        <f>-PMT($N$50/$D$47,117,$F$80,0)</f>
        <v/>
      </c>
      <c r="H167" s="319">
        <f>$N$50/$D$47*F167</f>
        <v/>
      </c>
      <c r="I167" s="319">
        <f>G167-H167</f>
        <v/>
      </c>
      <c r="J167" s="319">
        <f>F167-I167</f>
        <v/>
      </c>
      <c r="K167" s="516" t="n"/>
      <c r="L167" s="516" t="n"/>
    </row>
    <row r="168">
      <c r="B168" s="1" t="n">
        <v>116</v>
      </c>
      <c r="C168" s="24" t="n">
        <v>48153</v>
      </c>
      <c r="D168" s="24" t="n">
        <v>48182</v>
      </c>
      <c r="E168" s="25">
        <f>D168-C168+1</f>
        <v/>
      </c>
      <c r="F168" s="319">
        <f>J167</f>
        <v/>
      </c>
      <c r="G168" s="522">
        <f>-PMT($N$50/$D$47,117,$F$80,0)</f>
        <v/>
      </c>
      <c r="H168" s="319">
        <f>$N$50/$D$47*F168</f>
        <v/>
      </c>
      <c r="I168" s="319">
        <f>G168-H168</f>
        <v/>
      </c>
      <c r="J168" s="319">
        <f>F168-I168</f>
        <v/>
      </c>
      <c r="K168" s="516" t="n"/>
      <c r="L168" s="516" t="n"/>
    </row>
    <row r="169">
      <c r="B169" s="1" t="n">
        <v>117</v>
      </c>
      <c r="C169" s="24" t="n">
        <v>48183</v>
      </c>
      <c r="D169" s="24" t="n">
        <v>48213</v>
      </c>
      <c r="E169" s="25">
        <f>D169-C169+1</f>
        <v/>
      </c>
      <c r="F169" s="319">
        <f>J168</f>
        <v/>
      </c>
      <c r="G169" s="522">
        <f>-PMT($N$50/$D$47,117,$F$80,0)</f>
        <v/>
      </c>
      <c r="H169" s="319">
        <f>$N$50/$D$47*F169</f>
        <v/>
      </c>
      <c r="I169" s="319">
        <f>G169-H169</f>
        <v/>
      </c>
      <c r="J169" s="319">
        <f>F169-I169</f>
        <v/>
      </c>
      <c r="K169" s="516" t="n"/>
      <c r="L169" s="516" t="n"/>
    </row>
    <row r="170">
      <c r="B170" s="1" t="n">
        <v>118</v>
      </c>
      <c r="C170" s="24" t="n">
        <v>48214</v>
      </c>
      <c r="D170" s="24" t="n">
        <v>48244</v>
      </c>
      <c r="E170" s="25">
        <f>D170-C170+1</f>
        <v/>
      </c>
      <c r="F170" s="319">
        <f>J169</f>
        <v/>
      </c>
      <c r="G170" s="522">
        <f>-PMT($N$50/$D$47,117,$F$80,0)</f>
        <v/>
      </c>
      <c r="H170" s="319">
        <f>$N$50/$D$47*F170</f>
        <v/>
      </c>
      <c r="I170" s="319">
        <f>G170-H170</f>
        <v/>
      </c>
      <c r="J170" s="319">
        <f>F170-I170</f>
        <v/>
      </c>
      <c r="K170" s="516" t="n"/>
      <c r="L170" s="516" t="n"/>
    </row>
    <row r="171">
      <c r="B171" s="1" t="n">
        <v>119</v>
      </c>
      <c r="C171" s="24" t="n">
        <v>48245</v>
      </c>
      <c r="D171" s="24" t="n">
        <v>48273</v>
      </c>
      <c r="E171" s="25">
        <f>D171-C171+1</f>
        <v/>
      </c>
      <c r="F171" s="319">
        <f>J170</f>
        <v/>
      </c>
      <c r="G171" s="522">
        <f>-PMT($N$50/$D$47,117,$F$80,0)</f>
        <v/>
      </c>
      <c r="H171" s="319">
        <f>$N$50/$D$47*F171</f>
        <v/>
      </c>
      <c r="I171" s="319">
        <f>G171-H171</f>
        <v/>
      </c>
      <c r="J171" s="319">
        <f>F171-I171</f>
        <v/>
      </c>
      <c r="K171" s="516" t="n"/>
      <c r="L171" s="516" t="n"/>
    </row>
    <row r="172">
      <c r="B172" s="1" t="n">
        <v>120</v>
      </c>
      <c r="C172" s="24" t="n">
        <v>48274</v>
      </c>
      <c r="D172" s="24" t="n">
        <v>48304</v>
      </c>
      <c r="E172" s="25">
        <f>D172-C172+1</f>
        <v/>
      </c>
      <c r="F172" s="319">
        <f>J171</f>
        <v/>
      </c>
      <c r="G172" s="522">
        <f>-PMT($N$50/$D$47,117,$F$80,0)</f>
        <v/>
      </c>
      <c r="H172" s="319">
        <f>$N$50/$D$47*F172</f>
        <v/>
      </c>
      <c r="I172" s="319">
        <f>G172-H172</f>
        <v/>
      </c>
      <c r="J172" s="319">
        <f>F172-I172</f>
        <v/>
      </c>
      <c r="K172" s="516" t="n"/>
      <c r="L172" s="516" t="n"/>
    </row>
    <row r="173">
      <c r="B173" s="1" t="n">
        <v>121</v>
      </c>
      <c r="C173" s="24" t="n">
        <v>48305</v>
      </c>
      <c r="D173" s="24" t="n">
        <v>48334</v>
      </c>
      <c r="E173" s="25">
        <f>D173-C173+1</f>
        <v/>
      </c>
      <c r="F173" s="319">
        <f>J172</f>
        <v/>
      </c>
      <c r="G173" s="522">
        <f>-PMT($N$50/$D$47,117,$F$80,0)</f>
        <v/>
      </c>
      <c r="H173" s="319">
        <f>$N$50/$D$47*F173</f>
        <v/>
      </c>
      <c r="I173" s="319">
        <f>G173-H173</f>
        <v/>
      </c>
      <c r="J173" s="319">
        <f>F173-I173</f>
        <v/>
      </c>
      <c r="K173" s="516" t="n"/>
      <c r="L173" s="516" t="n"/>
    </row>
    <row r="174">
      <c r="B174" s="1" t="n">
        <v>122</v>
      </c>
      <c r="C174" s="24" t="n">
        <v>48335</v>
      </c>
      <c r="D174" s="24" t="n">
        <v>48365</v>
      </c>
      <c r="E174" s="25">
        <f>D174-C174+1</f>
        <v/>
      </c>
      <c r="F174" s="319">
        <f>J173</f>
        <v/>
      </c>
      <c r="G174" s="522">
        <f>-PMT($N$50/$D$47,117,$F$80,0)</f>
        <v/>
      </c>
      <c r="H174" s="319">
        <f>$N$50/$D$47*F174</f>
        <v/>
      </c>
      <c r="I174" s="319">
        <f>G174-H174</f>
        <v/>
      </c>
      <c r="J174" s="319">
        <f>F174-I174</f>
        <v/>
      </c>
      <c r="K174" s="516" t="n"/>
      <c r="L174" s="516" t="n"/>
    </row>
    <row r="175">
      <c r="B175" s="1" t="n">
        <v>123</v>
      </c>
      <c r="C175" s="24" t="n">
        <v>48366</v>
      </c>
      <c r="D175" s="24" t="n">
        <v>48395</v>
      </c>
      <c r="E175" s="25">
        <f>D175-C175+1</f>
        <v/>
      </c>
      <c r="F175" s="319">
        <f>J174</f>
        <v/>
      </c>
      <c r="G175" s="522">
        <f>-PMT($N$50/$D$47,117,$F$80,0)</f>
        <v/>
      </c>
      <c r="H175" s="319">
        <f>$N$50/$D$47*F175</f>
        <v/>
      </c>
      <c r="I175" s="319">
        <f>G175-H175</f>
        <v/>
      </c>
      <c r="J175" s="319">
        <f>F175-I175</f>
        <v/>
      </c>
      <c r="K175" s="516" t="n"/>
      <c r="L175" s="516" t="n"/>
    </row>
    <row r="176">
      <c r="B176" s="1" t="n">
        <v>124</v>
      </c>
      <c r="C176" s="24" t="n">
        <v>48396</v>
      </c>
      <c r="D176" s="24" t="n">
        <v>48426</v>
      </c>
      <c r="E176" s="25">
        <f>D176-C176+1</f>
        <v/>
      </c>
      <c r="F176" s="319">
        <f>J175</f>
        <v/>
      </c>
      <c r="G176" s="522">
        <f>-PMT($N$50/$D$47,117,$F$80,0)</f>
        <v/>
      </c>
      <c r="H176" s="319">
        <f>$N$50/$D$47*F176</f>
        <v/>
      </c>
      <c r="I176" s="319">
        <f>G176-H176</f>
        <v/>
      </c>
      <c r="J176" s="319">
        <f>F176-I176</f>
        <v/>
      </c>
      <c r="K176" s="516" t="n"/>
      <c r="L176" s="516" t="n"/>
    </row>
    <row r="177">
      <c r="B177" s="1" t="n">
        <v>125</v>
      </c>
      <c r="C177" s="24" t="n">
        <v>48427</v>
      </c>
      <c r="D177" s="24" t="n">
        <v>48457</v>
      </c>
      <c r="E177" s="25">
        <f>D177-C177+1</f>
        <v/>
      </c>
      <c r="F177" s="319">
        <f>J176</f>
        <v/>
      </c>
      <c r="G177" s="522">
        <f>-PMT($N$50/$D$47,117,$F$80,0)</f>
        <v/>
      </c>
      <c r="H177" s="319">
        <f>$N$50/$D$47*F177</f>
        <v/>
      </c>
      <c r="I177" s="319">
        <f>G177-H177</f>
        <v/>
      </c>
      <c r="J177" s="319">
        <f>F177-I177</f>
        <v/>
      </c>
      <c r="K177" s="516" t="n"/>
      <c r="L177" s="516" t="n"/>
    </row>
    <row r="178">
      <c r="B178" s="1" t="n">
        <v>126</v>
      </c>
      <c r="C178" s="24" t="n">
        <v>48458</v>
      </c>
      <c r="D178" s="24" t="n">
        <v>48487</v>
      </c>
      <c r="E178" s="25">
        <f>D178-C178+1</f>
        <v/>
      </c>
      <c r="F178" s="319">
        <f>J177</f>
        <v/>
      </c>
      <c r="G178" s="522">
        <f>-PMT($N$50/$D$47,117,$F$80,0)</f>
        <v/>
      </c>
      <c r="H178" s="319">
        <f>$N$50/$D$47*F178</f>
        <v/>
      </c>
      <c r="I178" s="319">
        <f>G178-H178</f>
        <v/>
      </c>
      <c r="J178" s="319">
        <f>F178-I178</f>
        <v/>
      </c>
      <c r="K178" s="516" t="n"/>
      <c r="L178" s="516" t="n"/>
    </row>
    <row r="179">
      <c r="B179" s="1" t="n">
        <v>127</v>
      </c>
      <c r="C179" s="24" t="n">
        <v>48488</v>
      </c>
      <c r="D179" s="24" t="n">
        <v>48518</v>
      </c>
      <c r="E179" s="25">
        <f>D179-C179+1</f>
        <v/>
      </c>
      <c r="F179" s="319">
        <f>J178</f>
        <v/>
      </c>
      <c r="G179" s="522">
        <f>-PMT($N$50/$D$47,117,$F$80,0)</f>
        <v/>
      </c>
      <c r="H179" s="319">
        <f>$N$50/$D$47*F179</f>
        <v/>
      </c>
      <c r="I179" s="319">
        <f>G179-H179</f>
        <v/>
      </c>
      <c r="J179" s="319">
        <f>F179-I179</f>
        <v/>
      </c>
      <c r="K179" s="516" t="n"/>
      <c r="L179" s="516" t="n"/>
    </row>
    <row r="180">
      <c r="B180" s="1" t="n">
        <v>128</v>
      </c>
      <c r="C180" s="24" t="n">
        <v>48519</v>
      </c>
      <c r="D180" s="24" t="n">
        <v>48548</v>
      </c>
      <c r="E180" s="25">
        <f>D180-C180+1</f>
        <v/>
      </c>
      <c r="F180" s="319">
        <f>J179</f>
        <v/>
      </c>
      <c r="G180" s="522">
        <f>-PMT($N$50/$D$47,117,$F$80,0)</f>
        <v/>
      </c>
      <c r="H180" s="319">
        <f>$N$50/$D$47*F180</f>
        <v/>
      </c>
      <c r="I180" s="319">
        <f>G180-H180</f>
        <v/>
      </c>
      <c r="J180" s="319">
        <f>F180-I180</f>
        <v/>
      </c>
      <c r="K180" s="516" t="n"/>
      <c r="L180" s="516" t="n"/>
    </row>
    <row r="181">
      <c r="B181" s="1" t="n">
        <v>129</v>
      </c>
      <c r="C181" s="24" t="n">
        <v>48549</v>
      </c>
      <c r="D181" s="24" t="n">
        <v>48579</v>
      </c>
      <c r="E181" s="25">
        <f>D181-C181+1</f>
        <v/>
      </c>
      <c r="F181" s="319">
        <f>J180</f>
        <v/>
      </c>
      <c r="G181" s="522">
        <f>-PMT($N$50/$D$47,117,$F$80,0)</f>
        <v/>
      </c>
      <c r="H181" s="319">
        <f>$N$50/$D$47*F181</f>
        <v/>
      </c>
      <c r="I181" s="319">
        <f>G181-H181</f>
        <v/>
      </c>
      <c r="J181" s="319">
        <f>F181-I181</f>
        <v/>
      </c>
      <c r="K181" s="516" t="n"/>
      <c r="L181" s="516" t="n"/>
    </row>
    <row r="182">
      <c r="B182" s="1" t="n">
        <v>130</v>
      </c>
      <c r="C182" s="24" t="n">
        <v>48580</v>
      </c>
      <c r="D182" s="24" t="n">
        <v>48610</v>
      </c>
      <c r="E182" s="25">
        <f>D182-C182+1</f>
        <v/>
      </c>
      <c r="F182" s="319">
        <f>J181</f>
        <v/>
      </c>
      <c r="G182" s="522">
        <f>-PMT($N$50/$D$47,117,$F$80,0)</f>
        <v/>
      </c>
      <c r="H182" s="319">
        <f>$N$50/$D$47*F182</f>
        <v/>
      </c>
      <c r="I182" s="319">
        <f>G182-H182</f>
        <v/>
      </c>
      <c r="J182" s="319">
        <f>F182-I182</f>
        <v/>
      </c>
      <c r="K182" s="516" t="n"/>
      <c r="L182" s="516" t="n"/>
    </row>
    <row r="183">
      <c r="B183" s="1" t="n">
        <v>131</v>
      </c>
      <c r="C183" s="24" t="n">
        <v>48611</v>
      </c>
      <c r="D183" s="24" t="n">
        <v>48638</v>
      </c>
      <c r="E183" s="25">
        <f>D183-C183+1</f>
        <v/>
      </c>
      <c r="F183" s="319">
        <f>J182</f>
        <v/>
      </c>
      <c r="G183" s="522">
        <f>-PMT($N$50/$D$47,117,$F$80,0)</f>
        <v/>
      </c>
      <c r="H183" s="319">
        <f>$N$50/$D$47*F183</f>
        <v/>
      </c>
      <c r="I183" s="319">
        <f>G183-H183</f>
        <v/>
      </c>
      <c r="J183" s="319">
        <f>F183-I183</f>
        <v/>
      </c>
      <c r="K183" s="516" t="n"/>
      <c r="L183" s="516" t="n"/>
    </row>
    <row r="184">
      <c r="B184" s="1" t="n">
        <v>132</v>
      </c>
      <c r="C184" s="24" t="n">
        <v>48639</v>
      </c>
      <c r="D184" s="24" t="n">
        <v>48669</v>
      </c>
      <c r="E184" s="25">
        <f>D184-C184+1</f>
        <v/>
      </c>
      <c r="F184" s="319">
        <f>J183</f>
        <v/>
      </c>
      <c r="G184" s="522">
        <f>-PMT($N$50/$D$47,117,$F$80,0)</f>
        <v/>
      </c>
      <c r="H184" s="319">
        <f>$N$50/$D$47*F184</f>
        <v/>
      </c>
      <c r="I184" s="319">
        <f>G184-H184</f>
        <v/>
      </c>
      <c r="J184" s="319">
        <f>F184-I184</f>
        <v/>
      </c>
      <c r="K184" s="516" t="n"/>
      <c r="L184" s="516" t="n"/>
    </row>
    <row r="185">
      <c r="B185" s="1" t="n">
        <v>133</v>
      </c>
      <c r="C185" s="24" t="n">
        <v>48670</v>
      </c>
      <c r="D185" s="24" t="n">
        <v>48699</v>
      </c>
      <c r="E185" s="25">
        <f>D185-C185+1</f>
        <v/>
      </c>
      <c r="F185" s="319">
        <f>J184</f>
        <v/>
      </c>
      <c r="G185" s="522">
        <f>-PMT($N$50/$D$47,117,$F$80,0)</f>
        <v/>
      </c>
      <c r="H185" s="319">
        <f>$N$50/$D$47*F185</f>
        <v/>
      </c>
      <c r="I185" s="319">
        <f>G185-H185</f>
        <v/>
      </c>
      <c r="J185" s="319">
        <f>F185-I185</f>
        <v/>
      </c>
      <c r="K185" s="516" t="n"/>
      <c r="L185" s="516" t="n"/>
    </row>
    <row r="186">
      <c r="B186" s="1" t="n">
        <v>134</v>
      </c>
      <c r="C186" s="24" t="n">
        <v>48700</v>
      </c>
      <c r="D186" s="24" t="n">
        <v>48730</v>
      </c>
      <c r="E186" s="25">
        <f>D186-C186+1</f>
        <v/>
      </c>
      <c r="F186" s="319">
        <f>J185</f>
        <v/>
      </c>
      <c r="G186" s="522">
        <f>-PMT($N$50/$D$47,117,$F$80,0)</f>
        <v/>
      </c>
      <c r="H186" s="319">
        <f>$N$50/$D$47*F186</f>
        <v/>
      </c>
      <c r="I186" s="319">
        <f>G186-H186</f>
        <v/>
      </c>
      <c r="J186" s="319">
        <f>F186-I186</f>
        <v/>
      </c>
      <c r="K186" s="516" t="n"/>
      <c r="L186" s="516" t="n"/>
    </row>
    <row r="187">
      <c r="B187" s="1" t="n">
        <v>135</v>
      </c>
      <c r="C187" s="24" t="n">
        <v>48731</v>
      </c>
      <c r="D187" s="24" t="n">
        <v>48760</v>
      </c>
      <c r="E187" s="25">
        <f>D187-C187+1</f>
        <v/>
      </c>
      <c r="F187" s="319">
        <f>J186</f>
        <v/>
      </c>
      <c r="G187" s="522">
        <f>-PMT($N$50/$D$47,117,$F$80,0)</f>
        <v/>
      </c>
      <c r="H187" s="319">
        <f>$N$50/$D$47*F187</f>
        <v/>
      </c>
      <c r="I187" s="319">
        <f>G187-H187</f>
        <v/>
      </c>
      <c r="J187" s="319">
        <f>F187-I187</f>
        <v/>
      </c>
      <c r="K187" s="516" t="n"/>
      <c r="L187" s="516" t="n"/>
    </row>
    <row r="188">
      <c r="B188" s="1" t="n">
        <v>136</v>
      </c>
      <c r="C188" s="24" t="n">
        <v>48761</v>
      </c>
      <c r="D188" s="24" t="n">
        <v>48791</v>
      </c>
      <c r="E188" s="25">
        <f>D188-C188+1</f>
        <v/>
      </c>
      <c r="F188" s="319">
        <f>J187</f>
        <v/>
      </c>
      <c r="G188" s="522">
        <f>-PMT($N$50/$D$47,117,$F$80,0)</f>
        <v/>
      </c>
      <c r="H188" s="319">
        <f>$N$50/$D$47*F188</f>
        <v/>
      </c>
      <c r="I188" s="319">
        <f>G188-H188</f>
        <v/>
      </c>
      <c r="J188" s="319">
        <f>F188-I188</f>
        <v/>
      </c>
      <c r="K188" s="516" t="n"/>
      <c r="L188" s="516" t="n"/>
    </row>
    <row r="189">
      <c r="B189" s="1" t="n">
        <v>137</v>
      </c>
      <c r="C189" s="24" t="n">
        <v>48792</v>
      </c>
      <c r="D189" s="24" t="n">
        <v>48822</v>
      </c>
      <c r="E189" s="25">
        <f>D189-C189+1</f>
        <v/>
      </c>
      <c r="F189" s="319">
        <f>J188</f>
        <v/>
      </c>
      <c r="G189" s="522">
        <f>-PMT($N$50/$D$47,117,$F$80,0)</f>
        <v/>
      </c>
      <c r="H189" s="319">
        <f>$N$50/$D$47*F189</f>
        <v/>
      </c>
      <c r="I189" s="319">
        <f>G189-H189</f>
        <v/>
      </c>
      <c r="J189" s="319">
        <f>F189-I189</f>
        <v/>
      </c>
      <c r="K189" s="516" t="n"/>
      <c r="L189" s="516" t="n"/>
    </row>
    <row r="190">
      <c r="B190" s="1" t="n">
        <v>138</v>
      </c>
      <c r="C190" s="24" t="n">
        <v>48823</v>
      </c>
      <c r="D190" s="24" t="n">
        <v>48852</v>
      </c>
      <c r="E190" s="25">
        <f>D190-C190+1</f>
        <v/>
      </c>
      <c r="F190" s="319">
        <f>J189</f>
        <v/>
      </c>
      <c r="G190" s="522">
        <f>-PMT($N$50/$D$47,117,$F$80,0)</f>
        <v/>
      </c>
      <c r="H190" s="319">
        <f>$N$50/$D$47*F190</f>
        <v/>
      </c>
      <c r="I190" s="319">
        <f>G190-H190</f>
        <v/>
      </c>
      <c r="J190" s="319">
        <f>F190-I190</f>
        <v/>
      </c>
      <c r="K190" s="516" t="n"/>
      <c r="L190" s="516" t="n"/>
    </row>
    <row r="191">
      <c r="B191" s="1" t="n">
        <v>139</v>
      </c>
      <c r="C191" s="24" t="n">
        <v>48853</v>
      </c>
      <c r="D191" s="24" t="n">
        <v>48883</v>
      </c>
      <c r="E191" s="25">
        <f>D191-C191+1</f>
        <v/>
      </c>
      <c r="F191" s="319">
        <f>J190</f>
        <v/>
      </c>
      <c r="G191" s="522">
        <f>-PMT($N$50/$D$47,117,$F$80,0)</f>
        <v/>
      </c>
      <c r="H191" s="319">
        <f>$N$50/$D$47*F191</f>
        <v/>
      </c>
      <c r="I191" s="319">
        <f>G191-H191</f>
        <v/>
      </c>
      <c r="J191" s="319">
        <f>F191-I191</f>
        <v/>
      </c>
      <c r="K191" s="516" t="n"/>
      <c r="L191" s="516" t="n"/>
    </row>
    <row r="192">
      <c r="B192" s="1" t="n">
        <v>140</v>
      </c>
      <c r="C192" s="24" t="n">
        <v>48884</v>
      </c>
      <c r="D192" s="24" t="n">
        <v>48913</v>
      </c>
      <c r="E192" s="25">
        <f>D192-C192+1</f>
        <v/>
      </c>
      <c r="F192" s="319">
        <f>J191</f>
        <v/>
      </c>
      <c r="G192" s="522">
        <f>-PMT($N$50/$D$47,117,$F$80,0)</f>
        <v/>
      </c>
      <c r="H192" s="319">
        <f>$N$50/$D$47*F192</f>
        <v/>
      </c>
      <c r="I192" s="319">
        <f>G192-H192</f>
        <v/>
      </c>
      <c r="J192" s="319">
        <f>F192-I192</f>
        <v/>
      </c>
      <c r="K192" s="516" t="n"/>
      <c r="L192" s="516" t="n"/>
    </row>
    <row r="193">
      <c r="B193" s="1" t="n">
        <v>141</v>
      </c>
      <c r="C193" s="24" t="n">
        <v>48914</v>
      </c>
      <c r="D193" s="24" t="n">
        <v>48944</v>
      </c>
      <c r="E193" s="25">
        <f>D193-C193+1</f>
        <v/>
      </c>
      <c r="F193" s="319">
        <f>J192</f>
        <v/>
      </c>
      <c r="G193" s="522">
        <f>-PMT($N$50/$D$47,117,$F$80,0)</f>
        <v/>
      </c>
      <c r="H193" s="319">
        <f>$N$50/$D$47*F193</f>
        <v/>
      </c>
      <c r="I193" s="319">
        <f>G193-H193</f>
        <v/>
      </c>
      <c r="J193" s="319">
        <f>F193-I193</f>
        <v/>
      </c>
      <c r="K193" s="516" t="n"/>
      <c r="L193" s="516" t="n"/>
    </row>
    <row r="194">
      <c r="B194" s="1" t="n">
        <v>142</v>
      </c>
      <c r="C194" s="24" t="n">
        <v>48945</v>
      </c>
      <c r="D194" s="24" t="n">
        <v>48975</v>
      </c>
      <c r="E194" s="25">
        <f>D194-C194+1</f>
        <v/>
      </c>
      <c r="F194" s="319">
        <f>J193</f>
        <v/>
      </c>
      <c r="G194" s="522">
        <f>-PMT($N$50/$D$47,117,$F$80,0)</f>
        <v/>
      </c>
      <c r="H194" s="319">
        <f>$N$50/$D$47*F194</f>
        <v/>
      </c>
      <c r="I194" s="319">
        <f>G194-H194</f>
        <v/>
      </c>
      <c r="J194" s="319">
        <f>F194-I194</f>
        <v/>
      </c>
      <c r="K194" s="516" t="n"/>
      <c r="L194" s="516" t="n"/>
    </row>
    <row r="195">
      <c r="B195" s="1" t="n">
        <v>143</v>
      </c>
      <c r="C195" s="24" t="n">
        <v>48976</v>
      </c>
      <c r="D195" s="24" t="n">
        <v>49003</v>
      </c>
      <c r="E195" s="25">
        <f>D195-C195+1</f>
        <v/>
      </c>
      <c r="F195" s="319">
        <f>J194</f>
        <v/>
      </c>
      <c r="G195" s="522">
        <f>-PMT($N$50/$D$47,117,$F$80,0)</f>
        <v/>
      </c>
      <c r="H195" s="319">
        <f>$N$50/$D$47*F195</f>
        <v/>
      </c>
      <c r="I195" s="319">
        <f>G195-H195</f>
        <v/>
      </c>
      <c r="J195" s="319">
        <f>F195-I195</f>
        <v/>
      </c>
      <c r="K195" s="516" t="n"/>
      <c r="L195" s="516" t="n"/>
    </row>
    <row r="196">
      <c r="B196" s="1" t="n">
        <v>144</v>
      </c>
      <c r="C196" s="24" t="n">
        <v>49004</v>
      </c>
      <c r="D196" s="24" t="n">
        <v>49034</v>
      </c>
      <c r="E196" s="25">
        <f>D196-C196+1</f>
        <v/>
      </c>
      <c r="F196" s="319">
        <f>J195</f>
        <v/>
      </c>
      <c r="G196" s="522">
        <f>-PMT($N$50/$D$47,117,$F$80,0)</f>
        <v/>
      </c>
      <c r="H196" s="319">
        <f>$N$50/$D$47*F196</f>
        <v/>
      </c>
      <c r="I196" s="319">
        <f>G196-H196</f>
        <v/>
      </c>
      <c r="J196" s="319">
        <f>F196-I196</f>
        <v/>
      </c>
      <c r="K196" s="516" t="n"/>
      <c r="L196" s="516" t="n"/>
    </row>
    <row r="197">
      <c r="B197" s="1" t="n"/>
      <c r="C197" s="24" t="n"/>
      <c r="D197" s="24" t="n"/>
      <c r="E197" s="25" t="n"/>
      <c r="F197" s="319" t="n"/>
      <c r="G197" s="319" t="n"/>
      <c r="H197" s="319" t="n"/>
      <c r="I197" s="319" t="n"/>
      <c r="J197" s="319" t="n"/>
      <c r="K197" s="516" t="n"/>
      <c r="L197" s="516" t="n"/>
    </row>
    <row r="198">
      <c r="B198" s="1" t="n"/>
      <c r="C198" s="1" t="n"/>
      <c r="D198" s="1" t="n"/>
      <c r="E198" s="30">
        <f>SUM(E53:E113)</f>
        <v/>
      </c>
      <c r="F198" s="319" t="n"/>
      <c r="G198" s="319" t="n"/>
      <c r="H198" s="319" t="n"/>
      <c r="I198" s="319" t="n"/>
      <c r="J198" s="319" t="n"/>
      <c r="K198" s="1" t="n"/>
      <c r="L198" s="1" t="n"/>
    </row>
    <row r="199" hidden="1" outlineLevel="1">
      <c r="B199" s="1" t="n"/>
      <c r="C199" s="1" t="n"/>
      <c r="D199" s="1" t="n"/>
      <c r="E199" s="1" t="n"/>
      <c r="F199" s="319" t="n"/>
      <c r="G199" s="319" t="n"/>
      <c r="H199" s="319" t="n"/>
      <c r="I199" s="319" t="n"/>
      <c r="J199" s="319" t="n"/>
      <c r="K199" s="1" t="n"/>
      <c r="L199" s="1" t="n"/>
    </row>
    <row r="200" hidden="1" outlineLevel="1">
      <c r="B200" s="1" t="n"/>
      <c r="C200" s="1" t="n"/>
      <c r="D200" s="1" t="n"/>
      <c r="E200" s="1" t="n"/>
      <c r="F200" s="319" t="n"/>
      <c r="G200" s="319" t="n"/>
      <c r="H200" s="319" t="n"/>
      <c r="I200" s="319" t="n"/>
      <c r="J200" s="319" t="n"/>
      <c r="K200" s="1" t="n"/>
      <c r="L200" s="1" t="n"/>
    </row>
    <row r="201" hidden="1" outlineLevel="1">
      <c r="B201" s="1" t="n"/>
      <c r="C201" s="1" t="n"/>
      <c r="D201" s="1" t="n"/>
      <c r="E201" s="1">
        <f>E198/365</f>
        <v/>
      </c>
      <c r="F201" s="319" t="n"/>
      <c r="G201" s="319" t="n"/>
      <c r="H201" s="319" t="n"/>
      <c r="I201" s="319" t="n"/>
      <c r="J201" s="319" t="n"/>
      <c r="K201" s="1" t="n"/>
      <c r="L201" s="1" t="n"/>
    </row>
    <row r="202" collapsed="1"/>
    <row r="204">
      <c r="B204" s="1" t="n"/>
      <c r="C204" s="9" t="inlineStr">
        <is>
          <t>Micholess Creamery</t>
        </is>
      </c>
      <c r="D204" s="319" t="n"/>
      <c r="E204" s="319" t="n"/>
      <c r="F204" s="319" t="n"/>
      <c r="G204" s="319" t="n"/>
      <c r="H204" s="319" t="n"/>
      <c r="I204" s="319" t="n"/>
      <c r="J204" s="319" t="n"/>
      <c r="K204" s="319" t="n"/>
      <c r="L204" s="319" t="n"/>
      <c r="R204" s="514" t="inlineStr">
        <is>
          <t>E-Banker account (Dupleix)</t>
        </is>
      </c>
      <c r="S204" s="495">
        <f>IFERROR(INDEX('Blocks'!$I$2:$I$101,MATCH(3,'Blocks'!$A$2:$A$101,0)),"")</f>
        <v/>
      </c>
    </row>
    <row r="205">
      <c r="B205" s="1" t="n"/>
      <c r="C205" s="1" t="n"/>
      <c r="D205" s="32" t="inlineStr">
        <is>
          <t>1st Tranche</t>
        </is>
      </c>
      <c r="E205" s="319" t="n"/>
      <c r="F205" s="32" t="inlineStr">
        <is>
          <t>2nd Tranche</t>
        </is>
      </c>
      <c r="G205" s="319" t="n"/>
      <c r="H205" s="319" t="n"/>
      <c r="I205" s="319" t="n"/>
      <c r="J205" s="319" t="n"/>
      <c r="K205" s="319" t="n"/>
      <c r="L205" s="319" t="n"/>
      <c r="R205" s="514" t="inlineStr">
        <is>
          <t>Facility (Loan Book)</t>
        </is>
      </c>
      <c r="S205" s="495">
        <f>IFERROR(INDEX('Blocks'!$H$2:$H$101,MATCH(3,'Blocks'!$A$2:$A$101,0)),"")</f>
        <v/>
      </c>
    </row>
    <row r="206">
      <c r="B206" s="1" t="n"/>
      <c r="C206" s="10" t="inlineStr">
        <is>
          <t>Principal (MK)</t>
        </is>
      </c>
      <c r="D206" s="11" t="n">
        <v>15760000</v>
      </c>
      <c r="E206" s="319" t="n"/>
      <c r="F206" s="319" t="n">
        <v>2480000</v>
      </c>
      <c r="G206" s="291" t="inlineStr">
        <is>
          <t>Principal (MK)</t>
        </is>
      </c>
      <c r="H206" s="11">
        <f>F237</f>
        <v/>
      </c>
      <c r="I206" s="319" t="n"/>
      <c r="J206" s="319" t="n"/>
      <c r="K206" s="319" t="n"/>
      <c r="L206" s="319" t="n"/>
      <c r="R206" s="514" t="inlineStr">
        <is>
          <t>Take-on posting 31 Jul 2024</t>
        </is>
      </c>
      <c r="S206" s="496">
        <f>IFERROR(INDEX('E-Banker master'!$N$2:$N$186,MATCH(S204,'E-Banker master'!$A$2:$A$186,0)),"")</f>
        <v/>
      </c>
    </row>
    <row r="207">
      <c r="B207" s="1" t="n"/>
      <c r="C207" s="13" t="inlineStr">
        <is>
          <t>Rate</t>
        </is>
      </c>
      <c r="D207" s="14" t="n">
        <v>0.201</v>
      </c>
      <c r="E207" s="257" t="n"/>
      <c r="F207" s="319" t="n"/>
      <c r="G207" s="292" t="inlineStr">
        <is>
          <t>Rate</t>
        </is>
      </c>
      <c r="H207" s="296" t="n">
        <v>0.202</v>
      </c>
      <c r="I207" s="319" t="n"/>
      <c r="J207" s="319" t="n"/>
      <c r="K207" s="319" t="n"/>
      <c r="L207" s="319" t="n"/>
      <c r="R207" s="514" t="inlineStr">
        <is>
          <t>E-Banker balance 31 Oct 2024</t>
        </is>
      </c>
      <c r="S207" s="496">
        <f>IFERROR(INDEX('E-Banker master'!$P$2:$P$186,MATCH(S204,'E-Banker master'!$A$2:$A$186,0)),"")</f>
        <v/>
      </c>
    </row>
    <row r="208">
      <c r="B208" s="1" t="n"/>
      <c r="C208" s="13" t="inlineStr">
        <is>
          <t>n</t>
        </is>
      </c>
      <c r="D208" s="16" t="n">
        <v>2</v>
      </c>
      <c r="E208" s="1" t="n"/>
      <c r="F208" s="319" t="n"/>
      <c r="G208" s="292" t="inlineStr">
        <is>
          <t>n</t>
        </is>
      </c>
      <c r="H208" s="296" t="n">
        <v>2</v>
      </c>
      <c r="I208" s="319" t="n"/>
      <c r="J208" s="319" t="n"/>
      <c r="K208" s="1" t="n"/>
      <c r="L208" s="1" t="n"/>
    </row>
    <row r="209">
      <c r="B209" s="1" t="n"/>
      <c r="C209" s="13" t="inlineStr">
        <is>
          <t>Per</t>
        </is>
      </c>
      <c r="D209" s="16" t="n">
        <v>12</v>
      </c>
      <c r="E209" s="1" t="n"/>
      <c r="F209" s="319" t="n"/>
      <c r="G209" s="292" t="inlineStr">
        <is>
          <t>Per</t>
        </is>
      </c>
      <c r="H209" s="296" t="n">
        <v>12</v>
      </c>
      <c r="I209" s="319" t="n"/>
      <c r="J209" s="319" t="n"/>
      <c r="K209" s="1" t="n"/>
      <c r="L209" s="1" t="n"/>
    </row>
    <row r="210">
      <c r="B210" s="1" t="n"/>
      <c r="C210" s="13" t="inlineStr">
        <is>
          <t>nPer</t>
        </is>
      </c>
      <c r="D210" s="515">
        <f>D208*D209</f>
        <v/>
      </c>
      <c r="E210" s="1" t="n"/>
      <c r="F210" s="319" t="n"/>
      <c r="G210" s="292" t="inlineStr">
        <is>
          <t>nPer</t>
        </is>
      </c>
      <c r="H210" s="296">
        <f>H208*H209</f>
        <v/>
      </c>
      <c r="I210" s="319" t="n"/>
      <c r="J210" s="319" t="n"/>
      <c r="K210" s="1" t="n"/>
      <c r="L210" s="1" t="n"/>
    </row>
    <row r="211">
      <c r="B211" s="1" t="n"/>
      <c r="C211" s="13" t="inlineStr">
        <is>
          <t>Days in a year</t>
        </is>
      </c>
      <c r="D211" s="18" t="n">
        <v>365</v>
      </c>
      <c r="E211" s="1" t="n"/>
      <c r="F211" s="319" t="n"/>
      <c r="G211" s="292" t="inlineStr">
        <is>
          <t>Days in a year</t>
        </is>
      </c>
      <c r="H211" s="296" t="n">
        <v>365</v>
      </c>
      <c r="I211" s="319" t="n"/>
      <c r="J211" s="319" t="n"/>
      <c r="K211" s="1" t="n"/>
      <c r="L211" s="1" t="n"/>
    </row>
    <row r="212">
      <c r="B212" s="1" t="n"/>
      <c r="C212" s="19" t="inlineStr">
        <is>
          <t>Pmt (MK)</t>
        </is>
      </c>
      <c r="D212" s="20">
        <f>-PMT(D207/D209,D210,D206,0,0)</f>
        <v/>
      </c>
      <c r="E212" s="319" t="n"/>
      <c r="F212" s="319" t="n"/>
      <c r="G212" s="293" t="inlineStr">
        <is>
          <t>Pmt (MK)</t>
        </is>
      </c>
      <c r="H212" s="20">
        <f>-PMT(H207/H209,H210,H206,0,0)</f>
        <v/>
      </c>
      <c r="I212" s="319" t="n"/>
      <c r="J212" s="319" t="n"/>
      <c r="K212" s="1" t="n"/>
      <c r="L212" s="1" t="n"/>
    </row>
    <row r="213">
      <c r="B213" s="1" t="n"/>
      <c r="C213" s="1" t="n"/>
      <c r="D213" s="319" t="n"/>
      <c r="E213" s="319" t="n"/>
      <c r="F213" s="319" t="n"/>
      <c r="G213" s="319" t="n"/>
      <c r="H213" s="319" t="n"/>
      <c r="I213" s="319" t="n"/>
      <c r="J213" s="319" t="n"/>
      <c r="K213" s="1" t="n"/>
      <c r="L213" s="1" t="n"/>
    </row>
    <row r="214">
      <c r="B214" s="1" t="n"/>
      <c r="C214" s="21" t="inlineStr">
        <is>
          <t>Period Start</t>
        </is>
      </c>
      <c r="D214" s="22" t="inlineStr">
        <is>
          <t>Period End</t>
        </is>
      </c>
      <c r="E214" s="22" t="inlineStr">
        <is>
          <t>Days</t>
        </is>
      </c>
      <c r="F214" s="294" t="inlineStr">
        <is>
          <t>Opening bal.</t>
        </is>
      </c>
      <c r="G214" s="294" t="inlineStr">
        <is>
          <t>Pmt</t>
        </is>
      </c>
      <c r="H214" s="294" t="inlineStr">
        <is>
          <t>Interest</t>
        </is>
      </c>
      <c r="I214" s="294" t="inlineStr">
        <is>
          <t>Principal</t>
        </is>
      </c>
      <c r="J214" s="294" t="inlineStr">
        <is>
          <t>Closing balance</t>
        </is>
      </c>
      <c r="K214" s="23" t="inlineStr">
        <is>
          <t>Amount Repaid</t>
        </is>
      </c>
      <c r="L214" s="23" t="inlineStr">
        <is>
          <t>Accumulated Arrears</t>
        </is>
      </c>
    </row>
    <row r="215">
      <c r="B215" s="1" t="n">
        <v>0</v>
      </c>
      <c r="C215" s="24" t="n">
        <v>44040</v>
      </c>
      <c r="D215" s="24" t="n">
        <v>44043</v>
      </c>
      <c r="E215" s="25">
        <f>D215-C215+1</f>
        <v/>
      </c>
      <c r="F215" s="319">
        <f>D206</f>
        <v/>
      </c>
      <c r="G215" s="319" t="n">
        <v>0</v>
      </c>
      <c r="H215" s="319">
        <f>F215*D207/D209*E215/31</f>
        <v/>
      </c>
      <c r="I215" s="319">
        <f>G215-H215</f>
        <v/>
      </c>
      <c r="J215" s="319">
        <f>F215-I215</f>
        <v/>
      </c>
      <c r="K215" s="516" t="n">
        <v>0</v>
      </c>
      <c r="L215" s="516" t="n"/>
    </row>
    <row r="216">
      <c r="B216" s="1" t="n">
        <v>1</v>
      </c>
      <c r="C216" s="24" t="n">
        <v>44044</v>
      </c>
      <c r="D216" s="24" t="n">
        <v>44074</v>
      </c>
      <c r="E216" s="25">
        <f>D216-C216+1</f>
        <v/>
      </c>
      <c r="F216" s="319">
        <f>J215</f>
        <v/>
      </c>
      <c r="G216" s="319" t="n">
        <v>0</v>
      </c>
      <c r="H216" s="319">
        <f>$D$207/$D$209*F216</f>
        <v/>
      </c>
      <c r="I216" s="319">
        <f>-H216</f>
        <v/>
      </c>
      <c r="J216" s="319">
        <f>F216-I216</f>
        <v/>
      </c>
      <c r="K216" s="516" t="n">
        <v>0</v>
      </c>
      <c r="L216" s="516" t="n">
        <v>0</v>
      </c>
    </row>
    <row r="217">
      <c r="B217" s="1" t="n">
        <v>2</v>
      </c>
      <c r="C217" s="24" t="n">
        <v>44075</v>
      </c>
      <c r="D217" s="24" t="n">
        <v>44104</v>
      </c>
      <c r="E217" s="25">
        <f>D217-C217+1</f>
        <v/>
      </c>
      <c r="F217" s="319">
        <f>J216</f>
        <v/>
      </c>
      <c r="G217" s="319" t="n">
        <v>0</v>
      </c>
      <c r="H217" s="319">
        <f>$D$207/$D$209*F217</f>
        <v/>
      </c>
      <c r="I217" s="319">
        <f>-H217</f>
        <v/>
      </c>
      <c r="J217" s="319">
        <f>F217-I217</f>
        <v/>
      </c>
      <c r="K217" s="516" t="n">
        <v>0</v>
      </c>
      <c r="L217" s="516" t="n">
        <v>0</v>
      </c>
    </row>
    <row r="218">
      <c r="B218" s="1" t="n">
        <v>3</v>
      </c>
      <c r="C218" s="24" t="n">
        <v>44105</v>
      </c>
      <c r="D218" s="24" t="n">
        <v>44135</v>
      </c>
      <c r="E218" s="25">
        <f>D218-C218+1</f>
        <v/>
      </c>
      <c r="F218" s="319">
        <f>J217</f>
        <v/>
      </c>
      <c r="G218" s="319" t="n">
        <v>0</v>
      </c>
      <c r="H218" s="319">
        <f>$D$207/$D$209*F218</f>
        <v/>
      </c>
      <c r="I218" s="319">
        <f>-H218</f>
        <v/>
      </c>
      <c r="J218" s="319">
        <f>F218-I218</f>
        <v/>
      </c>
      <c r="K218" s="516" t="n">
        <v>0</v>
      </c>
      <c r="L218" s="516" t="n">
        <v>0</v>
      </c>
    </row>
    <row r="219">
      <c r="B219" s="1" t="n">
        <v>4</v>
      </c>
      <c r="C219" s="24" t="n">
        <v>44136</v>
      </c>
      <c r="D219" s="24" t="n">
        <v>44165</v>
      </c>
      <c r="E219" s="25">
        <f>D219-C219+1</f>
        <v/>
      </c>
      <c r="F219" s="319">
        <f>J218</f>
        <v/>
      </c>
      <c r="G219" s="319" t="n">
        <v>0</v>
      </c>
      <c r="H219" s="319">
        <f>$D$207/$D$209*F219</f>
        <v/>
      </c>
      <c r="I219" s="319">
        <f>-H219</f>
        <v/>
      </c>
      <c r="J219" s="319">
        <f>F219-I219</f>
        <v/>
      </c>
      <c r="K219" s="516" t="n">
        <v>0</v>
      </c>
      <c r="L219" s="516" t="n">
        <v>0</v>
      </c>
    </row>
    <row r="220">
      <c r="B220" s="1" t="n">
        <v>5</v>
      </c>
      <c r="C220" s="24" t="n">
        <v>44166</v>
      </c>
      <c r="D220" s="24" t="n">
        <v>44196</v>
      </c>
      <c r="E220" s="25">
        <f>D220-C220+1</f>
        <v/>
      </c>
      <c r="F220" s="319">
        <f>J219</f>
        <v/>
      </c>
      <c r="G220" s="319" t="n">
        <v>0</v>
      </c>
      <c r="H220" s="319">
        <f>$D$207/$D$209*F220</f>
        <v/>
      </c>
      <c r="I220" s="319">
        <f>-H220</f>
        <v/>
      </c>
      <c r="J220" s="319">
        <f>F220-I220</f>
        <v/>
      </c>
      <c r="K220" s="516" t="n">
        <v>0</v>
      </c>
      <c r="L220" s="516" t="n">
        <v>0</v>
      </c>
    </row>
    <row r="221">
      <c r="B221" s="1" t="n">
        <v>6</v>
      </c>
      <c r="C221" s="24" t="n">
        <v>44197</v>
      </c>
      <c r="D221" s="24" t="n">
        <v>44227</v>
      </c>
      <c r="E221" s="25">
        <f>D221-C221+1</f>
        <v/>
      </c>
      <c r="F221" s="319">
        <f>J220+F206</f>
        <v/>
      </c>
      <c r="G221" s="319" t="n">
        <v>0</v>
      </c>
      <c r="H221" s="319">
        <f>$D$207/$D$209*F221</f>
        <v/>
      </c>
      <c r="I221" s="319">
        <f>-H221</f>
        <v/>
      </c>
      <c r="J221" s="319">
        <f>F221-I221</f>
        <v/>
      </c>
      <c r="K221" s="516" t="n">
        <v>0</v>
      </c>
      <c r="L221" s="516" t="n">
        <v>0</v>
      </c>
    </row>
    <row r="222">
      <c r="B222" s="1" t="n">
        <v>7</v>
      </c>
      <c r="C222" s="24" t="n">
        <v>44228</v>
      </c>
      <c r="D222" s="24" t="n">
        <v>44255</v>
      </c>
      <c r="E222" s="25">
        <f>D222-C222+1</f>
        <v/>
      </c>
      <c r="F222" s="319">
        <f>J221</f>
        <v/>
      </c>
      <c r="G222" s="319">
        <f>-PMT($D$207/$D$209,18,$F$222,,0)</f>
        <v/>
      </c>
      <c r="H222" s="319">
        <f>$D$207/$D$209*F222</f>
        <v/>
      </c>
      <c r="I222" s="319">
        <f>G222-H222</f>
        <v/>
      </c>
      <c r="J222" s="319">
        <f>F222-I222</f>
        <v/>
      </c>
      <c r="K222" s="516" t="n">
        <v>0</v>
      </c>
      <c r="L222" s="516">
        <f>G222-K222+L221</f>
        <v/>
      </c>
    </row>
    <row r="223">
      <c r="B223" s="1" t="n">
        <v>8</v>
      </c>
      <c r="C223" s="24" t="n">
        <v>44256</v>
      </c>
      <c r="D223" s="24" t="n">
        <v>44286</v>
      </c>
      <c r="E223" s="25">
        <f>D223-C223+1</f>
        <v/>
      </c>
      <c r="F223" s="319">
        <f>J222</f>
        <v/>
      </c>
      <c r="G223" s="319">
        <f>-PMT($D$207/$D$209,18,$F$222,,0)</f>
        <v/>
      </c>
      <c r="H223" s="319">
        <f>$D$207/$D$209*F223</f>
        <v/>
      </c>
      <c r="I223" s="319">
        <f>G223-H223</f>
        <v/>
      </c>
      <c r="J223" s="319">
        <f>F223-I223</f>
        <v/>
      </c>
      <c r="K223" s="516" t="n">
        <v>0</v>
      </c>
      <c r="L223" s="516">
        <f>G223-K223+L222</f>
        <v/>
      </c>
    </row>
    <row r="224">
      <c r="B224" s="1" t="n">
        <v>9</v>
      </c>
      <c r="C224" s="24" t="n">
        <v>44287</v>
      </c>
      <c r="D224" s="24" t="n">
        <v>44316</v>
      </c>
      <c r="E224" s="25">
        <f>D224-C224+1</f>
        <v/>
      </c>
      <c r="F224" s="319">
        <f>J223</f>
        <v/>
      </c>
      <c r="G224" s="319">
        <f>-PMT($D$207/$D$209,18,$F$222,,0)</f>
        <v/>
      </c>
      <c r="H224" s="319">
        <f>$D$207/$D$209*F224</f>
        <v/>
      </c>
      <c r="I224" s="319">
        <f>G224-H224</f>
        <v/>
      </c>
      <c r="J224" s="319">
        <f>F224-I224</f>
        <v/>
      </c>
      <c r="K224" s="516" t="n">
        <v>0</v>
      </c>
      <c r="L224" s="516">
        <f>G224-K224+L223</f>
        <v/>
      </c>
    </row>
    <row r="225">
      <c r="B225" s="1" t="n">
        <v>10</v>
      </c>
      <c r="C225" s="24" t="n">
        <v>44317</v>
      </c>
      <c r="D225" s="24" t="n">
        <v>44347</v>
      </c>
      <c r="E225" s="25">
        <f>D225-C225+1</f>
        <v/>
      </c>
      <c r="F225" s="319">
        <f>J224</f>
        <v/>
      </c>
      <c r="G225" s="319">
        <f>-PMT($D$207/$D$209,18,$F$222,,0)</f>
        <v/>
      </c>
      <c r="H225" s="319">
        <f>$D$207/$D$209*F225</f>
        <v/>
      </c>
      <c r="I225" s="319">
        <f>G225-H225</f>
        <v/>
      </c>
      <c r="J225" s="319">
        <f>F225-I225</f>
        <v/>
      </c>
      <c r="K225" s="516" t="n">
        <v>0</v>
      </c>
      <c r="L225" s="516">
        <f>G225-K225+L224</f>
        <v/>
      </c>
    </row>
    <row r="226">
      <c r="B226" s="1" t="n">
        <v>11</v>
      </c>
      <c r="C226" s="24" t="n">
        <v>44348</v>
      </c>
      <c r="D226" s="24" t="n">
        <v>44377</v>
      </c>
      <c r="E226" s="25">
        <f>D226-C226+1</f>
        <v/>
      </c>
      <c r="F226" s="319">
        <f>J225</f>
        <v/>
      </c>
      <c r="G226" s="319">
        <f>-PMT($D$207/$D$209,18,$F$222,,0)</f>
        <v/>
      </c>
      <c r="H226" s="319">
        <f>$D$207/$D$209*F226</f>
        <v/>
      </c>
      <c r="I226" s="319">
        <f>G226-H226</f>
        <v/>
      </c>
      <c r="J226" s="319">
        <f>F226-I226</f>
        <v/>
      </c>
      <c r="K226" s="516" t="n">
        <v>0</v>
      </c>
      <c r="L226" s="516">
        <f>G226-K226+L225</f>
        <v/>
      </c>
    </row>
    <row r="227">
      <c r="B227" s="1" t="n">
        <v>12</v>
      </c>
      <c r="C227" s="24" t="n">
        <v>44378</v>
      </c>
      <c r="D227" s="24" t="n">
        <v>44408</v>
      </c>
      <c r="E227" s="25">
        <f>D227-C227+1</f>
        <v/>
      </c>
      <c r="F227" s="319">
        <f>J226</f>
        <v/>
      </c>
      <c r="G227" s="319">
        <f>-PMT($D$207/$D$209,18,$F$222,,0)</f>
        <v/>
      </c>
      <c r="H227" s="319">
        <f>$D$207/$D$209*F227</f>
        <v/>
      </c>
      <c r="I227" s="319">
        <f>G227-H227</f>
        <v/>
      </c>
      <c r="J227" s="319">
        <f>F227-I227</f>
        <v/>
      </c>
      <c r="K227" s="516" t="n">
        <v>0</v>
      </c>
      <c r="L227" s="519">
        <f>G227-K227+L226</f>
        <v/>
      </c>
    </row>
    <row r="228">
      <c r="B228" s="1" t="n">
        <v>13</v>
      </c>
      <c r="C228" s="24" t="n">
        <v>44409</v>
      </c>
      <c r="D228" s="24" t="n">
        <v>44439</v>
      </c>
      <c r="E228" s="25">
        <f>D228-C228+1</f>
        <v/>
      </c>
      <c r="F228" s="319">
        <f>J227</f>
        <v/>
      </c>
      <c r="G228" s="319">
        <f>-PMT($D$207/$D$209,18,$F$222,,0)</f>
        <v/>
      </c>
      <c r="H228" s="319">
        <f>$D$207/$D$209*F228</f>
        <v/>
      </c>
      <c r="I228" s="319">
        <f>G228-H228</f>
        <v/>
      </c>
      <c r="J228" s="319">
        <f>F228-I228</f>
        <v/>
      </c>
      <c r="K228" s="516" t="n">
        <v>0</v>
      </c>
      <c r="L228" s="516">
        <f>G228-K228+L227</f>
        <v/>
      </c>
    </row>
    <row r="229">
      <c r="B229" s="1" t="n">
        <v>14</v>
      </c>
      <c r="C229" s="24" t="n">
        <v>44440</v>
      </c>
      <c r="D229" s="24" t="n">
        <v>44469</v>
      </c>
      <c r="E229" s="25">
        <f>D229-C229+1</f>
        <v/>
      </c>
      <c r="F229" s="319">
        <f>J228</f>
        <v/>
      </c>
      <c r="G229" s="319">
        <f>-PMT($D$207/$D$209,18,$F$222,,0)</f>
        <v/>
      </c>
      <c r="H229" s="319">
        <f>$D$207/$D$209*F229</f>
        <v/>
      </c>
      <c r="I229" s="319">
        <f>G229-H229</f>
        <v/>
      </c>
      <c r="J229" s="319">
        <f>F229-I229</f>
        <v/>
      </c>
      <c r="K229" s="516" t="n">
        <v>0</v>
      </c>
      <c r="L229" s="516">
        <f>G229-K229+L228</f>
        <v/>
      </c>
    </row>
    <row r="230">
      <c r="B230" s="1" t="n">
        <v>15</v>
      </c>
      <c r="C230" s="24" t="n">
        <v>44470</v>
      </c>
      <c r="D230" s="24" t="n">
        <v>44500</v>
      </c>
      <c r="E230" s="25">
        <f>D230-C230+1</f>
        <v/>
      </c>
      <c r="F230" s="319">
        <f>J229</f>
        <v/>
      </c>
      <c r="G230" s="319">
        <f>-PMT($D$207/$D$209,18,$F$222,,0)</f>
        <v/>
      </c>
      <c r="H230" s="319">
        <f>$D$207/$D$209*F230</f>
        <v/>
      </c>
      <c r="I230" s="319">
        <f>G230-H230</f>
        <v/>
      </c>
      <c r="J230" s="319">
        <f>F230-I230</f>
        <v/>
      </c>
      <c r="K230" s="516" t="n">
        <v>500000</v>
      </c>
      <c r="L230" s="516">
        <f>G230-K230+L229</f>
        <v/>
      </c>
    </row>
    <row r="231">
      <c r="B231" s="1" t="n">
        <v>16</v>
      </c>
      <c r="C231" s="24" t="n">
        <v>44501</v>
      </c>
      <c r="D231" s="24" t="n">
        <v>44530</v>
      </c>
      <c r="E231" s="25">
        <f>D231-C231+1</f>
        <v/>
      </c>
      <c r="F231" s="319">
        <f>J230</f>
        <v/>
      </c>
      <c r="G231" s="319">
        <f>-PMT($D$207/$D$209,18,$F$222,,0)</f>
        <v/>
      </c>
      <c r="H231" s="319">
        <f>$D$207/$D$209*F231</f>
        <v/>
      </c>
      <c r="I231" s="319">
        <f>G231-H231</f>
        <v/>
      </c>
      <c r="J231" s="319">
        <f>F231-I231</f>
        <v/>
      </c>
      <c r="K231" s="516" t="n">
        <v>0</v>
      </c>
      <c r="L231" s="516">
        <f>G231-K231+L230</f>
        <v/>
      </c>
    </row>
    <row r="232">
      <c r="B232" s="1" t="n">
        <v>17</v>
      </c>
      <c r="C232" s="24" t="n">
        <v>44531</v>
      </c>
      <c r="D232" s="24" t="n">
        <v>44561</v>
      </c>
      <c r="E232" s="25">
        <f>D232-C232+1</f>
        <v/>
      </c>
      <c r="F232" s="319">
        <f>J231</f>
        <v/>
      </c>
      <c r="G232" s="319">
        <f>-PMT($D$207/$D$209,18,$F$222,,0)</f>
        <v/>
      </c>
      <c r="H232" s="319">
        <f>$D$207/$D$209*F232</f>
        <v/>
      </c>
      <c r="I232" s="319">
        <f>G232-H232</f>
        <v/>
      </c>
      <c r="J232" s="319">
        <f>F232-I232</f>
        <v/>
      </c>
      <c r="K232" s="516" t="n">
        <v>0</v>
      </c>
      <c r="L232" s="516">
        <f>G232-K232+L231</f>
        <v/>
      </c>
    </row>
    <row r="233">
      <c r="B233" s="1" t="n">
        <v>18</v>
      </c>
      <c r="C233" s="24" t="n">
        <v>44562</v>
      </c>
      <c r="D233" s="24" t="n">
        <v>44592</v>
      </c>
      <c r="E233" s="25">
        <f>D233-C233+1</f>
        <v/>
      </c>
      <c r="F233" s="319">
        <f>J232</f>
        <v/>
      </c>
      <c r="G233" s="319">
        <f>-PMT($D$207/$D$209,18,$F$222,,0)</f>
        <v/>
      </c>
      <c r="H233" s="319">
        <f>$D$207/$D$209*F233</f>
        <v/>
      </c>
      <c r="I233" s="319">
        <f>G233-H233</f>
        <v/>
      </c>
      <c r="J233" s="319">
        <f>F233-I233</f>
        <v/>
      </c>
      <c r="K233" s="516" t="n">
        <v>0</v>
      </c>
      <c r="L233" s="516">
        <f>G233-K233+L232</f>
        <v/>
      </c>
    </row>
    <row r="234">
      <c r="B234" s="1" t="n">
        <v>19</v>
      </c>
      <c r="C234" s="24" t="n">
        <v>44593</v>
      </c>
      <c r="D234" s="24" t="n">
        <v>44620</v>
      </c>
      <c r="E234" s="25">
        <f>D234-C234+1</f>
        <v/>
      </c>
      <c r="F234" s="319">
        <f>J233</f>
        <v/>
      </c>
      <c r="G234" s="319">
        <f>-PMT($D$207/$D$209,18,$F$222,,0)</f>
        <v/>
      </c>
      <c r="H234" s="319">
        <f>$D$207/$D$209*F234</f>
        <v/>
      </c>
      <c r="I234" s="319">
        <f>G234-H234</f>
        <v/>
      </c>
      <c r="J234" s="319">
        <f>F234-I234</f>
        <v/>
      </c>
      <c r="K234" s="516" t="n"/>
      <c r="L234" s="516">
        <f>G234-K234+L233</f>
        <v/>
      </c>
    </row>
    <row r="235">
      <c r="B235" s="1" t="n">
        <v>20</v>
      </c>
      <c r="C235" s="24" t="n">
        <v>44621</v>
      </c>
      <c r="D235" s="24" t="n">
        <v>44651</v>
      </c>
      <c r="E235" s="25">
        <f>D235-C235+1</f>
        <v/>
      </c>
      <c r="F235" s="319">
        <f>J234</f>
        <v/>
      </c>
      <c r="G235" s="319">
        <f>-PMT($D$207/$D$209,18,$F$222,,0)</f>
        <v/>
      </c>
      <c r="H235" s="319">
        <f>$D$207/$D$209*F235</f>
        <v/>
      </c>
      <c r="I235" s="319">
        <f>G235-H235</f>
        <v/>
      </c>
      <c r="J235" s="319">
        <f>F235-I235</f>
        <v/>
      </c>
      <c r="K235" s="516" t="n"/>
      <c r="L235" s="516">
        <f>G235-K235+L234</f>
        <v/>
      </c>
    </row>
    <row r="236">
      <c r="B236" s="1" t="n">
        <v>21</v>
      </c>
      <c r="C236" s="24" t="n">
        <v>44652</v>
      </c>
      <c r="D236" s="24" t="n">
        <v>44681</v>
      </c>
      <c r="E236" s="25">
        <f>D236-C236+1</f>
        <v/>
      </c>
      <c r="F236" s="319">
        <f>J235</f>
        <v/>
      </c>
      <c r="G236" s="319">
        <f>-PMT($D$207/$D$209,18,$F$222,,0)</f>
        <v/>
      </c>
      <c r="H236" s="319">
        <f>$D$207/$D$209*F236</f>
        <v/>
      </c>
      <c r="I236" s="319">
        <f>G236-H236</f>
        <v/>
      </c>
      <c r="J236" s="319">
        <f>F236-I236</f>
        <v/>
      </c>
      <c r="K236" s="516" t="n"/>
      <c r="L236" s="516">
        <f>G236-K236+L235</f>
        <v/>
      </c>
    </row>
    <row r="237">
      <c r="B237" s="1" t="n">
        <v>22</v>
      </c>
      <c r="C237" s="24" t="n">
        <v>44682</v>
      </c>
      <c r="D237" s="24" t="n">
        <v>44712</v>
      </c>
      <c r="E237" s="25">
        <f>D237-C237+1</f>
        <v/>
      </c>
      <c r="F237" s="319">
        <f>J236</f>
        <v/>
      </c>
      <c r="G237" s="319">
        <f>-PMT($H$207/$H$209,3,$F$237,,0)</f>
        <v/>
      </c>
      <c r="H237" s="319">
        <f>$H$207/$H$209*F237</f>
        <v/>
      </c>
      <c r="I237" s="319">
        <f>G237-H237</f>
        <v/>
      </c>
      <c r="J237" s="319">
        <f>F237-I237</f>
        <v/>
      </c>
      <c r="K237" s="516" t="n"/>
      <c r="L237" s="516">
        <f>G237-K237+L236</f>
        <v/>
      </c>
    </row>
    <row r="238">
      <c r="B238" s="1" t="n">
        <v>23</v>
      </c>
      <c r="C238" s="24" t="n">
        <v>44713</v>
      </c>
      <c r="D238" s="24" t="n">
        <v>44742</v>
      </c>
      <c r="E238" s="25">
        <f>D238-C238+1</f>
        <v/>
      </c>
      <c r="F238" s="319">
        <f>J237</f>
        <v/>
      </c>
      <c r="G238" s="319">
        <f>-PMT($H$207/$H$209,3,$F$237,,0)</f>
        <v/>
      </c>
      <c r="H238" s="319">
        <f>$H$207/$H$209*F238</f>
        <v/>
      </c>
      <c r="I238" s="319">
        <f>G238-H238</f>
        <v/>
      </c>
      <c r="J238" s="319">
        <f>F238-I238</f>
        <v/>
      </c>
      <c r="K238" s="516" t="n"/>
      <c r="L238" s="516">
        <f>G238-K238+L237</f>
        <v/>
      </c>
    </row>
    <row r="239">
      <c r="B239" s="1" t="n">
        <v>24</v>
      </c>
      <c r="C239" s="24" t="n">
        <v>44743</v>
      </c>
      <c r="D239" s="24" t="n">
        <v>44773</v>
      </c>
      <c r="E239" s="25">
        <f>D239-C239+1</f>
        <v/>
      </c>
      <c r="F239" s="319">
        <f>J238</f>
        <v/>
      </c>
      <c r="G239" s="319">
        <f>-PMT($H$207/$H$209,3,$F$237,,0)</f>
        <v/>
      </c>
      <c r="H239" s="319">
        <f>$H$207/$H$209*F239</f>
        <v/>
      </c>
      <c r="I239" s="319">
        <f>G239-H239</f>
        <v/>
      </c>
      <c r="J239" s="319">
        <f>F239-I239</f>
        <v/>
      </c>
      <c r="K239" s="516" t="n"/>
      <c r="L239" s="524">
        <f>G239-K239+L238</f>
        <v/>
      </c>
    </row>
    <row r="240">
      <c r="B240" s="1" t="n"/>
      <c r="C240" s="1" t="n"/>
      <c r="D240" s="1" t="n"/>
      <c r="E240" s="2" t="n"/>
      <c r="F240" s="319" t="n"/>
      <c r="G240" s="319" t="n"/>
      <c r="H240" s="319" t="n"/>
      <c r="I240" s="319" t="n"/>
      <c r="J240" s="319" t="n"/>
      <c r="K240" s="1" t="n"/>
      <c r="L240" s="1" t="n"/>
    </row>
    <row r="241">
      <c r="B241" s="1" t="n"/>
      <c r="C241" s="1" t="n"/>
      <c r="D241" s="1" t="n"/>
      <c r="E241" s="2" t="n"/>
      <c r="F241" s="319" t="n"/>
      <c r="G241" s="319" t="n"/>
      <c r="H241" s="319" t="n"/>
      <c r="I241" s="319" t="n"/>
      <c r="J241" s="319" t="n"/>
      <c r="K241" s="1" t="n"/>
      <c r="L241" s="1" t="n"/>
    </row>
    <row r="242">
      <c r="B242" s="1" t="n"/>
      <c r="C242" s="1" t="n"/>
      <c r="D242" s="1" t="n"/>
      <c r="E242" s="2" t="n"/>
      <c r="F242" s="319" t="n"/>
      <c r="G242" s="319" t="n"/>
      <c r="H242" s="319" t="n"/>
      <c r="I242" s="319" t="n"/>
      <c r="J242" s="319" t="n"/>
      <c r="K242" s="1" t="n"/>
      <c r="L242" s="1" t="n"/>
    </row>
    <row r="244">
      <c r="B244" s="1" t="n"/>
      <c r="C244" s="9" t="inlineStr">
        <is>
          <t>COMSIV</t>
        </is>
      </c>
      <c r="D244" s="319" t="n"/>
      <c r="E244" s="319" t="n"/>
      <c r="F244" s="319" t="n"/>
      <c r="G244" s="319" t="n"/>
      <c r="H244" s="319" t="n"/>
      <c r="I244" s="319" t="n"/>
      <c r="J244" s="290" t="inlineStr">
        <is>
          <t>13.9 to 16.6%</t>
        </is>
      </c>
      <c r="K244" s="319" t="inlineStr">
        <is>
          <t>16.6% to 17.3%</t>
        </is>
      </c>
      <c r="L244" s="290" t="inlineStr">
        <is>
          <t>17.3% to 20%</t>
        </is>
      </c>
      <c r="M244" s="290" t="inlineStr">
        <is>
          <t>20% to 21.40%</t>
        </is>
      </c>
      <c r="N244" s="290" t="inlineStr">
        <is>
          <t>21.40 to 22.70%</t>
        </is>
      </c>
      <c r="R244" s="514" t="inlineStr">
        <is>
          <t>E-Banker account (Dupleix)</t>
        </is>
      </c>
      <c r="S244" s="495">
        <f>IFERROR(INDEX('Blocks'!$I$2:$I$101,MATCH(4,'Blocks'!$A$2:$A$101,0)),"")</f>
        <v/>
      </c>
    </row>
    <row r="245">
      <c r="B245" s="1" t="n"/>
      <c r="C245" s="1" t="n"/>
      <c r="D245" s="319" t="n">
        <v>1712979.447342466</v>
      </c>
      <c r="E245" s="319" t="inlineStr">
        <is>
          <t>DEC</t>
        </is>
      </c>
      <c r="F245" s="319" t="n"/>
      <c r="G245" s="319" t="inlineStr">
        <is>
          <t>Effective 01 May 2022</t>
        </is>
      </c>
      <c r="H245" s="319" t="n"/>
      <c r="I245" s="290" t="n">
        <v>44805</v>
      </c>
      <c r="J245" s="290" t="n">
        <v>44866</v>
      </c>
      <c r="K245" s="248" t="n">
        <v>44896</v>
      </c>
      <c r="L245" s="248" t="n">
        <v>45047</v>
      </c>
      <c r="M245" s="248" t="n">
        <v>45108</v>
      </c>
      <c r="N245" s="248" t="n">
        <v>45139</v>
      </c>
      <c r="R245" s="514" t="inlineStr">
        <is>
          <t>Facility (Loan Book)</t>
        </is>
      </c>
      <c r="S245" s="495">
        <f>IFERROR(INDEX('Blocks'!$H$2:$H$101,MATCH(4,'Blocks'!$A$2:$A$101,0)),"")</f>
        <v/>
      </c>
    </row>
    <row r="246">
      <c r="B246" s="1" t="n"/>
      <c r="C246" s="10" t="inlineStr">
        <is>
          <t>Principal (MK)</t>
        </is>
      </c>
      <c r="D246" s="11" t="n">
        <v>309523514</v>
      </c>
      <c r="E246" s="319" t="n"/>
      <c r="F246" s="319" t="n"/>
      <c r="G246" s="291" t="inlineStr">
        <is>
          <t>Principal (MK)</t>
        </is>
      </c>
      <c r="H246" s="11" t="n">
        <v>266149993.51</v>
      </c>
      <c r="I246" s="290" t="inlineStr">
        <is>
          <t>Rate Adj</t>
        </is>
      </c>
      <c r="J246" s="290" t="inlineStr">
        <is>
          <t>Rate Adj</t>
        </is>
      </c>
      <c r="K246" s="290" t="inlineStr">
        <is>
          <t>Rate Adj</t>
        </is>
      </c>
      <c r="L246" s="290" t="inlineStr">
        <is>
          <t>Rate Adj</t>
        </is>
      </c>
      <c r="M246" s="290" t="inlineStr">
        <is>
          <t>Rate Adj</t>
        </is>
      </c>
      <c r="N246" s="290" t="inlineStr">
        <is>
          <t>Rate Adj</t>
        </is>
      </c>
      <c r="R246" s="514" t="inlineStr">
        <is>
          <t>Take-on posting 31 Jul 2024</t>
        </is>
      </c>
      <c r="S246" s="496">
        <f>IFERROR(INDEX('E-Banker master'!$N$2:$N$186,MATCH(S244,'E-Banker master'!$A$2:$A$186,0)),"")</f>
        <v/>
      </c>
    </row>
    <row r="247">
      <c r="B247" s="1" t="n"/>
      <c r="C247" s="13" t="inlineStr">
        <is>
          <t>Rate</t>
        </is>
      </c>
      <c r="D247" s="14" t="n">
        <v>0.202</v>
      </c>
      <c r="E247" s="257" t="n"/>
      <c r="F247" s="319" t="n"/>
      <c r="G247" s="292" t="inlineStr">
        <is>
          <t>Rate</t>
        </is>
      </c>
      <c r="H247" s="296" t="n">
        <v>0.215</v>
      </c>
      <c r="I247" s="319">
        <f>H247+0.4%</f>
        <v/>
      </c>
      <c r="J247" s="319">
        <f>21.9%+2.7%</f>
        <v/>
      </c>
      <c r="K247" s="257">
        <f>J247+0.7%</f>
        <v/>
      </c>
      <c r="L247" s="257">
        <f>K247+2.7%</f>
        <v/>
      </c>
      <c r="M247" s="257">
        <f>L247+1.4%</f>
        <v/>
      </c>
      <c r="N247" s="257">
        <f>M247+1.3%</f>
        <v/>
      </c>
      <c r="R247" s="514" t="inlineStr">
        <is>
          <t>E-Banker balance 31 Oct 2024</t>
        </is>
      </c>
      <c r="S247" s="496">
        <f>IFERROR(INDEX('E-Banker master'!$P$2:$P$186,MATCH(S244,'E-Banker master'!$A$2:$A$186,0)),"")</f>
        <v/>
      </c>
    </row>
    <row r="248">
      <c r="B248" s="1" t="n"/>
      <c r="C248" s="13" t="inlineStr">
        <is>
          <t>n</t>
        </is>
      </c>
      <c r="D248" s="16" t="n">
        <v>2</v>
      </c>
      <c r="E248" s="1" t="n"/>
      <c r="F248" s="319" t="n"/>
      <c r="G248" s="292" t="inlineStr">
        <is>
          <t>n</t>
        </is>
      </c>
      <c r="H248" s="296" t="n">
        <v>2</v>
      </c>
      <c r="I248" s="319" t="n"/>
      <c r="J248" s="319" t="n"/>
      <c r="K248" s="1" t="n"/>
      <c r="L248" s="1" t="n"/>
    </row>
    <row r="249">
      <c r="B249" s="1" t="n"/>
      <c r="C249" s="13" t="inlineStr">
        <is>
          <t>Per</t>
        </is>
      </c>
      <c r="D249" s="16" t="n">
        <v>12</v>
      </c>
      <c r="E249" s="1" t="n"/>
      <c r="F249" s="319" t="n"/>
      <c r="G249" s="292" t="inlineStr">
        <is>
          <t>Per</t>
        </is>
      </c>
      <c r="H249" s="296" t="n">
        <v>12</v>
      </c>
      <c r="I249" s="319" t="n"/>
      <c r="J249" s="319" t="n"/>
      <c r="K249" s="1" t="n"/>
      <c r="L249" s="1" t="n"/>
    </row>
    <row r="250">
      <c r="B250" s="1" t="n"/>
      <c r="C250" s="13" t="inlineStr">
        <is>
          <t>nPer</t>
        </is>
      </c>
      <c r="D250" s="515">
        <f>D248*D249</f>
        <v/>
      </c>
      <c r="E250" s="1" t="n"/>
      <c r="F250" s="319" t="n"/>
      <c r="G250" s="292" t="inlineStr">
        <is>
          <t>nPer</t>
        </is>
      </c>
      <c r="H250" s="296" t="n">
        <v>20</v>
      </c>
      <c r="I250" s="319" t="n"/>
      <c r="J250" s="319" t="n"/>
      <c r="K250" s="1" t="n"/>
      <c r="L250" s="1" t="n"/>
    </row>
    <row r="251">
      <c r="B251" s="1" t="n"/>
      <c r="C251" s="13" t="inlineStr">
        <is>
          <t>Days in a year</t>
        </is>
      </c>
      <c r="D251" s="18" t="n">
        <v>365</v>
      </c>
      <c r="E251" s="1" t="n"/>
      <c r="F251" s="319" t="n"/>
      <c r="G251" s="292" t="inlineStr">
        <is>
          <t>Days in a year</t>
        </is>
      </c>
      <c r="H251" s="296" t="n">
        <v>365</v>
      </c>
      <c r="I251" s="319" t="n"/>
      <c r="J251" s="319" t="n"/>
      <c r="K251" s="1" t="n"/>
      <c r="L251" s="1" t="n"/>
    </row>
    <row r="252">
      <c r="B252" s="1" t="n"/>
      <c r="C252" s="19" t="inlineStr">
        <is>
          <t>Pmt (MK)</t>
        </is>
      </c>
      <c r="D252" s="20">
        <f>-PMT(D247/D249,D250,D246,0,0)</f>
        <v/>
      </c>
      <c r="E252" s="319" t="n"/>
      <c r="F252" s="319" t="n"/>
      <c r="G252" s="293" t="inlineStr">
        <is>
          <t>Pmt (MK)</t>
        </is>
      </c>
      <c r="H252" s="20">
        <f>-PMT(H247/H249,H250,H246,0,0)</f>
        <v/>
      </c>
      <c r="I252" s="319" t="n"/>
      <c r="J252" s="319" t="n"/>
      <c r="K252" s="1" t="n"/>
      <c r="L252" s="1" t="n"/>
    </row>
    <row r="253">
      <c r="B253" s="1" t="n"/>
      <c r="C253" s="1" t="n"/>
      <c r="D253" s="319" t="n"/>
      <c r="E253" s="319" t="n"/>
      <c r="F253" s="319" t="n"/>
      <c r="G253" s="319" t="n"/>
      <c r="H253" s="319" t="n"/>
      <c r="I253" s="319" t="n"/>
      <c r="J253" s="319" t="n"/>
      <c r="K253" s="1" t="n"/>
      <c r="L253" s="1" t="n"/>
    </row>
    <row r="254">
      <c r="B254" s="1" t="n"/>
      <c r="C254" s="21" t="inlineStr">
        <is>
          <t>Period Start</t>
        </is>
      </c>
      <c r="D254" s="22" t="inlineStr">
        <is>
          <t>Period End</t>
        </is>
      </c>
      <c r="E254" s="22" t="inlineStr">
        <is>
          <t>Days</t>
        </is>
      </c>
      <c r="F254" s="294" t="inlineStr">
        <is>
          <t>Opening bal.</t>
        </is>
      </c>
      <c r="G254" s="294" t="inlineStr">
        <is>
          <t>Pmt</t>
        </is>
      </c>
      <c r="H254" s="294" t="inlineStr">
        <is>
          <t>Interest</t>
        </is>
      </c>
      <c r="I254" s="294" t="inlineStr">
        <is>
          <t>Principal</t>
        </is>
      </c>
      <c r="J254" s="294" t="inlineStr">
        <is>
          <t>Closing balance</t>
        </is>
      </c>
      <c r="K254" s="23" t="inlineStr">
        <is>
          <t>Amount Repaid</t>
        </is>
      </c>
      <c r="L254" s="23" t="inlineStr">
        <is>
          <t>Accumulated Arrears</t>
        </is>
      </c>
    </row>
    <row r="255">
      <c r="B255" s="1" t="n">
        <v>1</v>
      </c>
      <c r="C255" s="24" t="n">
        <v>44562</v>
      </c>
      <c r="D255" s="24" t="n">
        <v>44592</v>
      </c>
      <c r="E255" s="25">
        <f>D255-C255+1</f>
        <v/>
      </c>
      <c r="F255" s="319">
        <f>D246</f>
        <v/>
      </c>
      <c r="G255" s="319">
        <f>-PMT($D$247/$D$249,24,$D$246,,0)</f>
        <v/>
      </c>
      <c r="H255" s="319">
        <f>$D$247/D249*F255</f>
        <v/>
      </c>
      <c r="I255" s="319">
        <f>G255-H255</f>
        <v/>
      </c>
      <c r="J255" s="319">
        <f>F255-I255</f>
        <v/>
      </c>
      <c r="K255" s="516" t="n"/>
      <c r="L255" s="516" t="n"/>
    </row>
    <row r="256">
      <c r="B256" s="1" t="n">
        <v>2</v>
      </c>
      <c r="C256" s="24" t="n">
        <v>44593</v>
      </c>
      <c r="D256" s="24" t="n">
        <v>44620</v>
      </c>
      <c r="E256" s="25">
        <f>D256-C256+1</f>
        <v/>
      </c>
      <c r="F256" s="319">
        <f>J255</f>
        <v/>
      </c>
      <c r="G256" s="319">
        <f>-PMT($D$247/$D$249,24,$D$246,,0)</f>
        <v/>
      </c>
      <c r="H256" s="319">
        <f>$D$247*F256/12</f>
        <v/>
      </c>
      <c r="I256" s="319">
        <f>G256-H256</f>
        <v/>
      </c>
      <c r="J256" s="319">
        <f>F256-I256</f>
        <v/>
      </c>
      <c r="K256" s="516" t="n"/>
      <c r="L256" s="516" t="n"/>
    </row>
    <row r="257">
      <c r="B257" s="1" t="n">
        <v>3</v>
      </c>
      <c r="C257" s="24" t="n">
        <v>44621</v>
      </c>
      <c r="D257" s="24" t="n">
        <v>44651</v>
      </c>
      <c r="E257" s="25">
        <f>D257-C257+1</f>
        <v/>
      </c>
      <c r="F257" s="319">
        <f>J256</f>
        <v/>
      </c>
      <c r="G257" s="319">
        <f>-PMT($D$247/$D$249,24,$D$246,,0)</f>
        <v/>
      </c>
      <c r="H257" s="319">
        <f>$D$247*F257/12</f>
        <v/>
      </c>
      <c r="I257" s="319">
        <f>G257-H257</f>
        <v/>
      </c>
      <c r="J257" s="319">
        <f>F257-I257</f>
        <v/>
      </c>
      <c r="K257" s="516" t="n"/>
      <c r="L257" s="516" t="n"/>
    </row>
    <row r="258">
      <c r="B258" s="1" t="n">
        <v>4</v>
      </c>
      <c r="C258" s="24" t="n">
        <v>44652</v>
      </c>
      <c r="D258" s="24" t="n">
        <v>44681</v>
      </c>
      <c r="E258" s="25">
        <f>D258-C258+1</f>
        <v/>
      </c>
      <c r="F258" s="319">
        <f>J257</f>
        <v/>
      </c>
      <c r="G258" s="319">
        <f>-PMT($D$247/$D$249,24,$D$246,,0)</f>
        <v/>
      </c>
      <c r="H258" s="319">
        <f>$D$247*F258/12</f>
        <v/>
      </c>
      <c r="I258" s="319">
        <f>G258-H258</f>
        <v/>
      </c>
      <c r="J258" s="319">
        <f>F258-I258</f>
        <v/>
      </c>
      <c r="K258" s="516" t="n"/>
      <c r="L258" s="516" t="n"/>
    </row>
    <row r="259">
      <c r="B259" s="1" t="n">
        <v>5</v>
      </c>
      <c r="C259" s="24" t="n">
        <v>44682</v>
      </c>
      <c r="D259" s="24" t="n">
        <v>44712</v>
      </c>
      <c r="E259" s="25">
        <f>D259-C259+1</f>
        <v/>
      </c>
      <c r="F259" s="319">
        <f>J258</f>
        <v/>
      </c>
      <c r="G259" s="319">
        <f>-PMT($H$247/$D$249,20,$F$259,,0)</f>
        <v/>
      </c>
      <c r="H259" s="319">
        <f>$H$247*F259/12</f>
        <v/>
      </c>
      <c r="I259" s="319">
        <f>G259-H259</f>
        <v/>
      </c>
      <c r="J259" s="319">
        <f>F259-I259</f>
        <v/>
      </c>
      <c r="K259" s="516" t="n"/>
      <c r="L259" s="516" t="n"/>
    </row>
    <row r="260">
      <c r="B260" s="1" t="n">
        <v>6</v>
      </c>
      <c r="C260" s="24" t="n">
        <v>44713</v>
      </c>
      <c r="D260" s="24" t="n">
        <v>44742</v>
      </c>
      <c r="E260" s="25">
        <f>D260-C260+1</f>
        <v/>
      </c>
      <c r="F260" s="319">
        <f>J259</f>
        <v/>
      </c>
      <c r="G260" s="319">
        <f>-PMT($H$247/$D$249,20,$F$259,,0)</f>
        <v/>
      </c>
      <c r="H260" s="319">
        <f>$H$247*F260/12</f>
        <v/>
      </c>
      <c r="I260" s="319">
        <f>G260-H260</f>
        <v/>
      </c>
      <c r="J260" s="319">
        <f>F260-I260</f>
        <v/>
      </c>
      <c r="K260" s="516" t="n">
        <v>334121496</v>
      </c>
      <c r="L260" s="516">
        <f>SUM(G255:G260)+D245+J260-K260</f>
        <v/>
      </c>
      <c r="N260" s="237" t="n"/>
    </row>
    <row r="261">
      <c r="B261" s="1" t="n">
        <v>7</v>
      </c>
      <c r="C261" s="24" t="n">
        <v>44743</v>
      </c>
      <c r="D261" s="24" t="n">
        <v>44773</v>
      </c>
      <c r="E261" s="25">
        <f>D261-C261+1</f>
        <v/>
      </c>
      <c r="F261" s="319" t="n">
        <v>6212980.37</v>
      </c>
      <c r="G261" s="319" t="n">
        <v>0</v>
      </c>
      <c r="H261" s="319">
        <f>$H$247*F261/12</f>
        <v/>
      </c>
      <c r="I261" s="319">
        <f>G261-H261</f>
        <v/>
      </c>
      <c r="J261" s="319">
        <f>F261-I261</f>
        <v/>
      </c>
      <c r="K261" s="516" t="n"/>
      <c r="L261" s="516" t="n"/>
    </row>
    <row r="262">
      <c r="B262" s="1" t="n">
        <v>8</v>
      </c>
      <c r="C262" s="24" t="n">
        <v>44774</v>
      </c>
      <c r="D262" s="24" t="n">
        <v>44804</v>
      </c>
      <c r="E262" s="25">
        <f>D262-C262+1</f>
        <v/>
      </c>
      <c r="F262" s="319">
        <f>J261</f>
        <v/>
      </c>
      <c r="G262" s="319" t="n">
        <v>0</v>
      </c>
      <c r="H262" s="319">
        <f>$H$247*F262/12</f>
        <v/>
      </c>
      <c r="I262" s="319">
        <f>G262-H262</f>
        <v/>
      </c>
      <c r="J262" s="319">
        <f>F262-I262</f>
        <v/>
      </c>
      <c r="K262" s="516" t="n"/>
      <c r="L262" s="516" t="n"/>
    </row>
    <row r="263">
      <c r="B263" s="1" t="n">
        <v>9</v>
      </c>
      <c r="C263" s="24" t="n">
        <v>44805</v>
      </c>
      <c r="D263" s="24" t="n">
        <v>44834</v>
      </c>
      <c r="E263" s="25">
        <f>D263-C263+1</f>
        <v/>
      </c>
      <c r="F263" s="319">
        <f>J262</f>
        <v/>
      </c>
      <c r="G263" s="319" t="n">
        <v>0</v>
      </c>
      <c r="H263" s="319">
        <f>$I$247*F263/12</f>
        <v/>
      </c>
      <c r="I263" s="319">
        <f>G263-H263</f>
        <v/>
      </c>
      <c r="J263" s="319">
        <f>F263-I263</f>
        <v/>
      </c>
      <c r="K263" s="516" t="n"/>
      <c r="L263" s="516" t="n"/>
    </row>
    <row r="264">
      <c r="B264" s="1" t="n">
        <v>10</v>
      </c>
      <c r="C264" s="24" t="n">
        <v>44835</v>
      </c>
      <c r="D264" s="24" t="n">
        <v>44865</v>
      </c>
      <c r="E264" s="25">
        <f>D264-C264+1</f>
        <v/>
      </c>
      <c r="F264" s="319">
        <f>J263</f>
        <v/>
      </c>
      <c r="G264" s="319" t="n">
        <v>0</v>
      </c>
      <c r="H264" s="319">
        <f>$I$247*F264/12</f>
        <v/>
      </c>
      <c r="I264" s="319">
        <f>G264-H264</f>
        <v/>
      </c>
      <c r="J264" s="319">
        <f>F264-I264</f>
        <v/>
      </c>
      <c r="K264" s="516" t="n"/>
      <c r="L264" s="516" t="n"/>
      <c r="O264" s="521" t="n"/>
    </row>
    <row r="265">
      <c r="B265" s="1" t="n">
        <v>11</v>
      </c>
      <c r="C265" s="24" t="n">
        <v>44866</v>
      </c>
      <c r="D265" s="24" t="n">
        <v>44895</v>
      </c>
      <c r="E265" s="25">
        <f>D265-C265+1</f>
        <v/>
      </c>
      <c r="F265" s="319">
        <f>J264</f>
        <v/>
      </c>
      <c r="G265" s="319" t="n">
        <v>0</v>
      </c>
      <c r="H265" s="319">
        <f>$J$247*F265/12</f>
        <v/>
      </c>
      <c r="I265" s="319">
        <f>G265-H265</f>
        <v/>
      </c>
      <c r="J265" s="319">
        <f>F265-I265</f>
        <v/>
      </c>
      <c r="K265" s="516" t="n"/>
      <c r="L265" s="516" t="n"/>
    </row>
    <row r="266">
      <c r="B266" s="1" t="n">
        <v>12</v>
      </c>
      <c r="C266" s="24" t="n">
        <v>44896</v>
      </c>
      <c r="D266" s="24" t="n">
        <v>44926</v>
      </c>
      <c r="E266" s="25">
        <f>D266-C266+1</f>
        <v/>
      </c>
      <c r="F266" s="319">
        <f>J265</f>
        <v/>
      </c>
      <c r="G266" s="319" t="n">
        <v>0</v>
      </c>
      <c r="H266" s="319">
        <f>$K$247*F266/12</f>
        <v/>
      </c>
      <c r="I266" s="319">
        <f>G266-H266</f>
        <v/>
      </c>
      <c r="J266" s="319">
        <f>F266-I266</f>
        <v/>
      </c>
      <c r="K266" s="516" t="n"/>
      <c r="L266" s="519" t="n"/>
    </row>
    <row r="267">
      <c r="B267" s="1" t="n">
        <v>13</v>
      </c>
      <c r="C267" s="24" t="n">
        <v>44927</v>
      </c>
      <c r="D267" s="24" t="n">
        <v>44957</v>
      </c>
      <c r="E267" s="25">
        <f>D267-C267+1</f>
        <v/>
      </c>
      <c r="F267" s="319">
        <f>J266</f>
        <v/>
      </c>
      <c r="G267" s="319" t="n">
        <v>0</v>
      </c>
      <c r="H267" s="319">
        <f>$K$247*F267/12</f>
        <v/>
      </c>
      <c r="I267" s="319">
        <f>G267-H267</f>
        <v/>
      </c>
      <c r="J267" s="319">
        <f>F267-I267</f>
        <v/>
      </c>
      <c r="K267" s="516" t="n"/>
      <c r="L267" s="525" t="n"/>
      <c r="M267" s="151" t="n"/>
    </row>
    <row r="268">
      <c r="B268" s="1" t="n">
        <v>14</v>
      </c>
      <c r="C268" s="24" t="n">
        <v>44958</v>
      </c>
      <c r="D268" s="24" t="n">
        <v>44985</v>
      </c>
      <c r="E268" s="25">
        <f>D268-C268+1</f>
        <v/>
      </c>
      <c r="F268" s="319">
        <f>J267</f>
        <v/>
      </c>
      <c r="G268" s="319" t="n">
        <v>0</v>
      </c>
      <c r="H268" s="319">
        <f>$K$247*F268/12</f>
        <v/>
      </c>
      <c r="I268" s="319">
        <f>G268-H268</f>
        <v/>
      </c>
      <c r="J268" s="319">
        <f>F268-I268</f>
        <v/>
      </c>
      <c r="K268" s="516" t="n"/>
      <c r="L268" s="525" t="n"/>
      <c r="M268" s="151" t="n"/>
    </row>
    <row r="269">
      <c r="B269" s="1" t="n">
        <v>15</v>
      </c>
      <c r="C269" s="24" t="n">
        <v>44986</v>
      </c>
      <c r="D269" s="24" t="n">
        <v>45016</v>
      </c>
      <c r="E269" s="25">
        <f>D269-C269+1</f>
        <v/>
      </c>
      <c r="F269" s="319">
        <f>J268</f>
        <v/>
      </c>
      <c r="G269" s="319" t="n">
        <v>0</v>
      </c>
      <c r="H269" s="319">
        <f>$K$247*F269/12</f>
        <v/>
      </c>
      <c r="I269" s="319">
        <f>G269-H269</f>
        <v/>
      </c>
      <c r="J269" s="319">
        <f>F269-I269</f>
        <v/>
      </c>
      <c r="K269" s="516" t="n"/>
      <c r="L269" s="525" t="n"/>
      <c r="M269" s="151" t="n"/>
    </row>
    <row r="270">
      <c r="B270" s="1" t="n">
        <v>16</v>
      </c>
      <c r="C270" s="24" t="n">
        <v>45017</v>
      </c>
      <c r="D270" s="24" t="n">
        <v>45046</v>
      </c>
      <c r="E270" s="25">
        <f>D270-C270+1</f>
        <v/>
      </c>
      <c r="F270" s="319">
        <f>J269</f>
        <v/>
      </c>
      <c r="G270" s="319" t="n">
        <v>0</v>
      </c>
      <c r="H270" s="319">
        <f>$K$247*F270/12</f>
        <v/>
      </c>
      <c r="I270" s="319">
        <f>G270-H270</f>
        <v/>
      </c>
      <c r="J270" s="319">
        <f>F270-I270</f>
        <v/>
      </c>
      <c r="K270" s="516" t="n"/>
      <c r="L270" s="525" t="n"/>
      <c r="M270" s="151" t="n"/>
    </row>
    <row r="271">
      <c r="B271" s="1" t="n">
        <v>17</v>
      </c>
      <c r="C271" s="24" t="n">
        <v>45047</v>
      </c>
      <c r="D271" s="24" t="n">
        <v>45077</v>
      </c>
      <c r="E271" s="25">
        <f>D271-C271+1</f>
        <v/>
      </c>
      <c r="F271" s="319">
        <f>J270</f>
        <v/>
      </c>
      <c r="G271" s="319" t="n">
        <v>0</v>
      </c>
      <c r="H271" s="319">
        <f>$L$247*F271/12</f>
        <v/>
      </c>
      <c r="I271" s="319">
        <f>G271-H271</f>
        <v/>
      </c>
      <c r="J271" s="319">
        <f>F271-I271</f>
        <v/>
      </c>
      <c r="K271" s="516" t="n"/>
      <c r="L271" s="525" t="n"/>
      <c r="M271" s="151" t="n"/>
    </row>
    <row r="272">
      <c r="B272" s="1" t="n">
        <v>18</v>
      </c>
      <c r="C272" s="24" t="n">
        <v>45078</v>
      </c>
      <c r="D272" s="24" t="n">
        <v>45107</v>
      </c>
      <c r="E272" s="25">
        <f>D272-C272+1</f>
        <v/>
      </c>
      <c r="F272" s="319">
        <f>J271</f>
        <v/>
      </c>
      <c r="G272" s="319" t="n">
        <v>0</v>
      </c>
      <c r="H272" s="319">
        <f>$L$247*F272/12</f>
        <v/>
      </c>
      <c r="I272" s="319">
        <f>G272-H272</f>
        <v/>
      </c>
      <c r="J272" s="319">
        <f>F272-I272</f>
        <v/>
      </c>
      <c r="K272" s="516" t="n"/>
      <c r="L272" s="525" t="n"/>
      <c r="M272" s="151" t="n"/>
    </row>
    <row r="273">
      <c r="B273" s="1" t="n">
        <v>19</v>
      </c>
      <c r="C273" s="24" t="n">
        <v>45108</v>
      </c>
      <c r="D273" s="24" t="n">
        <v>45138</v>
      </c>
      <c r="E273" s="25">
        <f>D273-C273+1</f>
        <v/>
      </c>
      <c r="F273" s="319">
        <f>J272</f>
        <v/>
      </c>
      <c r="G273" s="319" t="n">
        <v>0</v>
      </c>
      <c r="H273" s="319">
        <f>$M$247*F273/12</f>
        <v/>
      </c>
      <c r="I273" s="319">
        <f>G273-H273</f>
        <v/>
      </c>
      <c r="J273" s="319">
        <f>F273-I273</f>
        <v/>
      </c>
      <c r="K273" s="516" t="n"/>
      <c r="L273" s="525" t="n"/>
      <c r="M273" s="151" t="n"/>
    </row>
    <row r="274">
      <c r="B274" s="1" t="n">
        <v>20</v>
      </c>
      <c r="C274" s="24" t="n">
        <v>45139</v>
      </c>
      <c r="D274" s="24" t="n">
        <v>45169</v>
      </c>
      <c r="E274" s="25">
        <f>D274-C274+1</f>
        <v/>
      </c>
      <c r="F274" s="319">
        <f>J273</f>
        <v/>
      </c>
      <c r="G274" s="319" t="n">
        <v>0</v>
      </c>
      <c r="H274" s="319">
        <f>$N$247*F274/12</f>
        <v/>
      </c>
      <c r="I274" s="319">
        <f>G274-H274</f>
        <v/>
      </c>
      <c r="J274" s="319">
        <f>F274-I274</f>
        <v/>
      </c>
      <c r="K274" s="516" t="n"/>
      <c r="L274" s="525" t="n"/>
      <c r="M274" s="151" t="n"/>
    </row>
    <row r="275">
      <c r="B275" s="1" t="n">
        <v>21</v>
      </c>
      <c r="C275" s="24" t="n">
        <v>45170</v>
      </c>
      <c r="D275" s="24" t="n">
        <v>45199</v>
      </c>
      <c r="E275" s="25">
        <f>D275-C275+1</f>
        <v/>
      </c>
      <c r="F275" s="319">
        <f>J274</f>
        <v/>
      </c>
      <c r="G275" s="319" t="n">
        <v>0</v>
      </c>
      <c r="H275" s="319">
        <f>$N$247*F275/12</f>
        <v/>
      </c>
      <c r="I275" s="319">
        <f>G275-H275</f>
        <v/>
      </c>
      <c r="J275" s="319">
        <f>F275-I275</f>
        <v/>
      </c>
      <c r="K275" s="516" t="n"/>
      <c r="L275" s="525" t="n"/>
      <c r="M275" s="151" t="n"/>
    </row>
    <row r="276">
      <c r="B276" s="1" t="n">
        <v>22</v>
      </c>
      <c r="C276" s="24" t="n">
        <v>45200</v>
      </c>
      <c r="D276" s="24" t="n">
        <v>45230</v>
      </c>
      <c r="E276" s="25">
        <f>D276-C276+1</f>
        <v/>
      </c>
      <c r="F276" s="319">
        <f>J275</f>
        <v/>
      </c>
      <c r="G276" s="319" t="n">
        <v>0</v>
      </c>
      <c r="H276" s="319">
        <f>$N$247*F276/12</f>
        <v/>
      </c>
      <c r="I276" s="319">
        <f>G276-H276</f>
        <v/>
      </c>
      <c r="J276" s="319">
        <f>F276-I276</f>
        <v/>
      </c>
      <c r="K276" s="516" t="n"/>
      <c r="L276" s="525" t="n"/>
      <c r="M276" s="151" t="n"/>
    </row>
    <row r="277">
      <c r="B277" s="1" t="n">
        <v>23</v>
      </c>
      <c r="C277" s="24" t="n">
        <v>45231</v>
      </c>
      <c r="D277" s="24" t="n">
        <v>45260</v>
      </c>
      <c r="E277" s="25">
        <f>D277-C277+1</f>
        <v/>
      </c>
      <c r="F277" s="319">
        <f>J276</f>
        <v/>
      </c>
      <c r="G277" s="319" t="n">
        <v>0</v>
      </c>
      <c r="H277" s="319">
        <f>$N$247*F277/12</f>
        <v/>
      </c>
      <c r="I277" s="319">
        <f>G277-H277</f>
        <v/>
      </c>
      <c r="J277" s="319">
        <f>F277-I277</f>
        <v/>
      </c>
      <c r="K277" s="516" t="n"/>
      <c r="L277" s="525" t="n"/>
      <c r="M277" s="151" t="n"/>
    </row>
    <row r="278">
      <c r="B278" s="1" t="n">
        <v>24</v>
      </c>
      <c r="C278" s="24" t="n">
        <v>45261</v>
      </c>
      <c r="D278" s="24" t="n">
        <v>45291</v>
      </c>
      <c r="E278" s="25">
        <f>D278-C278+1</f>
        <v/>
      </c>
      <c r="F278" s="319">
        <f>J277</f>
        <v/>
      </c>
      <c r="G278" s="319" t="n">
        <v>0</v>
      </c>
      <c r="H278" s="319">
        <f>$N$247*F278/12</f>
        <v/>
      </c>
      <c r="I278" s="319">
        <f>G278-H278</f>
        <v/>
      </c>
      <c r="J278" s="319">
        <f>F278-I278</f>
        <v/>
      </c>
      <c r="K278" s="516" t="n"/>
      <c r="L278" s="525" t="n"/>
      <c r="M278" s="151" t="n"/>
    </row>
    <row r="279">
      <c r="B279" s="1" t="n"/>
      <c r="C279" s="24" t="n"/>
      <c r="D279" s="24" t="n"/>
      <c r="E279" s="25" t="n"/>
      <c r="F279" s="319" t="n"/>
      <c r="G279" s="319" t="n"/>
      <c r="H279" s="319" t="n"/>
      <c r="I279" s="319" t="n"/>
      <c r="J279" s="319" t="n"/>
      <c r="K279" s="516" t="n"/>
      <c r="L279" s="525" t="n"/>
      <c r="M279" s="151" t="n"/>
    </row>
    <row r="280">
      <c r="B280" s="1" t="n"/>
      <c r="C280" s="1" t="n"/>
      <c r="D280" s="1" t="n"/>
      <c r="E280" s="30">
        <f>SUM(E255:E267)</f>
        <v/>
      </c>
      <c r="F280" s="319" t="n"/>
      <c r="G280" s="319" t="n"/>
      <c r="H280" s="319" t="n"/>
      <c r="I280" s="319" t="n"/>
      <c r="J280" s="319" t="n"/>
      <c r="K280" s="1" t="n"/>
      <c r="L280" s="1" t="n"/>
    </row>
    <row r="282">
      <c r="B282" s="1" t="n"/>
      <c r="C282" s="9" t="inlineStr">
        <is>
          <t>MUSECO Armortization</t>
        </is>
      </c>
      <c r="D282" s="319" t="n"/>
      <c r="E282" s="257">
        <f>+D285-12.2%</f>
        <v/>
      </c>
      <c r="F282" s="319" t="n"/>
      <c r="G282" s="319" t="n"/>
      <c r="H282" s="319" t="n"/>
      <c r="I282" s="290" t="inlineStr">
        <is>
          <t>13.9 to 16.6%</t>
        </is>
      </c>
      <c r="J282" s="319" t="inlineStr">
        <is>
          <t>16.6% to 17.3%</t>
        </is>
      </c>
      <c r="K282" s="290" t="inlineStr">
        <is>
          <t>17.3% to 20%</t>
        </is>
      </c>
      <c r="L282" s="290" t="inlineStr">
        <is>
          <t>20% to 21.40%</t>
        </is>
      </c>
      <c r="M282" s="290" t="inlineStr">
        <is>
          <t>21.40 to 22.70%</t>
        </is>
      </c>
      <c r="R282" s="514" t="inlineStr">
        <is>
          <t>E-Banker account (Dupleix)</t>
        </is>
      </c>
      <c r="S282" s="495">
        <f>IFERROR(INDEX('Blocks'!$I$2:$I$101,MATCH(5,'Blocks'!$A$2:$A$101,0)),"")</f>
        <v/>
      </c>
    </row>
    <row r="283" ht="14.5" customHeight="1">
      <c r="B283" s="1" t="n"/>
      <c r="C283" s="1" t="n"/>
      <c r="D283" s="32" t="inlineStr">
        <is>
          <t>Restructured</t>
        </is>
      </c>
      <c r="E283" s="319" t="n"/>
      <c r="F283" s="319" t="inlineStr">
        <is>
          <t>Effective 01 May 2022</t>
        </is>
      </c>
      <c r="G283" s="319" t="n"/>
      <c r="H283" s="248" t="n">
        <v>44805</v>
      </c>
      <c r="I283" s="290" t="n">
        <v>44866</v>
      </c>
      <c r="J283" s="248" t="n">
        <v>44896</v>
      </c>
      <c r="K283" s="248" t="n">
        <v>45047</v>
      </c>
      <c r="L283" s="248" t="n">
        <v>45108</v>
      </c>
      <c r="M283" s="248" t="n">
        <v>45139</v>
      </c>
      <c r="R283" s="514" t="inlineStr">
        <is>
          <t>Facility (Loan Book)</t>
        </is>
      </c>
      <c r="S283" s="495">
        <f>IFERROR(INDEX('Blocks'!$H$2:$H$101,MATCH(5,'Blocks'!$A$2:$A$101,0)),"")</f>
        <v/>
      </c>
    </row>
    <row r="284" ht="14.5" customHeight="1">
      <c r="B284" s="1" t="n"/>
      <c r="C284" s="10" t="inlineStr">
        <is>
          <t>Principal (MK)</t>
        </is>
      </c>
      <c r="D284" s="11" t="n">
        <v>405097989.8682796</v>
      </c>
      <c r="E284" s="319" t="n"/>
      <c r="F284" s="291" t="inlineStr">
        <is>
          <t>Principal (MK)</t>
        </is>
      </c>
      <c r="G284" s="11" t="n">
        <v>365193481.7775142</v>
      </c>
      <c r="H284" s="290" t="inlineStr">
        <is>
          <t>Rate Adj</t>
        </is>
      </c>
      <c r="I284" s="290" t="inlineStr">
        <is>
          <t>Rate Adj</t>
        </is>
      </c>
      <c r="J284" s="290" t="inlineStr">
        <is>
          <t>Rate Adj</t>
        </is>
      </c>
      <c r="K284" s="290" t="inlineStr">
        <is>
          <t>Rate Adj</t>
        </is>
      </c>
      <c r="L284" s="290" t="inlineStr">
        <is>
          <t>Rate Adj</t>
        </is>
      </c>
      <c r="M284" s="290" t="inlineStr">
        <is>
          <t>Rate Adj</t>
        </is>
      </c>
      <c r="R284" s="514" t="inlineStr">
        <is>
          <t>Take-on posting 31 Jul 2024</t>
        </is>
      </c>
      <c r="S284" s="496">
        <f>IFERROR(INDEX('E-Banker master'!$N$2:$N$186,MATCH(S282,'E-Banker master'!$A$2:$A$186,0)),"")</f>
        <v/>
      </c>
    </row>
    <row r="285" ht="14.5" customHeight="1">
      <c r="B285" s="1" t="n"/>
      <c r="C285" s="13" t="inlineStr">
        <is>
          <t>Rate</t>
        </is>
      </c>
      <c r="D285" s="14" t="n">
        <v>0.1835</v>
      </c>
      <c r="E285" s="257" t="n"/>
      <c r="F285" s="292" t="inlineStr">
        <is>
          <t>Rate</t>
        </is>
      </c>
      <c r="G285" s="296" t="n">
        <v>0.2055</v>
      </c>
      <c r="H285" s="257" t="n">
        <v>0.2095</v>
      </c>
      <c r="I285" s="319">
        <f>20.95%+2.7%</f>
        <v/>
      </c>
      <c r="J285" s="257">
        <f>I285+0.7%</f>
        <v/>
      </c>
      <c r="K285" s="257">
        <f>J285+2.7%</f>
        <v/>
      </c>
      <c r="L285" s="257">
        <f>K285+1.4%</f>
        <v/>
      </c>
      <c r="M285" s="257">
        <f>L285+1.3%</f>
        <v/>
      </c>
      <c r="R285" s="514" t="inlineStr">
        <is>
          <t>E-Banker balance 31 Oct 2024</t>
        </is>
      </c>
      <c r="S285" s="496">
        <f>IFERROR(INDEX('E-Banker master'!$P$2:$P$186,MATCH(S282,'E-Banker master'!$A$2:$A$186,0)),"")</f>
        <v/>
      </c>
    </row>
    <row r="286" ht="14.5" customHeight="1">
      <c r="B286" s="1" t="n"/>
      <c r="C286" s="13" t="inlineStr">
        <is>
          <t>n</t>
        </is>
      </c>
      <c r="D286" s="16" t="n">
        <v>5</v>
      </c>
      <c r="E286" s="1" t="n"/>
      <c r="F286" s="292" t="inlineStr">
        <is>
          <t>n</t>
        </is>
      </c>
      <c r="G286" s="296" t="n">
        <v>3.75</v>
      </c>
      <c r="H286" s="319" t="n"/>
      <c r="I286" s="319" t="n"/>
      <c r="J286" s="319" t="n"/>
      <c r="K286" s="1" t="n"/>
      <c r="L286" s="1" t="n"/>
    </row>
    <row r="287" ht="14.5" customHeight="1">
      <c r="B287" s="1" t="n"/>
      <c r="C287" s="13" t="inlineStr">
        <is>
          <t>Per</t>
        </is>
      </c>
      <c r="D287" s="16" t="n">
        <v>12</v>
      </c>
      <c r="E287" s="1" t="n"/>
      <c r="F287" s="292" t="inlineStr">
        <is>
          <t>Per</t>
        </is>
      </c>
      <c r="G287" s="296" t="n">
        <v>12</v>
      </c>
      <c r="H287" s="319" t="inlineStr">
        <is>
          <t>22.70% to 23.40%</t>
        </is>
      </c>
      <c r="I287" s="319" t="inlineStr">
        <is>
          <t>23.40% to 23.50%</t>
        </is>
      </c>
      <c r="J287" s="319" t="inlineStr">
        <is>
          <t>23.50% to 23.60%</t>
        </is>
      </c>
      <c r="K287" s="319" t="inlineStr">
        <is>
          <t>23.60% to 24.90%</t>
        </is>
      </c>
      <c r="L287" s="374" t="inlineStr">
        <is>
          <t>24.90% to 25.00%</t>
        </is>
      </c>
      <c r="M287" s="374" t="inlineStr">
        <is>
          <t>25.00% to 25.10%</t>
        </is>
      </c>
      <c r="N287" s="374" t="inlineStr">
        <is>
          <t>25.10% to 25.40%</t>
        </is>
      </c>
    </row>
    <row r="288" ht="14.5" customHeight="1">
      <c r="B288" s="1" t="n"/>
      <c r="C288" s="13" t="inlineStr">
        <is>
          <t>nPer</t>
        </is>
      </c>
      <c r="D288" s="515" t="n">
        <v>60</v>
      </c>
      <c r="E288" s="1" t="n"/>
      <c r="F288" s="292" t="inlineStr">
        <is>
          <t>nPer</t>
        </is>
      </c>
      <c r="G288" s="296" t="n">
        <v>39</v>
      </c>
      <c r="H288" s="248" t="n">
        <v>45170</v>
      </c>
      <c r="I288" s="290" t="n">
        <v>45200</v>
      </c>
      <c r="J288" s="248" t="n">
        <v>45261</v>
      </c>
      <c r="K288" s="248" t="n">
        <v>44958</v>
      </c>
      <c r="L288" s="375" t="n">
        <v>45047</v>
      </c>
      <c r="M288" s="375" t="n">
        <v>45078</v>
      </c>
      <c r="N288" s="375" t="n">
        <v>45108</v>
      </c>
    </row>
    <row r="289" ht="14.5" customHeight="1">
      <c r="B289" s="1" t="n"/>
      <c r="C289" s="13" t="inlineStr">
        <is>
          <t>Days in a year</t>
        </is>
      </c>
      <c r="D289" s="18" t="n">
        <v>365</v>
      </c>
      <c r="E289" s="1" t="n"/>
      <c r="F289" s="292" t="inlineStr">
        <is>
          <t>Days in a year</t>
        </is>
      </c>
      <c r="G289" s="296" t="n">
        <v>365</v>
      </c>
      <c r="H289" s="290" t="inlineStr">
        <is>
          <t>Rate Adj</t>
        </is>
      </c>
      <c r="I289" s="290" t="inlineStr">
        <is>
          <t>Rate Adj</t>
        </is>
      </c>
      <c r="J289" s="290" t="inlineStr">
        <is>
          <t>Rate Adj</t>
        </is>
      </c>
      <c r="K289" s="290" t="inlineStr">
        <is>
          <t>Rate Adj</t>
        </is>
      </c>
      <c r="L289" s="374" t="inlineStr">
        <is>
          <t>Rate Adj</t>
        </is>
      </c>
      <c r="M289" s="374" t="inlineStr">
        <is>
          <t>Rate Adj</t>
        </is>
      </c>
      <c r="N289" s="374" t="inlineStr">
        <is>
          <t>Rate Adj</t>
        </is>
      </c>
    </row>
    <row r="290" ht="14.5" customHeight="1">
      <c r="B290" s="1" t="n"/>
      <c r="C290" s="19" t="inlineStr">
        <is>
          <t>Pmt (MK)</t>
        </is>
      </c>
      <c r="D290" s="20" t="n">
        <v>10364112.23363151</v>
      </c>
      <c r="E290" s="319" t="n"/>
      <c r="F290" s="293" t="inlineStr">
        <is>
          <t>Pmt (MK)</t>
        </is>
      </c>
      <c r="G290" s="20" t="n">
        <v>12913483.96882267</v>
      </c>
      <c r="H290" s="257">
        <f>M285+0.7%</f>
        <v/>
      </c>
      <c r="I290" s="319">
        <f>H290+0.1%</f>
        <v/>
      </c>
      <c r="J290" s="257">
        <f>I290+0.1%</f>
        <v/>
      </c>
      <c r="K290" s="257">
        <f>J290+1.3%</f>
        <v/>
      </c>
      <c r="L290" s="376">
        <f>+K290+0.1%</f>
        <v/>
      </c>
      <c r="M290" s="376">
        <f>+L290+0.1%</f>
        <v/>
      </c>
      <c r="N290" s="376">
        <f>+M290+0.3%</f>
        <v/>
      </c>
    </row>
    <row r="291" ht="14.5" customHeight="1">
      <c r="B291" s="1" t="n"/>
      <c r="C291" s="1" t="n"/>
      <c r="D291" s="319" t="n"/>
      <c r="E291" s="319" t="n"/>
      <c r="F291" s="319" t="n"/>
      <c r="G291" s="319" t="n"/>
      <c r="H291" s="319" t="n"/>
      <c r="I291" s="319" t="n"/>
      <c r="J291" s="319" t="n"/>
      <c r="K291" s="1" t="n"/>
      <c r="L291" s="1" t="n"/>
    </row>
    <row r="292" ht="14.5" customHeight="1">
      <c r="B292" s="1" t="n"/>
      <c r="C292" s="21" t="inlineStr">
        <is>
          <t>Period Start</t>
        </is>
      </c>
      <c r="D292" s="22" t="inlineStr">
        <is>
          <t>Period End</t>
        </is>
      </c>
      <c r="E292" s="22" t="inlineStr">
        <is>
          <t>Days</t>
        </is>
      </c>
      <c r="F292" s="294" t="inlineStr">
        <is>
          <t>Opening bal.</t>
        </is>
      </c>
      <c r="G292" s="294" t="inlineStr">
        <is>
          <t>Pmt</t>
        </is>
      </c>
      <c r="H292" s="294" t="inlineStr">
        <is>
          <t>Interest</t>
        </is>
      </c>
      <c r="I292" s="294" t="inlineStr">
        <is>
          <t>Principal</t>
        </is>
      </c>
      <c r="J292" s="294" t="inlineStr">
        <is>
          <t>Closing balance</t>
        </is>
      </c>
      <c r="K292" s="23" t="inlineStr">
        <is>
          <t>Amount Repaid</t>
        </is>
      </c>
      <c r="L292" s="23" t="inlineStr">
        <is>
          <t>Accumulated Arrears</t>
        </is>
      </c>
    </row>
    <row r="293" ht="14.5" customHeight="1">
      <c r="B293" s="1" t="n">
        <v>1</v>
      </c>
      <c r="C293" s="24" t="n">
        <v>44409</v>
      </c>
      <c r="D293" s="24" t="n">
        <v>44439</v>
      </c>
      <c r="E293" s="25" t="n">
        <v>31</v>
      </c>
      <c r="F293" s="319" t="n">
        <v>405097989.8682796</v>
      </c>
      <c r="G293" s="319">
        <f>-PMT($D$285/$D$287,60,$F$293,,0)</f>
        <v/>
      </c>
      <c r="H293" s="319">
        <f>F293*D285/D287</f>
        <v/>
      </c>
      <c r="I293" s="319">
        <f>G293-H293</f>
        <v/>
      </c>
      <c r="J293" s="319">
        <f>F293-I293</f>
        <v/>
      </c>
      <c r="K293" s="516" t="n"/>
      <c r="L293" s="516">
        <f>G293</f>
        <v/>
      </c>
    </row>
    <row r="294">
      <c r="B294" s="1" t="n">
        <v>2</v>
      </c>
      <c r="C294" s="24" t="n">
        <v>44440</v>
      </c>
      <c r="D294" s="24" t="n">
        <v>44469</v>
      </c>
      <c r="E294" s="25" t="n">
        <v>30</v>
      </c>
      <c r="F294" s="319">
        <f>J293</f>
        <v/>
      </c>
      <c r="G294" s="319">
        <f>-PMT($D$285/$D$287,60,$F$293,,0)</f>
        <v/>
      </c>
      <c r="H294" s="319">
        <f>F294*D285/D287</f>
        <v/>
      </c>
      <c r="I294" s="319">
        <f>G294-H294</f>
        <v/>
      </c>
      <c r="J294" s="319">
        <f>F294-I294</f>
        <v/>
      </c>
      <c r="K294" s="516" t="n"/>
      <c r="L294" s="516">
        <f>L293+G294</f>
        <v/>
      </c>
    </row>
    <row r="295">
      <c r="B295" s="1" t="n">
        <v>3</v>
      </c>
      <c r="C295" s="24" t="n">
        <v>44470</v>
      </c>
      <c r="D295" s="24" t="n">
        <v>44500</v>
      </c>
      <c r="E295" s="25" t="n">
        <v>31</v>
      </c>
      <c r="F295" s="319">
        <f>J294</f>
        <v/>
      </c>
      <c r="G295" s="319">
        <f>-PMT($D$285/$D$287,60,$F$293,,0)</f>
        <v/>
      </c>
      <c r="H295" s="319">
        <f>F295*D285/D287</f>
        <v/>
      </c>
      <c r="I295" s="319">
        <f>G295-H295</f>
        <v/>
      </c>
      <c r="J295" s="319">
        <f>F295-I295</f>
        <v/>
      </c>
      <c r="K295" s="516" t="n"/>
      <c r="L295" s="516">
        <f>L294+G295</f>
        <v/>
      </c>
    </row>
    <row r="296">
      <c r="B296" s="1" t="n">
        <v>4</v>
      </c>
      <c r="C296" s="24" t="n">
        <v>44501</v>
      </c>
      <c r="D296" s="24" t="n">
        <v>44530</v>
      </c>
      <c r="E296" s="25" t="n">
        <v>30</v>
      </c>
      <c r="F296" s="319">
        <f>J295</f>
        <v/>
      </c>
      <c r="G296" s="319">
        <f>-PMT($D$285/$D$287,60,$F$293,,0)</f>
        <v/>
      </c>
      <c r="H296" s="319">
        <f>F296*D285/D287</f>
        <v/>
      </c>
      <c r="I296" s="319">
        <f>G296-H296</f>
        <v/>
      </c>
      <c r="J296" s="319">
        <f>F296-I296</f>
        <v/>
      </c>
      <c r="K296" s="516" t="n"/>
      <c r="L296" s="516">
        <f>L295+G296</f>
        <v/>
      </c>
    </row>
    <row r="297">
      <c r="B297" s="1" t="n">
        <v>5</v>
      </c>
      <c r="C297" s="24" t="n">
        <v>44531</v>
      </c>
      <c r="D297" s="24" t="n">
        <v>44561</v>
      </c>
      <c r="E297" s="25" t="n">
        <v>31</v>
      </c>
      <c r="F297" s="319">
        <f>J296</f>
        <v/>
      </c>
      <c r="G297" s="319">
        <f>-PMT($D$285/$D$287,60,$F$293,,0)</f>
        <v/>
      </c>
      <c r="H297" s="319">
        <f>F297*D285/D287</f>
        <v/>
      </c>
      <c r="I297" s="319">
        <f>G297-H297</f>
        <v/>
      </c>
      <c r="J297" s="319">
        <f>F297-I297</f>
        <v/>
      </c>
      <c r="K297" s="516" t="n"/>
      <c r="L297" s="516">
        <f>L296+G297</f>
        <v/>
      </c>
    </row>
    <row r="298">
      <c r="B298" s="1" t="n">
        <v>6</v>
      </c>
      <c r="C298" s="24" t="n">
        <v>44562</v>
      </c>
      <c r="D298" s="24" t="n">
        <v>44592</v>
      </c>
      <c r="E298" s="25" t="n">
        <v>31</v>
      </c>
      <c r="F298" s="319">
        <f>J297</f>
        <v/>
      </c>
      <c r="G298" s="319">
        <f>-PMT($D$285/$D$287,60,$F$293,,0)</f>
        <v/>
      </c>
      <c r="H298" s="319">
        <f>F298*D285/D287</f>
        <v/>
      </c>
      <c r="I298" s="319">
        <f>G298-H298</f>
        <v/>
      </c>
      <c r="J298" s="319">
        <f>F298-I298</f>
        <v/>
      </c>
      <c r="K298" s="516" t="n"/>
      <c r="L298" s="516">
        <f>L297+G298</f>
        <v/>
      </c>
    </row>
    <row r="299">
      <c r="B299" s="1" t="n">
        <v>7</v>
      </c>
      <c r="C299" s="24" t="n">
        <v>44593</v>
      </c>
      <c r="D299" s="24" t="n">
        <v>44620</v>
      </c>
      <c r="E299" s="25" t="n">
        <v>28</v>
      </c>
      <c r="F299" s="319">
        <f>J298</f>
        <v/>
      </c>
      <c r="G299" s="319">
        <f>-PMT($D$285/$D$287,60,$F$293,,0)</f>
        <v/>
      </c>
      <c r="H299" s="319">
        <f>F299*D285/D287</f>
        <v/>
      </c>
      <c r="I299" s="319">
        <f>G299-H299</f>
        <v/>
      </c>
      <c r="J299" s="319">
        <f>F299-I299</f>
        <v/>
      </c>
      <c r="K299" s="516" t="n"/>
      <c r="L299" s="516">
        <f>L298+G299</f>
        <v/>
      </c>
    </row>
    <row r="300">
      <c r="B300" s="1" t="n">
        <v>8</v>
      </c>
      <c r="C300" s="24" t="n">
        <v>44621</v>
      </c>
      <c r="D300" s="24" t="n">
        <v>44651</v>
      </c>
      <c r="E300" s="25" t="n">
        <v>31</v>
      </c>
      <c r="F300" s="319">
        <f>J299</f>
        <v/>
      </c>
      <c r="G300" s="319">
        <f>-PMT($D$285/$D$287,60,$F$293,,0)</f>
        <v/>
      </c>
      <c r="H300" s="319">
        <f>F300*D285/D287</f>
        <v/>
      </c>
      <c r="I300" s="319">
        <f>G300-H300</f>
        <v/>
      </c>
      <c r="J300" s="319">
        <f>F300-I300</f>
        <v/>
      </c>
      <c r="K300" s="516" t="n"/>
      <c r="L300" s="516">
        <f>L299+G300</f>
        <v/>
      </c>
    </row>
    <row r="301">
      <c r="B301" s="1" t="n">
        <v>9</v>
      </c>
      <c r="C301" s="24" t="n">
        <v>44652</v>
      </c>
      <c r="D301" s="24" t="n">
        <v>44681</v>
      </c>
      <c r="E301" s="25" t="n">
        <v>30</v>
      </c>
      <c r="F301" s="319">
        <f>J300</f>
        <v/>
      </c>
      <c r="G301" s="319">
        <f>-PMT($D$285/$D$287,60,$F$293,,0)</f>
        <v/>
      </c>
      <c r="H301" s="319">
        <f>F301*D285/D287</f>
        <v/>
      </c>
      <c r="I301" s="319">
        <f>G301-H301</f>
        <v/>
      </c>
      <c r="J301" s="319">
        <f>F301-I301</f>
        <v/>
      </c>
      <c r="K301" s="516" t="n"/>
      <c r="L301" s="516">
        <f>L300+G301</f>
        <v/>
      </c>
    </row>
    <row r="302">
      <c r="B302" s="1" t="n">
        <v>10</v>
      </c>
      <c r="C302" s="24" t="n">
        <v>44682</v>
      </c>
      <c r="D302" s="24" t="n">
        <v>44712</v>
      </c>
      <c r="E302" s="25" t="n">
        <v>31</v>
      </c>
      <c r="F302" s="319">
        <f>J301</f>
        <v/>
      </c>
      <c r="G302" s="319">
        <f>-PMT($G$285/$D$287,51,$F$302,,0)</f>
        <v/>
      </c>
      <c r="H302" s="319">
        <f>F302*G285/D287</f>
        <v/>
      </c>
      <c r="I302" s="319">
        <f>G302-H302</f>
        <v/>
      </c>
      <c r="J302" s="319">
        <f>F302-I302</f>
        <v/>
      </c>
      <c r="K302" s="516" t="n"/>
      <c r="L302" s="516">
        <f>L301+G302</f>
        <v/>
      </c>
    </row>
    <row r="303">
      <c r="B303" s="1" t="n">
        <v>11</v>
      </c>
      <c r="C303" s="24" t="n">
        <v>44713</v>
      </c>
      <c r="D303" s="24" t="n">
        <v>44742</v>
      </c>
      <c r="E303" s="25" t="n">
        <v>30</v>
      </c>
      <c r="F303" s="319">
        <f>J302</f>
        <v/>
      </c>
      <c r="G303" s="319">
        <f>-PMT($G$285/$D$287,51,$F$302,,0)</f>
        <v/>
      </c>
      <c r="H303" s="319">
        <f>F303*G285/D287</f>
        <v/>
      </c>
      <c r="I303" s="319">
        <f>G303-H303</f>
        <v/>
      </c>
      <c r="J303" s="319">
        <f>F303-I303</f>
        <v/>
      </c>
      <c r="K303" s="516" t="n"/>
      <c r="L303" s="516">
        <f>L302+G303</f>
        <v/>
      </c>
      <c r="N303" s="521" t="n"/>
    </row>
    <row r="304">
      <c r="B304" s="1" t="n">
        <v>12</v>
      </c>
      <c r="C304" s="24" t="n">
        <v>44743</v>
      </c>
      <c r="D304" s="24" t="n">
        <v>44773</v>
      </c>
      <c r="E304" s="25" t="n">
        <v>31</v>
      </c>
      <c r="F304" s="319">
        <f>J303</f>
        <v/>
      </c>
      <c r="G304" s="319">
        <f>-PMT($G$285/$D$287,51,$F$302,,0)</f>
        <v/>
      </c>
      <c r="H304" s="319">
        <f>F304*G285/D287</f>
        <v/>
      </c>
      <c r="I304" s="319">
        <f>G304-H304</f>
        <v/>
      </c>
      <c r="J304" s="319">
        <f>F304-I304</f>
        <v/>
      </c>
      <c r="K304" s="516" t="n"/>
      <c r="L304" s="516">
        <f>L303+G304</f>
        <v/>
      </c>
      <c r="N304" s="237" t="n"/>
    </row>
    <row r="305">
      <c r="B305" s="1" t="n">
        <v>13</v>
      </c>
      <c r="C305" s="24" t="n">
        <v>44774</v>
      </c>
      <c r="D305" s="24" t="n">
        <v>44804</v>
      </c>
      <c r="E305" s="25" t="n">
        <v>31</v>
      </c>
      <c r="F305" s="319">
        <f>J304</f>
        <v/>
      </c>
      <c r="G305" s="319">
        <f>-PMT($G$285/$D$287,51,$F$302,,0)</f>
        <v/>
      </c>
      <c r="H305" s="319">
        <f>F305*G285/D287</f>
        <v/>
      </c>
      <c r="I305" s="319">
        <f>G305-H305</f>
        <v/>
      </c>
      <c r="J305" s="319">
        <f>F305-I305</f>
        <v/>
      </c>
      <c r="K305" s="516" t="n"/>
      <c r="L305" s="516">
        <f>L304+G305</f>
        <v/>
      </c>
    </row>
    <row r="306">
      <c r="B306" s="1" t="n">
        <v>14</v>
      </c>
      <c r="C306" s="24" t="n">
        <v>44805</v>
      </c>
      <c r="D306" s="24" t="n">
        <v>44834</v>
      </c>
      <c r="E306" s="25" t="n">
        <v>30</v>
      </c>
      <c r="F306" s="319">
        <f>J305</f>
        <v/>
      </c>
      <c r="G306" s="319">
        <f>-PMT($H$285/$D$287,47,$F$306,,0)</f>
        <v/>
      </c>
      <c r="H306" s="319">
        <f>F306*H285/D287</f>
        <v/>
      </c>
      <c r="I306" s="319">
        <f>G306-H306</f>
        <v/>
      </c>
      <c r="J306" s="319">
        <f>F306-I306</f>
        <v/>
      </c>
      <c r="K306" s="516" t="n"/>
      <c r="L306" s="516" t="n">
        <v>136455167.2584743</v>
      </c>
      <c r="M306" s="237" t="n"/>
    </row>
    <row r="307">
      <c r="B307" s="1" t="n">
        <v>15</v>
      </c>
      <c r="C307" s="24" t="n">
        <v>44835</v>
      </c>
      <c r="D307" s="24" t="n">
        <v>44865</v>
      </c>
      <c r="E307" s="25" t="n">
        <v>31</v>
      </c>
      <c r="F307" s="319">
        <f>J306</f>
        <v/>
      </c>
      <c r="G307" s="319">
        <f>-PMT($H$285/$D$287,47,$F$306,,0)</f>
        <v/>
      </c>
      <c r="H307" s="319">
        <f>F307*H285/D287</f>
        <v/>
      </c>
      <c r="I307" s="319">
        <f>G307-H307</f>
        <v/>
      </c>
      <c r="J307" s="319">
        <f>F307-I307</f>
        <v/>
      </c>
      <c r="K307" s="516" t="n"/>
      <c r="L307" s="516" t="n">
        <v>136455167.2584743</v>
      </c>
    </row>
    <row r="308">
      <c r="B308" s="1" t="n">
        <v>16</v>
      </c>
      <c r="C308" s="24" t="n">
        <v>44866</v>
      </c>
      <c r="D308" s="24" t="n">
        <v>44895</v>
      </c>
      <c r="E308" s="25" t="n">
        <v>30</v>
      </c>
      <c r="F308" s="319">
        <f>J307</f>
        <v/>
      </c>
      <c r="G308" s="319">
        <f>-PMT($I$285/$D$287,45,$F$308,,0)</f>
        <v/>
      </c>
      <c r="H308" s="319">
        <f>F308*I285/D287</f>
        <v/>
      </c>
      <c r="I308" s="319">
        <f>G308-H308</f>
        <v/>
      </c>
      <c r="J308" s="319">
        <f>F308-I308</f>
        <v/>
      </c>
      <c r="K308" s="516" t="n"/>
      <c r="L308" s="516" t="n">
        <v>136455167.2584743</v>
      </c>
    </row>
    <row r="309">
      <c r="B309" s="1" t="n">
        <v>17</v>
      </c>
      <c r="C309" s="24" t="n">
        <v>44896</v>
      </c>
      <c r="D309" s="24" t="n">
        <v>44926</v>
      </c>
      <c r="E309" s="25" t="n">
        <v>31</v>
      </c>
      <c r="F309" s="319">
        <f>J308</f>
        <v/>
      </c>
      <c r="G309" s="319">
        <f>-PMT($J$285/$D$287,44,$F$309,,0)</f>
        <v/>
      </c>
      <c r="H309" s="319">
        <f>F309*J285/D287</f>
        <v/>
      </c>
      <c r="I309" s="319">
        <f>G309-H309</f>
        <v/>
      </c>
      <c r="J309" s="319">
        <f>F309-I309</f>
        <v/>
      </c>
      <c r="K309" s="516" t="n"/>
      <c r="L309" s="516" t="n">
        <v>136455167.2584743</v>
      </c>
    </row>
    <row r="310">
      <c r="B310" s="1" t="n">
        <v>18</v>
      </c>
      <c r="C310" s="24" t="n">
        <v>44927</v>
      </c>
      <c r="D310" s="24" t="n">
        <v>44957</v>
      </c>
      <c r="E310" s="25" t="n">
        <v>31</v>
      </c>
      <c r="F310" s="319">
        <f>J309</f>
        <v/>
      </c>
      <c r="G310" s="319">
        <f>-PMT($J$285/$D$287,44,$F$309,,0)</f>
        <v/>
      </c>
      <c r="H310" s="319">
        <f>F310*J285/D287</f>
        <v/>
      </c>
      <c r="I310" s="319">
        <f>G310-H310</f>
        <v/>
      </c>
      <c r="J310" s="319">
        <f>F310-I310</f>
        <v/>
      </c>
      <c r="K310" s="516" t="n"/>
      <c r="L310" s="516" t="n">
        <v>136455167.2584743</v>
      </c>
    </row>
    <row r="311">
      <c r="B311" s="1" t="n">
        <v>19</v>
      </c>
      <c r="C311" s="24" t="n">
        <v>44958</v>
      </c>
      <c r="D311" s="24" t="n">
        <v>44985</v>
      </c>
      <c r="E311" s="25" t="n">
        <v>28</v>
      </c>
      <c r="F311" s="319">
        <f>J310</f>
        <v/>
      </c>
      <c r="G311" s="319">
        <f>-PMT($J$285/$D$287,44,$F$309,,0)</f>
        <v/>
      </c>
      <c r="H311" s="319">
        <f>F311*J285/D287</f>
        <v/>
      </c>
      <c r="I311" s="319">
        <f>G311-H311</f>
        <v/>
      </c>
      <c r="J311" s="319">
        <f>F311-I311</f>
        <v/>
      </c>
      <c r="K311" s="516" t="n">
        <v>136455167.26</v>
      </c>
      <c r="L311" s="516">
        <f>L310-K311</f>
        <v/>
      </c>
    </row>
    <row r="312">
      <c r="B312" s="1" t="n">
        <v>20</v>
      </c>
      <c r="C312" s="24" t="n">
        <v>44986</v>
      </c>
      <c r="D312" s="24" t="n">
        <v>45016</v>
      </c>
      <c r="E312" s="25" t="n">
        <v>31</v>
      </c>
      <c r="F312" s="319">
        <f>J311</f>
        <v/>
      </c>
      <c r="G312" s="319">
        <f>-PMT($J$285/$D$287,44,$F$309,,0)</f>
        <v/>
      </c>
      <c r="H312" s="319">
        <f>F312*J285/D287</f>
        <v/>
      </c>
      <c r="I312" s="319">
        <f>G312-H312</f>
        <v/>
      </c>
      <c r="J312" s="319">
        <f>F312-I312</f>
        <v/>
      </c>
      <c r="K312" s="516" t="n"/>
      <c r="L312" s="516" t="n"/>
    </row>
    <row r="313">
      <c r="B313" s="1" t="n">
        <v>21</v>
      </c>
      <c r="C313" s="24" t="n">
        <v>45017</v>
      </c>
      <c r="D313" s="24" t="n">
        <v>45046</v>
      </c>
      <c r="E313" s="25" t="n">
        <v>30</v>
      </c>
      <c r="F313" s="319">
        <f>J312</f>
        <v/>
      </c>
      <c r="G313" s="319">
        <f>-PMT($J$285/$D$287,44,$F$309,,0)</f>
        <v/>
      </c>
      <c r="H313" s="319">
        <f>F313*J285/D287</f>
        <v/>
      </c>
      <c r="I313" s="319">
        <f>G313-H313</f>
        <v/>
      </c>
      <c r="J313" s="319">
        <f>F313-I313</f>
        <v/>
      </c>
      <c r="K313" s="516" t="n"/>
      <c r="L313" s="516" t="n"/>
    </row>
    <row r="314">
      <c r="B314" s="1" t="n">
        <v>22</v>
      </c>
      <c r="C314" s="24" t="n">
        <v>45047</v>
      </c>
      <c r="D314" s="24" t="n">
        <v>45077</v>
      </c>
      <c r="E314" s="25" t="n">
        <v>31</v>
      </c>
      <c r="F314" s="319">
        <f>J313</f>
        <v/>
      </c>
      <c r="G314" s="319">
        <f>-PMT($K$285/$D$287,39,$F$314,,0)</f>
        <v/>
      </c>
      <c r="H314" s="319">
        <f>F314*K285/D287</f>
        <v/>
      </c>
      <c r="I314" s="319">
        <f>G314-H314</f>
        <v/>
      </c>
      <c r="J314" s="319">
        <f>F314-I314</f>
        <v/>
      </c>
      <c r="K314" s="516" t="n"/>
      <c r="L314" s="516" t="n"/>
    </row>
    <row r="315">
      <c r="B315" s="1" t="n">
        <v>23</v>
      </c>
      <c r="C315" s="24" t="n">
        <v>45078</v>
      </c>
      <c r="D315" s="24" t="n">
        <v>45107</v>
      </c>
      <c r="E315" s="25" t="n">
        <v>30</v>
      </c>
      <c r="F315" s="319">
        <f>J314</f>
        <v/>
      </c>
      <c r="G315" s="319">
        <f>-PMT($K$285/$D$287,39,$F$314,,0)</f>
        <v/>
      </c>
      <c r="H315" s="319">
        <f>F315*K285/D287</f>
        <v/>
      </c>
      <c r="I315" s="319">
        <f>G315-H315</f>
        <v/>
      </c>
      <c r="J315" s="319">
        <f>F315-I315</f>
        <v/>
      </c>
      <c r="K315" s="516" t="n"/>
      <c r="L315" s="516" t="n"/>
    </row>
    <row r="316">
      <c r="B316" s="1" t="n">
        <v>24</v>
      </c>
      <c r="C316" s="24" t="n">
        <v>45108</v>
      </c>
      <c r="D316" s="24" t="n">
        <v>45138</v>
      </c>
      <c r="E316" s="25" t="n">
        <v>31</v>
      </c>
      <c r="F316" s="319">
        <f>J315</f>
        <v/>
      </c>
      <c r="G316" s="319">
        <f>-PMT($L$285/$D$287,37,$F$316,,0)</f>
        <v/>
      </c>
      <c r="H316" s="319">
        <f>F316*$L$285/$D$287</f>
        <v/>
      </c>
      <c r="I316" s="319">
        <f>G316-H316</f>
        <v/>
      </c>
      <c r="J316" s="319">
        <f>F316-I316</f>
        <v/>
      </c>
      <c r="K316" s="516" t="n"/>
      <c r="L316" s="516" t="n"/>
    </row>
    <row r="317">
      <c r="B317" s="1" t="n">
        <v>25</v>
      </c>
      <c r="C317" s="24" t="n">
        <v>45139</v>
      </c>
      <c r="D317" s="24" t="n">
        <v>45169</v>
      </c>
      <c r="E317" s="25" t="n">
        <v>31</v>
      </c>
      <c r="F317" s="319">
        <f>J316</f>
        <v/>
      </c>
      <c r="G317" s="319">
        <f>-PMT($M$285/$D$287,36,$F$317,,0)</f>
        <v/>
      </c>
      <c r="H317" s="319">
        <f>F317*$M$285/$D$287</f>
        <v/>
      </c>
      <c r="I317" s="319">
        <f>G317-H317</f>
        <v/>
      </c>
      <c r="J317" s="319">
        <f>F317-I317</f>
        <v/>
      </c>
      <c r="K317" s="516" t="n"/>
      <c r="L317" s="526">
        <f>SUM(G306:G317)</f>
        <v/>
      </c>
      <c r="M317" s="520" t="inlineStr">
        <is>
          <t>next due date</t>
        </is>
      </c>
    </row>
    <row r="318">
      <c r="B318" s="1" t="n">
        <v>26</v>
      </c>
      <c r="C318" s="24" t="n">
        <v>45170</v>
      </c>
      <c r="D318" s="24" t="n">
        <v>45199</v>
      </c>
      <c r="E318" s="25" t="n">
        <v>30</v>
      </c>
      <c r="F318" s="319">
        <f>J317</f>
        <v/>
      </c>
      <c r="G318" s="319">
        <f>-PMT($H$290/$D$287,35,$F$318,,0)</f>
        <v/>
      </c>
      <c r="H318" s="319">
        <f>F318*$H$290/$D$287</f>
        <v/>
      </c>
      <c r="I318" s="319">
        <f>G318-H318</f>
        <v/>
      </c>
      <c r="J318" s="319">
        <f>F318-I318</f>
        <v/>
      </c>
      <c r="L318" s="516" t="n"/>
    </row>
    <row r="319">
      <c r="B319" s="1" t="n">
        <v>27</v>
      </c>
      <c r="C319" s="24" t="n">
        <v>45200</v>
      </c>
      <c r="D319" s="24" t="n">
        <v>45230</v>
      </c>
      <c r="E319" s="25" t="n">
        <v>31</v>
      </c>
      <c r="F319" s="319">
        <f>J318</f>
        <v/>
      </c>
      <c r="G319" s="319">
        <f>-PMT($I$290/$D$287,34,$F$319,,0)</f>
        <v/>
      </c>
      <c r="H319" s="319">
        <f>F319*$I$290/$D$287</f>
        <v/>
      </c>
      <c r="I319" s="319">
        <f>G319-H319</f>
        <v/>
      </c>
      <c r="J319" s="319">
        <f>F319-I319</f>
        <v/>
      </c>
      <c r="K319" s="516" t="n"/>
      <c r="L319" s="516" t="n"/>
    </row>
    <row r="320">
      <c r="B320" s="1" t="n">
        <v>28</v>
      </c>
      <c r="C320" s="24" t="n">
        <v>45231</v>
      </c>
      <c r="D320" s="24" t="n">
        <v>45260</v>
      </c>
      <c r="E320" s="25" t="n">
        <v>30</v>
      </c>
      <c r="F320" s="319">
        <f>J319</f>
        <v/>
      </c>
      <c r="G320" s="319">
        <f>-PMT($I$290/$D$287,34,$F$319,,0)</f>
        <v/>
      </c>
      <c r="H320" s="319">
        <f>F320*$I$290/$D$287</f>
        <v/>
      </c>
      <c r="I320" s="319">
        <f>G320-H320</f>
        <v/>
      </c>
      <c r="J320" s="319">
        <f>F320-I320</f>
        <v/>
      </c>
      <c r="K320" s="516" t="n"/>
      <c r="L320" s="516" t="n"/>
    </row>
    <row r="321">
      <c r="B321" s="1" t="n">
        <v>29</v>
      </c>
      <c r="C321" s="24" t="n">
        <v>45261</v>
      </c>
      <c r="D321" s="24" t="n">
        <v>45291</v>
      </c>
      <c r="E321" s="25" t="n">
        <v>31</v>
      </c>
      <c r="F321" s="319">
        <f>J320</f>
        <v/>
      </c>
      <c r="G321" s="319">
        <f>-PMT($J$290/$D$287,32,$F$321,,0)</f>
        <v/>
      </c>
      <c r="H321" s="319">
        <f>F321*$J$290/$D$287</f>
        <v/>
      </c>
      <c r="I321" s="319">
        <f>G321-H321</f>
        <v/>
      </c>
      <c r="J321" s="319">
        <f>F321-I321</f>
        <v/>
      </c>
      <c r="K321" s="516" t="n"/>
      <c r="L321" s="516" t="n"/>
    </row>
    <row r="322">
      <c r="B322" s="1" t="n">
        <v>30</v>
      </c>
      <c r="C322" s="24" t="n">
        <v>45292</v>
      </c>
      <c r="D322" s="24" t="n">
        <v>45322</v>
      </c>
      <c r="E322" s="25" t="n">
        <v>31</v>
      </c>
      <c r="F322" s="319">
        <f>J321</f>
        <v/>
      </c>
      <c r="G322" s="319">
        <f>-PMT($J$290/$D$287,32,$F$321,,0)</f>
        <v/>
      </c>
      <c r="H322" s="319">
        <f>F322*$J$290/$D$287</f>
        <v/>
      </c>
      <c r="I322" s="319">
        <f>G322-H322</f>
        <v/>
      </c>
      <c r="J322" s="319">
        <f>F322-I322</f>
        <v/>
      </c>
      <c r="K322" s="516" t="n"/>
      <c r="L322" s="516" t="n"/>
    </row>
    <row r="323">
      <c r="B323" s="1" t="n">
        <v>31</v>
      </c>
      <c r="C323" s="24" t="n">
        <v>45323</v>
      </c>
      <c r="D323" s="24" t="n">
        <v>45351</v>
      </c>
      <c r="E323" s="25" t="n">
        <v>29</v>
      </c>
      <c r="F323" s="319">
        <f>J322</f>
        <v/>
      </c>
      <c r="G323" s="319">
        <f>-PMT($K$290/$D$287,30,$F$323,,0)</f>
        <v/>
      </c>
      <c r="H323" s="319">
        <f>F323*$K$290/$D$287</f>
        <v/>
      </c>
      <c r="I323" s="319">
        <f>G323-H323</f>
        <v/>
      </c>
      <c r="J323" s="319">
        <f>F323-I323</f>
        <v/>
      </c>
      <c r="K323" s="516" t="n"/>
      <c r="L323" s="516" t="n"/>
    </row>
    <row r="324">
      <c r="B324" s="1" t="n">
        <v>32</v>
      </c>
      <c r="C324" s="24" t="n">
        <v>45352</v>
      </c>
      <c r="D324" s="24" t="n">
        <v>45382</v>
      </c>
      <c r="E324" s="25" t="n">
        <v>31</v>
      </c>
      <c r="F324" s="319">
        <f>J323</f>
        <v/>
      </c>
      <c r="G324" s="319">
        <f>-PMT($K$290/$D$287,30,$F$323,,0)</f>
        <v/>
      </c>
      <c r="H324" s="319">
        <f>F324*$K$290/$D$287</f>
        <v/>
      </c>
      <c r="I324" s="319">
        <f>G324-H324</f>
        <v/>
      </c>
      <c r="J324" s="319">
        <f>F324-I324</f>
        <v/>
      </c>
      <c r="K324" s="516" t="n"/>
      <c r="L324" s="516" t="n"/>
    </row>
    <row r="325">
      <c r="B325" s="1" t="n">
        <v>33</v>
      </c>
      <c r="C325" s="24" t="n">
        <v>45383</v>
      </c>
      <c r="D325" s="24" t="n">
        <v>45412</v>
      </c>
      <c r="E325" s="25" t="n">
        <v>30</v>
      </c>
      <c r="F325" s="319">
        <f>J324</f>
        <v/>
      </c>
      <c r="G325" s="319">
        <f>-PMT($K$290/$D$287,30,$F$323,,0)</f>
        <v/>
      </c>
      <c r="H325" s="319">
        <f>F325*$K$290/$D$287</f>
        <v/>
      </c>
      <c r="I325" s="522">
        <f>G325-H325</f>
        <v/>
      </c>
      <c r="J325" s="319">
        <f>F325-I325</f>
        <v/>
      </c>
      <c r="K325" s="516" t="n">
        <v>50000000</v>
      </c>
      <c r="L325" s="516" t="n"/>
    </row>
    <row r="326">
      <c r="B326" s="1" t="n">
        <v>34</v>
      </c>
      <c r="C326" s="24" t="n">
        <v>45413</v>
      </c>
      <c r="D326" s="24" t="n">
        <v>45443</v>
      </c>
      <c r="E326" s="25" t="n">
        <v>31</v>
      </c>
      <c r="F326" s="319">
        <f>J325</f>
        <v/>
      </c>
      <c r="G326" s="319">
        <f>-PMT($L$290/$D$287,27,$F$326,,0)</f>
        <v/>
      </c>
      <c r="H326" s="319">
        <f>F326*$L$290/$D$287</f>
        <v/>
      </c>
      <c r="I326" s="319">
        <f>G326-H326</f>
        <v/>
      </c>
      <c r="J326" s="319">
        <f>F326-I326</f>
        <v/>
      </c>
      <c r="K326" s="516" t="n">
        <v>25000000</v>
      </c>
      <c r="L326" s="516" t="n"/>
    </row>
    <row r="327">
      <c r="B327" s="1" t="n">
        <v>35</v>
      </c>
      <c r="C327" s="24" t="n">
        <v>45444</v>
      </c>
      <c r="D327" s="24" t="n">
        <v>45473</v>
      </c>
      <c r="E327" s="25" t="n">
        <v>30</v>
      </c>
      <c r="F327" s="319">
        <f>J326</f>
        <v/>
      </c>
      <c r="G327" s="319">
        <f>-PMT($M$290/$D$287,26,$F$327,,0)</f>
        <v/>
      </c>
      <c r="H327" s="319">
        <f>F327*$M$290/$D$287</f>
        <v/>
      </c>
      <c r="I327" s="319">
        <f>G327-H327</f>
        <v/>
      </c>
      <c r="J327" s="319">
        <f>F327-I327</f>
        <v/>
      </c>
      <c r="K327" s="516" t="n"/>
      <c r="L327" s="516" t="n"/>
    </row>
    <row r="328">
      <c r="B328" s="1" t="n">
        <v>36</v>
      </c>
      <c r="C328" s="24" t="n">
        <v>45474</v>
      </c>
      <c r="D328" s="24" t="n">
        <v>45504</v>
      </c>
      <c r="E328" s="25" t="n">
        <v>31</v>
      </c>
      <c r="F328" s="319">
        <f>J327</f>
        <v/>
      </c>
      <c r="G328" s="319">
        <f>-PMT($N$290/$D$287,25,$F$328,,0)</f>
        <v/>
      </c>
      <c r="H328" s="319">
        <f>F328*$N$290/$D$287</f>
        <v/>
      </c>
      <c r="I328" s="319">
        <f>G328-H328</f>
        <v/>
      </c>
      <c r="J328" s="319">
        <f>F328-I328</f>
        <v/>
      </c>
      <c r="K328" s="516">
        <f>11900000+20000000</f>
        <v/>
      </c>
      <c r="L328" s="516">
        <f>L317-SUM(K325:K328)</f>
        <v/>
      </c>
    </row>
    <row r="329">
      <c r="B329" s="1" t="n">
        <v>37</v>
      </c>
      <c r="C329" s="24" t="n">
        <v>45505</v>
      </c>
      <c r="D329" s="24" t="n">
        <v>45535</v>
      </c>
      <c r="E329" s="25" t="n">
        <v>31</v>
      </c>
      <c r="F329" s="319">
        <f>J328</f>
        <v/>
      </c>
      <c r="G329" s="319">
        <f>-PMT($N$290/$D$287,25,$F$328,,0)</f>
        <v/>
      </c>
      <c r="H329" s="319">
        <f>F329*$N$290/$D$287</f>
        <v/>
      </c>
      <c r="I329" s="319">
        <f>G329-H329</f>
        <v/>
      </c>
      <c r="J329" s="319">
        <f>F329-I329</f>
        <v/>
      </c>
      <c r="K329" s="516" t="n"/>
      <c r="L329" s="517">
        <f>SUM(G318:G329)+L328</f>
        <v/>
      </c>
      <c r="M329" s="520" t="inlineStr">
        <is>
          <t>next due date</t>
        </is>
      </c>
    </row>
    <row r="330">
      <c r="B330" s="1" t="n">
        <v>38</v>
      </c>
      <c r="C330" s="24" t="n">
        <v>45536</v>
      </c>
      <c r="D330" s="24" t="n">
        <v>45565</v>
      </c>
      <c r="E330" s="25" t="n">
        <v>30</v>
      </c>
      <c r="F330" s="319">
        <f>J329</f>
        <v/>
      </c>
      <c r="G330" s="319">
        <f>-PMT($N$290/$D$287,25,$F$328,,0)</f>
        <v/>
      </c>
      <c r="H330" s="319">
        <f>F330*$N$290/$D$287</f>
        <v/>
      </c>
      <c r="I330" s="319">
        <f>G330-H330</f>
        <v/>
      </c>
      <c r="J330" s="319">
        <f>F330-I330</f>
        <v/>
      </c>
      <c r="K330" s="237" t="n">
        <v>31900000</v>
      </c>
      <c r="L330" s="516">
        <f>L329-K330</f>
        <v/>
      </c>
    </row>
    <row r="331">
      <c r="B331" s="1" t="n">
        <v>39</v>
      </c>
      <c r="C331" s="24" t="n">
        <v>45566</v>
      </c>
      <c r="D331" s="24" t="n">
        <v>45596</v>
      </c>
      <c r="E331" s="25" t="n">
        <v>31</v>
      </c>
      <c r="F331" s="319">
        <f>J330</f>
        <v/>
      </c>
      <c r="G331" s="319">
        <f>-PMT($N$290/$D$287,25,$F$328,,0)</f>
        <v/>
      </c>
      <c r="H331" s="319">
        <f>F331*$N$290/$D$287</f>
        <v/>
      </c>
      <c r="I331" s="319">
        <f>G331-H331</f>
        <v/>
      </c>
      <c r="J331" s="319">
        <f>F331-I331</f>
        <v/>
      </c>
      <c r="K331" s="516" t="n"/>
      <c r="L331" s="523">
        <f>L330-K331</f>
        <v/>
      </c>
    </row>
    <row r="332">
      <c r="B332" s="1" t="n">
        <v>40</v>
      </c>
      <c r="C332" s="24" t="n">
        <v>45597</v>
      </c>
      <c r="D332" s="24" t="n">
        <v>45626</v>
      </c>
      <c r="E332" s="25" t="n">
        <v>30</v>
      </c>
      <c r="F332" s="319">
        <f>J331</f>
        <v/>
      </c>
      <c r="G332" s="319">
        <f>-PMT($N$290/$D$287,25,$F$328,,0)</f>
        <v/>
      </c>
      <c r="H332" s="319">
        <f>F332*$N$290/$D$287</f>
        <v/>
      </c>
      <c r="I332" s="319">
        <f>G332-H332</f>
        <v/>
      </c>
      <c r="J332" s="319">
        <f>F332-I332</f>
        <v/>
      </c>
      <c r="K332" s="516" t="n"/>
      <c r="L332" s="516" t="n"/>
    </row>
    <row r="333">
      <c r="B333" s="1" t="n">
        <v>41</v>
      </c>
      <c r="C333" s="24" t="n">
        <v>45627</v>
      </c>
      <c r="D333" s="24" t="n">
        <v>45657</v>
      </c>
      <c r="E333" s="25" t="n">
        <v>31</v>
      </c>
      <c r="F333" s="319">
        <f>J332</f>
        <v/>
      </c>
      <c r="G333" s="319">
        <f>-PMT($N$290/$D$287,25,$F$328,,0)</f>
        <v/>
      </c>
      <c r="H333" s="319">
        <f>F333*$N$290/$D$287</f>
        <v/>
      </c>
      <c r="I333" s="319">
        <f>G333-H333</f>
        <v/>
      </c>
      <c r="J333" s="319">
        <f>F333-I333</f>
        <v/>
      </c>
      <c r="K333" s="516" t="n"/>
      <c r="L333" s="516" t="n"/>
    </row>
    <row r="334">
      <c r="B334" s="1" t="n">
        <v>42</v>
      </c>
      <c r="C334" s="24" t="n">
        <v>45658</v>
      </c>
      <c r="D334" s="24" t="n">
        <v>45688</v>
      </c>
      <c r="E334" s="25" t="n">
        <v>31</v>
      </c>
      <c r="F334" s="319">
        <f>J333</f>
        <v/>
      </c>
      <c r="G334" s="319">
        <f>-PMT($N$290/$D$287,25,$F$328,,0)</f>
        <v/>
      </c>
      <c r="H334" s="319">
        <f>F334*$N$290/$D$287</f>
        <v/>
      </c>
      <c r="I334" s="319">
        <f>G334-H334</f>
        <v/>
      </c>
      <c r="J334" s="319">
        <f>F334-I334</f>
        <v/>
      </c>
      <c r="K334" s="516" t="n"/>
      <c r="L334" s="516" t="n"/>
    </row>
    <row r="335">
      <c r="B335" s="1" t="n">
        <v>43</v>
      </c>
      <c r="C335" s="24" t="n">
        <v>45689</v>
      </c>
      <c r="D335" s="24" t="n">
        <v>45716</v>
      </c>
      <c r="E335" s="25" t="n">
        <v>28</v>
      </c>
      <c r="F335" s="319">
        <f>J334</f>
        <v/>
      </c>
      <c r="G335" s="319">
        <f>-PMT($N$290/$D$287,25,$F$328,,0)</f>
        <v/>
      </c>
      <c r="H335" s="319">
        <f>F335*$N$290/$D$287</f>
        <v/>
      </c>
      <c r="I335" s="319">
        <f>G335-H335</f>
        <v/>
      </c>
      <c r="J335" s="319">
        <f>F335-I335</f>
        <v/>
      </c>
      <c r="K335" s="516" t="n"/>
      <c r="L335" s="516" t="n"/>
    </row>
    <row r="336">
      <c r="B336" s="1" t="n">
        <v>44</v>
      </c>
      <c r="C336" s="24" t="n">
        <v>45717</v>
      </c>
      <c r="D336" s="24" t="n">
        <v>45747</v>
      </c>
      <c r="E336" s="25" t="n">
        <v>31</v>
      </c>
      <c r="F336" s="319">
        <f>J335</f>
        <v/>
      </c>
      <c r="G336" s="319">
        <f>-PMT($N$290/$D$287,25,$F$328,,0)</f>
        <v/>
      </c>
      <c r="H336" s="319">
        <f>F336*$N$290/$D$287</f>
        <v/>
      </c>
      <c r="I336" s="319">
        <f>G336-H336</f>
        <v/>
      </c>
      <c r="J336" s="319">
        <f>F336-I336</f>
        <v/>
      </c>
      <c r="K336" s="516" t="n"/>
      <c r="L336" s="516" t="n"/>
    </row>
    <row r="337">
      <c r="B337" s="1" t="n">
        <v>45</v>
      </c>
      <c r="C337" s="24" t="n">
        <v>45748</v>
      </c>
      <c r="D337" s="24" t="n">
        <v>45777</v>
      </c>
      <c r="E337" s="25" t="n">
        <v>30</v>
      </c>
      <c r="F337" s="319">
        <f>J336</f>
        <v/>
      </c>
      <c r="G337" s="319">
        <f>-PMT($N$290/$D$287,25,$F$328,,0)</f>
        <v/>
      </c>
      <c r="H337" s="319">
        <f>F337*$N$290/$D$287</f>
        <v/>
      </c>
      <c r="I337" s="319">
        <f>G337-H337</f>
        <v/>
      </c>
      <c r="J337" s="319">
        <f>F337-I337</f>
        <v/>
      </c>
      <c r="K337" s="516" t="n"/>
      <c r="L337" s="516" t="n"/>
    </row>
    <row r="338">
      <c r="B338" s="1" t="n">
        <v>46</v>
      </c>
      <c r="C338" s="24" t="n">
        <v>45778</v>
      </c>
      <c r="D338" s="24" t="n">
        <v>45808</v>
      </c>
      <c r="E338" s="25" t="n">
        <v>31</v>
      </c>
      <c r="F338" s="319">
        <f>J337</f>
        <v/>
      </c>
      <c r="G338" s="319">
        <f>-PMT($N$290/$D$287,25,$F$328,,0)</f>
        <v/>
      </c>
      <c r="H338" s="319">
        <f>F338*$N$290/$D$287</f>
        <v/>
      </c>
      <c r="I338" s="319">
        <f>G338-H338</f>
        <v/>
      </c>
      <c r="J338" s="319">
        <f>F338-I338</f>
        <v/>
      </c>
      <c r="K338" s="516" t="n"/>
      <c r="L338" s="516" t="n"/>
    </row>
    <row r="339">
      <c r="B339" s="1" t="n">
        <v>47</v>
      </c>
      <c r="C339" s="24" t="n">
        <v>45809</v>
      </c>
      <c r="D339" s="24" t="n">
        <v>45838</v>
      </c>
      <c r="E339" s="25" t="n">
        <v>30</v>
      </c>
      <c r="F339" s="319">
        <f>J338</f>
        <v/>
      </c>
      <c r="G339" s="319">
        <f>-PMT($N$290/$D$287,25,$F$328,,0)</f>
        <v/>
      </c>
      <c r="H339" s="319">
        <f>F339*$N$290/$D$287</f>
        <v/>
      </c>
      <c r="I339" s="319">
        <f>G339-H339</f>
        <v/>
      </c>
      <c r="J339" s="319">
        <f>F339-I339</f>
        <v/>
      </c>
      <c r="K339" s="516" t="n"/>
      <c r="L339" s="516" t="n"/>
    </row>
    <row r="340">
      <c r="B340" s="1" t="n">
        <v>48</v>
      </c>
      <c r="C340" s="24" t="n">
        <v>45839</v>
      </c>
      <c r="D340" s="24" t="n">
        <v>45869</v>
      </c>
      <c r="E340" s="25" t="n">
        <v>31</v>
      </c>
      <c r="F340" s="319">
        <f>J339</f>
        <v/>
      </c>
      <c r="G340" s="319">
        <f>-PMT($N$290/$D$287,25,$F$328,,0)</f>
        <v/>
      </c>
      <c r="H340" s="319">
        <f>F340*$N$290/$D$287</f>
        <v/>
      </c>
      <c r="I340" s="319">
        <f>G340-H340</f>
        <v/>
      </c>
      <c r="J340" s="319">
        <f>F340-I340</f>
        <v/>
      </c>
      <c r="K340" s="516" t="n"/>
      <c r="L340" s="516" t="n"/>
    </row>
    <row r="341" ht="14.5" customHeight="1">
      <c r="B341" s="1" t="n">
        <v>49</v>
      </c>
      <c r="C341" s="24" t="n">
        <v>45870</v>
      </c>
      <c r="D341" s="24" t="n">
        <v>45900</v>
      </c>
      <c r="E341" s="25" t="n">
        <v>31</v>
      </c>
      <c r="F341" s="319">
        <f>J340</f>
        <v/>
      </c>
      <c r="G341" s="319">
        <f>-PMT($N$290/$D$287,25,$F$328,,0)</f>
        <v/>
      </c>
      <c r="H341" s="319">
        <f>F341*$N$290/$D$287</f>
        <v/>
      </c>
      <c r="I341" s="319">
        <f>G341-H341</f>
        <v/>
      </c>
      <c r="J341" s="319">
        <f>F341-I341</f>
        <v/>
      </c>
    </row>
    <row r="342" ht="14.5" customHeight="1">
      <c r="B342" s="1" t="n">
        <v>50</v>
      </c>
      <c r="C342" s="24" t="n">
        <v>45901</v>
      </c>
      <c r="D342" s="24" t="n">
        <v>45930</v>
      </c>
      <c r="E342" s="25" t="n">
        <v>30</v>
      </c>
      <c r="F342" s="319">
        <f>J341</f>
        <v/>
      </c>
      <c r="G342" s="319">
        <f>-PMT($N$290/$D$287,25,$F$328,,0)</f>
        <v/>
      </c>
      <c r="H342" s="319">
        <f>F342*$N$290/$D$287</f>
        <v/>
      </c>
      <c r="I342" s="319">
        <f>G342-H342</f>
        <v/>
      </c>
      <c r="J342" s="319">
        <f>F342-I342</f>
        <v/>
      </c>
    </row>
    <row r="343" ht="14.5" customHeight="1">
      <c r="B343" s="1" t="n">
        <v>51</v>
      </c>
      <c r="C343" s="24" t="n">
        <v>45931</v>
      </c>
      <c r="D343" s="24" t="n">
        <v>45961</v>
      </c>
      <c r="E343" s="25" t="n">
        <v>31</v>
      </c>
      <c r="F343" s="319">
        <f>J342</f>
        <v/>
      </c>
      <c r="G343" s="319">
        <f>-PMT($N$290/$D$287,25,$F$328,,0)</f>
        <v/>
      </c>
      <c r="H343" s="319">
        <f>F343*$N$290/$D$287</f>
        <v/>
      </c>
      <c r="I343" s="319">
        <f>G343-H343</f>
        <v/>
      </c>
      <c r="J343" s="319">
        <f>F343-I343</f>
        <v/>
      </c>
      <c r="L343" s="516" t="n"/>
    </row>
    <row r="344" ht="14.5" customHeight="1">
      <c r="B344" s="1" t="n">
        <v>52</v>
      </c>
      <c r="C344" s="24" t="n">
        <v>45962</v>
      </c>
      <c r="D344" s="24" t="n">
        <v>45991</v>
      </c>
      <c r="E344" s="25" t="n">
        <v>30</v>
      </c>
      <c r="F344" s="319">
        <f>J343</f>
        <v/>
      </c>
      <c r="G344" s="319">
        <f>-PMT($N$290/$D$287,25,$F$328,,0)</f>
        <v/>
      </c>
      <c r="H344" s="319">
        <f>F344*$N$290/$D$287</f>
        <v/>
      </c>
      <c r="I344" s="319">
        <f>G344-H344</f>
        <v/>
      </c>
      <c r="J344" s="319">
        <f>F344-I344</f>
        <v/>
      </c>
      <c r="L344" s="516" t="n"/>
    </row>
    <row r="345" ht="14.5" customHeight="1">
      <c r="B345" s="1" t="n">
        <v>53</v>
      </c>
      <c r="C345" s="24" t="n">
        <v>45992</v>
      </c>
      <c r="D345" s="24" t="n">
        <v>46022</v>
      </c>
      <c r="E345" s="25" t="n">
        <v>31</v>
      </c>
      <c r="F345" s="319">
        <f>J344</f>
        <v/>
      </c>
      <c r="G345" s="319">
        <f>-PMT($N$290/$D$287,25,$F$328,,0)</f>
        <v/>
      </c>
      <c r="H345" s="319">
        <f>F345*$N$290/$D$287</f>
        <v/>
      </c>
      <c r="I345" s="319">
        <f>G345-H345</f>
        <v/>
      </c>
      <c r="J345" s="319">
        <f>F345-I345</f>
        <v/>
      </c>
      <c r="L345" s="516" t="n"/>
    </row>
    <row r="346" ht="14.5" customHeight="1">
      <c r="B346" s="1" t="n">
        <v>54</v>
      </c>
      <c r="C346" s="24" t="n">
        <v>46023</v>
      </c>
      <c r="D346" s="24" t="n">
        <v>46053</v>
      </c>
      <c r="E346" s="25" t="n">
        <v>31</v>
      </c>
      <c r="F346" s="319">
        <f>J345</f>
        <v/>
      </c>
      <c r="G346" s="319">
        <f>-PMT($N$290/$D$287,25,$F$328,,0)</f>
        <v/>
      </c>
      <c r="H346" s="319">
        <f>F346*$N$290/$D$287</f>
        <v/>
      </c>
      <c r="I346" s="319">
        <f>G346-H346</f>
        <v/>
      </c>
      <c r="J346" s="319">
        <f>F346-I346</f>
        <v/>
      </c>
      <c r="L346" s="516" t="n"/>
    </row>
    <row r="347" ht="14.5" customHeight="1">
      <c r="B347" s="1" t="n">
        <v>55</v>
      </c>
      <c r="C347" s="24" t="n">
        <v>46054</v>
      </c>
      <c r="D347" s="24" t="n">
        <v>46081</v>
      </c>
      <c r="E347" s="25" t="n">
        <v>28</v>
      </c>
      <c r="F347" s="319">
        <f>J346</f>
        <v/>
      </c>
      <c r="G347" s="319">
        <f>-PMT($N$290/$D$287,25,$F$328,,0)</f>
        <v/>
      </c>
      <c r="H347" s="319">
        <f>F347*$N$290/$D$287</f>
        <v/>
      </c>
      <c r="I347" s="319">
        <f>G347-H347</f>
        <v/>
      </c>
      <c r="J347" s="319">
        <f>F347-I347</f>
        <v/>
      </c>
      <c r="L347" s="516" t="n"/>
    </row>
    <row r="348" ht="14.5" customHeight="1">
      <c r="B348" s="1" t="n">
        <v>56</v>
      </c>
      <c r="C348" s="24" t="n">
        <v>46082</v>
      </c>
      <c r="D348" s="24" t="n">
        <v>46112</v>
      </c>
      <c r="E348" s="25" t="n">
        <v>31</v>
      </c>
      <c r="F348" s="319">
        <f>J347</f>
        <v/>
      </c>
      <c r="G348" s="319">
        <f>-PMT($N$290/$D$287,25,$F$328,,0)</f>
        <v/>
      </c>
      <c r="H348" s="319">
        <f>F348*$N$290/$D$287</f>
        <v/>
      </c>
      <c r="I348" s="319">
        <f>G348-H348</f>
        <v/>
      </c>
      <c r="J348" s="319">
        <f>F348-I348</f>
        <v/>
      </c>
      <c r="L348" s="516" t="n"/>
    </row>
    <row r="349" ht="14.5" customHeight="1">
      <c r="B349" s="1" t="n">
        <v>57</v>
      </c>
      <c r="C349" s="24" t="n">
        <v>46113</v>
      </c>
      <c r="D349" s="24" t="n">
        <v>46142</v>
      </c>
      <c r="E349" s="25" t="n">
        <v>30</v>
      </c>
      <c r="F349" s="319">
        <f>J348</f>
        <v/>
      </c>
      <c r="G349" s="319">
        <f>-PMT($N$290/$D$287,25,$F$328,,0)</f>
        <v/>
      </c>
      <c r="H349" s="319">
        <f>F349*$N$290/$D$287</f>
        <v/>
      </c>
      <c r="I349" s="319">
        <f>G349-H349</f>
        <v/>
      </c>
      <c r="J349" s="319">
        <f>F349-I349</f>
        <v/>
      </c>
      <c r="L349" s="516" t="n"/>
    </row>
    <row r="350" ht="14.5" customHeight="1">
      <c r="B350" s="1" t="n">
        <v>58</v>
      </c>
      <c r="C350" s="24" t="n">
        <v>46143</v>
      </c>
      <c r="D350" s="24" t="n">
        <v>46173</v>
      </c>
      <c r="E350" s="25" t="n">
        <v>31</v>
      </c>
      <c r="F350" s="319">
        <f>J349</f>
        <v/>
      </c>
      <c r="G350" s="319">
        <f>-PMT($N$290/$D$287,25,$F$328,,0)</f>
        <v/>
      </c>
      <c r="H350" s="319">
        <f>F350*$N$290/$D$287</f>
        <v/>
      </c>
      <c r="I350" s="319">
        <f>G350-H350</f>
        <v/>
      </c>
      <c r="J350" s="319">
        <f>F350-I350</f>
        <v/>
      </c>
      <c r="L350" s="516" t="n"/>
    </row>
    <row r="351">
      <c r="B351" s="1" t="n">
        <v>59</v>
      </c>
      <c r="C351" s="24" t="n">
        <v>46174</v>
      </c>
      <c r="D351" s="24" t="n">
        <v>46203</v>
      </c>
      <c r="E351" s="25" t="n">
        <v>30</v>
      </c>
      <c r="F351" s="319">
        <f>J350</f>
        <v/>
      </c>
      <c r="G351" s="319">
        <f>-PMT($N$290/$D$287,25,$F$328,,0)</f>
        <v/>
      </c>
      <c r="H351" s="319">
        <f>F351*$N$290/$D$287</f>
        <v/>
      </c>
      <c r="I351" s="319">
        <f>G351-H351</f>
        <v/>
      </c>
      <c r="J351" s="319">
        <f>F351-I351</f>
        <v/>
      </c>
      <c r="K351" s="148" t="n"/>
      <c r="L351" s="516" t="n"/>
    </row>
    <row r="352" ht="14.5" customHeight="1">
      <c r="B352" s="1" t="n">
        <v>60</v>
      </c>
      <c r="C352" s="24" t="n">
        <v>46204</v>
      </c>
      <c r="D352" s="24" t="n">
        <v>46234</v>
      </c>
      <c r="E352" s="25" t="n">
        <v>31</v>
      </c>
      <c r="F352" s="319">
        <f>J351</f>
        <v/>
      </c>
      <c r="G352" s="319">
        <f>-PMT($N$290/$D$287,25,$F$328,,0)</f>
        <v/>
      </c>
      <c r="H352" s="319">
        <f>F352*$N$290/$D$287</f>
        <v/>
      </c>
      <c r="I352" s="319">
        <f>G352-H352</f>
        <v/>
      </c>
      <c r="J352" s="319">
        <f>F352-I352</f>
        <v/>
      </c>
      <c r="L352" s="516" t="n"/>
    </row>
    <row r="353">
      <c r="B353" s="1" t="n"/>
      <c r="C353" s="24" t="n"/>
      <c r="D353" s="24" t="n"/>
      <c r="E353" s="25" t="n"/>
      <c r="F353" s="319" t="n"/>
      <c r="G353" s="319" t="n"/>
      <c r="H353" s="319" t="n"/>
      <c r="I353" s="319" t="n"/>
      <c r="J353" s="319" t="n"/>
      <c r="K353" s="516" t="n"/>
      <c r="L353" s="516" t="n"/>
    </row>
    <row r="354">
      <c r="B354" s="1" t="n"/>
      <c r="C354" s="1" t="n"/>
      <c r="D354" s="1" t="n"/>
      <c r="E354" s="30">
        <f>SUM(E293:E352)</f>
        <v/>
      </c>
      <c r="F354" s="319" t="n"/>
      <c r="G354" s="319" t="n"/>
      <c r="H354" s="319" t="n"/>
      <c r="I354" s="319" t="n"/>
      <c r="J354" s="319" t="n"/>
      <c r="K354" s="1" t="n"/>
      <c r="L354" s="1" t="n"/>
    </row>
    <row r="357">
      <c r="B357" s="1" t="n"/>
      <c r="C357" s="9" t="inlineStr">
        <is>
          <t>Nsanama Women Cassava Cooperative</t>
        </is>
      </c>
      <c r="D357" s="319" t="n"/>
      <c r="E357" s="319" t="n"/>
      <c r="F357" s="319" t="n"/>
      <c r="G357" s="319" t="n"/>
      <c r="H357" s="319" t="n"/>
      <c r="I357" s="290" t="inlineStr">
        <is>
          <t>13.9 to 16.6%</t>
        </is>
      </c>
      <c r="J357" s="319" t="n"/>
      <c r="K357" s="319" t="n"/>
      <c r="L357" s="319" t="n"/>
      <c r="R357" s="514" t="inlineStr">
        <is>
          <t>E-Banker account (Dupleix)</t>
        </is>
      </c>
      <c r="S357" s="495">
        <f>IFERROR(INDEX('Blocks'!$I$2:$I$101,MATCH(6,'Blocks'!$A$2:$A$101,0)),"")</f>
        <v/>
      </c>
    </row>
    <row r="358">
      <c r="B358" s="1" t="n"/>
      <c r="C358" s="1" t="n"/>
      <c r="D358" s="319" t="n"/>
      <c r="E358" s="319" t="n"/>
      <c r="F358" s="319" t="inlineStr">
        <is>
          <t>Effective 01 May 2022</t>
        </is>
      </c>
      <c r="G358" s="319" t="n"/>
      <c r="H358" s="290" t="n">
        <v>44805</v>
      </c>
      <c r="I358" s="290" t="n">
        <v>44866</v>
      </c>
      <c r="J358" s="319" t="n"/>
      <c r="K358" s="319" t="n"/>
      <c r="L358" s="319" t="n"/>
      <c r="R358" s="514" t="inlineStr">
        <is>
          <t>Facility (Loan Book)</t>
        </is>
      </c>
      <c r="S358" s="495">
        <f>IFERROR(INDEX('Blocks'!$H$2:$H$101,MATCH(6,'Blocks'!$A$2:$A$101,0)),"")</f>
        <v/>
      </c>
    </row>
    <row r="359">
      <c r="B359" s="1" t="n"/>
      <c r="C359" s="10" t="inlineStr">
        <is>
          <t>Principal (MK)</t>
        </is>
      </c>
      <c r="D359" s="11">
        <f>'[3]J11B-Term Loans - Pmts Summ'!H10</f>
        <v/>
      </c>
      <c r="E359" s="319" t="n"/>
      <c r="F359" s="291" t="inlineStr">
        <is>
          <t>Principal (MK)</t>
        </is>
      </c>
      <c r="G359" s="11" t="n">
        <v>4486895.449462947</v>
      </c>
      <c r="H359" s="290" t="inlineStr">
        <is>
          <t>Rate Adj</t>
        </is>
      </c>
      <c r="I359" s="290" t="inlineStr">
        <is>
          <t>Rate Adj</t>
        </is>
      </c>
      <c r="J359" s="319" t="n"/>
      <c r="K359" s="319" t="n"/>
      <c r="L359" s="319" t="n"/>
      <c r="R359" s="514" t="inlineStr">
        <is>
          <t>Take-on posting 31 Jul 2024</t>
        </is>
      </c>
      <c r="S359" s="496">
        <f>IFERROR(INDEX('E-Banker master'!$N$2:$N$186,MATCH(S357,'E-Banker master'!$A$2:$A$186,0)),"")</f>
        <v/>
      </c>
    </row>
    <row r="360">
      <c r="B360" s="1" t="n"/>
      <c r="C360" s="13" t="inlineStr">
        <is>
          <t>Rate</t>
        </is>
      </c>
      <c r="D360" s="14" t="n">
        <v>0.1982</v>
      </c>
      <c r="E360" s="257" t="n"/>
      <c r="F360" s="292" t="inlineStr">
        <is>
          <t>Rate</t>
        </is>
      </c>
      <c r="G360" s="296" t="n">
        <v>0.2002</v>
      </c>
      <c r="H360" s="319">
        <f>G360+0.4%</f>
        <v/>
      </c>
      <c r="I360" s="319">
        <f>H360+2.7%</f>
        <v/>
      </c>
      <c r="J360" s="319" t="n"/>
      <c r="K360" s="319" t="n"/>
      <c r="L360" s="319" t="n"/>
      <c r="R360" s="514" t="inlineStr">
        <is>
          <t>E-Banker balance 31 Oct 2024</t>
        </is>
      </c>
      <c r="S360" s="496">
        <f>IFERROR(INDEX('E-Banker master'!$P$2:$P$186,MATCH(S357,'E-Banker master'!$A$2:$A$186,0)),"")</f>
        <v/>
      </c>
    </row>
    <row r="361">
      <c r="B361" s="1" t="n"/>
      <c r="C361" s="13" t="inlineStr">
        <is>
          <t>n</t>
        </is>
      </c>
      <c r="D361" s="16" t="n">
        <v>2</v>
      </c>
      <c r="E361" s="1" t="n"/>
      <c r="F361" s="292" t="inlineStr">
        <is>
          <t>n</t>
        </is>
      </c>
      <c r="G361" s="296" t="n">
        <v>2</v>
      </c>
      <c r="H361" s="319" t="n"/>
      <c r="I361" s="319" t="n"/>
      <c r="J361" s="319" t="n"/>
      <c r="K361" s="1" t="n"/>
      <c r="L361" s="1" t="n"/>
    </row>
    <row r="362">
      <c r="B362" s="1" t="n"/>
      <c r="C362" s="13" t="inlineStr">
        <is>
          <t>Per</t>
        </is>
      </c>
      <c r="D362" s="16" t="n">
        <v>12</v>
      </c>
      <c r="E362" s="1" t="n"/>
      <c r="F362" s="292" t="inlineStr">
        <is>
          <t>Per</t>
        </is>
      </c>
      <c r="G362" s="296" t="n">
        <v>12</v>
      </c>
      <c r="H362" s="319" t="n"/>
      <c r="I362" s="319">
        <f>+G360-D360</f>
        <v/>
      </c>
      <c r="J362" s="319" t="n"/>
      <c r="K362" s="1" t="n"/>
      <c r="L362" s="1" t="n"/>
    </row>
    <row r="363">
      <c r="B363" s="1" t="n"/>
      <c r="C363" s="13" t="inlineStr">
        <is>
          <t>nPer</t>
        </is>
      </c>
      <c r="D363" s="515">
        <f>D361*D362</f>
        <v/>
      </c>
      <c r="E363" s="1" t="n"/>
      <c r="F363" s="292" t="inlineStr">
        <is>
          <t>nPer</t>
        </is>
      </c>
      <c r="G363" s="296" t="n">
        <v>7</v>
      </c>
      <c r="H363" s="319" t="n"/>
      <c r="I363" s="319" t="n"/>
      <c r="J363" s="319" t="n"/>
      <c r="K363" s="1" t="n"/>
      <c r="L363" s="1" t="n"/>
    </row>
    <row r="364">
      <c r="B364" s="1" t="n"/>
      <c r="C364" s="13" t="inlineStr">
        <is>
          <t>Days in a year</t>
        </is>
      </c>
      <c r="D364" s="18" t="n">
        <v>365</v>
      </c>
      <c r="E364" s="1" t="n"/>
      <c r="F364" s="292" t="inlineStr">
        <is>
          <t>Days in a year</t>
        </is>
      </c>
      <c r="G364" s="296" t="n">
        <v>365</v>
      </c>
      <c r="H364" s="319" t="n"/>
      <c r="I364" s="319" t="n"/>
      <c r="J364" s="319" t="n"/>
      <c r="K364" s="1" t="n"/>
      <c r="L364" s="1" t="n"/>
    </row>
    <row r="365">
      <c r="B365" s="1" t="n"/>
      <c r="C365" s="19" t="inlineStr">
        <is>
          <t>Pmt (MK)</t>
        </is>
      </c>
      <c r="D365" s="20">
        <f>-PMT(D360/D362,D363,D359,0,0)</f>
        <v/>
      </c>
      <c r="E365" s="319" t="n"/>
      <c r="F365" s="293" t="inlineStr">
        <is>
          <t>Pmt (MK)</t>
        </is>
      </c>
      <c r="G365" s="20">
        <f>-PMT(G360/G362,G363,G359,0,0)</f>
        <v/>
      </c>
      <c r="H365" s="319" t="n"/>
      <c r="I365" s="319" t="n"/>
      <c r="J365" s="319" t="n"/>
      <c r="K365" s="1" t="n"/>
      <c r="L365" s="1" t="n"/>
    </row>
    <row r="366">
      <c r="B366" s="1" t="n"/>
      <c r="C366" s="1" t="n"/>
      <c r="D366" s="319" t="n"/>
      <c r="E366" s="319" t="n"/>
      <c r="F366" s="319" t="n"/>
      <c r="G366" s="319" t="n"/>
      <c r="H366" s="319" t="n"/>
      <c r="I366" s="319" t="n"/>
      <c r="J366" s="319" t="n"/>
      <c r="K366" s="1" t="n"/>
      <c r="L366" s="1" t="n"/>
    </row>
    <row r="367">
      <c r="B367" s="1" t="n"/>
      <c r="C367" s="21" t="inlineStr">
        <is>
          <t>Period Start</t>
        </is>
      </c>
      <c r="D367" s="22" t="inlineStr">
        <is>
          <t>Period End</t>
        </is>
      </c>
      <c r="E367" s="22" t="inlineStr">
        <is>
          <t>Days</t>
        </is>
      </c>
      <c r="F367" s="294" t="inlineStr">
        <is>
          <t>Opening bal.</t>
        </is>
      </c>
      <c r="G367" s="294" t="inlineStr">
        <is>
          <t>Pmt</t>
        </is>
      </c>
      <c r="H367" s="294" t="inlineStr">
        <is>
          <t>Interest</t>
        </is>
      </c>
      <c r="I367" s="294" t="inlineStr">
        <is>
          <t>Principal</t>
        </is>
      </c>
      <c r="J367" s="294" t="inlineStr">
        <is>
          <t>Closing balance</t>
        </is>
      </c>
      <c r="K367" s="23" t="inlineStr">
        <is>
          <t>Amount Repaid</t>
        </is>
      </c>
      <c r="L367" s="23" t="inlineStr">
        <is>
          <t>Accumulated Arrears</t>
        </is>
      </c>
    </row>
    <row r="368">
      <c r="B368" s="1" t="n">
        <v>1</v>
      </c>
      <c r="C368" s="24" t="n">
        <v>44076</v>
      </c>
      <c r="D368" s="24" t="n">
        <v>44104</v>
      </c>
      <c r="E368" s="25">
        <f>D368-C368+1</f>
        <v/>
      </c>
      <c r="F368" s="319">
        <f>D359</f>
        <v/>
      </c>
      <c r="G368" s="319" t="n">
        <v>0</v>
      </c>
      <c r="H368" s="319">
        <f>$D$360/$D$362*F368*28/30</f>
        <v/>
      </c>
      <c r="I368" s="319" t="n">
        <v>0</v>
      </c>
      <c r="J368" s="319">
        <f>F368-I368</f>
        <v/>
      </c>
      <c r="K368" s="516" t="n">
        <v>0</v>
      </c>
      <c r="L368" s="516">
        <f>H368-K368</f>
        <v/>
      </c>
    </row>
    <row r="369">
      <c r="B369" s="1" t="n">
        <v>2</v>
      </c>
      <c r="C369" s="24" t="n">
        <v>44105</v>
      </c>
      <c r="D369" s="24" t="n">
        <v>44135</v>
      </c>
      <c r="E369" s="25">
        <f>D369-C369+1</f>
        <v/>
      </c>
      <c r="F369" s="319">
        <f>J368</f>
        <v/>
      </c>
      <c r="G369" s="319" t="n">
        <v>0</v>
      </c>
      <c r="H369" s="319">
        <f>$D$360/$D$362*F369</f>
        <v/>
      </c>
      <c r="I369" s="319" t="n">
        <v>0</v>
      </c>
      <c r="J369" s="319">
        <f>F369-I369</f>
        <v/>
      </c>
      <c r="K369" s="516" t="n">
        <v>0</v>
      </c>
      <c r="L369" s="516">
        <f>H369-K369+L368</f>
        <v/>
      </c>
    </row>
    <row r="370">
      <c r="B370" s="1" t="n">
        <v>3</v>
      </c>
      <c r="C370" s="24" t="n">
        <v>44136</v>
      </c>
      <c r="D370" s="24" t="n">
        <v>44165</v>
      </c>
      <c r="E370" s="25">
        <f>D370-C370+1</f>
        <v/>
      </c>
      <c r="F370" s="319">
        <f>J369</f>
        <v/>
      </c>
      <c r="G370" s="319" t="n">
        <v>0</v>
      </c>
      <c r="H370" s="319">
        <f>$D$360/$D$362*F370</f>
        <v/>
      </c>
      <c r="I370" s="319" t="n">
        <v>0</v>
      </c>
      <c r="J370" s="319">
        <f>F370-I370</f>
        <v/>
      </c>
      <c r="K370" s="516" t="n">
        <v>0</v>
      </c>
      <c r="L370" s="516">
        <f>H370-K370+L369</f>
        <v/>
      </c>
    </row>
    <row r="371">
      <c r="B371" s="1" t="n">
        <v>4</v>
      </c>
      <c r="C371" s="24" t="n">
        <v>44166</v>
      </c>
      <c r="D371" s="24" t="n">
        <v>44196</v>
      </c>
      <c r="E371" s="25">
        <f>D371-C371+1</f>
        <v/>
      </c>
      <c r="F371" s="319">
        <f>J370</f>
        <v/>
      </c>
      <c r="G371" s="319" t="n">
        <v>0</v>
      </c>
      <c r="H371" s="319">
        <f>$D$360/$D$362*F371</f>
        <v/>
      </c>
      <c r="I371" s="319" t="n">
        <v>0</v>
      </c>
      <c r="J371" s="319">
        <f>F371-I371</f>
        <v/>
      </c>
      <c r="K371" s="516" t="n">
        <v>600000</v>
      </c>
      <c r="L371" s="516">
        <f>H371-K371+L370</f>
        <v/>
      </c>
    </row>
    <row r="372">
      <c r="B372" s="1" t="n">
        <v>5</v>
      </c>
      <c r="C372" s="24" t="n">
        <v>44197</v>
      </c>
      <c r="D372" s="24" t="n">
        <v>44227</v>
      </c>
      <c r="E372" s="25">
        <f>D372-C372+1</f>
        <v/>
      </c>
      <c r="F372" s="319">
        <f>J371</f>
        <v/>
      </c>
      <c r="G372" s="319" t="n">
        <v>0</v>
      </c>
      <c r="H372" s="319">
        <f>$D$360/$D$362*F372</f>
        <v/>
      </c>
      <c r="I372" s="319" t="n">
        <v>0</v>
      </c>
      <c r="J372" s="319">
        <f>F372-I372</f>
        <v/>
      </c>
      <c r="K372" s="516" t="n">
        <v>0</v>
      </c>
      <c r="L372" s="516">
        <f>H372-K372+L371</f>
        <v/>
      </c>
    </row>
    <row r="373">
      <c r="B373" s="1" t="n">
        <v>6</v>
      </c>
      <c r="C373" s="24" t="n">
        <v>44228</v>
      </c>
      <c r="D373" s="24" t="n">
        <v>44255</v>
      </c>
      <c r="E373" s="25">
        <f>D373-C373+1</f>
        <v/>
      </c>
      <c r="F373" s="319">
        <f>J372</f>
        <v/>
      </c>
      <c r="G373" s="319" t="n">
        <v>0</v>
      </c>
      <c r="H373" s="319">
        <f>$D$360/$D$362*F373</f>
        <v/>
      </c>
      <c r="I373" s="319" t="n">
        <v>0</v>
      </c>
      <c r="J373" s="319">
        <f>F373-I373</f>
        <v/>
      </c>
      <c r="K373" s="516" t="n">
        <v>400000</v>
      </c>
      <c r="L373" s="516">
        <f>H373-K373+L372</f>
        <v/>
      </c>
    </row>
    <row r="374">
      <c r="B374" s="1" t="n">
        <v>7</v>
      </c>
      <c r="C374" s="24" t="n">
        <v>44256</v>
      </c>
      <c r="D374" s="24" t="n">
        <v>44286</v>
      </c>
      <c r="E374" s="25">
        <f>D374-C374+1</f>
        <v/>
      </c>
      <c r="F374" s="319">
        <f>J373</f>
        <v/>
      </c>
      <c r="G374" s="319">
        <f>-PMT($D$360/$D$362,21,$F$371,,0)</f>
        <v/>
      </c>
      <c r="H374" s="319">
        <f>$D$360/$D$362*F374</f>
        <v/>
      </c>
      <c r="I374" s="319">
        <f>G374-H374</f>
        <v/>
      </c>
      <c r="J374" s="319">
        <f>F374-I374</f>
        <v/>
      </c>
      <c r="K374" s="516" t="n">
        <v>200000</v>
      </c>
      <c r="L374" s="516">
        <f>G374-K374+L373</f>
        <v/>
      </c>
    </row>
    <row r="375">
      <c r="B375" s="1" t="n">
        <v>8</v>
      </c>
      <c r="C375" s="24" t="n">
        <v>44287</v>
      </c>
      <c r="D375" s="24" t="n">
        <v>44316</v>
      </c>
      <c r="E375" s="25">
        <f>D375-C375+1</f>
        <v/>
      </c>
      <c r="F375" s="319">
        <f>J374</f>
        <v/>
      </c>
      <c r="G375" s="319">
        <f>-PMT($D$360/$D$362,21,$F$371,,0)</f>
        <v/>
      </c>
      <c r="H375" s="319">
        <f>$D$360/$D$362*F375</f>
        <v/>
      </c>
      <c r="I375" s="319">
        <f>G375-H375</f>
        <v/>
      </c>
      <c r="J375" s="319">
        <f>F375-I375</f>
        <v/>
      </c>
      <c r="K375" s="516" t="n">
        <v>0</v>
      </c>
      <c r="L375" s="519">
        <f>G375-K375+L374</f>
        <v/>
      </c>
    </row>
    <row r="376">
      <c r="B376" s="1" t="n">
        <v>9</v>
      </c>
      <c r="C376" s="24" t="n">
        <v>44317</v>
      </c>
      <c r="D376" s="24" t="n">
        <v>44347</v>
      </c>
      <c r="E376" s="25">
        <f>D376-C376+1</f>
        <v/>
      </c>
      <c r="F376" s="319">
        <f>J375</f>
        <v/>
      </c>
      <c r="G376" s="319">
        <f>-PMT($D$360/$D$362,21,$F$371,,0)</f>
        <v/>
      </c>
      <c r="H376" s="319">
        <f>$D$360/$D$362*F376</f>
        <v/>
      </c>
      <c r="I376" s="319">
        <f>G376-H376</f>
        <v/>
      </c>
      <c r="J376" s="319">
        <f>F376-I376</f>
        <v/>
      </c>
      <c r="K376" s="516" t="n">
        <v>0</v>
      </c>
      <c r="L376" s="516">
        <f>G376-K376+L375</f>
        <v/>
      </c>
    </row>
    <row r="377">
      <c r="B377" s="1" t="n">
        <v>10</v>
      </c>
      <c r="C377" s="24" t="n">
        <v>44348</v>
      </c>
      <c r="D377" s="24" t="n">
        <v>44377</v>
      </c>
      <c r="E377" s="25">
        <f>D377-C377+1</f>
        <v/>
      </c>
      <c r="F377" s="319">
        <f>J376</f>
        <v/>
      </c>
      <c r="G377" s="319">
        <f>-PMT($D$360/$D$362,21,$F$371,,0)</f>
        <v/>
      </c>
      <c r="H377" s="319">
        <f>$D$360/$D$362*F377</f>
        <v/>
      </c>
      <c r="I377" s="319">
        <f>G377-H377</f>
        <v/>
      </c>
      <c r="J377" s="319">
        <f>F377-I377</f>
        <v/>
      </c>
      <c r="K377" s="516" t="n">
        <v>0</v>
      </c>
      <c r="L377" s="516">
        <f>G377-K377+L376</f>
        <v/>
      </c>
    </row>
    <row r="378">
      <c r="B378" s="1" t="n">
        <v>11</v>
      </c>
      <c r="C378" s="24" t="n">
        <v>44378</v>
      </c>
      <c r="D378" s="24" t="n">
        <v>44408</v>
      </c>
      <c r="E378" s="25">
        <f>D378-C378+1</f>
        <v/>
      </c>
      <c r="F378" s="319">
        <f>J377</f>
        <v/>
      </c>
      <c r="G378" s="319">
        <f>-PMT($D$360/$D$362,21,$F$371,,0)</f>
        <v/>
      </c>
      <c r="H378" s="319">
        <f>$D$360/$D$362*F378</f>
        <v/>
      </c>
      <c r="I378" s="319">
        <f>G378-H378</f>
        <v/>
      </c>
      <c r="J378" s="319">
        <f>F378-I378</f>
        <v/>
      </c>
      <c r="K378" s="516" t="n"/>
      <c r="L378" s="519">
        <f>G378-K378+L377</f>
        <v/>
      </c>
    </row>
    <row r="379">
      <c r="B379" s="1" t="n">
        <v>12</v>
      </c>
      <c r="C379" s="24" t="n">
        <v>44409</v>
      </c>
      <c r="D379" s="24" t="n">
        <v>44439</v>
      </c>
      <c r="E379" s="25">
        <f>D379-C379+1</f>
        <v/>
      </c>
      <c r="F379" s="319">
        <f>J378</f>
        <v/>
      </c>
      <c r="G379" s="319">
        <f>-PMT($D$360/$D$362,21,$F$371,,0)</f>
        <v/>
      </c>
      <c r="H379" s="319">
        <f>$D$360/$D$362*F379</f>
        <v/>
      </c>
      <c r="I379" s="319">
        <f>G379-H379</f>
        <v/>
      </c>
      <c r="J379" s="319">
        <f>F379-I379</f>
        <v/>
      </c>
      <c r="K379" s="516" t="n">
        <v>800000</v>
      </c>
      <c r="L379" s="516">
        <f>G379-K379+L378</f>
        <v/>
      </c>
    </row>
    <row r="380">
      <c r="B380" s="1" t="n">
        <v>13</v>
      </c>
      <c r="C380" s="24" t="n">
        <v>44440</v>
      </c>
      <c r="D380" s="24" t="n">
        <v>44469</v>
      </c>
      <c r="E380" s="25">
        <f>D380-C380+1</f>
        <v/>
      </c>
      <c r="F380" s="319">
        <f>J379</f>
        <v/>
      </c>
      <c r="G380" s="319">
        <f>-PMT($D$360/$D$362,21,$F$371,,0)</f>
        <v/>
      </c>
      <c r="H380" s="319">
        <f>$D$360/$D$362*F380</f>
        <v/>
      </c>
      <c r="I380" s="319">
        <f>G380-H380</f>
        <v/>
      </c>
      <c r="J380" s="319">
        <f>F380-I380</f>
        <v/>
      </c>
      <c r="K380" s="516" t="n">
        <v>0</v>
      </c>
      <c r="L380" s="516">
        <f>G380-K380+L379</f>
        <v/>
      </c>
    </row>
    <row r="381">
      <c r="B381" s="1" t="n">
        <v>14</v>
      </c>
      <c r="C381" s="24" t="n">
        <v>44470</v>
      </c>
      <c r="D381" s="24" t="n">
        <v>44500</v>
      </c>
      <c r="E381" s="25">
        <f>D381-C381+1</f>
        <v/>
      </c>
      <c r="F381" s="319">
        <f>J380</f>
        <v/>
      </c>
      <c r="G381" s="319">
        <f>-PMT($D$360/$D$362,21,$F$371,,0)</f>
        <v/>
      </c>
      <c r="H381" s="319">
        <f>$D$360/$D$362*F381</f>
        <v/>
      </c>
      <c r="I381" s="319">
        <f>G381-H381</f>
        <v/>
      </c>
      <c r="J381" s="319">
        <f>F381-I381</f>
        <v/>
      </c>
      <c r="K381" s="516" t="n">
        <v>0</v>
      </c>
      <c r="L381" s="516">
        <f>G381-K381+L380</f>
        <v/>
      </c>
    </row>
    <row r="382">
      <c r="B382" s="1" t="n">
        <v>15</v>
      </c>
      <c r="C382" s="24" t="n">
        <v>44501</v>
      </c>
      <c r="D382" s="24" t="n">
        <v>44530</v>
      </c>
      <c r="E382" s="25">
        <f>D382-C382+1</f>
        <v/>
      </c>
      <c r="F382" s="319">
        <f>J381</f>
        <v/>
      </c>
      <c r="G382" s="319">
        <f>-PMT($D$360/$D$362,21,$F$371,,0)</f>
        <v/>
      </c>
      <c r="H382" s="319">
        <f>$D$360/$D$362*F382</f>
        <v/>
      </c>
      <c r="I382" s="319">
        <f>G382-H382</f>
        <v/>
      </c>
      <c r="J382" s="319">
        <f>F382-I382</f>
        <v/>
      </c>
      <c r="K382" s="516" t="n">
        <v>0</v>
      </c>
      <c r="L382" s="516">
        <f>G382-K382+L381</f>
        <v/>
      </c>
    </row>
    <row r="383">
      <c r="B383" s="1" t="n">
        <v>16</v>
      </c>
      <c r="C383" s="24" t="n">
        <v>44531</v>
      </c>
      <c r="D383" s="24" t="n">
        <v>44561</v>
      </c>
      <c r="E383" s="25">
        <f>D383-C383+1</f>
        <v/>
      </c>
      <c r="F383" s="319">
        <f>J382</f>
        <v/>
      </c>
      <c r="G383" s="319">
        <f>-PMT($D$360/$D$362,21,$F$371,,0)</f>
        <v/>
      </c>
      <c r="H383" s="319">
        <f>$D$360/$D$362*F383</f>
        <v/>
      </c>
      <c r="I383" s="319">
        <f>G383-H383</f>
        <v/>
      </c>
      <c r="J383" s="319">
        <f>F383-I383</f>
        <v/>
      </c>
      <c r="K383" s="516" t="n">
        <v>0</v>
      </c>
      <c r="L383" s="516">
        <f>G383-K383+L382</f>
        <v/>
      </c>
    </row>
    <row r="384">
      <c r="B384" s="1" t="n">
        <v>17</v>
      </c>
      <c r="C384" s="24" t="n">
        <v>44562</v>
      </c>
      <c r="D384" s="24" t="n">
        <v>44592</v>
      </c>
      <c r="E384" s="25">
        <f>D384-C384+1</f>
        <v/>
      </c>
      <c r="F384" s="319">
        <f>J383</f>
        <v/>
      </c>
      <c r="G384" s="319">
        <f>-PMT($D$360/$D$362,21,$F$371,,0)</f>
        <v/>
      </c>
      <c r="H384" s="319">
        <f>$D$360/$D$362*F384</f>
        <v/>
      </c>
      <c r="I384" s="319">
        <f>G384-H384</f>
        <v/>
      </c>
      <c r="J384" s="319">
        <f>F384-I384</f>
        <v/>
      </c>
      <c r="K384" s="516" t="n">
        <v>0</v>
      </c>
      <c r="L384" s="516">
        <f>G384-K384+L383</f>
        <v/>
      </c>
    </row>
    <row r="385">
      <c r="B385" s="1" t="n">
        <v>18</v>
      </c>
      <c r="C385" s="24" t="n">
        <v>44593</v>
      </c>
      <c r="D385" s="24" t="n">
        <v>44620</v>
      </c>
      <c r="E385" s="25">
        <f>D385-C385+1</f>
        <v/>
      </c>
      <c r="F385" s="319">
        <f>J384</f>
        <v/>
      </c>
      <c r="G385" s="319">
        <f>-PMT($D$360/$D$362,21,$F$371,,0)</f>
        <v/>
      </c>
      <c r="H385" s="319">
        <f>$D$360/$D$362*F385</f>
        <v/>
      </c>
      <c r="I385" s="319">
        <f>G385-H385</f>
        <v/>
      </c>
      <c r="J385" s="319">
        <f>F385-I385</f>
        <v/>
      </c>
      <c r="K385" s="516" t="n"/>
      <c r="L385" s="516">
        <f>G385-K385+L384</f>
        <v/>
      </c>
    </row>
    <row r="386">
      <c r="B386" s="1" t="n">
        <v>19</v>
      </c>
      <c r="C386" s="24" t="n">
        <v>44621</v>
      </c>
      <c r="D386" s="24" t="n">
        <v>44651</v>
      </c>
      <c r="E386" s="25">
        <f>D386-C386+1</f>
        <v/>
      </c>
      <c r="F386" s="319">
        <f>J385</f>
        <v/>
      </c>
      <c r="G386" s="319">
        <f>-PMT($D$360/$D$362,21,$F$371,,0)</f>
        <v/>
      </c>
      <c r="H386" s="319">
        <f>$D$360/$D$362*F386</f>
        <v/>
      </c>
      <c r="I386" s="319">
        <f>G386-H386</f>
        <v/>
      </c>
      <c r="J386" s="319">
        <f>F386-I386</f>
        <v/>
      </c>
      <c r="K386" s="516" t="n"/>
      <c r="L386" s="516">
        <f>G386-K386+L385</f>
        <v/>
      </c>
    </row>
    <row r="387">
      <c r="B387" s="1" t="n">
        <v>20</v>
      </c>
      <c r="C387" s="24" t="n">
        <v>44652</v>
      </c>
      <c r="D387" s="24" t="n">
        <v>44681</v>
      </c>
      <c r="E387" s="25">
        <f>D387-C387+1</f>
        <v/>
      </c>
      <c r="F387" s="319">
        <f>J386</f>
        <v/>
      </c>
      <c r="G387" s="319">
        <f>-PMT($D$360/$D$362,21,$F$371,,0)</f>
        <v/>
      </c>
      <c r="H387" s="319">
        <f>$D$360/$D$362*F387</f>
        <v/>
      </c>
      <c r="I387" s="319">
        <f>G387-H387</f>
        <v/>
      </c>
      <c r="J387" s="319">
        <f>F387-I387</f>
        <v/>
      </c>
      <c r="K387" s="516" t="n"/>
      <c r="L387" s="516">
        <f>G387-K387+L386</f>
        <v/>
      </c>
    </row>
    <row r="388">
      <c r="B388" s="1" t="n">
        <v>21</v>
      </c>
      <c r="C388" s="24" t="n">
        <v>44682</v>
      </c>
      <c r="D388" s="24" t="n">
        <v>44712</v>
      </c>
      <c r="E388" s="25">
        <f>D388-C388+1</f>
        <v/>
      </c>
      <c r="F388" s="319">
        <f>J387</f>
        <v/>
      </c>
      <c r="G388" s="319">
        <f>-PMT($G$360/$D$362,7,$F$388,,0)</f>
        <v/>
      </c>
      <c r="H388" s="319">
        <f>$G$360/$D$362*F388</f>
        <v/>
      </c>
      <c r="I388" s="319">
        <f>G388-H388</f>
        <v/>
      </c>
      <c r="J388" s="319">
        <f>F388-I388</f>
        <v/>
      </c>
      <c r="K388" s="516" t="n"/>
      <c r="L388" s="516">
        <f>G388-K388+L387</f>
        <v/>
      </c>
    </row>
    <row r="389">
      <c r="B389" s="1" t="n">
        <v>22</v>
      </c>
      <c r="C389" s="24" t="n">
        <v>44713</v>
      </c>
      <c r="D389" s="24" t="n">
        <v>44742</v>
      </c>
      <c r="E389" s="25">
        <f>D389-C389+1</f>
        <v/>
      </c>
      <c r="F389" s="319">
        <f>J388</f>
        <v/>
      </c>
      <c r="G389" s="319">
        <f>-PMT($G$360/$D$362,7,$F$388,,0)</f>
        <v/>
      </c>
      <c r="H389" s="319">
        <f>$G$360/$D$362*F389</f>
        <v/>
      </c>
      <c r="I389" s="319">
        <f>G389-H389</f>
        <v/>
      </c>
      <c r="J389" s="319">
        <f>F389-I389</f>
        <v/>
      </c>
      <c r="K389" s="516" t="n"/>
      <c r="L389" s="516">
        <f>G389-K389+L388</f>
        <v/>
      </c>
    </row>
    <row r="390">
      <c r="B390" s="1" t="n">
        <v>23</v>
      </c>
      <c r="C390" s="24" t="n">
        <v>44743</v>
      </c>
      <c r="D390" s="24" t="n">
        <v>44773</v>
      </c>
      <c r="E390" s="25">
        <f>D390-C390+1</f>
        <v/>
      </c>
      <c r="F390" s="319">
        <f>J389</f>
        <v/>
      </c>
      <c r="G390" s="319">
        <f>-PMT($G$360/$D$362,7,$F$388,,0)</f>
        <v/>
      </c>
      <c r="H390" s="319">
        <f>$G$360/$D$362*F390</f>
        <v/>
      </c>
      <c r="I390" s="319">
        <f>G390-H390</f>
        <v/>
      </c>
      <c r="J390" s="319">
        <f>F390-I390</f>
        <v/>
      </c>
      <c r="K390" s="516" t="n"/>
      <c r="L390" s="516">
        <f>G390-K390+L389</f>
        <v/>
      </c>
    </row>
    <row r="391">
      <c r="B391" s="1" t="n">
        <v>24</v>
      </c>
      <c r="C391" s="24" t="n">
        <v>44774</v>
      </c>
      <c r="D391" s="24" t="n">
        <v>44804</v>
      </c>
      <c r="E391" s="25">
        <f>D391-C391+1</f>
        <v/>
      </c>
      <c r="F391" s="319">
        <f>J390</f>
        <v/>
      </c>
      <c r="G391" s="319">
        <f>-PMT($G$360/$D$362,7,$F$388,,0)</f>
        <v/>
      </c>
      <c r="H391" s="319">
        <f>$G$360/$D$362*F391</f>
        <v/>
      </c>
      <c r="I391" s="319">
        <f>G391-H391</f>
        <v/>
      </c>
      <c r="J391" s="319">
        <f>F391-I391</f>
        <v/>
      </c>
      <c r="K391" s="516" t="n"/>
      <c r="L391" s="516">
        <f>G391-K391+L390</f>
        <v/>
      </c>
    </row>
    <row r="392">
      <c r="B392" s="1" t="n">
        <v>25</v>
      </c>
      <c r="C392" s="24" t="n">
        <v>44805</v>
      </c>
      <c r="D392" s="24" t="n">
        <v>44834</v>
      </c>
      <c r="E392" s="25">
        <f>D392-C392+1</f>
        <v/>
      </c>
      <c r="F392" s="319">
        <f>J391</f>
        <v/>
      </c>
      <c r="G392" s="319">
        <f>-PMT($H$360/$D$362,3,$F$392,,0)</f>
        <v/>
      </c>
      <c r="H392" s="319">
        <f>$H$360/$D$362*F392</f>
        <v/>
      </c>
      <c r="I392" s="319">
        <f>G392-H392</f>
        <v/>
      </c>
      <c r="J392" s="319">
        <f>F392-I392</f>
        <v/>
      </c>
      <c r="K392" s="516" t="n"/>
      <c r="L392" s="516">
        <f>G392-K392+L391</f>
        <v/>
      </c>
    </row>
    <row r="393">
      <c r="B393" s="1" t="n">
        <v>26</v>
      </c>
      <c r="C393" s="24" t="n">
        <v>44835</v>
      </c>
      <c r="D393" s="24" t="n">
        <v>44865</v>
      </c>
      <c r="E393" s="25">
        <f>D393-C393+1</f>
        <v/>
      </c>
      <c r="F393" s="319">
        <f>J392</f>
        <v/>
      </c>
      <c r="G393" s="319">
        <f>-PMT($H$360/$D$362,3,$F$392,,0)</f>
        <v/>
      </c>
      <c r="H393" s="319">
        <f>$H$360/$D$362*F393</f>
        <v/>
      </c>
      <c r="I393" s="319">
        <f>G393-H393</f>
        <v/>
      </c>
      <c r="J393" s="319">
        <f>F393-I393</f>
        <v/>
      </c>
      <c r="K393" s="516" t="n"/>
      <c r="L393" s="516">
        <f>G393-K393+L392</f>
        <v/>
      </c>
    </row>
    <row r="394">
      <c r="B394" s="1" t="n">
        <v>27</v>
      </c>
      <c r="C394" s="24" t="n">
        <v>44866</v>
      </c>
      <c r="D394" s="24" t="n">
        <v>44895</v>
      </c>
      <c r="E394" s="25">
        <f>D394-C394+1</f>
        <v/>
      </c>
      <c r="F394" s="319">
        <f>J393</f>
        <v/>
      </c>
      <c r="G394" s="319">
        <f>-PMT($I$360/$D$362,1,$F$394,,0)</f>
        <v/>
      </c>
      <c r="H394" s="319">
        <f>$I$360/$D$362*F394</f>
        <v/>
      </c>
      <c r="I394" s="319">
        <f>G394-H394</f>
        <v/>
      </c>
      <c r="J394" s="319">
        <f>F394-I394</f>
        <v/>
      </c>
      <c r="K394" s="516" t="n"/>
      <c r="L394" s="524">
        <f>G394-K394+L393</f>
        <v/>
      </c>
    </row>
    <row r="395" ht="14.25" customHeight="1">
      <c r="B395" s="1" t="n"/>
      <c r="C395" s="1" t="n"/>
      <c r="D395" s="1" t="n"/>
      <c r="E395" s="30">
        <f>SUM(E368:E394)</f>
        <v/>
      </c>
      <c r="F395" s="319" t="n"/>
      <c r="G395" s="319" t="n"/>
      <c r="H395" s="319" t="n"/>
      <c r="I395" s="319" t="n"/>
      <c r="J395" s="319" t="n"/>
      <c r="K395" s="1" t="n"/>
      <c r="L395" s="1" t="n"/>
    </row>
    <row r="396" ht="14.25" customHeight="1"/>
    <row r="397" ht="14.25" customHeight="1">
      <c r="E397" s="305">
        <f>+D402-12.2%</f>
        <v/>
      </c>
    </row>
    <row r="398" ht="14.25" customHeight="1"/>
    <row r="399" ht="14.25" customHeight="1">
      <c r="B399" s="1" t="n"/>
      <c r="C399" s="9" t="inlineStr">
        <is>
          <t>Lenziemill Armortization</t>
        </is>
      </c>
      <c r="D399" s="319" t="n"/>
      <c r="E399" s="319" t="n"/>
      <c r="F399" s="319" t="n"/>
      <c r="G399" s="319" t="n"/>
      <c r="H399" s="319" t="n"/>
      <c r="I399" s="290" t="inlineStr">
        <is>
          <t>13.9 to 16.6%</t>
        </is>
      </c>
      <c r="J399" s="319" t="inlineStr">
        <is>
          <t>16.6% to 17.3%</t>
        </is>
      </c>
      <c r="K399" s="290" t="inlineStr">
        <is>
          <t>17.3% to 20%</t>
        </is>
      </c>
      <c r="L399" s="290" t="inlineStr">
        <is>
          <t>20% to 21.40%</t>
        </is>
      </c>
      <c r="M399" s="290" t="inlineStr">
        <is>
          <t>21.40 to 22.70%</t>
        </is>
      </c>
      <c r="R399" s="514" t="inlineStr">
        <is>
          <t>E-Banker account (Dupleix)</t>
        </is>
      </c>
      <c r="S399" s="495">
        <f>IFERROR(INDEX('Blocks'!$I$2:$I$101,MATCH(7,'Blocks'!$A$2:$A$101,0)),"")</f>
        <v/>
      </c>
    </row>
    <row r="400" ht="14.25" customHeight="1">
      <c r="B400" s="1" t="n"/>
      <c r="C400" s="1" t="n"/>
      <c r="D400" s="319" t="n"/>
      <c r="E400" s="319" t="n"/>
      <c r="F400" s="319" t="inlineStr">
        <is>
          <t>Effective 01 May 2022</t>
        </is>
      </c>
      <c r="G400" s="319" t="n"/>
      <c r="H400" s="248" t="n">
        <v>44805</v>
      </c>
      <c r="I400" s="290" t="n">
        <v>44866</v>
      </c>
      <c r="J400" s="248" t="n">
        <v>44896</v>
      </c>
      <c r="K400" s="248" t="n">
        <v>45047</v>
      </c>
      <c r="L400" s="248" t="n">
        <v>45108</v>
      </c>
      <c r="M400" s="248" t="n">
        <v>45139</v>
      </c>
      <c r="R400" s="514" t="inlineStr">
        <is>
          <t>Facility (Loan Book)</t>
        </is>
      </c>
      <c r="S400" s="495">
        <f>IFERROR(INDEX('Blocks'!$H$2:$H$101,MATCH(7,'Blocks'!$A$2:$A$101,0)),"")</f>
        <v/>
      </c>
    </row>
    <row r="401" ht="14.25" customHeight="1">
      <c r="B401" s="1" t="n"/>
      <c r="C401" s="10" t="inlineStr">
        <is>
          <t>Principal (MK)</t>
        </is>
      </c>
      <c r="D401" s="11">
        <f>'[4]J11B-Term Loans - Pmts Summ'!H11+6900000</f>
        <v/>
      </c>
      <c r="E401" s="319" t="n"/>
      <c r="F401" s="291" t="inlineStr">
        <is>
          <t>Principal (MK)</t>
        </is>
      </c>
      <c r="G401" s="11" t="n">
        <v>277575041.9595796</v>
      </c>
      <c r="H401" s="290" t="inlineStr">
        <is>
          <t>Rate Adj</t>
        </is>
      </c>
      <c r="I401" s="290" t="inlineStr">
        <is>
          <t>Rate Adj</t>
        </is>
      </c>
      <c r="J401" s="290" t="inlineStr">
        <is>
          <t>Rate Adj</t>
        </is>
      </c>
      <c r="K401" s="290" t="inlineStr">
        <is>
          <t>Rate Adj</t>
        </is>
      </c>
      <c r="L401" s="290" t="inlineStr">
        <is>
          <t>Rate Adj</t>
        </is>
      </c>
      <c r="M401" s="290" t="inlineStr">
        <is>
          <t>Rate Adj</t>
        </is>
      </c>
      <c r="R401" s="514" t="inlineStr">
        <is>
          <t>Take-on posting 31 Jul 2024</t>
        </is>
      </c>
      <c r="S401" s="496">
        <f>IFERROR(INDEX('E-Banker master'!$N$2:$N$186,MATCH(S399,'E-Banker master'!$A$2:$A$186,0)),"")</f>
        <v/>
      </c>
    </row>
    <row r="402" ht="14.25" customHeight="1">
      <c r="B402" s="1" t="n"/>
      <c r="C402" s="13" t="inlineStr">
        <is>
          <t>Rate</t>
        </is>
      </c>
      <c r="D402" s="14" t="n">
        <v>0.201</v>
      </c>
      <c r="E402" s="257" t="n"/>
      <c r="F402" s="292" t="inlineStr">
        <is>
          <t>Rate</t>
        </is>
      </c>
      <c r="G402" s="296" t="n">
        <v>0.202</v>
      </c>
      <c r="H402" s="257">
        <f>G402+0.4%</f>
        <v/>
      </c>
      <c r="I402" s="319">
        <f>H402+2.7%</f>
        <v/>
      </c>
      <c r="J402" s="257">
        <f>I402+0.7%</f>
        <v/>
      </c>
      <c r="K402" s="257">
        <f>J402+2.7%</f>
        <v/>
      </c>
      <c r="L402" s="257">
        <f>K402+1.4%</f>
        <v/>
      </c>
      <c r="M402" s="257">
        <f>L402+1.3%</f>
        <v/>
      </c>
      <c r="R402" s="514" t="inlineStr">
        <is>
          <t>E-Banker balance 31 Oct 2024</t>
        </is>
      </c>
      <c r="S402" s="496">
        <f>IFERROR(INDEX('E-Banker master'!$P$2:$P$186,MATCH(S399,'E-Banker master'!$A$2:$A$186,0)),"")</f>
        <v/>
      </c>
    </row>
    <row r="403" ht="14.25" customHeight="1">
      <c r="B403" s="1" t="n"/>
      <c r="C403" s="13" t="inlineStr">
        <is>
          <t>n</t>
        </is>
      </c>
      <c r="D403" s="16" t="n">
        <v>5</v>
      </c>
      <c r="E403" s="1" t="n"/>
      <c r="F403" s="292" t="inlineStr">
        <is>
          <t>n</t>
        </is>
      </c>
      <c r="G403" s="296" t="n">
        <v>5</v>
      </c>
      <c r="H403" s="319" t="n"/>
      <c r="I403" s="319" t="n"/>
      <c r="J403" s="319" t="n"/>
      <c r="K403" s="1" t="n"/>
      <c r="L403" s="1" t="n"/>
    </row>
    <row r="404" ht="14.25" customHeight="1">
      <c r="B404" s="1" t="n"/>
      <c r="C404" s="13" t="inlineStr">
        <is>
          <t>Per</t>
        </is>
      </c>
      <c r="D404" s="16" t="n">
        <v>12</v>
      </c>
      <c r="E404" s="1" t="n"/>
      <c r="F404" s="292" t="inlineStr">
        <is>
          <t>Per</t>
        </is>
      </c>
      <c r="G404" s="296" t="n">
        <v>12</v>
      </c>
      <c r="H404" s="319" t="inlineStr">
        <is>
          <t>22.70% to 23.40%</t>
        </is>
      </c>
      <c r="I404" s="319" t="inlineStr">
        <is>
          <t>23.40% to 23.50%</t>
        </is>
      </c>
      <c r="J404" s="319" t="inlineStr">
        <is>
          <t>23.50% to 23.60%</t>
        </is>
      </c>
      <c r="K404" s="319" t="inlineStr">
        <is>
          <t>23.60% to 24.90%</t>
        </is>
      </c>
      <c r="L404" s="373" t="inlineStr">
        <is>
          <t>24.90% to 25.00%</t>
        </is>
      </c>
      <c r="M404" s="373" t="inlineStr">
        <is>
          <t>25.00% to 25.10%</t>
        </is>
      </c>
      <c r="N404" s="373" t="inlineStr">
        <is>
          <t>25.10% to 25.40%</t>
        </is>
      </c>
    </row>
    <row r="405" ht="14.25" customHeight="1">
      <c r="B405" s="1" t="n"/>
      <c r="C405" s="13" t="inlineStr">
        <is>
          <t>nPer</t>
        </is>
      </c>
      <c r="D405" s="515">
        <f>D403*D404</f>
        <v/>
      </c>
      <c r="E405" s="1" t="n"/>
      <c r="F405" s="292" t="inlineStr">
        <is>
          <t>nPer</t>
        </is>
      </c>
      <c r="G405" s="296" t="n">
        <v>42</v>
      </c>
      <c r="H405" s="248" t="n">
        <v>45170</v>
      </c>
      <c r="I405" s="290" t="n">
        <v>45200</v>
      </c>
      <c r="J405" s="248" t="n">
        <v>45261</v>
      </c>
      <c r="K405" s="248" t="n">
        <v>44958</v>
      </c>
      <c r="L405" s="248" t="n">
        <v>45047</v>
      </c>
      <c r="M405" s="248" t="n">
        <v>45078</v>
      </c>
      <c r="N405" s="248" t="n">
        <v>45108</v>
      </c>
    </row>
    <row r="406" ht="14.25" customHeight="1">
      <c r="B406" s="1" t="n"/>
      <c r="C406" s="13" t="inlineStr">
        <is>
          <t>Days in a year</t>
        </is>
      </c>
      <c r="D406" s="18" t="n">
        <v>365</v>
      </c>
      <c r="E406" s="1" t="n"/>
      <c r="F406" s="292" t="inlineStr">
        <is>
          <t>Days in a year</t>
        </is>
      </c>
      <c r="G406" s="296" t="n">
        <v>365</v>
      </c>
      <c r="H406" s="290" t="inlineStr">
        <is>
          <t>Rate Adj</t>
        </is>
      </c>
      <c r="I406" s="290" t="inlineStr">
        <is>
          <t>Rate Adj</t>
        </is>
      </c>
      <c r="J406" s="290" t="inlineStr">
        <is>
          <t>Rate Adj</t>
        </is>
      </c>
      <c r="K406" s="290" t="inlineStr">
        <is>
          <t>Rate Adj</t>
        </is>
      </c>
      <c r="L406" s="373" t="inlineStr">
        <is>
          <t>Rate Adj</t>
        </is>
      </c>
      <c r="M406" s="373" t="inlineStr">
        <is>
          <t>Rate Adj</t>
        </is>
      </c>
      <c r="N406" s="373" t="inlineStr">
        <is>
          <t>Rate Adj</t>
        </is>
      </c>
    </row>
    <row r="407" ht="14.25" customHeight="1">
      <c r="B407" s="1" t="n"/>
      <c r="C407" s="19" t="inlineStr">
        <is>
          <t>Pmt (MK)</t>
        </is>
      </c>
      <c r="D407" s="20">
        <f>-PMT(D402/D404,D405,D401,0,0)</f>
        <v/>
      </c>
      <c r="E407" s="319" t="n"/>
      <c r="F407" s="293" t="inlineStr">
        <is>
          <t>Pmt (MK)</t>
        </is>
      </c>
      <c r="G407" s="20">
        <f>-PMT(G402/G404,G405,G401,0,0)</f>
        <v/>
      </c>
      <c r="H407" s="257">
        <f>M402+0.7%</f>
        <v/>
      </c>
      <c r="I407" s="319">
        <f>H407+0.1%</f>
        <v/>
      </c>
      <c r="J407" s="257">
        <f>I407+0.1%</f>
        <v/>
      </c>
      <c r="K407" s="257">
        <f>J407+1.3%</f>
        <v/>
      </c>
      <c r="L407" s="377">
        <f>+K407+0.1%</f>
        <v/>
      </c>
      <c r="M407" s="377">
        <f>+L407+0.1%</f>
        <v/>
      </c>
      <c r="N407" s="377">
        <f>+M407+0.3%</f>
        <v/>
      </c>
    </row>
    <row r="408" ht="14.25" customHeight="1">
      <c r="B408" s="1" t="n"/>
      <c r="C408" s="1" t="n"/>
      <c r="D408" s="319" t="n"/>
      <c r="E408" s="319" t="n"/>
      <c r="F408" s="319" t="n"/>
      <c r="G408" s="319" t="n"/>
      <c r="H408" s="319" t="n"/>
      <c r="I408" s="319" t="n"/>
      <c r="J408" s="319" t="n"/>
      <c r="K408" s="1" t="n"/>
      <c r="L408" s="1" t="n"/>
    </row>
    <row r="409" ht="14.25" customHeight="1">
      <c r="B409" s="1" t="n"/>
      <c r="C409" s="21" t="inlineStr">
        <is>
          <t>Period Start</t>
        </is>
      </c>
      <c r="D409" s="22" t="inlineStr">
        <is>
          <t>Period End</t>
        </is>
      </c>
      <c r="E409" s="22" t="inlineStr">
        <is>
          <t>Days</t>
        </is>
      </c>
      <c r="F409" s="294" t="inlineStr">
        <is>
          <t>Opening bal.</t>
        </is>
      </c>
      <c r="G409" s="294" t="inlineStr">
        <is>
          <t>Pmt</t>
        </is>
      </c>
      <c r="H409" s="294" t="inlineStr">
        <is>
          <t>Interest</t>
        </is>
      </c>
      <c r="I409" s="294" t="inlineStr">
        <is>
          <t>Principal</t>
        </is>
      </c>
      <c r="J409" s="294" t="inlineStr">
        <is>
          <t>Closing balance</t>
        </is>
      </c>
      <c r="K409" s="23" t="inlineStr">
        <is>
          <t>Amount Repaid</t>
        </is>
      </c>
      <c r="L409" s="23" t="inlineStr">
        <is>
          <t>Accumulated Arrears</t>
        </is>
      </c>
    </row>
    <row r="410" ht="14.25" customHeight="1">
      <c r="B410" s="1" t="n">
        <v>0</v>
      </c>
      <c r="C410" s="24" t="n">
        <v>44134</v>
      </c>
      <c r="D410" s="24" t="n">
        <v>44135</v>
      </c>
      <c r="E410" s="25">
        <f>D410-C410+1</f>
        <v/>
      </c>
      <c r="F410" s="319">
        <f>D401</f>
        <v/>
      </c>
      <c r="G410" s="319" t="n">
        <v>0</v>
      </c>
      <c r="H410" s="319" t="n">
        <v>0</v>
      </c>
      <c r="I410" s="319">
        <f>G410-H410</f>
        <v/>
      </c>
      <c r="J410" s="319">
        <f>F410-I410</f>
        <v/>
      </c>
      <c r="K410" s="516" t="n">
        <v>0</v>
      </c>
      <c r="L410" s="516" t="n"/>
      <c r="N410" s="521" t="n"/>
    </row>
    <row r="411" ht="14.25" customHeight="1">
      <c r="B411" s="1" t="n">
        <v>1</v>
      </c>
      <c r="C411" s="24">
        <f>D410+1</f>
        <v/>
      </c>
      <c r="D411" s="24" t="n">
        <v>44165</v>
      </c>
      <c r="E411" s="25">
        <f>D411-C411+1</f>
        <v/>
      </c>
      <c r="F411" s="319">
        <f>J410</f>
        <v/>
      </c>
      <c r="G411" s="319" t="n">
        <v>0</v>
      </c>
      <c r="H411" s="319">
        <f>$D$402*F411/$D$404</f>
        <v/>
      </c>
      <c r="I411" s="319" t="n">
        <v>0</v>
      </c>
      <c r="J411" s="319">
        <f>F411-I411</f>
        <v/>
      </c>
      <c r="K411" s="516" t="n">
        <v>0</v>
      </c>
      <c r="L411" s="516" t="n">
        <v>0</v>
      </c>
    </row>
    <row r="412" ht="14.25" customHeight="1">
      <c r="B412" s="1" t="n">
        <v>2</v>
      </c>
      <c r="C412" s="24">
        <f>D411+1</f>
        <v/>
      </c>
      <c r="D412" s="24" t="n">
        <v>44196</v>
      </c>
      <c r="E412" s="25">
        <f>D412-C412+1</f>
        <v/>
      </c>
      <c r="F412" s="319">
        <f>J411</f>
        <v/>
      </c>
      <c r="G412" s="319" t="n">
        <v>0</v>
      </c>
      <c r="H412" s="319">
        <f>$D$402*F412/$D$404</f>
        <v/>
      </c>
      <c r="I412" s="319" t="n">
        <v>0</v>
      </c>
      <c r="J412" s="319">
        <f>F412-I412</f>
        <v/>
      </c>
      <c r="K412" s="516" t="n">
        <v>0</v>
      </c>
      <c r="L412" s="516" t="n">
        <v>0</v>
      </c>
    </row>
    <row r="413" ht="14.25" customHeight="1">
      <c r="B413" s="1" t="n">
        <v>3</v>
      </c>
      <c r="C413" s="24" t="n">
        <v>44197</v>
      </c>
      <c r="D413" s="24" t="n">
        <v>44227</v>
      </c>
      <c r="E413" s="25">
        <f>D413-C413+1</f>
        <v/>
      </c>
      <c r="F413" s="319">
        <f>J412</f>
        <v/>
      </c>
      <c r="G413" s="319" t="n">
        <v>0</v>
      </c>
      <c r="H413" s="319">
        <f>$D$402*F413/$D$404</f>
        <v/>
      </c>
      <c r="I413" s="319" t="n">
        <v>0</v>
      </c>
      <c r="J413" s="319">
        <f>F413-I413</f>
        <v/>
      </c>
      <c r="K413" s="516" t="n">
        <v>0</v>
      </c>
      <c r="L413" s="516" t="n">
        <v>0</v>
      </c>
    </row>
    <row r="414" ht="14.25" customHeight="1">
      <c r="B414" s="1" t="n">
        <v>4</v>
      </c>
      <c r="C414" s="24" t="n">
        <v>44228</v>
      </c>
      <c r="D414" s="24" t="n">
        <v>44255</v>
      </c>
      <c r="E414" s="25">
        <f>D414-C414+1</f>
        <v/>
      </c>
      <c r="F414" s="319">
        <f>J413</f>
        <v/>
      </c>
      <c r="G414" s="319" t="n">
        <v>0</v>
      </c>
      <c r="H414" s="319">
        <f>$D$402*F414/$D$404</f>
        <v/>
      </c>
      <c r="I414" s="319" t="n">
        <v>0</v>
      </c>
      <c r="J414" s="319">
        <f>F414-I414</f>
        <v/>
      </c>
      <c r="K414" s="516" t="n">
        <v>0</v>
      </c>
      <c r="L414" s="516" t="n">
        <v>0</v>
      </c>
    </row>
    <row r="415" ht="14.25" customHeight="1">
      <c r="B415" s="1" t="n">
        <v>5</v>
      </c>
      <c r="C415" s="24" t="n">
        <v>44256</v>
      </c>
      <c r="D415" s="24" t="n">
        <v>44286</v>
      </c>
      <c r="E415" s="25">
        <f>D415-C415+1</f>
        <v/>
      </c>
      <c r="F415" s="319">
        <f>J414</f>
        <v/>
      </c>
      <c r="G415" s="319" t="n">
        <v>0</v>
      </c>
      <c r="H415" s="319">
        <f>$D$402*F415/$D$404</f>
        <v/>
      </c>
      <c r="I415" s="319" t="n">
        <v>0</v>
      </c>
      <c r="J415" s="319">
        <f>F415-I415</f>
        <v/>
      </c>
      <c r="K415" s="516" t="n">
        <v>0</v>
      </c>
      <c r="L415" s="516" t="n">
        <v>0</v>
      </c>
    </row>
    <row r="416" ht="14.25" customHeight="1">
      <c r="B416" s="1" t="n">
        <v>6</v>
      </c>
      <c r="C416" s="24" t="n">
        <v>44287</v>
      </c>
      <c r="D416" s="24" t="n">
        <v>44316</v>
      </c>
      <c r="E416" s="25">
        <f>D416-C416+1</f>
        <v/>
      </c>
      <c r="F416" s="319">
        <f>J415</f>
        <v/>
      </c>
      <c r="G416" s="319" t="n">
        <v>0</v>
      </c>
      <c r="H416" s="319">
        <f>$D$402*F416/$D$404</f>
        <v/>
      </c>
      <c r="I416" s="319" t="n">
        <v>0</v>
      </c>
      <c r="J416" s="319">
        <f>F416-I416</f>
        <v/>
      </c>
      <c r="K416" s="516" t="n">
        <v>0</v>
      </c>
      <c r="L416" s="516" t="n">
        <v>0</v>
      </c>
    </row>
    <row r="417" ht="14.25" customHeight="1">
      <c r="B417" s="1" t="n">
        <v>7</v>
      </c>
      <c r="C417" s="24" t="n">
        <v>44317</v>
      </c>
      <c r="D417" s="24" t="n">
        <v>44347</v>
      </c>
      <c r="E417" s="25">
        <f>D417-C417+1</f>
        <v/>
      </c>
      <c r="F417" s="319">
        <f>J416+SUM(H411:H416)</f>
        <v/>
      </c>
      <c r="G417" s="319">
        <f>-PMT($D$402/$D$404,54,$F$417,,0)</f>
        <v/>
      </c>
      <c r="H417" s="319">
        <f>$D$402*F417/$D$404</f>
        <v/>
      </c>
      <c r="I417" s="319">
        <f>G417-H417</f>
        <v/>
      </c>
      <c r="J417" s="319">
        <f>F417-I417</f>
        <v/>
      </c>
      <c r="K417" s="516" t="n">
        <v>0</v>
      </c>
      <c r="L417" s="516">
        <f>G417</f>
        <v/>
      </c>
      <c r="N417" s="521" t="n"/>
    </row>
    <row r="418" ht="14.25" customHeight="1">
      <c r="B418" s="1" t="n">
        <v>8</v>
      </c>
      <c r="C418" s="24" t="n">
        <v>44348</v>
      </c>
      <c r="D418" s="24" t="n">
        <v>44377</v>
      </c>
      <c r="E418" s="25">
        <f>D418-C418+1</f>
        <v/>
      </c>
      <c r="F418" s="319">
        <f>J417</f>
        <v/>
      </c>
      <c r="G418" s="319">
        <f>-PMT($D$402/$D$404,54,$F$417,,0)</f>
        <v/>
      </c>
      <c r="H418" s="319">
        <f>$D$402*F418/$D$404</f>
        <v/>
      </c>
      <c r="I418" s="319">
        <f>G418-H418</f>
        <v/>
      </c>
      <c r="J418" s="319">
        <f>F418-I418</f>
        <v/>
      </c>
      <c r="K418" s="516" t="n">
        <v>9042190.25</v>
      </c>
      <c r="L418" s="516">
        <f>L417+G418-K418</f>
        <v/>
      </c>
      <c r="N418" s="521" t="n"/>
    </row>
    <row r="419" ht="14.25" customHeight="1">
      <c r="B419" s="1" t="n">
        <v>9</v>
      </c>
      <c r="C419" s="24" t="n">
        <v>44378</v>
      </c>
      <c r="D419" s="24" t="n">
        <v>44408</v>
      </c>
      <c r="E419" s="25">
        <f>D419-C419+1</f>
        <v/>
      </c>
      <c r="F419" s="319">
        <f>J418</f>
        <v/>
      </c>
      <c r="G419" s="319">
        <f>-PMT($D$402/$D$404,54,$F$417,,0)</f>
        <v/>
      </c>
      <c r="H419" s="319">
        <f>$D$402*F419/$D$404</f>
        <v/>
      </c>
      <c r="I419" s="319">
        <f>G419-H419</f>
        <v/>
      </c>
      <c r="J419" s="319">
        <f>F419-I419</f>
        <v/>
      </c>
      <c r="K419" s="516" t="n">
        <v>0</v>
      </c>
      <c r="L419" s="519">
        <f>L418+G419-K419</f>
        <v/>
      </c>
    </row>
    <row r="420" ht="14.25" customHeight="1">
      <c r="B420" s="1" t="n">
        <v>10</v>
      </c>
      <c r="C420" s="24" t="n">
        <v>44409</v>
      </c>
      <c r="D420" s="24" t="n">
        <v>44439</v>
      </c>
      <c r="E420" s="25">
        <f>D420-C420+1</f>
        <v/>
      </c>
      <c r="F420" s="319">
        <f>J419</f>
        <v/>
      </c>
      <c r="G420" s="319">
        <f>-PMT($D$402/$D$404,54,$F$417,,0)</f>
        <v/>
      </c>
      <c r="H420" s="319">
        <f>$D$402*F420/$D$404</f>
        <v/>
      </c>
      <c r="I420" s="319">
        <f>G420-H420</f>
        <v/>
      </c>
      <c r="J420" s="319">
        <f>F420-I420</f>
        <v/>
      </c>
      <c r="K420" s="516">
        <f>18728694.91+9256961.72</f>
        <v/>
      </c>
      <c r="L420" s="516">
        <f>L419+G420-K420</f>
        <v/>
      </c>
      <c r="N420" s="521" t="n"/>
    </row>
    <row r="421" ht="14.25" customHeight="1">
      <c r="B421" s="1" t="n">
        <v>11</v>
      </c>
      <c r="C421" s="24" t="n">
        <v>44440</v>
      </c>
      <c r="D421" s="24" t="n">
        <v>44469</v>
      </c>
      <c r="E421" s="25">
        <f>D421-C421+1</f>
        <v/>
      </c>
      <c r="F421" s="319">
        <f>J420</f>
        <v/>
      </c>
      <c r="G421" s="319">
        <f>-PMT($D$402/$D$404,54,$F$417,,0)</f>
        <v/>
      </c>
      <c r="H421" s="319">
        <f>$D$402*F421/$D$404</f>
        <v/>
      </c>
      <c r="I421" s="319">
        <f>G421-H421</f>
        <v/>
      </c>
      <c r="J421" s="319">
        <f>F421-I421</f>
        <v/>
      </c>
      <c r="K421" s="516" t="n">
        <v>9256961.720000001</v>
      </c>
      <c r="L421" s="152">
        <f>L420+G421-K421</f>
        <v/>
      </c>
      <c r="N421" s="521" t="n"/>
    </row>
    <row r="422" ht="14.25" customHeight="1">
      <c r="B422" s="1" t="n">
        <v>12</v>
      </c>
      <c r="C422" s="24" t="n">
        <v>44470</v>
      </c>
      <c r="D422" s="24" t="n">
        <v>44500</v>
      </c>
      <c r="E422" s="25">
        <f>D422-C422+1</f>
        <v/>
      </c>
      <c r="F422" s="319">
        <f>J421</f>
        <v/>
      </c>
      <c r="G422" s="319">
        <f>-PMT($D$402/$D$404,54,$F$417,,0)</f>
        <v/>
      </c>
      <c r="H422" s="319">
        <f>$D$402*F422/$D$404</f>
        <v/>
      </c>
      <c r="I422" s="319">
        <f>G422-H422</f>
        <v/>
      </c>
      <c r="J422" s="319">
        <f>F422-I422</f>
        <v/>
      </c>
      <c r="K422" s="516" t="n">
        <v>9256961.720000001</v>
      </c>
      <c r="L422" s="152">
        <f>L421+G422-K422</f>
        <v/>
      </c>
    </row>
    <row r="423" ht="14.25" customHeight="1">
      <c r="B423" s="1" t="n">
        <v>13</v>
      </c>
      <c r="C423" s="24" t="n">
        <v>44501</v>
      </c>
      <c r="D423" s="24" t="n">
        <v>44530</v>
      </c>
      <c r="E423" s="25">
        <f>D423-C423+1</f>
        <v/>
      </c>
      <c r="F423" s="319">
        <f>J422</f>
        <v/>
      </c>
      <c r="G423" s="319">
        <f>-PMT($D$402/$D$404,54,$F$417,,0)</f>
        <v/>
      </c>
      <c r="H423" s="319">
        <f>$D$402*F423/$D$404</f>
        <v/>
      </c>
      <c r="I423" s="319">
        <f>G423-H423</f>
        <v/>
      </c>
      <c r="J423" s="319">
        <f>F423-I423</f>
        <v/>
      </c>
      <c r="K423" s="516" t="n">
        <v>9256961.720000001</v>
      </c>
      <c r="L423" s="152">
        <f>L422+G423-K423</f>
        <v/>
      </c>
    </row>
    <row r="424" ht="14.25" customHeight="1">
      <c r="B424" s="1" t="n">
        <v>14</v>
      </c>
      <c r="C424" s="24" t="n">
        <v>44531</v>
      </c>
      <c r="D424" s="24" t="n">
        <v>44561</v>
      </c>
      <c r="E424" s="25">
        <f>D424-C424+1</f>
        <v/>
      </c>
      <c r="F424" s="319">
        <f>J423</f>
        <v/>
      </c>
      <c r="G424" s="319">
        <f>-PMT($D$402/$D$404,54,$F$417,,0)</f>
        <v/>
      </c>
      <c r="H424" s="319">
        <f>$D$402*F424/$D$404</f>
        <v/>
      </c>
      <c r="I424" s="319">
        <f>G424-H424</f>
        <v/>
      </c>
      <c r="J424" s="319">
        <f>F424-I424</f>
        <v/>
      </c>
      <c r="K424" s="516" t="n">
        <v>9256961.720000001</v>
      </c>
      <c r="L424" s="152">
        <f>L423+G424-K424</f>
        <v/>
      </c>
    </row>
    <row r="425" ht="14.25" customHeight="1">
      <c r="B425" s="1" t="n">
        <v>15</v>
      </c>
      <c r="C425" s="24" t="n">
        <v>44562</v>
      </c>
      <c r="D425" s="24" t="n">
        <v>44592</v>
      </c>
      <c r="E425" s="25">
        <f>D425-C425+1</f>
        <v/>
      </c>
      <c r="F425" s="319">
        <f>J424</f>
        <v/>
      </c>
      <c r="G425" s="319">
        <f>-PMT($D$402/$D$404,54,$F$417,,0)</f>
        <v/>
      </c>
      <c r="H425" s="319">
        <f>$D$402*F425/$D$404</f>
        <v/>
      </c>
      <c r="I425" s="319">
        <f>G425-H425</f>
        <v/>
      </c>
      <c r="J425" s="319">
        <f>F425-I425</f>
        <v/>
      </c>
      <c r="K425" s="516" t="n">
        <v>0</v>
      </c>
      <c r="L425" s="152">
        <f>L424+G425-K425</f>
        <v/>
      </c>
    </row>
    <row r="426" ht="14.25" customHeight="1">
      <c r="B426" s="1" t="n">
        <v>16</v>
      </c>
      <c r="C426" s="24" t="n">
        <v>44593</v>
      </c>
      <c r="D426" s="24" t="n">
        <v>44620</v>
      </c>
      <c r="E426" s="25">
        <f>D426-C426+1</f>
        <v/>
      </c>
      <c r="F426" s="319">
        <f>J425</f>
        <v/>
      </c>
      <c r="G426" s="319">
        <f>-PMT($D$402/$D$404,54,$F$417,,0)</f>
        <v/>
      </c>
      <c r="H426" s="319">
        <f>$D$402*F426/$D$404</f>
        <v/>
      </c>
      <c r="I426" s="319">
        <f>G426-H426</f>
        <v/>
      </c>
      <c r="J426" s="319">
        <f>F426-I426</f>
        <v/>
      </c>
      <c r="K426" s="516" t="n">
        <v>18513923.5</v>
      </c>
      <c r="L426" s="152">
        <f>L425+G426-K426</f>
        <v/>
      </c>
    </row>
    <row r="427" ht="14.25" customHeight="1">
      <c r="B427" s="1" t="n">
        <v>17</v>
      </c>
      <c r="C427" s="24" t="n">
        <v>44621</v>
      </c>
      <c r="D427" s="24" t="n">
        <v>44651</v>
      </c>
      <c r="E427" s="25">
        <f>D427-C427+1</f>
        <v/>
      </c>
      <c r="F427" s="319">
        <f>J426</f>
        <v/>
      </c>
      <c r="G427" s="319">
        <f>-PMT($D$402/$D$404,54,$F$417,,0)</f>
        <v/>
      </c>
      <c r="H427" s="319">
        <f>$D$402*F427/$D$404</f>
        <v/>
      </c>
      <c r="I427" s="319">
        <f>G427-H427</f>
        <v/>
      </c>
      <c r="J427" s="319">
        <f>F427-I427</f>
        <v/>
      </c>
      <c r="K427" s="516" t="n">
        <v>9256961.720000001</v>
      </c>
      <c r="L427" s="152">
        <f>L426+G427-K427</f>
        <v/>
      </c>
    </row>
    <row r="428" ht="14.25" customHeight="1">
      <c r="B428" s="1" t="n">
        <v>18</v>
      </c>
      <c r="C428" s="24" t="n">
        <v>44652</v>
      </c>
      <c r="D428" s="24" t="n">
        <v>44681</v>
      </c>
      <c r="E428" s="25">
        <f>D428-C428+1</f>
        <v/>
      </c>
      <c r="F428" s="319">
        <f>J427</f>
        <v/>
      </c>
      <c r="G428" s="319">
        <f>-PMT($D$402/$D$404,54,$F$417,,0)</f>
        <v/>
      </c>
      <c r="H428" s="319">
        <f>$D$402*F428/$D$404</f>
        <v/>
      </c>
      <c r="I428" s="319">
        <f>G428-H428</f>
        <v/>
      </c>
      <c r="J428" s="319">
        <f>F428-I428</f>
        <v/>
      </c>
      <c r="K428" s="516" t="n">
        <v>9256961.720000001</v>
      </c>
      <c r="L428" s="152">
        <f>L427+G428-K428</f>
        <v/>
      </c>
    </row>
    <row r="429" ht="14.25" customHeight="1">
      <c r="B429" s="1" t="n">
        <v>19</v>
      </c>
      <c r="C429" s="24" t="n">
        <v>44682</v>
      </c>
      <c r="D429" s="24" t="n">
        <v>44712</v>
      </c>
      <c r="E429" s="25">
        <f>D429-C429+1</f>
        <v/>
      </c>
      <c r="F429" s="319">
        <f>J428</f>
        <v/>
      </c>
      <c r="G429" s="319">
        <f>-PMT($G$402/$D$404,42,$F$429,,0)</f>
        <v/>
      </c>
      <c r="H429" s="319">
        <f>$G$402*F429/$D$404</f>
        <v/>
      </c>
      <c r="I429" s="319">
        <f>G429-H429</f>
        <v/>
      </c>
      <c r="J429" s="319">
        <f>F429-I429</f>
        <v/>
      </c>
      <c r="K429" s="516" t="n">
        <v>9271443.41</v>
      </c>
      <c r="L429" s="152">
        <f>L428+G429-K429</f>
        <v/>
      </c>
    </row>
    <row r="430" ht="14.25" customHeight="1">
      <c r="B430" s="1" t="n">
        <v>20</v>
      </c>
      <c r="C430" s="24" t="n">
        <v>44713</v>
      </c>
      <c r="D430" s="24" t="n">
        <v>44742</v>
      </c>
      <c r="E430" s="25">
        <f>D430-C430+1</f>
        <v/>
      </c>
      <c r="F430" s="319">
        <f>J429</f>
        <v/>
      </c>
      <c r="G430" s="319">
        <f>-PMT($G$402/$D$404,42,$F$429,,0)</f>
        <v/>
      </c>
      <c r="H430" s="319">
        <f>$G$402*F430/$D$404</f>
        <v/>
      </c>
      <c r="I430" s="319">
        <f>G430-H430</f>
        <v/>
      </c>
      <c r="J430" s="319">
        <f>F430-I430</f>
        <v/>
      </c>
      <c r="K430" s="516" t="n">
        <v>9271443.41</v>
      </c>
      <c r="L430" s="152">
        <f>L429+G430-K430</f>
        <v/>
      </c>
    </row>
    <row r="431" ht="14.25" customHeight="1">
      <c r="B431" s="1" t="n">
        <v>21</v>
      </c>
      <c r="C431" s="24" t="n">
        <v>44743</v>
      </c>
      <c r="D431" s="24" t="n">
        <v>44773</v>
      </c>
      <c r="E431" s="25">
        <f>D431-C431+1</f>
        <v/>
      </c>
      <c r="F431" s="319">
        <f>J430</f>
        <v/>
      </c>
      <c r="G431" s="319">
        <f>-PMT($G$402/$D$404,42,$F$429,,0)</f>
        <v/>
      </c>
      <c r="H431" s="319">
        <f>$G$402*F431/$D$404</f>
        <v/>
      </c>
      <c r="I431" s="319">
        <f>G431-H431</f>
        <v/>
      </c>
      <c r="J431" s="319">
        <f>F431-I431</f>
        <v/>
      </c>
      <c r="K431" s="516" t="n">
        <v>0</v>
      </c>
      <c r="L431" s="152">
        <f>L430+G431-K431</f>
        <v/>
      </c>
    </row>
    <row r="432" ht="14.25" customHeight="1">
      <c r="B432" s="1" t="n">
        <v>22</v>
      </c>
      <c r="C432" s="24" t="n">
        <v>44774</v>
      </c>
      <c r="D432" s="24" t="n">
        <v>44804</v>
      </c>
      <c r="E432" s="25">
        <f>D432-C432+1</f>
        <v/>
      </c>
      <c r="F432" s="319">
        <f>J431</f>
        <v/>
      </c>
      <c r="G432" s="319">
        <f>-PMT($G$402/$D$404,42,$F$429,,0)</f>
        <v/>
      </c>
      <c r="H432" s="319">
        <f>$G$402*F432/$D$404</f>
        <v/>
      </c>
      <c r="I432" s="319">
        <f>G432-H432</f>
        <v/>
      </c>
      <c r="J432" s="319">
        <f>F432-I432</f>
        <v/>
      </c>
      <c r="K432" s="516" t="n">
        <v>9271443.41</v>
      </c>
      <c r="L432" s="152">
        <f>L431+G432-K432</f>
        <v/>
      </c>
    </row>
    <row r="433" ht="14.25" customHeight="1">
      <c r="B433" s="1" t="n">
        <v>23</v>
      </c>
      <c r="C433" s="24" t="n">
        <v>44805</v>
      </c>
      <c r="D433" s="24" t="n">
        <v>44834</v>
      </c>
      <c r="E433" s="25">
        <f>D433-C433+1</f>
        <v/>
      </c>
      <c r="F433" s="319">
        <f>J432</f>
        <v/>
      </c>
      <c r="G433" s="319">
        <f>-PMT($H$402/$D$404,38,$F$433,,0)</f>
        <v/>
      </c>
      <c r="H433" s="319">
        <f>$H$402*F433/$D$404</f>
        <v/>
      </c>
      <c r="I433" s="319">
        <f>G433-H433</f>
        <v/>
      </c>
      <c r="J433" s="319">
        <f>F433-I433</f>
        <v/>
      </c>
      <c r="K433" s="516" t="n"/>
      <c r="L433" s="152">
        <f>L432+G433-K433</f>
        <v/>
      </c>
    </row>
    <row r="434" ht="14.25" customHeight="1">
      <c r="B434" s="1" t="n">
        <v>24</v>
      </c>
      <c r="C434" s="24" t="n">
        <v>44835</v>
      </c>
      <c r="D434" s="24" t="n">
        <v>44865</v>
      </c>
      <c r="E434" s="25">
        <f>D434-C434+1</f>
        <v/>
      </c>
      <c r="F434" s="319">
        <f>J433</f>
        <v/>
      </c>
      <c r="G434" s="319">
        <f>-PMT($H$402/$D$404,38,$F$433,,0)</f>
        <v/>
      </c>
      <c r="H434" s="319">
        <f>$H$402*F434/$D$404</f>
        <v/>
      </c>
      <c r="I434" s="319">
        <f>G434-H434</f>
        <v/>
      </c>
      <c r="J434" s="319">
        <f>F434-I434</f>
        <v/>
      </c>
      <c r="K434" s="516" t="n">
        <v>9271443.41</v>
      </c>
      <c r="L434" s="152">
        <f>L433+G434-K434</f>
        <v/>
      </c>
    </row>
    <row r="435" ht="14.25" customHeight="1">
      <c r="B435" s="1" t="n">
        <v>25</v>
      </c>
      <c r="C435" s="24" t="n">
        <v>44866</v>
      </c>
      <c r="D435" s="24" t="n">
        <v>44895</v>
      </c>
      <c r="E435" s="25">
        <f>D435-C435+1</f>
        <v/>
      </c>
      <c r="F435" s="319">
        <f>J434</f>
        <v/>
      </c>
      <c r="G435" s="319">
        <f>-PMT($I$402/$D$404,36,$F$435,,0)</f>
        <v/>
      </c>
      <c r="H435" s="319">
        <f>$I$402*F435/$D$404</f>
        <v/>
      </c>
      <c r="I435" s="319">
        <f>G435-H435</f>
        <v/>
      </c>
      <c r="J435" s="319">
        <f>F435-I435</f>
        <v/>
      </c>
      <c r="K435" s="516" t="n">
        <v>0</v>
      </c>
      <c r="L435" s="152">
        <f>L434+G435-K435</f>
        <v/>
      </c>
    </row>
    <row r="436" ht="14.25" customHeight="1">
      <c r="B436" s="1" t="n">
        <v>26</v>
      </c>
      <c r="C436" s="24" t="n">
        <v>44896</v>
      </c>
      <c r="D436" s="24" t="n">
        <v>44926</v>
      </c>
      <c r="E436" s="25">
        <f>D436-C436+1</f>
        <v/>
      </c>
      <c r="F436" s="319">
        <f>J435</f>
        <v/>
      </c>
      <c r="G436" s="319">
        <f>-PMT($J$402/$D$404,35,$F$436,,0)</f>
        <v/>
      </c>
      <c r="H436" s="319">
        <f>$J$402*F436/$D$404</f>
        <v/>
      </c>
      <c r="I436" s="319">
        <f>G436-H436</f>
        <v/>
      </c>
      <c r="J436" s="319">
        <f>F436-I436</f>
        <v/>
      </c>
      <c r="K436" s="516" t="n">
        <v>0</v>
      </c>
      <c r="L436" s="152">
        <f>L435+G436-K436</f>
        <v/>
      </c>
    </row>
    <row r="437" ht="14.25" customHeight="1">
      <c r="B437" s="1" t="n">
        <v>27</v>
      </c>
      <c r="C437" s="24" t="n">
        <v>44927</v>
      </c>
      <c r="D437" s="24" t="n">
        <v>44957</v>
      </c>
      <c r="E437" s="25">
        <f>D437-C437+1</f>
        <v/>
      </c>
      <c r="F437" s="319">
        <f>J436</f>
        <v/>
      </c>
      <c r="G437" s="319">
        <f>-PMT($J$402/$D$404,35,$F$436,,0)</f>
        <v/>
      </c>
      <c r="H437" s="319">
        <f>$J$402*F437/$D$404</f>
        <v/>
      </c>
      <c r="I437" s="319">
        <f>G437-H437</f>
        <v/>
      </c>
      <c r="J437" s="319">
        <f>F437-I437</f>
        <v/>
      </c>
      <c r="K437" s="516" t="n">
        <v>0</v>
      </c>
      <c r="L437" s="152">
        <f>L436+G437-K437</f>
        <v/>
      </c>
    </row>
    <row r="438" ht="14.25" customHeight="1">
      <c r="B438" s="1" t="n">
        <v>28</v>
      </c>
      <c r="C438" s="24" t="n">
        <v>44958</v>
      </c>
      <c r="D438" s="24" t="n">
        <v>44985</v>
      </c>
      <c r="E438" s="25">
        <f>D438-C438+1</f>
        <v/>
      </c>
      <c r="F438" s="319">
        <f>J437</f>
        <v/>
      </c>
      <c r="G438" s="319">
        <f>-PMT($J$402/$D$404,35,$F$436,,0)</f>
        <v/>
      </c>
      <c r="H438" s="319">
        <f>$J$402*F438/$D$404</f>
        <v/>
      </c>
      <c r="I438" s="319">
        <f>G438-H438</f>
        <v/>
      </c>
      <c r="J438" s="319">
        <f>F438-I438</f>
        <v/>
      </c>
      <c r="K438" s="516" t="n">
        <v>0</v>
      </c>
      <c r="L438" s="152">
        <f>L437+G438-K438</f>
        <v/>
      </c>
    </row>
    <row r="439" ht="14.25" customHeight="1">
      <c r="B439" s="1" t="n">
        <v>29</v>
      </c>
      <c r="C439" s="24" t="n">
        <v>44986</v>
      </c>
      <c r="D439" s="24" t="n">
        <v>45016</v>
      </c>
      <c r="E439" s="25">
        <f>D439-C439+1</f>
        <v/>
      </c>
      <c r="F439" s="319">
        <f>J438</f>
        <v/>
      </c>
      <c r="G439" s="319">
        <f>-PMT($J$402/$D$404,35,$F$436,,0)</f>
        <v/>
      </c>
      <c r="H439" s="319">
        <f>$J$402*F439/$D$404</f>
        <v/>
      </c>
      <c r="I439" s="319">
        <f>G439-H439</f>
        <v/>
      </c>
      <c r="J439" s="319">
        <f>F439-I439</f>
        <v/>
      </c>
      <c r="K439" s="516" t="n">
        <v>10000000</v>
      </c>
      <c r="L439" s="152">
        <f>L438+G439-K439</f>
        <v/>
      </c>
    </row>
    <row r="440" ht="14.25" customHeight="1">
      <c r="B440" s="1" t="n">
        <v>30</v>
      </c>
      <c r="C440" s="24" t="n">
        <v>45017</v>
      </c>
      <c r="D440" s="24" t="n">
        <v>45046</v>
      </c>
      <c r="E440" s="25">
        <f>D440-C440+1</f>
        <v/>
      </c>
      <c r="F440" s="319">
        <f>J439</f>
        <v/>
      </c>
      <c r="G440" s="319">
        <f>-PMT($J$402/$D$404,35,$F$436,,0)</f>
        <v/>
      </c>
      <c r="H440" s="319">
        <f>$J$402*F440/$D$404</f>
        <v/>
      </c>
      <c r="I440" s="319">
        <f>G440-H440</f>
        <v/>
      </c>
      <c r="J440" s="319">
        <f>F440-I440</f>
        <v/>
      </c>
      <c r="K440" s="516" t="n"/>
      <c r="L440" s="152">
        <f>L439+G440-K440</f>
        <v/>
      </c>
    </row>
    <row r="441" ht="14.25" customHeight="1">
      <c r="B441" s="1" t="n">
        <v>31</v>
      </c>
      <c r="C441" s="24" t="n">
        <v>45047</v>
      </c>
      <c r="D441" s="24" t="n">
        <v>45077</v>
      </c>
      <c r="E441" s="25">
        <f>D441-C441+1</f>
        <v/>
      </c>
      <c r="F441" s="319">
        <f>J440</f>
        <v/>
      </c>
      <c r="G441" s="319">
        <f>-PMT($K$402/$D$404,30,$F$441,,0)</f>
        <v/>
      </c>
      <c r="H441" s="319">
        <f>$K$402*F441/$D$404</f>
        <v/>
      </c>
      <c r="I441" s="319">
        <f>G441-H441</f>
        <v/>
      </c>
      <c r="J441" s="319">
        <f>F441-I441</f>
        <v/>
      </c>
      <c r="K441" s="516" t="n"/>
      <c r="L441" s="152">
        <f>L440+G441-K441</f>
        <v/>
      </c>
    </row>
    <row r="442" ht="14.25" customHeight="1">
      <c r="B442" s="1" t="n">
        <v>32</v>
      </c>
      <c r="C442" s="24" t="n">
        <v>45078</v>
      </c>
      <c r="D442" s="24" t="n">
        <v>45107</v>
      </c>
      <c r="E442" s="25">
        <f>D442-C442+1</f>
        <v/>
      </c>
      <c r="F442" s="319">
        <f>J441</f>
        <v/>
      </c>
      <c r="G442" s="319">
        <f>-PMT($K$402/$D$404,30,$F$441,,0)</f>
        <v/>
      </c>
      <c r="H442" s="319">
        <f>$K$402*F442/$D$404</f>
        <v/>
      </c>
      <c r="I442" s="319">
        <f>G442-H442</f>
        <v/>
      </c>
      <c r="J442" s="319">
        <f>F442-I442</f>
        <v/>
      </c>
      <c r="K442" s="516" t="n"/>
      <c r="L442" s="287">
        <f>L441+G442-K442</f>
        <v/>
      </c>
    </row>
    <row r="443" ht="14.25" customHeight="1">
      <c r="B443" s="1" t="n">
        <v>33</v>
      </c>
      <c r="C443" s="24" t="n">
        <v>45108</v>
      </c>
      <c r="D443" s="24" t="n">
        <v>45138</v>
      </c>
      <c r="E443" s="25">
        <f>D443-C443+1</f>
        <v/>
      </c>
      <c r="F443" s="319">
        <f>J442</f>
        <v/>
      </c>
      <c r="G443" s="522">
        <f>-PMT($L$402/$D$404,28,$F$443,,0)</f>
        <v/>
      </c>
      <c r="H443" s="319">
        <f>$L$402*F443/$D$404</f>
        <v/>
      </c>
      <c r="I443" s="319">
        <f>G443-H443</f>
        <v/>
      </c>
      <c r="J443" s="319">
        <f>F443-I443</f>
        <v/>
      </c>
      <c r="K443" s="516" t="n"/>
      <c r="L443" s="287">
        <f>L442+G443-K443</f>
        <v/>
      </c>
    </row>
    <row r="444" ht="14.25" customHeight="1">
      <c r="B444" s="1" t="n">
        <v>34</v>
      </c>
      <c r="C444" s="24" t="n">
        <v>45139</v>
      </c>
      <c r="D444" s="24" t="n">
        <v>45169</v>
      </c>
      <c r="E444" s="25">
        <f>D444-C444+1</f>
        <v/>
      </c>
      <c r="F444" s="319">
        <f>J443</f>
        <v/>
      </c>
      <c r="G444" s="319">
        <f>-PMT($M$402/$D$404,27,$F$444,,0)</f>
        <v/>
      </c>
      <c r="H444" s="319">
        <f>$M$402*F444/$D$404</f>
        <v/>
      </c>
      <c r="I444" s="319">
        <f>G444-H444</f>
        <v/>
      </c>
      <c r="J444" s="319">
        <f>F444-I444</f>
        <v/>
      </c>
      <c r="K444" s="516" t="n"/>
      <c r="L444" s="152">
        <f>L443+G444-K444</f>
        <v/>
      </c>
    </row>
    <row r="445" ht="14.25" customHeight="1">
      <c r="B445" s="1" t="n">
        <v>35</v>
      </c>
      <c r="C445" s="24" t="n">
        <v>45170</v>
      </c>
      <c r="D445" s="24" t="n">
        <v>45199</v>
      </c>
      <c r="E445" s="25">
        <f>D445-C445+1</f>
        <v/>
      </c>
      <c r="F445" s="319">
        <f>J444</f>
        <v/>
      </c>
      <c r="G445" s="319">
        <f>-PMT($H$407/$D$404,26,$F$445,,0)</f>
        <v/>
      </c>
      <c r="H445" s="319">
        <f>$H$407*F445/$D$404</f>
        <v/>
      </c>
      <c r="I445" s="319">
        <f>G445-H445</f>
        <v/>
      </c>
      <c r="J445" s="319">
        <f>F445-I445</f>
        <v/>
      </c>
      <c r="K445" s="516" t="n"/>
      <c r="L445" s="152">
        <f>L444+G445-K445</f>
        <v/>
      </c>
    </row>
    <row r="446" ht="14.25" customHeight="1">
      <c r="B446" s="1" t="n">
        <v>36</v>
      </c>
      <c r="C446" s="24" t="n">
        <v>45200</v>
      </c>
      <c r="D446" s="24" t="n">
        <v>45230</v>
      </c>
      <c r="E446" s="25">
        <f>D446-C446+1</f>
        <v/>
      </c>
      <c r="F446" s="319">
        <f>J445</f>
        <v/>
      </c>
      <c r="G446" s="319" t="n">
        <v>4829356.14</v>
      </c>
      <c r="H446" s="319">
        <f>$I$407*F446/$D$404</f>
        <v/>
      </c>
      <c r="I446" s="319" t="n">
        <v>0</v>
      </c>
      <c r="J446" s="319">
        <f>F446-I446</f>
        <v/>
      </c>
      <c r="K446" s="152" t="n">
        <v>118255071.3613619</v>
      </c>
      <c r="L446" s="152">
        <f>L445+G446-K446</f>
        <v/>
      </c>
      <c r="M446" s="237" t="n"/>
    </row>
    <row r="447" ht="14.25" customHeight="1">
      <c r="B447" s="1" t="n">
        <v>37</v>
      </c>
      <c r="C447" s="24" t="n">
        <v>45231</v>
      </c>
      <c r="D447" s="24" t="n">
        <v>45260</v>
      </c>
      <c r="E447" s="25">
        <f>D447-C447+1</f>
        <v/>
      </c>
      <c r="F447" s="319">
        <f>J446</f>
        <v/>
      </c>
      <c r="G447" s="319" t="n">
        <v>4829356.14</v>
      </c>
      <c r="H447" s="319">
        <f>$I$407*F447/$D$404</f>
        <v/>
      </c>
      <c r="I447" s="319" t="n">
        <v>0</v>
      </c>
      <c r="J447" s="319">
        <f>F447-I447</f>
        <v/>
      </c>
      <c r="K447" s="516" t="n">
        <v>9626729.800000001</v>
      </c>
      <c r="L447" s="152">
        <f>L446+G447-K447</f>
        <v/>
      </c>
    </row>
    <row r="448" ht="14.25" customHeight="1">
      <c r="B448" s="1" t="n">
        <v>38</v>
      </c>
      <c r="C448" s="24" t="n">
        <v>45261</v>
      </c>
      <c r="D448" s="24" t="n">
        <v>45291</v>
      </c>
      <c r="E448" s="25">
        <f>D448-C448+1</f>
        <v/>
      </c>
      <c r="F448" s="319">
        <f>J447</f>
        <v/>
      </c>
      <c r="G448" s="319" t="n">
        <v>4845347.39</v>
      </c>
      <c r="H448" s="319">
        <f>$J$407*F448/$D$404</f>
        <v/>
      </c>
      <c r="I448" s="319" t="n">
        <v>0</v>
      </c>
      <c r="J448" s="319">
        <f>F448-I448</f>
        <v/>
      </c>
      <c r="K448" s="516" t="n">
        <v>4829356.14</v>
      </c>
      <c r="L448" s="152">
        <f>L447+G448-K448</f>
        <v/>
      </c>
    </row>
    <row r="449" ht="14.25" customHeight="1">
      <c r="B449" s="1" t="n">
        <v>39</v>
      </c>
      <c r="C449" s="24" t="n">
        <v>45292</v>
      </c>
      <c r="D449" s="24" t="n">
        <v>45322</v>
      </c>
      <c r="E449" s="25">
        <f>D449-C449+1</f>
        <v/>
      </c>
      <c r="F449" s="319">
        <f>J448</f>
        <v/>
      </c>
      <c r="G449" s="319" t="n">
        <v>4845347.39</v>
      </c>
      <c r="H449" s="319">
        <f>$J$407*F449/$D$404</f>
        <v/>
      </c>
      <c r="I449" s="319" t="n">
        <v>0</v>
      </c>
      <c r="J449" s="319">
        <f>F449-I449</f>
        <v/>
      </c>
      <c r="K449" s="516" t="n">
        <v>4829356.14</v>
      </c>
      <c r="L449" s="152">
        <f>L448+G449-K449</f>
        <v/>
      </c>
    </row>
    <row r="450" ht="14.25" customHeight="1">
      <c r="B450" s="1" t="n">
        <v>40</v>
      </c>
      <c r="C450" s="24" t="n">
        <v>45323</v>
      </c>
      <c r="D450" s="24" t="n">
        <v>45351</v>
      </c>
      <c r="E450" s="25">
        <f>D450-C450+1</f>
        <v/>
      </c>
      <c r="F450" s="319">
        <f>J449</f>
        <v/>
      </c>
      <c r="G450" s="319" t="n">
        <v>4845347.39</v>
      </c>
      <c r="H450" s="319">
        <f>$K$407*F450/$D$404</f>
        <v/>
      </c>
      <c r="I450" s="319" t="n">
        <v>0</v>
      </c>
      <c r="J450" s="319">
        <f>F450-I450</f>
        <v/>
      </c>
      <c r="K450" s="516" t="n"/>
      <c r="L450" s="152">
        <f>L449+G450-K450</f>
        <v/>
      </c>
    </row>
    <row r="451" ht="14.25" customHeight="1">
      <c r="B451" s="1" t="n">
        <v>41</v>
      </c>
      <c r="C451" s="24" t="n">
        <v>45352</v>
      </c>
      <c r="D451" s="24" t="n">
        <v>45382</v>
      </c>
      <c r="E451" s="25">
        <f>D451-C451+1</f>
        <v/>
      </c>
      <c r="F451" s="319">
        <f>J450</f>
        <v/>
      </c>
      <c r="G451" s="319">
        <f>-PMT($K$407/$D$404,32,$F$451,,0)</f>
        <v/>
      </c>
      <c r="H451" s="319">
        <f>$K$407*F451/$D$404</f>
        <v/>
      </c>
      <c r="I451" s="319">
        <f>G451-H451</f>
        <v/>
      </c>
      <c r="J451" s="319">
        <f>F451-I451</f>
        <v/>
      </c>
      <c r="K451" s="516" t="n">
        <v>4829356.14</v>
      </c>
      <c r="L451" s="152">
        <f>L450+G451-K451</f>
        <v/>
      </c>
    </row>
    <row r="452" ht="14.25" customHeight="1">
      <c r="B452" s="1" t="n">
        <v>42</v>
      </c>
      <c r="C452" s="24" t="n">
        <v>45383</v>
      </c>
      <c r="D452" s="24" t="n">
        <v>45412</v>
      </c>
      <c r="E452" s="25">
        <f>D452-C452+1</f>
        <v/>
      </c>
      <c r="F452" s="319">
        <f>J451</f>
        <v/>
      </c>
      <c r="G452" s="319">
        <f>-PMT($K$407/$D$404,32,$F$451,,0)</f>
        <v/>
      </c>
      <c r="H452" s="319">
        <f>$K$407*F452/$D$404</f>
        <v/>
      </c>
      <c r="I452" s="319">
        <f>G452-H452</f>
        <v/>
      </c>
      <c r="J452" s="319">
        <f>F452-I452</f>
        <v/>
      </c>
      <c r="K452" s="516" t="n">
        <v>8803308.710000001</v>
      </c>
      <c r="L452" s="152">
        <f>L451+G452-K452</f>
        <v/>
      </c>
    </row>
    <row r="453" ht="14.25" customHeight="1">
      <c r="B453" s="1" t="n">
        <v>43</v>
      </c>
      <c r="C453" s="24" t="n">
        <v>45413</v>
      </c>
      <c r="D453" s="24" t="n">
        <v>45443</v>
      </c>
      <c r="E453" s="25">
        <f>D453-C453+1</f>
        <v/>
      </c>
      <c r="F453" s="319">
        <f>J452</f>
        <v/>
      </c>
      <c r="G453" s="319">
        <f>-PMT($L$407/$D$404,30,$F$453,,0)</f>
        <v/>
      </c>
      <c r="H453" s="319">
        <f>$L$407*F453/$D$404</f>
        <v/>
      </c>
      <c r="I453" s="319">
        <f>G453-H453</f>
        <v/>
      </c>
      <c r="J453" s="319">
        <f>F453-I453</f>
        <v/>
      </c>
      <c r="K453" s="516" t="n">
        <v>8803308.710000001</v>
      </c>
      <c r="L453" s="152">
        <f>L452+G453-K453</f>
        <v/>
      </c>
    </row>
    <row r="454" ht="14.25" customHeight="1">
      <c r="B454" s="1" t="n">
        <v>44</v>
      </c>
      <c r="C454" s="24" t="n">
        <v>45444</v>
      </c>
      <c r="D454" s="24" t="n">
        <v>45473</v>
      </c>
      <c r="E454" s="25">
        <f>D454-C454+1</f>
        <v/>
      </c>
      <c r="F454" s="319">
        <f>J453</f>
        <v/>
      </c>
      <c r="G454" s="319">
        <f>-PMT($M$407/$D$404,29,$F$454,,0)</f>
        <v/>
      </c>
      <c r="H454" s="319">
        <f>$M$407*F454/$D$404</f>
        <v/>
      </c>
      <c r="I454" s="319">
        <f>G454-H454</f>
        <v/>
      </c>
      <c r="J454" s="319">
        <f>F454-I454</f>
        <v/>
      </c>
      <c r="K454" s="516" t="n">
        <v>9327901.300000001</v>
      </c>
      <c r="L454" s="152">
        <f>L453+G454-K454</f>
        <v/>
      </c>
    </row>
    <row r="455" ht="14.25" customHeight="1">
      <c r="B455" s="1" t="n">
        <v>45</v>
      </c>
      <c r="C455" s="24" t="n">
        <v>45474</v>
      </c>
      <c r="D455" s="24" t="n">
        <v>45504</v>
      </c>
      <c r="E455" s="25">
        <f>D455-C455+1</f>
        <v/>
      </c>
      <c r="F455" s="319">
        <f>J454</f>
        <v/>
      </c>
      <c r="G455" s="319">
        <f>-PMT($N$407/$D$404,28,$F$455,,0)</f>
        <v/>
      </c>
      <c r="H455" s="319">
        <f>$N$407*F455/$D$404</f>
        <v/>
      </c>
      <c r="I455" s="319">
        <f>G455-H455</f>
        <v/>
      </c>
      <c r="J455" s="319">
        <f>F455-I455</f>
        <v/>
      </c>
      <c r="K455" s="516" t="n">
        <v>8958096.699999999</v>
      </c>
      <c r="L455" s="152">
        <f>L454+G455-K455</f>
        <v/>
      </c>
    </row>
    <row r="456" ht="14.25" customHeight="1">
      <c r="B456" s="1" t="n">
        <v>46</v>
      </c>
      <c r="C456" s="24" t="n">
        <v>45505</v>
      </c>
      <c r="D456" s="24" t="n">
        <v>45535</v>
      </c>
      <c r="E456" s="25">
        <f>D456-C456+1</f>
        <v/>
      </c>
      <c r="F456" s="319">
        <f>J455</f>
        <v/>
      </c>
      <c r="G456" s="319">
        <f>-PMT($N$407/$D$404,28,$F$455,,0)</f>
        <v/>
      </c>
      <c r="H456" s="319">
        <f>$N$407*F456/$D$404</f>
        <v/>
      </c>
      <c r="I456" s="319">
        <f>G456-H456</f>
        <v/>
      </c>
      <c r="J456" s="319">
        <f>F456-I456</f>
        <v/>
      </c>
      <c r="K456" s="516" t="n">
        <v>8958096.699999999</v>
      </c>
      <c r="L456" s="152">
        <f>L455+G456-K456</f>
        <v/>
      </c>
    </row>
    <row r="457" ht="14.25" customHeight="1">
      <c r="B457" s="1" t="n">
        <v>47</v>
      </c>
      <c r="C457" s="24" t="n">
        <v>45536</v>
      </c>
      <c r="D457" s="24" t="n">
        <v>45565</v>
      </c>
      <c r="E457" s="25">
        <f>D457-C457+1</f>
        <v/>
      </c>
      <c r="F457" s="319">
        <f>J456</f>
        <v/>
      </c>
      <c r="G457" s="319">
        <f>-PMT($N$407/$D$404,28,$F$455,,0)</f>
        <v/>
      </c>
      <c r="H457" s="319">
        <f>$N$407*F457/$D$404</f>
        <v/>
      </c>
      <c r="I457" s="319">
        <f>G457-H457</f>
        <v/>
      </c>
      <c r="J457" s="319">
        <f>F457-I457</f>
        <v/>
      </c>
      <c r="K457" s="516">
        <f>8958096.7+86786.9</f>
        <v/>
      </c>
      <c r="L457" s="152">
        <f>L456+G457-K457</f>
        <v/>
      </c>
    </row>
    <row r="458" ht="14.25" customHeight="1">
      <c r="B458" s="1" t="n">
        <v>48</v>
      </c>
      <c r="C458" s="24" t="n">
        <v>45566</v>
      </c>
      <c r="D458" s="24" t="n">
        <v>45596</v>
      </c>
      <c r="E458" s="25">
        <f>D458-C458+1</f>
        <v/>
      </c>
      <c r="F458" s="319">
        <f>J457</f>
        <v/>
      </c>
      <c r="G458" s="319">
        <f>-PMT($N$407/$D$404,28,$F$455,,0)</f>
        <v/>
      </c>
      <c r="H458" s="319">
        <f>$N$407*F458/$D$404</f>
        <v/>
      </c>
      <c r="I458" s="319">
        <f>G458-H458</f>
        <v/>
      </c>
      <c r="J458" s="319">
        <f>F458-I458</f>
        <v/>
      </c>
      <c r="K458" s="516" t="n">
        <v>8958096.699999999</v>
      </c>
      <c r="L458" s="332">
        <f>L457+G458-K458</f>
        <v/>
      </c>
    </row>
    <row r="459" ht="14.25" customHeight="1">
      <c r="B459" s="1" t="n">
        <v>49</v>
      </c>
      <c r="C459" s="24" t="n">
        <v>45597</v>
      </c>
      <c r="D459" s="24" t="n">
        <v>45626</v>
      </c>
      <c r="E459" s="25">
        <f>D459-C459+1</f>
        <v/>
      </c>
      <c r="F459" s="319">
        <f>J458</f>
        <v/>
      </c>
      <c r="G459" s="319">
        <f>-PMT($N$407/$D$404,28,$F$455,,0)</f>
        <v/>
      </c>
      <c r="H459" s="319">
        <f>$N$407*F459/$D$404</f>
        <v/>
      </c>
      <c r="I459" s="319">
        <f>G459-H459</f>
        <v/>
      </c>
      <c r="J459" s="319">
        <f>F459-I459</f>
        <v/>
      </c>
      <c r="K459" s="516" t="n"/>
      <c r="L459" s="516" t="n"/>
    </row>
    <row r="460" ht="14.25" customHeight="1">
      <c r="B460" s="1" t="n">
        <v>50</v>
      </c>
      <c r="C460" s="24" t="n">
        <v>45627</v>
      </c>
      <c r="D460" s="24" t="n">
        <v>45657</v>
      </c>
      <c r="E460" s="25">
        <f>D460-C460+1</f>
        <v/>
      </c>
      <c r="F460" s="319">
        <f>J459</f>
        <v/>
      </c>
      <c r="G460" s="319">
        <f>-PMT($N$407/$D$404,28,$F$455,,0)</f>
        <v/>
      </c>
      <c r="H460" s="319">
        <f>$N$407*F460/$D$404</f>
        <v/>
      </c>
      <c r="I460" s="319">
        <f>G460-H460</f>
        <v/>
      </c>
      <c r="J460" s="319">
        <f>F460-I460</f>
        <v/>
      </c>
      <c r="K460" s="516" t="n"/>
      <c r="L460" s="516" t="n"/>
    </row>
    <row r="461" ht="14.25" customHeight="1">
      <c r="B461" s="1" t="n">
        <v>51</v>
      </c>
      <c r="C461" s="24" t="n">
        <v>45658</v>
      </c>
      <c r="D461" s="24" t="n">
        <v>45688</v>
      </c>
      <c r="E461" s="25">
        <f>D461-C461+1</f>
        <v/>
      </c>
      <c r="F461" s="319">
        <f>J460</f>
        <v/>
      </c>
      <c r="G461" s="319">
        <f>-PMT($N$407/$D$404,28,$F$455,,0)</f>
        <v/>
      </c>
      <c r="H461" s="319">
        <f>$N$407*F461/$D$404</f>
        <v/>
      </c>
      <c r="I461" s="319">
        <f>G461-H461</f>
        <v/>
      </c>
      <c r="J461" s="319">
        <f>F461-I461</f>
        <v/>
      </c>
      <c r="K461" s="516" t="n"/>
      <c r="L461" s="516" t="n"/>
    </row>
    <row r="462" ht="14.25" customHeight="1">
      <c r="B462" s="1" t="n">
        <v>52</v>
      </c>
      <c r="C462" s="24" t="n">
        <v>45689</v>
      </c>
      <c r="D462" s="24" t="n">
        <v>45716</v>
      </c>
      <c r="E462" s="25">
        <f>D462-C462+1</f>
        <v/>
      </c>
      <c r="F462" s="319">
        <f>J461</f>
        <v/>
      </c>
      <c r="G462" s="319">
        <f>-PMT($N$407/$D$404,28,$F$455,,0)</f>
        <v/>
      </c>
      <c r="H462" s="319">
        <f>$N$407*F462/$D$404</f>
        <v/>
      </c>
      <c r="I462" s="319">
        <f>G462-H462</f>
        <v/>
      </c>
      <c r="J462" s="319">
        <f>F462-I462</f>
        <v/>
      </c>
      <c r="K462" s="516" t="n"/>
      <c r="L462" s="516" t="n"/>
    </row>
    <row r="463" ht="14.25" customHeight="1">
      <c r="B463" s="1" t="n">
        <v>53</v>
      </c>
      <c r="C463" s="24" t="n">
        <v>45717</v>
      </c>
      <c r="D463" s="24" t="n">
        <v>45747</v>
      </c>
      <c r="E463" s="25">
        <f>D463-C463+1</f>
        <v/>
      </c>
      <c r="F463" s="319">
        <f>J462</f>
        <v/>
      </c>
      <c r="G463" s="319">
        <f>-PMT($N$407/$D$404,28,$F$455,,0)</f>
        <v/>
      </c>
      <c r="H463" s="319">
        <f>$N$407*F463/$D$404</f>
        <v/>
      </c>
      <c r="I463" s="319">
        <f>G463-H463</f>
        <v/>
      </c>
      <c r="J463" s="319">
        <f>F463-I463</f>
        <v/>
      </c>
      <c r="K463" s="516" t="n"/>
      <c r="L463" s="516" t="n"/>
    </row>
    <row r="464" ht="14.25" customHeight="1">
      <c r="B464" s="1" t="n">
        <v>54</v>
      </c>
      <c r="C464" s="24" t="n">
        <v>45748</v>
      </c>
      <c r="D464" s="24" t="n">
        <v>45777</v>
      </c>
      <c r="E464" s="25">
        <f>D464-C464+1</f>
        <v/>
      </c>
      <c r="F464" s="319">
        <f>J463</f>
        <v/>
      </c>
      <c r="G464" s="319">
        <f>-PMT($N$407/$D$404,28,$F$455,,0)</f>
        <v/>
      </c>
      <c r="H464" s="319">
        <f>$N$407*F464/$D$404</f>
        <v/>
      </c>
      <c r="I464" s="319">
        <f>G464-H464</f>
        <v/>
      </c>
      <c r="J464" s="319">
        <f>F464-I464</f>
        <v/>
      </c>
      <c r="K464" s="516" t="n"/>
      <c r="L464" s="516" t="n"/>
    </row>
    <row r="465" ht="14.25" customHeight="1">
      <c r="B465" s="1" t="n">
        <v>55</v>
      </c>
      <c r="C465" s="24" t="n">
        <v>45778</v>
      </c>
      <c r="D465" s="24" t="n">
        <v>45808</v>
      </c>
      <c r="E465" s="25">
        <f>D465-C465+1</f>
        <v/>
      </c>
      <c r="F465" s="319">
        <f>J464</f>
        <v/>
      </c>
      <c r="G465" s="319">
        <f>-PMT($N$407/$D$404,28,$F$455,,0)</f>
        <v/>
      </c>
      <c r="H465" s="319">
        <f>$N$407*F465/$D$404</f>
        <v/>
      </c>
      <c r="I465" s="319">
        <f>G465-H465</f>
        <v/>
      </c>
      <c r="J465" s="319">
        <f>F465-I465</f>
        <v/>
      </c>
      <c r="K465" s="516" t="n"/>
      <c r="L465" s="516" t="n"/>
    </row>
    <row r="466" ht="14.25" customHeight="1">
      <c r="B466" s="1" t="n">
        <v>56</v>
      </c>
      <c r="C466" s="24" t="n">
        <v>45809</v>
      </c>
      <c r="D466" s="24" t="n">
        <v>45838</v>
      </c>
      <c r="E466" s="25">
        <f>D466-C466+1</f>
        <v/>
      </c>
      <c r="F466" s="319">
        <f>J465</f>
        <v/>
      </c>
      <c r="G466" s="319">
        <f>-PMT($N$407/$D$404,28,$F$455,,0)</f>
        <v/>
      </c>
      <c r="H466" s="319">
        <f>$N$407*F466/$D$404</f>
        <v/>
      </c>
      <c r="I466" s="319">
        <f>G466-H466</f>
        <v/>
      </c>
      <c r="J466" s="319">
        <f>F466-I466</f>
        <v/>
      </c>
      <c r="K466" s="516" t="n"/>
      <c r="L466" s="516" t="n"/>
    </row>
    <row r="467" ht="14.25" customHeight="1">
      <c r="B467" s="1" t="n">
        <v>57</v>
      </c>
      <c r="C467" s="24" t="n">
        <v>45839</v>
      </c>
      <c r="D467" s="24" t="n">
        <v>45869</v>
      </c>
      <c r="E467" s="25">
        <f>D467-C467+1</f>
        <v/>
      </c>
      <c r="F467" s="319">
        <f>J466</f>
        <v/>
      </c>
      <c r="G467" s="319">
        <f>-PMT($N$407/$D$404,28,$F$455,,0)</f>
        <v/>
      </c>
      <c r="H467" s="319">
        <f>$N$407*F467/$D$404</f>
        <v/>
      </c>
      <c r="I467" s="319">
        <f>G467-H467</f>
        <v/>
      </c>
      <c r="J467" s="319">
        <f>F467-I467</f>
        <v/>
      </c>
      <c r="K467" s="516" t="n"/>
      <c r="L467" s="516" t="n"/>
    </row>
    <row r="468" ht="14.25" customHeight="1">
      <c r="B468" s="1" t="n">
        <v>58</v>
      </c>
      <c r="C468" s="24" t="n">
        <v>45870</v>
      </c>
      <c r="D468" s="24" t="n">
        <v>45900</v>
      </c>
      <c r="E468" s="25">
        <f>D468-C468+1</f>
        <v/>
      </c>
      <c r="F468" s="319">
        <f>J467</f>
        <v/>
      </c>
      <c r="G468" s="319">
        <f>-PMT($N$407/$D$404,28,$F$455,,0)</f>
        <v/>
      </c>
      <c r="H468" s="319">
        <f>$N$407*F468/$D$404</f>
        <v/>
      </c>
      <c r="I468" s="319">
        <f>G468-H468</f>
        <v/>
      </c>
      <c r="J468" s="319">
        <f>F468-I468</f>
        <v/>
      </c>
      <c r="K468" s="516" t="n"/>
      <c r="L468" s="516" t="n"/>
    </row>
    <row r="469" ht="14.25" customHeight="1">
      <c r="B469" s="1" t="n">
        <v>59</v>
      </c>
      <c r="C469" s="24" t="n">
        <v>45901</v>
      </c>
      <c r="D469" s="24" t="n">
        <v>45930</v>
      </c>
      <c r="E469" s="25">
        <f>D469-C469+1</f>
        <v/>
      </c>
      <c r="F469" s="319">
        <f>J468</f>
        <v/>
      </c>
      <c r="G469" s="319">
        <f>-PMT($N$407/$D$404,28,$F$455,,0)</f>
        <v/>
      </c>
      <c r="H469" s="319">
        <f>$N$407*F469/$D$404</f>
        <v/>
      </c>
      <c r="I469" s="319">
        <f>G469-H469</f>
        <v/>
      </c>
      <c r="J469" s="319">
        <f>F469-I469</f>
        <v/>
      </c>
      <c r="K469" s="516" t="n"/>
      <c r="L469" s="516" t="n"/>
    </row>
    <row r="470" ht="14.25" customHeight="1">
      <c r="B470" s="1" t="n">
        <v>60</v>
      </c>
      <c r="C470" s="24" t="n">
        <v>45931</v>
      </c>
      <c r="D470" s="24" t="n">
        <v>45961</v>
      </c>
      <c r="E470" s="25">
        <f>D470-C470+1</f>
        <v/>
      </c>
      <c r="F470" s="319">
        <f>J469</f>
        <v/>
      </c>
      <c r="G470" s="319">
        <f>-PMT($N$407/$D$404,28,$F$455,,0)</f>
        <v/>
      </c>
      <c r="H470" s="319">
        <f>$N$407*F470/$D$404</f>
        <v/>
      </c>
      <c r="I470" s="319">
        <f>G470-H470</f>
        <v/>
      </c>
      <c r="J470" s="319">
        <f>F470-I470</f>
        <v/>
      </c>
      <c r="K470" s="516" t="n"/>
      <c r="L470" s="516" t="n"/>
    </row>
    <row r="471" ht="14.25" customHeight="1">
      <c r="B471" s="1" t="n">
        <v>61</v>
      </c>
      <c r="C471" s="24" t="n">
        <v>45962</v>
      </c>
      <c r="D471" s="24" t="n">
        <v>45991</v>
      </c>
      <c r="E471" s="25">
        <f>D471-C471+1</f>
        <v/>
      </c>
      <c r="F471" s="319">
        <f>J470</f>
        <v/>
      </c>
      <c r="G471" s="319">
        <f>-PMT($N$407/$D$404,28,$F$455,,0)</f>
        <v/>
      </c>
      <c r="H471" s="319">
        <f>$N$407*F471/$D$404</f>
        <v/>
      </c>
      <c r="I471" s="319">
        <f>G471-H471</f>
        <v/>
      </c>
      <c r="J471" s="319">
        <f>F471-I471</f>
        <v/>
      </c>
      <c r="K471" s="516" t="n"/>
      <c r="L471" s="516" t="n"/>
    </row>
    <row r="472" ht="14.25" customHeight="1">
      <c r="B472" s="1" t="n">
        <v>62</v>
      </c>
      <c r="C472" s="24" t="n">
        <v>45992</v>
      </c>
      <c r="D472" s="24" t="n">
        <v>46022</v>
      </c>
      <c r="E472" s="25">
        <f>D472-C472+1</f>
        <v/>
      </c>
      <c r="F472" s="319">
        <f>J471</f>
        <v/>
      </c>
      <c r="G472" s="319">
        <f>-PMT($N$407/$D$404,28,$F$455,,0)</f>
        <v/>
      </c>
      <c r="H472" s="319">
        <f>$N$407*F472/$D$404</f>
        <v/>
      </c>
      <c r="I472" s="319">
        <f>G472-H472</f>
        <v/>
      </c>
      <c r="J472" s="319">
        <f>F472-I472</f>
        <v/>
      </c>
      <c r="K472" s="516" t="n"/>
      <c r="L472" s="516" t="n"/>
    </row>
    <row r="473" ht="14.25" customHeight="1">
      <c r="B473" s="1" t="n">
        <v>63</v>
      </c>
      <c r="C473" s="24" t="n">
        <v>46023</v>
      </c>
      <c r="D473" s="24" t="n">
        <v>46053</v>
      </c>
      <c r="E473" s="25">
        <f>D473-C473+1</f>
        <v/>
      </c>
      <c r="F473" s="319">
        <f>J472</f>
        <v/>
      </c>
      <c r="G473" s="319">
        <f>-PMT($N$407/$D$404,28,$F$455,,0)</f>
        <v/>
      </c>
      <c r="H473" s="319">
        <f>$N$407*F473/$D$404</f>
        <v/>
      </c>
      <c r="I473" s="319">
        <f>G473-H473</f>
        <v/>
      </c>
      <c r="J473" s="319">
        <f>F473-I473</f>
        <v/>
      </c>
      <c r="K473" s="516" t="n"/>
      <c r="L473" s="516" t="n"/>
    </row>
    <row r="474" ht="14.25" customHeight="1">
      <c r="B474" s="1" t="n">
        <v>64</v>
      </c>
      <c r="C474" s="24" t="n">
        <v>46054</v>
      </c>
      <c r="D474" s="24" t="n">
        <v>46081</v>
      </c>
      <c r="E474" s="25">
        <f>D474-C474+1</f>
        <v/>
      </c>
      <c r="F474" s="319">
        <f>J473</f>
        <v/>
      </c>
      <c r="G474" s="319">
        <f>-PMT($N$407/$D$404,28,$F$455,,0)</f>
        <v/>
      </c>
      <c r="H474" s="319">
        <f>$N$407*F474/$D$404</f>
        <v/>
      </c>
      <c r="I474" s="319">
        <f>G474-H474</f>
        <v/>
      </c>
      <c r="J474" s="319">
        <f>F474-I474</f>
        <v/>
      </c>
      <c r="K474" s="516" t="n"/>
      <c r="L474" s="516" t="n"/>
    </row>
    <row r="475" ht="14.25" customHeight="1">
      <c r="B475" s="1" t="n">
        <v>65</v>
      </c>
      <c r="C475" s="24" t="n">
        <v>46082</v>
      </c>
      <c r="D475" s="24" t="n">
        <v>46112</v>
      </c>
      <c r="E475" s="25">
        <f>D475-C475+1</f>
        <v/>
      </c>
      <c r="F475" s="319">
        <f>J474</f>
        <v/>
      </c>
      <c r="G475" s="319">
        <f>-PMT($N$407/$D$404,28,$F$455,,0)</f>
        <v/>
      </c>
      <c r="H475" s="319">
        <f>$N$407*F475/$D$404</f>
        <v/>
      </c>
      <c r="I475" s="319">
        <f>G475-H475</f>
        <v/>
      </c>
      <c r="J475" s="319">
        <f>F475-I475</f>
        <v/>
      </c>
      <c r="K475" s="516" t="n"/>
      <c r="L475" s="516" t="n"/>
    </row>
    <row r="476" ht="14.25" customHeight="1">
      <c r="B476" s="1" t="n">
        <v>66</v>
      </c>
      <c r="C476" s="24" t="n">
        <v>46113</v>
      </c>
      <c r="D476" s="24" t="n">
        <v>46142</v>
      </c>
      <c r="E476" s="25">
        <f>D476-C476+1</f>
        <v/>
      </c>
      <c r="F476" s="319">
        <f>J475</f>
        <v/>
      </c>
      <c r="G476" s="319">
        <f>-PMT($N$407/$D$404,28,$F$455,,0)</f>
        <v/>
      </c>
      <c r="H476" s="319">
        <f>$N$407*F476/$D$404</f>
        <v/>
      </c>
      <c r="I476" s="319">
        <f>G476-H476</f>
        <v/>
      </c>
      <c r="J476" s="319">
        <f>F476-I476</f>
        <v/>
      </c>
      <c r="K476" s="516" t="n"/>
      <c r="L476" s="516" t="n"/>
    </row>
    <row r="477" ht="14.25" customHeight="1">
      <c r="B477" s="1" t="n">
        <v>67</v>
      </c>
      <c r="C477" s="24" t="n">
        <v>46143</v>
      </c>
      <c r="D477" s="24" t="n">
        <v>46173</v>
      </c>
      <c r="E477" s="25">
        <f>D477-C477+1</f>
        <v/>
      </c>
      <c r="F477" s="319">
        <f>J476</f>
        <v/>
      </c>
      <c r="G477" s="319">
        <f>-PMT($N$407/$D$404,28,$F$455,,0)</f>
        <v/>
      </c>
      <c r="H477" s="319">
        <f>$N$407*F477/$D$404</f>
        <v/>
      </c>
      <c r="I477" s="319">
        <f>G477-H477</f>
        <v/>
      </c>
      <c r="J477" s="319">
        <f>F477-I477</f>
        <v/>
      </c>
      <c r="K477" s="516" t="n"/>
      <c r="L477" s="516" t="n"/>
    </row>
    <row r="478" ht="14.25" customHeight="1">
      <c r="B478" s="1" t="n">
        <v>68</v>
      </c>
      <c r="C478" s="24" t="n">
        <v>46174</v>
      </c>
      <c r="D478" s="24" t="n">
        <v>46203</v>
      </c>
      <c r="E478" s="25">
        <f>D478-C478+1</f>
        <v/>
      </c>
      <c r="F478" s="319">
        <f>J477</f>
        <v/>
      </c>
      <c r="G478" s="319">
        <f>-PMT($N$407/$D$404,28,$F$455,,0)</f>
        <v/>
      </c>
      <c r="H478" s="319">
        <f>$N$407*F478/$D$404</f>
        <v/>
      </c>
      <c r="I478" s="319">
        <f>G478-H478</f>
        <v/>
      </c>
      <c r="J478" s="319">
        <f>F478-I478</f>
        <v/>
      </c>
      <c r="K478" s="516" t="n"/>
      <c r="L478" s="516" t="n"/>
    </row>
    <row r="479" ht="14.25" customHeight="1">
      <c r="B479" s="1" t="n">
        <v>69</v>
      </c>
      <c r="C479" s="24" t="n">
        <v>46204</v>
      </c>
      <c r="D479" s="24" t="n">
        <v>46234</v>
      </c>
      <c r="E479" s="25">
        <f>D479-C479+1</f>
        <v/>
      </c>
      <c r="F479" s="319">
        <f>J478</f>
        <v/>
      </c>
      <c r="G479" s="319">
        <f>-PMT($N$407/$D$404,28,$F$455,,0)</f>
        <v/>
      </c>
      <c r="H479" s="319">
        <f>$N$407*F479/$D$404</f>
        <v/>
      </c>
      <c r="I479" s="319">
        <f>G479-H479</f>
        <v/>
      </c>
      <c r="J479" s="319">
        <f>F479-I479</f>
        <v/>
      </c>
      <c r="K479" s="516" t="n"/>
      <c r="L479" s="516" t="n"/>
    </row>
    <row r="480" ht="14.25" customHeight="1">
      <c r="B480" s="1" t="n">
        <v>70</v>
      </c>
      <c r="C480" s="24" t="n">
        <v>46235</v>
      </c>
      <c r="D480" s="24" t="n">
        <v>46265</v>
      </c>
      <c r="E480" s="25">
        <f>D480-C480+1</f>
        <v/>
      </c>
      <c r="F480" s="319">
        <f>J479</f>
        <v/>
      </c>
      <c r="G480" s="319">
        <f>-PMT($N$407/$D$404,28,$F$455,,0)</f>
        <v/>
      </c>
      <c r="H480" s="319">
        <f>$N$407*F480/$D$404</f>
        <v/>
      </c>
      <c r="I480" s="319">
        <f>G480-H480</f>
        <v/>
      </c>
      <c r="J480" s="319">
        <f>F480-I480</f>
        <v/>
      </c>
      <c r="K480" s="516" t="n"/>
      <c r="L480" s="516" t="n"/>
    </row>
    <row r="481" ht="14.25" customHeight="1">
      <c r="B481" s="1" t="n">
        <v>71</v>
      </c>
      <c r="C481" s="24" t="n">
        <v>46266</v>
      </c>
      <c r="D481" s="24" t="n">
        <v>46295</v>
      </c>
      <c r="E481" s="25">
        <f>D481-C481+1</f>
        <v/>
      </c>
      <c r="F481" s="319">
        <f>J480</f>
        <v/>
      </c>
      <c r="G481" s="319">
        <f>-PMT($N$407/$D$404,28,$F$455,,0)</f>
        <v/>
      </c>
      <c r="H481" s="319">
        <f>$N$407*F481/$D$404</f>
        <v/>
      </c>
      <c r="I481" s="319">
        <f>G481-H481</f>
        <v/>
      </c>
      <c r="J481" s="319">
        <f>F481-I481</f>
        <v/>
      </c>
      <c r="K481" s="516" t="n"/>
      <c r="L481" s="516" t="n"/>
    </row>
    <row r="482" ht="14.25" customHeight="1">
      <c r="B482" s="1" t="n">
        <v>72</v>
      </c>
      <c r="C482" s="24" t="n">
        <v>46296</v>
      </c>
      <c r="D482" s="24" t="n">
        <v>46326</v>
      </c>
      <c r="E482" s="25">
        <f>D482-C482+1</f>
        <v/>
      </c>
      <c r="F482" s="319">
        <f>J481</f>
        <v/>
      </c>
      <c r="G482" s="319">
        <f>-PMT($N$407/$D$404,28,$F$455,,0)</f>
        <v/>
      </c>
      <c r="H482" s="319">
        <f>$N$407*F482/$D$404</f>
        <v/>
      </c>
      <c r="I482" s="319">
        <f>G482-H482</f>
        <v/>
      </c>
      <c r="J482" s="319">
        <f>F482-I482</f>
        <v/>
      </c>
      <c r="K482" s="516" t="n"/>
      <c r="L482" s="516" t="n"/>
    </row>
    <row r="483" ht="14.25" customHeight="1">
      <c r="B483" s="1" t="n"/>
      <c r="C483" s="24" t="n"/>
      <c r="D483" s="24" t="n"/>
      <c r="E483" s="25" t="n"/>
      <c r="F483" s="319" t="n"/>
      <c r="G483" s="319" t="n"/>
      <c r="H483" s="319" t="n"/>
      <c r="I483" s="319" t="n"/>
      <c r="J483" s="319" t="n"/>
      <c r="K483" s="516" t="n"/>
      <c r="L483" s="516" t="n"/>
    </row>
    <row r="484" ht="14.25" customHeight="1">
      <c r="B484" s="1" t="n"/>
      <c r="C484" s="24" t="n"/>
      <c r="D484" s="24" t="n"/>
      <c r="E484" s="25" t="n"/>
      <c r="F484" s="319" t="n"/>
      <c r="G484" s="319" t="n"/>
      <c r="H484" s="319" t="n"/>
      <c r="I484" s="319" t="n"/>
      <c r="J484" s="319" t="n"/>
      <c r="K484" s="516" t="n"/>
      <c r="L484" s="516" t="n"/>
    </row>
    <row r="485" ht="14.25" customHeight="1">
      <c r="B485" s="1" t="n"/>
      <c r="C485" s="1" t="n"/>
      <c r="D485" s="1" t="n"/>
      <c r="E485" s="30">
        <f>SUM(E410:E470)</f>
        <v/>
      </c>
      <c r="F485" s="319" t="n"/>
      <c r="G485" s="319" t="n"/>
      <c r="H485" s="319" t="n"/>
      <c r="I485" s="319" t="n"/>
      <c r="J485" s="319" t="n"/>
      <c r="K485" s="1" t="n"/>
      <c r="L485" s="1" t="n"/>
    </row>
    <row r="486" ht="14.25" customHeight="1"/>
    <row r="487" ht="14.25" customHeight="1"/>
    <row r="488" hidden="1" ht="14.25" customHeight="1">
      <c r="F488" s="237">
        <f>+D492-12.2%</f>
        <v/>
      </c>
    </row>
    <row r="489" hidden="1">
      <c r="B489" s="1" t="n"/>
      <c r="C489" s="9" t="inlineStr">
        <is>
          <t>Corran Farming Ltd</t>
        </is>
      </c>
      <c r="D489" s="319" t="n"/>
      <c r="E489" s="319" t="n"/>
      <c r="F489" s="319" t="n"/>
      <c r="G489" s="319" t="n"/>
      <c r="H489" s="319" t="n"/>
      <c r="I489" s="290" t="inlineStr">
        <is>
          <t>13.9 to 16.6%</t>
        </is>
      </c>
      <c r="J489" s="319" t="inlineStr">
        <is>
          <t>16.6% to 17.3%</t>
        </is>
      </c>
      <c r="K489" s="290" t="inlineStr">
        <is>
          <t>17.3% to 20%</t>
        </is>
      </c>
      <c r="L489" s="290" t="inlineStr">
        <is>
          <t>20% to 21.40%</t>
        </is>
      </c>
      <c r="M489" s="290" t="inlineStr">
        <is>
          <t>21.40 to 22.70%</t>
        </is>
      </c>
      <c r="R489" s="514" t="inlineStr">
        <is>
          <t>E-Banker account (Dupleix)</t>
        </is>
      </c>
      <c r="S489" s="495">
        <f>IFERROR(INDEX('Blocks'!$I$2:$I$101,MATCH(8,'Blocks'!$A$2:$A$101,0)),"")</f>
        <v/>
      </c>
    </row>
    <row r="490" hidden="1">
      <c r="B490" s="1" t="n"/>
      <c r="C490" s="1" t="n"/>
      <c r="D490" s="288" t="inlineStr">
        <is>
          <t>Restructured</t>
        </is>
      </c>
      <c r="E490" s="319" t="n"/>
      <c r="F490" s="319" t="inlineStr">
        <is>
          <t>Effective 01 May 2022</t>
        </is>
      </c>
      <c r="G490" s="319" t="n"/>
      <c r="H490" s="248" t="n">
        <v>44805</v>
      </c>
      <c r="I490" s="290" t="n">
        <v>44866</v>
      </c>
      <c r="J490" s="248" t="n">
        <v>44896</v>
      </c>
      <c r="K490" s="248" t="n">
        <v>45047</v>
      </c>
      <c r="L490" s="248" t="n">
        <v>45108</v>
      </c>
      <c r="M490" s="248" t="n">
        <v>45139</v>
      </c>
      <c r="R490" s="514" t="inlineStr">
        <is>
          <t>Facility (Loan Book)</t>
        </is>
      </c>
      <c r="S490" s="495">
        <f>IFERROR(INDEX('Blocks'!$H$2:$H$101,MATCH(8,'Blocks'!$A$2:$A$101,0)),"")</f>
        <v/>
      </c>
    </row>
    <row r="491" hidden="1">
      <c r="B491" s="1" t="n"/>
      <c r="C491" s="10" t="inlineStr">
        <is>
          <t>Principal (MK)</t>
        </is>
      </c>
      <c r="D491" s="11" t="n">
        <v>477502871.57</v>
      </c>
      <c r="E491" s="319" t="n"/>
      <c r="F491" s="291" t="inlineStr">
        <is>
          <t>Principal (MK)</t>
        </is>
      </c>
      <c r="G491" s="11" t="n">
        <v>438766776.2832015</v>
      </c>
      <c r="H491" s="290" t="inlineStr">
        <is>
          <t>Rate Adj</t>
        </is>
      </c>
      <c r="I491" s="290" t="inlineStr">
        <is>
          <t>Rate Adj</t>
        </is>
      </c>
      <c r="J491" s="290" t="inlineStr">
        <is>
          <t>Rate Adj</t>
        </is>
      </c>
      <c r="K491" s="290" t="inlineStr">
        <is>
          <t>Rate Adj</t>
        </is>
      </c>
      <c r="L491" s="290" t="inlineStr">
        <is>
          <t>Rate Adj</t>
        </is>
      </c>
      <c r="M491" s="290" t="inlineStr">
        <is>
          <t>Rate Adj</t>
        </is>
      </c>
      <c r="R491" s="514" t="inlineStr">
        <is>
          <t>Take-on posting 31 Jul 2024</t>
        </is>
      </c>
      <c r="S491" s="496">
        <f>IFERROR(INDEX('E-Banker master'!$N$2:$N$186,MATCH(S489,'E-Banker master'!$A$2:$A$186,0)),"")</f>
        <v/>
      </c>
    </row>
    <row r="492" hidden="1">
      <c r="B492" s="1" t="n"/>
      <c r="C492" s="13" t="inlineStr">
        <is>
          <t>Rate</t>
        </is>
      </c>
      <c r="D492" s="14" t="n">
        <v>0.2</v>
      </c>
      <c r="E492" s="257" t="n"/>
      <c r="F492" s="292" t="inlineStr">
        <is>
          <t>Rate</t>
        </is>
      </c>
      <c r="G492" s="296" t="n">
        <v>0.201</v>
      </c>
      <c r="H492" s="257">
        <f>G492+0.4%</f>
        <v/>
      </c>
      <c r="I492" s="319">
        <f>H492+2.7%</f>
        <v/>
      </c>
      <c r="J492" s="257">
        <f>I492+0.7%</f>
        <v/>
      </c>
      <c r="K492" s="257">
        <f>J492+2.7%</f>
        <v/>
      </c>
      <c r="L492" s="257">
        <f>K492+1.4%</f>
        <v/>
      </c>
      <c r="M492" s="257">
        <f>L492+1.3%</f>
        <v/>
      </c>
      <c r="R492" s="514" t="inlineStr">
        <is>
          <t>E-Banker balance 31 Oct 2024</t>
        </is>
      </c>
      <c r="S492" s="496">
        <f>IFERROR(INDEX('E-Banker master'!$P$2:$P$186,MATCH(S489,'E-Banker master'!$A$2:$A$186,0)),"")</f>
        <v/>
      </c>
    </row>
    <row r="493" hidden="1">
      <c r="B493" s="1" t="n"/>
      <c r="C493" s="13" t="inlineStr">
        <is>
          <t>n</t>
        </is>
      </c>
      <c r="D493" s="16">
        <f>50/12</f>
        <v/>
      </c>
      <c r="E493" s="1" t="n"/>
      <c r="F493" s="292" t="inlineStr">
        <is>
          <t>n</t>
        </is>
      </c>
      <c r="G493" s="296">
        <f>50/12</f>
        <v/>
      </c>
      <c r="H493" s="319" t="n"/>
      <c r="I493" s="319" t="n"/>
      <c r="J493" s="319" t="n"/>
      <c r="K493" s="1" t="n"/>
      <c r="L493" s="1" t="n"/>
    </row>
    <row r="494" hidden="1">
      <c r="B494" s="1" t="n"/>
      <c r="C494" s="13" t="inlineStr">
        <is>
          <t>Per</t>
        </is>
      </c>
      <c r="D494" s="16" t="n">
        <v>12</v>
      </c>
      <c r="E494" s="1" t="n"/>
      <c r="F494" s="292" t="inlineStr">
        <is>
          <t>Per</t>
        </is>
      </c>
      <c r="G494" s="296" t="n">
        <v>12</v>
      </c>
      <c r="H494" s="319" t="inlineStr">
        <is>
          <t>22.70% to 23.40%</t>
        </is>
      </c>
      <c r="I494" s="319" t="inlineStr">
        <is>
          <t>23.40% to 23.50%</t>
        </is>
      </c>
      <c r="J494" s="319" t="inlineStr">
        <is>
          <t>23.50% to 23.60%</t>
        </is>
      </c>
      <c r="K494" s="319" t="inlineStr">
        <is>
          <t>23.60% to 24.90%</t>
        </is>
      </c>
      <c r="L494" s="373" t="inlineStr">
        <is>
          <t>24.90% to 25.00%</t>
        </is>
      </c>
    </row>
    <row r="495" hidden="1">
      <c r="B495" s="1" t="n"/>
      <c r="C495" s="13" t="inlineStr">
        <is>
          <t>nPer</t>
        </is>
      </c>
      <c r="D495" s="515">
        <f>D493*D494</f>
        <v/>
      </c>
      <c r="E495" s="1" t="n"/>
      <c r="F495" s="292" t="inlineStr">
        <is>
          <t>nPer</t>
        </is>
      </c>
      <c r="G495" s="296" t="n">
        <v>44</v>
      </c>
      <c r="H495" s="248" t="n">
        <v>45170</v>
      </c>
      <c r="I495" s="290" t="n">
        <v>45200</v>
      </c>
      <c r="J495" s="248" t="n">
        <v>45261</v>
      </c>
      <c r="K495" s="248" t="n">
        <v>44958</v>
      </c>
      <c r="L495" s="248" t="n">
        <v>45047</v>
      </c>
    </row>
    <row r="496" hidden="1">
      <c r="B496" s="1" t="n"/>
      <c r="C496" s="13" t="inlineStr">
        <is>
          <t>Days in a year</t>
        </is>
      </c>
      <c r="D496" s="18" t="n">
        <v>365</v>
      </c>
      <c r="E496" s="1" t="n"/>
      <c r="F496" s="292" t="inlineStr">
        <is>
          <t>Days in a year</t>
        </is>
      </c>
      <c r="G496" s="296" t="n">
        <v>365</v>
      </c>
      <c r="H496" s="290" t="inlineStr">
        <is>
          <t>Rate Adj</t>
        </is>
      </c>
      <c r="I496" s="290" t="inlineStr">
        <is>
          <t>Rate Adj</t>
        </is>
      </c>
      <c r="J496" s="290" t="inlineStr">
        <is>
          <t>Rate Adj</t>
        </is>
      </c>
      <c r="K496" s="290" t="inlineStr">
        <is>
          <t>Rate Adj</t>
        </is>
      </c>
      <c r="L496" s="373" t="inlineStr">
        <is>
          <t>Rate Adj</t>
        </is>
      </c>
    </row>
    <row r="497" hidden="1">
      <c r="B497" s="1" t="n"/>
      <c r="C497" s="19" t="inlineStr">
        <is>
          <t>Pmt (MK)</t>
        </is>
      </c>
      <c r="D497" s="20">
        <f>-PMT(D492/D494,D495,D491,0,0)</f>
        <v/>
      </c>
      <c r="E497" s="319" t="n"/>
      <c r="F497" s="293" t="inlineStr">
        <is>
          <t>Pmt (MK)</t>
        </is>
      </c>
      <c r="G497" s="20">
        <f>-PMT(G492/G494,G495,G491,0,0)</f>
        <v/>
      </c>
      <c r="H497" s="257">
        <f>M492+0.7%</f>
        <v/>
      </c>
      <c r="I497" s="319">
        <f>H497+0.1%</f>
        <v/>
      </c>
      <c r="J497" s="257">
        <f>I497+0.1%</f>
        <v/>
      </c>
      <c r="K497" s="257">
        <f>J497+1.3%</f>
        <v/>
      </c>
      <c r="L497" s="377">
        <f>+K497+0.1%</f>
        <v/>
      </c>
    </row>
    <row r="498" hidden="1">
      <c r="B498" s="1" t="n"/>
      <c r="C498" s="1" t="n"/>
      <c r="D498" s="319" t="n"/>
      <c r="E498" s="319" t="n"/>
      <c r="F498" s="319" t="n"/>
      <c r="G498" s="319" t="n"/>
      <c r="H498" s="319" t="n"/>
      <c r="I498" s="319" t="n"/>
      <c r="J498" s="319" t="n"/>
      <c r="K498" s="1" t="n"/>
      <c r="L498" s="1" t="n"/>
    </row>
    <row r="499" hidden="1">
      <c r="B499" s="1" t="n"/>
      <c r="C499" s="21" t="inlineStr">
        <is>
          <t>Period Start</t>
        </is>
      </c>
      <c r="D499" s="22" t="inlineStr">
        <is>
          <t>Period End</t>
        </is>
      </c>
      <c r="E499" s="22" t="inlineStr">
        <is>
          <t>Days</t>
        </is>
      </c>
      <c r="F499" s="294" t="inlineStr">
        <is>
          <t>Opening bal.</t>
        </is>
      </c>
      <c r="G499" s="294" t="inlineStr">
        <is>
          <t>Pmt</t>
        </is>
      </c>
      <c r="H499" s="294" t="inlineStr">
        <is>
          <t>Interest</t>
        </is>
      </c>
      <c r="I499" s="294" t="inlineStr">
        <is>
          <t>Principal</t>
        </is>
      </c>
      <c r="J499" s="294" t="inlineStr">
        <is>
          <t>Closing balance</t>
        </is>
      </c>
      <c r="K499" s="23" t="inlineStr">
        <is>
          <t>Amount Repaid</t>
        </is>
      </c>
      <c r="L499" s="23" t="inlineStr">
        <is>
          <t>Accumulated  repayment amt</t>
        </is>
      </c>
    </row>
    <row r="500" hidden="1">
      <c r="B500" s="1" t="n">
        <v>1</v>
      </c>
      <c r="C500" s="24" t="n">
        <v>44501</v>
      </c>
      <c r="D500" s="24" t="n">
        <v>44530</v>
      </c>
      <c r="E500" s="25">
        <f>D500-C500+1</f>
        <v/>
      </c>
      <c r="F500" s="319">
        <f>D491</f>
        <v/>
      </c>
      <c r="G500" s="319">
        <f>-PMT($D$492/12,50,D491,,0)</f>
        <v/>
      </c>
      <c r="H500" s="319">
        <f>$D$492*F500/$D$494</f>
        <v/>
      </c>
      <c r="I500" s="319">
        <f>G500-H500</f>
        <v/>
      </c>
      <c r="J500" s="319">
        <f>F500-I500</f>
        <v/>
      </c>
      <c r="K500" s="516" t="n">
        <v>0</v>
      </c>
      <c r="L500" s="516">
        <f>G500-K500</f>
        <v/>
      </c>
    </row>
    <row r="501" hidden="1">
      <c r="B501" s="1" t="n">
        <v>2</v>
      </c>
      <c r="C501" s="24" t="n">
        <v>44531</v>
      </c>
      <c r="D501" s="24" t="n">
        <v>44561</v>
      </c>
      <c r="E501" s="25">
        <f>D501-C501+1</f>
        <v/>
      </c>
      <c r="F501" s="319">
        <f>J500</f>
        <v/>
      </c>
      <c r="G501" s="319" t="n">
        <v>14150582.99714149</v>
      </c>
      <c r="H501" s="319">
        <f>$D$492*F501/$D$494</f>
        <v/>
      </c>
      <c r="I501" s="319">
        <f>G501-H501</f>
        <v/>
      </c>
      <c r="J501" s="319">
        <f>F501-I501</f>
        <v/>
      </c>
      <c r="K501" s="516">
        <f>15000000+16750155.25</f>
        <v/>
      </c>
      <c r="L501" s="516">
        <f>L500+G501-K501</f>
        <v/>
      </c>
    </row>
    <row r="502" hidden="1">
      <c r="B502" s="1" t="n">
        <v>3</v>
      </c>
      <c r="C502" s="24" t="n">
        <v>44562</v>
      </c>
      <c r="D502" s="24" t="n">
        <v>44592</v>
      </c>
      <c r="E502" s="25">
        <f>D502-C502+1</f>
        <v/>
      </c>
      <c r="F502" s="319">
        <f>J501</f>
        <v/>
      </c>
      <c r="G502" s="319" t="n">
        <v>14150582.99714149</v>
      </c>
      <c r="H502" s="319">
        <f>$D$492*F502/$D$494</f>
        <v/>
      </c>
      <c r="I502" s="319">
        <f>G502-H502</f>
        <v/>
      </c>
      <c r="J502" s="319">
        <f>F502-I502</f>
        <v/>
      </c>
      <c r="K502" s="516" t="n">
        <v>0</v>
      </c>
      <c r="L502" s="516">
        <f>L501+G502-K502</f>
        <v/>
      </c>
    </row>
    <row r="503" hidden="1">
      <c r="B503" s="1" t="n">
        <v>4</v>
      </c>
      <c r="C503" s="24" t="n">
        <v>44593</v>
      </c>
      <c r="D503" s="24" t="n">
        <v>44620</v>
      </c>
      <c r="E503" s="25">
        <f>D503-C503+1</f>
        <v/>
      </c>
      <c r="F503" s="319">
        <f>J502</f>
        <v/>
      </c>
      <c r="G503" s="319" t="n">
        <v>14150582.99714149</v>
      </c>
      <c r="H503" s="319">
        <f>$D$492*F503/$D$494</f>
        <v/>
      </c>
      <c r="I503" s="319">
        <f>G503-H503</f>
        <v/>
      </c>
      <c r="J503" s="319">
        <f>F503-I503</f>
        <v/>
      </c>
      <c r="K503" s="516" t="n">
        <v>0</v>
      </c>
      <c r="L503" s="516">
        <f>L502+G503-K503</f>
        <v/>
      </c>
    </row>
    <row r="504" hidden="1">
      <c r="B504" s="1" t="n">
        <v>5</v>
      </c>
      <c r="C504" s="24" t="n">
        <v>44621</v>
      </c>
      <c r="D504" s="24" t="n">
        <v>44651</v>
      </c>
      <c r="E504" s="25">
        <f>D504-C504+1</f>
        <v/>
      </c>
      <c r="F504" s="319">
        <f>J503</f>
        <v/>
      </c>
      <c r="G504" s="319" t="n">
        <v>14150582.99714149</v>
      </c>
      <c r="H504" s="319">
        <f>$D$492*F504/$D$494</f>
        <v/>
      </c>
      <c r="I504" s="319">
        <f>G504-H504</f>
        <v/>
      </c>
      <c r="J504" s="319">
        <f>F504-I504</f>
        <v/>
      </c>
      <c r="K504" s="516" t="n">
        <v>0</v>
      </c>
      <c r="L504" s="516">
        <f>L503+G504-K504</f>
        <v/>
      </c>
    </row>
    <row r="505" hidden="1">
      <c r="B505" s="1" t="n">
        <v>6</v>
      </c>
      <c r="C505" s="24" t="n">
        <v>44652</v>
      </c>
      <c r="D505" s="24" t="n">
        <v>44681</v>
      </c>
      <c r="E505" s="25">
        <f>D505-C505+1</f>
        <v/>
      </c>
      <c r="F505" s="319">
        <f>J504</f>
        <v/>
      </c>
      <c r="G505" s="319" t="n">
        <v>14150582.99714149</v>
      </c>
      <c r="H505" s="319">
        <f>$D$492*F505/$D$494</f>
        <v/>
      </c>
      <c r="I505" s="319">
        <f>G505-H505</f>
        <v/>
      </c>
      <c r="J505" s="319">
        <f>F505-I505</f>
        <v/>
      </c>
      <c r="K505" s="516" t="n">
        <v>0</v>
      </c>
      <c r="L505" s="516">
        <f>L504+G505-K505</f>
        <v/>
      </c>
    </row>
    <row r="506" hidden="1">
      <c r="B506" s="1" t="n">
        <v>7</v>
      </c>
      <c r="C506" s="24" t="n">
        <v>44682</v>
      </c>
      <c r="D506" s="24" t="n">
        <v>44712</v>
      </c>
      <c r="E506" s="25">
        <f>D506-C506+1</f>
        <v/>
      </c>
      <c r="F506" s="319">
        <f>J505</f>
        <v/>
      </c>
      <c r="G506" s="319" t="n">
        <v>14173626.14914839</v>
      </c>
      <c r="H506" s="319">
        <f>$G$492*F506/$D$494</f>
        <v/>
      </c>
      <c r="I506" s="319">
        <f>G506-H506</f>
        <v/>
      </c>
      <c r="J506" s="319">
        <f>F506-I506</f>
        <v/>
      </c>
      <c r="K506" s="516" t="n"/>
      <c r="L506" s="516">
        <f>L505+G506-K506</f>
        <v/>
      </c>
    </row>
    <row r="507" hidden="1">
      <c r="B507" s="1" t="n">
        <v>8</v>
      </c>
      <c r="C507" s="24" t="n">
        <v>44713</v>
      </c>
      <c r="D507" s="24" t="n">
        <v>44742</v>
      </c>
      <c r="E507" s="25">
        <f>D507-C507+1</f>
        <v/>
      </c>
      <c r="F507" s="319">
        <f>J506</f>
        <v/>
      </c>
      <c r="G507" s="319" t="n">
        <v>14173626.14914839</v>
      </c>
      <c r="H507" s="319">
        <f>$G$492*F507/$D$494</f>
        <v/>
      </c>
      <c r="I507" s="319">
        <f>G507-H507</f>
        <v/>
      </c>
      <c r="J507" s="319">
        <f>F507-I507</f>
        <v/>
      </c>
      <c r="K507" s="516" t="n"/>
      <c r="L507" s="516">
        <f>L506+G507-K507</f>
        <v/>
      </c>
    </row>
    <row r="508" hidden="1">
      <c r="B508" s="1" t="n">
        <v>9</v>
      </c>
      <c r="C508" s="24" t="n">
        <v>44743</v>
      </c>
      <c r="D508" s="24" t="n">
        <v>44773</v>
      </c>
      <c r="E508" s="25">
        <f>D508-C508+1</f>
        <v/>
      </c>
      <c r="F508" s="319">
        <f>J507</f>
        <v/>
      </c>
      <c r="G508" s="319" t="n">
        <v>14173626.14914839</v>
      </c>
      <c r="H508" s="319">
        <f>$G$492*F508/$D$494</f>
        <v/>
      </c>
      <c r="I508" s="319">
        <f>G508-H508</f>
        <v/>
      </c>
      <c r="J508" s="319">
        <f>F508-I508</f>
        <v/>
      </c>
      <c r="K508" s="516" t="n"/>
      <c r="L508" s="516">
        <f>L507+G508-K508</f>
        <v/>
      </c>
    </row>
    <row r="509" hidden="1">
      <c r="B509" s="1" t="n">
        <v>10</v>
      </c>
      <c r="C509" s="24" t="n">
        <v>44774</v>
      </c>
      <c r="D509" s="24" t="n">
        <v>44804</v>
      </c>
      <c r="E509" s="25">
        <f>D509-C509+1</f>
        <v/>
      </c>
      <c r="F509" s="319">
        <f>J508</f>
        <v/>
      </c>
      <c r="G509" s="319" t="n">
        <v>14173626.14914839</v>
      </c>
      <c r="H509" s="319">
        <f>$G$492*F509/$D$494</f>
        <v/>
      </c>
      <c r="I509" s="319">
        <f>G509-H509</f>
        <v/>
      </c>
      <c r="J509" s="319">
        <f>F509-I509</f>
        <v/>
      </c>
      <c r="K509" s="516" t="n"/>
      <c r="L509" s="516">
        <f>L508+G509-K509</f>
        <v/>
      </c>
    </row>
    <row r="510" hidden="1">
      <c r="B510" s="250" t="n">
        <v>11</v>
      </c>
      <c r="C510" s="251" t="n">
        <v>44805</v>
      </c>
      <c r="D510" s="251" t="n">
        <v>44834</v>
      </c>
      <c r="E510" s="252">
        <f>D510-C510+1</f>
        <v/>
      </c>
      <c r="F510" s="297" t="n">
        <v>395623962</v>
      </c>
      <c r="G510" s="297">
        <f>-PMT($H$492/$D$494,40,$F$510,,0)</f>
        <v/>
      </c>
      <c r="H510" s="297">
        <f>$H$492*F510/$D$494</f>
        <v/>
      </c>
      <c r="I510" s="297">
        <f>G510-H510</f>
        <v/>
      </c>
      <c r="J510" s="297">
        <f>F510-I510</f>
        <v/>
      </c>
      <c r="K510" s="520" t="n"/>
      <c r="L510" s="527" t="inlineStr">
        <is>
          <t>Restructured</t>
        </is>
      </c>
    </row>
    <row r="511" hidden="1">
      <c r="B511" s="1" t="n">
        <v>12</v>
      </c>
      <c r="C511" s="24" t="n">
        <v>44835</v>
      </c>
      <c r="D511" s="24" t="n">
        <v>44865</v>
      </c>
      <c r="E511" s="25">
        <f>D511-C511+1</f>
        <v/>
      </c>
      <c r="F511" s="319">
        <f>J510</f>
        <v/>
      </c>
      <c r="G511" s="319">
        <f>-PMT($H$492/$D$494,40,$F$510,,0)</f>
        <v/>
      </c>
      <c r="H511" s="319">
        <f>$H$492*F511/$D$494</f>
        <v/>
      </c>
      <c r="I511" s="319">
        <f>G511-H511</f>
        <v/>
      </c>
      <c r="J511" s="319">
        <f>F511-I511</f>
        <v/>
      </c>
      <c r="K511" s="516" t="n"/>
      <c r="L511" s="516" t="n"/>
    </row>
    <row r="512" hidden="1">
      <c r="B512" s="1" t="n">
        <v>13</v>
      </c>
      <c r="C512" s="24" t="n">
        <v>44866</v>
      </c>
      <c r="D512" s="24" t="n">
        <v>44895</v>
      </c>
      <c r="E512" s="25">
        <f>D512-C512+1</f>
        <v/>
      </c>
      <c r="F512" s="319">
        <f>J511</f>
        <v/>
      </c>
      <c r="G512" s="319">
        <f>-PMT($I$492/$D$494,38,$F$512,,0)</f>
        <v/>
      </c>
      <c r="H512" s="319">
        <f>$I$492*F512/$D$494</f>
        <v/>
      </c>
      <c r="I512" s="319">
        <f>G512-H512</f>
        <v/>
      </c>
      <c r="J512" s="319">
        <f>F512-I512</f>
        <v/>
      </c>
      <c r="K512" s="516" t="n"/>
      <c r="L512" s="516" t="n"/>
    </row>
    <row r="513" hidden="1">
      <c r="B513" s="1" t="n">
        <v>14</v>
      </c>
      <c r="C513" s="24" t="n">
        <v>44896</v>
      </c>
      <c r="D513" s="24" t="n">
        <v>44926</v>
      </c>
      <c r="E513" s="25">
        <f>D513-C513+1</f>
        <v/>
      </c>
      <c r="F513" s="319">
        <f>J512</f>
        <v/>
      </c>
      <c r="G513" s="319">
        <f>-PMT($J$492/$D$494,37,$F$513,,0)</f>
        <v/>
      </c>
      <c r="H513" s="319">
        <f>$J$492*F513/$D$494</f>
        <v/>
      </c>
      <c r="I513" s="319">
        <f>G513-H513</f>
        <v/>
      </c>
      <c r="J513" s="319">
        <f>F513-I513</f>
        <v/>
      </c>
      <c r="K513" s="516" t="n"/>
      <c r="L513" s="528">
        <f>SUM(G510:G513)</f>
        <v/>
      </c>
    </row>
    <row r="514" hidden="1">
      <c r="B514" s="1" t="n">
        <v>15</v>
      </c>
      <c r="C514" s="24" t="n">
        <v>44927</v>
      </c>
      <c r="D514" s="24" t="n">
        <v>44957</v>
      </c>
      <c r="E514" s="25">
        <f>D514-C514+1</f>
        <v/>
      </c>
      <c r="F514" s="319">
        <f>J513</f>
        <v/>
      </c>
      <c r="G514" s="315">
        <f>-PMT($J$492/$D$494,37,$F$513,,0)</f>
        <v/>
      </c>
      <c r="H514" s="319">
        <f>$J$492*F514/$D$494</f>
        <v/>
      </c>
      <c r="I514" s="319">
        <f>G514-H514</f>
        <v/>
      </c>
      <c r="J514" s="319">
        <f>F514-I514</f>
        <v/>
      </c>
      <c r="K514" s="516" t="n"/>
      <c r="L514" s="516" t="n"/>
    </row>
    <row r="515" hidden="1">
      <c r="B515" s="1" t="n">
        <v>16</v>
      </c>
      <c r="C515" s="24" t="n">
        <v>44958</v>
      </c>
      <c r="D515" s="24" t="n">
        <v>44985</v>
      </c>
      <c r="E515" s="25">
        <f>D515-C515+1</f>
        <v/>
      </c>
      <c r="F515" s="319">
        <f>J514</f>
        <v/>
      </c>
      <c r="G515" s="315">
        <f>-PMT($J$492/$D$494,37,$F$513,,0)</f>
        <v/>
      </c>
      <c r="H515" s="319">
        <f>$J$492*F515/$D$494</f>
        <v/>
      </c>
      <c r="I515" s="319">
        <f>G515-H515</f>
        <v/>
      </c>
      <c r="J515" s="319">
        <f>F515-I515</f>
        <v/>
      </c>
      <c r="K515" s="516" t="n"/>
      <c r="L515" s="516" t="n"/>
    </row>
    <row r="516" hidden="1">
      <c r="B516" s="1" t="n">
        <v>17</v>
      </c>
      <c r="C516" s="24" t="n">
        <v>44986</v>
      </c>
      <c r="D516" s="24" t="n">
        <v>45016</v>
      </c>
      <c r="E516" s="25">
        <f>D516-C516+1</f>
        <v/>
      </c>
      <c r="F516" s="319">
        <f>J515</f>
        <v/>
      </c>
      <c r="G516" s="315">
        <f>-PMT($J$492/$D$494,37,$F$513,,0)</f>
        <v/>
      </c>
      <c r="H516" s="319">
        <f>$J$492*F516/$D$494</f>
        <v/>
      </c>
      <c r="I516" s="319">
        <f>G516-H516</f>
        <v/>
      </c>
      <c r="J516" s="319">
        <f>F516-I516</f>
        <v/>
      </c>
      <c r="K516" s="528" t="n">
        <v>56142542.59</v>
      </c>
      <c r="L516" s="528">
        <f>SUM(G514:G516)</f>
        <v/>
      </c>
    </row>
    <row r="517" hidden="1">
      <c r="B517" s="1" t="n">
        <v>18</v>
      </c>
      <c r="C517" s="24" t="n">
        <v>45017</v>
      </c>
      <c r="D517" s="24" t="n">
        <v>45046</v>
      </c>
      <c r="E517" s="25">
        <f>D517-C517+1</f>
        <v/>
      </c>
      <c r="F517" s="319">
        <f>J516</f>
        <v/>
      </c>
      <c r="G517" s="315">
        <f>-PMT($J$492/$D$494,37,$F$513,,0)</f>
        <v/>
      </c>
      <c r="H517" s="319">
        <f>$J$492*F517/$D$494</f>
        <v/>
      </c>
      <c r="I517" s="319">
        <f>G517-H517</f>
        <v/>
      </c>
      <c r="J517" s="319">
        <f>F517-I517</f>
        <v/>
      </c>
      <c r="K517" s="528">
        <f>14407334.94*2</f>
        <v/>
      </c>
      <c r="L517" s="516">
        <f>L516-K517</f>
        <v/>
      </c>
    </row>
    <row r="518" hidden="1">
      <c r="B518" s="1" t="n">
        <v>19</v>
      </c>
      <c r="C518" s="24" t="n">
        <v>45047</v>
      </c>
      <c r="D518" s="24" t="n">
        <v>45077</v>
      </c>
      <c r="E518" s="25">
        <f>D518-C518+1</f>
        <v/>
      </c>
      <c r="F518" s="319">
        <f>J517</f>
        <v/>
      </c>
      <c r="G518" s="315">
        <f>-PMT($K$492/$D$494,32,$F$518,,0)</f>
        <v/>
      </c>
      <c r="H518" s="319">
        <f>$K$492*F518/$D$494</f>
        <v/>
      </c>
      <c r="I518" s="319">
        <f>G518-H518</f>
        <v/>
      </c>
      <c r="J518" s="319">
        <f>F518-I518</f>
        <v/>
      </c>
      <c r="K518" s="528" t="n">
        <v>14407334.93</v>
      </c>
      <c r="L518" s="516" t="n"/>
    </row>
    <row r="519" hidden="1">
      <c r="B519" s="1" t="n">
        <v>20</v>
      </c>
      <c r="C519" s="24" t="n">
        <v>45078</v>
      </c>
      <c r="D519" s="24" t="n">
        <v>45107</v>
      </c>
      <c r="E519" s="25">
        <f>D519-C519+1</f>
        <v/>
      </c>
      <c r="F519" s="319">
        <f>J518</f>
        <v/>
      </c>
      <c r="G519" s="315">
        <f>-PMT($K$492/$D$494,32,$F$518,,0)</f>
        <v/>
      </c>
      <c r="H519" s="319">
        <f>$K$492*F519/$D$494</f>
        <v/>
      </c>
      <c r="I519" s="319">
        <f>G519-H519</f>
        <v/>
      </c>
      <c r="J519" s="319">
        <f>F519-I519</f>
        <v/>
      </c>
      <c r="K519" s="528" t="n">
        <v>22017653.7</v>
      </c>
      <c r="L519" s="516">
        <f>(SUM(G517:G519))-K519</f>
        <v/>
      </c>
    </row>
    <row r="520" hidden="1">
      <c r="B520" s="1" t="n">
        <v>21</v>
      </c>
      <c r="C520" s="24" t="n">
        <v>45108</v>
      </c>
      <c r="D520" s="24" t="n">
        <v>45138</v>
      </c>
      <c r="E520" s="25">
        <f>D520-C520+1</f>
        <v/>
      </c>
      <c r="F520" s="319">
        <f>J519</f>
        <v/>
      </c>
      <c r="G520" s="319">
        <f>-PMT($K$492/$D$494,32,$F$518,,0)</f>
        <v/>
      </c>
      <c r="H520" s="319">
        <f>$L$492*F520/$D$494</f>
        <v/>
      </c>
      <c r="I520" s="319">
        <f>G520-H520</f>
        <v/>
      </c>
      <c r="J520" s="319">
        <f>F520-I520</f>
        <v/>
      </c>
      <c r="K520" s="516" t="n"/>
      <c r="L520" s="519" t="n"/>
    </row>
    <row r="521" hidden="1">
      <c r="B521" s="1" t="n">
        <v>22</v>
      </c>
      <c r="C521" s="24" t="n">
        <v>45139</v>
      </c>
      <c r="D521" s="24" t="n">
        <v>45169</v>
      </c>
      <c r="E521" s="25">
        <f>D521-C521+1</f>
        <v/>
      </c>
      <c r="F521" s="319">
        <f>J520</f>
        <v/>
      </c>
      <c r="G521" s="319">
        <f>-PMT($M$492/$D$494,29,$F$521,,0)</f>
        <v/>
      </c>
      <c r="H521" s="319">
        <f>$M$492*F521/$D$494</f>
        <v/>
      </c>
      <c r="I521" s="319">
        <f>G521-H521</f>
        <v/>
      </c>
      <c r="J521" s="319">
        <f>F521-I521</f>
        <v/>
      </c>
      <c r="K521" s="516" t="n"/>
      <c r="L521" s="516" t="n"/>
    </row>
    <row r="522" hidden="1">
      <c r="B522" s="1" t="n">
        <v>23</v>
      </c>
      <c r="C522" s="24" t="n">
        <v>45170</v>
      </c>
      <c r="D522" s="24" t="n">
        <v>45199</v>
      </c>
      <c r="E522" s="25">
        <f>D522-C522+1</f>
        <v/>
      </c>
      <c r="F522" s="319">
        <f>J521</f>
        <v/>
      </c>
      <c r="G522" s="319">
        <f>-PMT($H$497/$D$494,28,$F$522,,0)</f>
        <v/>
      </c>
      <c r="H522" s="319">
        <f>$H$497*F522/$D$494</f>
        <v/>
      </c>
      <c r="I522" s="319">
        <f>G522-H522</f>
        <v/>
      </c>
      <c r="J522" s="319">
        <f>F522-I522</f>
        <v/>
      </c>
      <c r="K522" s="516" t="n">
        <v>23677014.8</v>
      </c>
      <c r="L522" s="516">
        <f>SUM(G520:G522)+L519-K522</f>
        <v/>
      </c>
    </row>
    <row r="523" hidden="1">
      <c r="B523" s="1" t="n">
        <v>24</v>
      </c>
      <c r="C523" s="24" t="n">
        <v>45200</v>
      </c>
      <c r="D523" s="24" t="n">
        <v>45230</v>
      </c>
      <c r="E523" s="25">
        <f>D523-C523+1</f>
        <v/>
      </c>
      <c r="F523" s="319">
        <f>J522</f>
        <v/>
      </c>
      <c r="G523" s="319">
        <f>-PMT($I$497/$D$494,27,$F$523,,0)</f>
        <v/>
      </c>
      <c r="H523" s="319">
        <f>$I$497*F523/$D$494</f>
        <v/>
      </c>
      <c r="I523" s="319">
        <f>G523-H523</f>
        <v/>
      </c>
      <c r="J523" s="319">
        <f>F523-I523</f>
        <v/>
      </c>
      <c r="K523" s="516" t="n"/>
      <c r="L523" s="516" t="n"/>
    </row>
    <row r="524" hidden="1">
      <c r="B524" s="1" t="n">
        <v>25</v>
      </c>
      <c r="C524" s="24" t="n">
        <v>45231</v>
      </c>
      <c r="D524" s="24" t="n">
        <v>45260</v>
      </c>
      <c r="E524" s="25">
        <f>D524-C524+1</f>
        <v/>
      </c>
      <c r="F524" s="319">
        <f>J523</f>
        <v/>
      </c>
      <c r="G524" s="319">
        <f>-PMT($I$497/$D$494,27,$F$523,,0)</f>
        <v/>
      </c>
      <c r="H524" s="319">
        <f>$I$497*F524/$D$494</f>
        <v/>
      </c>
      <c r="I524" s="319">
        <f>G524-H524</f>
        <v/>
      </c>
      <c r="J524" s="319">
        <f>F524-I524</f>
        <v/>
      </c>
      <c r="K524" s="516" t="n"/>
      <c r="L524" s="516" t="n"/>
    </row>
    <row r="525" hidden="1">
      <c r="B525" s="1" t="n">
        <v>26</v>
      </c>
      <c r="C525" s="24" t="n">
        <v>45261</v>
      </c>
      <c r="D525" s="24" t="n">
        <v>45291</v>
      </c>
      <c r="E525" s="25">
        <f>D525-C525+1</f>
        <v/>
      </c>
      <c r="F525" s="319">
        <f>J524</f>
        <v/>
      </c>
      <c r="G525" s="319">
        <f>-PMT($J$497/$D$494,25,$F$525,,0)</f>
        <v/>
      </c>
      <c r="H525" s="319">
        <f>$J$497*F525/$D$494</f>
        <v/>
      </c>
      <c r="I525" s="319">
        <f>G525-H525</f>
        <v/>
      </c>
      <c r="J525" s="319">
        <f>F525-I525</f>
        <v/>
      </c>
      <c r="K525" s="516" t="n">
        <v>23677014.8</v>
      </c>
      <c r="L525" s="27">
        <f>L522+SUM(G523:G525)-K525</f>
        <v/>
      </c>
    </row>
    <row r="526" hidden="1">
      <c r="B526" s="1" t="n">
        <v>27</v>
      </c>
      <c r="C526" s="24" t="n">
        <v>45292</v>
      </c>
      <c r="D526" s="24" t="n">
        <v>45322</v>
      </c>
      <c r="E526" s="25">
        <f>D526-C526+1</f>
        <v/>
      </c>
      <c r="F526" s="319">
        <f>J525</f>
        <v/>
      </c>
      <c r="G526" s="319">
        <f>-PMT($J$497/$D$494,25,$F$525,,0)</f>
        <v/>
      </c>
      <c r="H526" s="319">
        <f>$J$497*F526/$D$494</f>
        <v/>
      </c>
      <c r="I526" s="319">
        <f>G526-H526</f>
        <v/>
      </c>
      <c r="J526" s="319">
        <f>F526-I526</f>
        <v/>
      </c>
      <c r="K526" s="516" t="n"/>
      <c r="L526" s="516" t="n"/>
    </row>
    <row r="527" hidden="1">
      <c r="B527" s="1" t="n">
        <v>28</v>
      </c>
      <c r="C527" s="24" t="n">
        <v>45323</v>
      </c>
      <c r="D527" s="24" t="n">
        <v>45351</v>
      </c>
      <c r="E527" s="25">
        <f>D527-C527+1</f>
        <v/>
      </c>
      <c r="F527" s="319">
        <f>J526</f>
        <v/>
      </c>
      <c r="G527" s="319">
        <f>-PMT($K$497/$D$494,23,$F$527,,0)</f>
        <v/>
      </c>
      <c r="H527" s="319">
        <f>$K$497*F527/$D$494</f>
        <v/>
      </c>
      <c r="I527" s="319">
        <f>G527-H527</f>
        <v/>
      </c>
      <c r="J527" s="319">
        <f>F527-I527</f>
        <v/>
      </c>
      <c r="K527" s="516" t="n"/>
      <c r="L527" s="516" t="n"/>
    </row>
    <row r="528" hidden="1">
      <c r="B528" s="1" t="n">
        <v>29</v>
      </c>
      <c r="C528" s="24" t="n">
        <v>45352</v>
      </c>
      <c r="D528" s="24" t="n">
        <v>45382</v>
      </c>
      <c r="E528" s="25">
        <f>D528-C528+1</f>
        <v/>
      </c>
      <c r="F528" s="319">
        <f>J527</f>
        <v/>
      </c>
      <c r="G528" s="319">
        <f>-PMT($K$497/$D$494,23,$F$527,,0)</f>
        <v/>
      </c>
      <c r="H528" s="319">
        <f>$K$497*F528/$D$494</f>
        <v/>
      </c>
      <c r="I528" s="319">
        <f>G528-H528</f>
        <v/>
      </c>
      <c r="J528" s="319">
        <f>F528-I528</f>
        <v/>
      </c>
      <c r="K528" s="516" t="n"/>
      <c r="L528" s="27">
        <f>L525+SUM(G526:G528)-K528</f>
        <v/>
      </c>
    </row>
    <row r="529" hidden="1">
      <c r="B529" s="1" t="n">
        <v>30</v>
      </c>
      <c r="C529" s="24" t="n">
        <v>45383</v>
      </c>
      <c r="D529" s="24" t="n">
        <v>45412</v>
      </c>
      <c r="E529" s="25">
        <f>D529-C529+1</f>
        <v/>
      </c>
      <c r="F529" s="319">
        <f>J528</f>
        <v/>
      </c>
      <c r="G529" s="319">
        <f>-PMT($K$497/$D$494,23,$F$527,,0)</f>
        <v/>
      </c>
      <c r="H529" s="319">
        <f>$K$497*F529/$D$494</f>
        <v/>
      </c>
      <c r="I529" s="319">
        <f>G529-H529</f>
        <v/>
      </c>
      <c r="J529" s="319">
        <f>F529-I529</f>
        <v/>
      </c>
      <c r="K529" s="516" t="n">
        <v>26075465.78</v>
      </c>
      <c r="L529" s="27">
        <f>L525+SUM(G526:G528)-K529</f>
        <v/>
      </c>
    </row>
    <row r="530" hidden="1">
      <c r="B530" s="1" t="n">
        <v>31</v>
      </c>
      <c r="C530" s="24" t="n">
        <v>45413</v>
      </c>
      <c r="D530" s="24" t="n">
        <v>45443</v>
      </c>
      <c r="E530" s="25">
        <f>D530-C530+1</f>
        <v/>
      </c>
      <c r="F530" s="319">
        <f>J529</f>
        <v/>
      </c>
      <c r="G530" s="319">
        <f>-PMT($L$497/$D$494,20,$F$530,,0)</f>
        <v/>
      </c>
      <c r="H530" s="319">
        <f>$L$497*F530/$D$494</f>
        <v/>
      </c>
      <c r="I530" s="319">
        <f>G530-H530</f>
        <v/>
      </c>
      <c r="J530" s="319">
        <f>F530-I530</f>
        <v/>
      </c>
      <c r="K530" s="516" t="n">
        <v>351120707.8</v>
      </c>
      <c r="L530" s="27">
        <f>L529+SUM(G527:G529)-K530</f>
        <v/>
      </c>
    </row>
    <row r="531" hidden="1">
      <c r="B531" s="1" t="n">
        <v>32</v>
      </c>
      <c r="C531" s="24" t="n">
        <v>45444</v>
      </c>
      <c r="D531" s="24" t="n">
        <v>45473</v>
      </c>
      <c r="E531" s="25">
        <f>D531-C531+1</f>
        <v/>
      </c>
      <c r="F531" s="319">
        <f>J530</f>
        <v/>
      </c>
      <c r="G531" s="319">
        <f>-PMT($L$497/$D$494,20,$F$530,,0)</f>
        <v/>
      </c>
      <c r="H531" s="319">
        <f>$L$497*F531/$D$494</f>
        <v/>
      </c>
      <c r="I531" s="319">
        <f>G531-H531</f>
        <v/>
      </c>
      <c r="J531" s="319">
        <f>F531-I531</f>
        <v/>
      </c>
      <c r="K531" s="516" t="n"/>
      <c r="L531" s="516" t="n"/>
    </row>
    <row r="532" hidden="1">
      <c r="B532" s="1" t="n">
        <v>33</v>
      </c>
      <c r="C532" s="24" t="n">
        <v>45474</v>
      </c>
      <c r="D532" s="24" t="n">
        <v>45504</v>
      </c>
      <c r="E532" s="25">
        <f>D532-C532+1</f>
        <v/>
      </c>
      <c r="F532" s="319">
        <f>J531</f>
        <v/>
      </c>
      <c r="G532" s="319">
        <f>-PMT($L$497/$D$494,20,$F$530,,0)</f>
        <v/>
      </c>
      <c r="H532" s="319">
        <f>$L$497*F532/$D$494</f>
        <v/>
      </c>
      <c r="I532" s="319">
        <f>G532-H532</f>
        <v/>
      </c>
      <c r="J532" s="319">
        <f>F532-I532</f>
        <v/>
      </c>
      <c r="K532" s="516" t="n"/>
      <c r="L532" s="516" t="n"/>
    </row>
    <row r="533" hidden="1">
      <c r="B533" s="1" t="n">
        <v>34</v>
      </c>
      <c r="C533" s="24" t="n">
        <v>45505</v>
      </c>
      <c r="D533" s="24" t="n">
        <v>45535</v>
      </c>
      <c r="E533" s="25">
        <f>D533-C533+1</f>
        <v/>
      </c>
      <c r="F533" s="319">
        <f>J532</f>
        <v/>
      </c>
      <c r="G533" s="319">
        <f>-PMT($L$497/$D$494,20,$F$530,,0)</f>
        <v/>
      </c>
      <c r="H533" s="319">
        <f>$L$497*F533/$D$494</f>
        <v/>
      </c>
      <c r="I533" s="319">
        <f>G533-H533</f>
        <v/>
      </c>
      <c r="J533" s="319">
        <f>F533-I533</f>
        <v/>
      </c>
      <c r="K533" s="516" t="n"/>
      <c r="L533" s="516" t="n"/>
    </row>
    <row r="534" hidden="1">
      <c r="B534" s="1" t="n">
        <v>35</v>
      </c>
      <c r="C534" s="24" t="n">
        <v>45536</v>
      </c>
      <c r="D534" s="24" t="n">
        <v>45565</v>
      </c>
      <c r="E534" s="25">
        <f>D534-C534+1</f>
        <v/>
      </c>
      <c r="F534" s="319">
        <f>J533</f>
        <v/>
      </c>
      <c r="G534" s="319">
        <f>-PMT($L$497/$D$494,20,$F$530,,0)</f>
        <v/>
      </c>
      <c r="H534" s="319">
        <f>$L$497*F534/$D$494</f>
        <v/>
      </c>
      <c r="I534" s="319">
        <f>G534-H534</f>
        <v/>
      </c>
      <c r="J534" s="319">
        <f>F534-I534</f>
        <v/>
      </c>
      <c r="K534" s="516" t="n"/>
      <c r="L534" s="516" t="n"/>
    </row>
    <row r="535" hidden="1">
      <c r="B535" s="1" t="n">
        <v>36</v>
      </c>
      <c r="C535" s="24" t="n">
        <v>45566</v>
      </c>
      <c r="D535" s="24" t="n">
        <v>45596</v>
      </c>
      <c r="E535" s="25">
        <f>D535-C535+1</f>
        <v/>
      </c>
      <c r="F535" s="319">
        <f>J534</f>
        <v/>
      </c>
      <c r="G535" s="319">
        <f>-PMT($L$497/$D$494,20,$F$530,,0)</f>
        <v/>
      </c>
      <c r="H535" s="319">
        <f>$L$497*F535/$D$494</f>
        <v/>
      </c>
      <c r="I535" s="319">
        <f>G535-H535</f>
        <v/>
      </c>
      <c r="J535" s="319">
        <f>F535-I535</f>
        <v/>
      </c>
      <c r="K535" s="516" t="n"/>
      <c r="L535" s="516" t="n"/>
    </row>
    <row r="536" hidden="1">
      <c r="B536" s="1" t="n">
        <v>37</v>
      </c>
      <c r="C536" s="24" t="n">
        <v>45597</v>
      </c>
      <c r="D536" s="24" t="n">
        <v>45626</v>
      </c>
      <c r="E536" s="25">
        <f>D536-C536+1</f>
        <v/>
      </c>
      <c r="F536" s="319">
        <f>J535</f>
        <v/>
      </c>
      <c r="G536" s="319">
        <f>-PMT($L$497/$D$494,20,$F$530,,0)</f>
        <v/>
      </c>
      <c r="H536" s="319">
        <f>$L$497*F536/$D$494</f>
        <v/>
      </c>
      <c r="I536" s="319">
        <f>G536-H536</f>
        <v/>
      </c>
      <c r="J536" s="319">
        <f>F536-I536</f>
        <v/>
      </c>
      <c r="K536" s="516" t="n"/>
      <c r="L536" s="516" t="n"/>
    </row>
    <row r="537" hidden="1">
      <c r="B537" s="1" t="n">
        <v>38</v>
      </c>
      <c r="C537" s="24" t="n">
        <v>45627</v>
      </c>
      <c r="D537" s="24" t="n">
        <v>45657</v>
      </c>
      <c r="E537" s="25">
        <f>D537-C537+1</f>
        <v/>
      </c>
      <c r="F537" s="319">
        <f>J536</f>
        <v/>
      </c>
      <c r="G537" s="319">
        <f>-PMT($L$497/$D$494,20,$F$530,,0)</f>
        <v/>
      </c>
      <c r="H537" s="319">
        <f>$L$497*F537/$D$494</f>
        <v/>
      </c>
      <c r="I537" s="319">
        <f>G537-H537</f>
        <v/>
      </c>
      <c r="J537" s="319">
        <f>F537-I537</f>
        <v/>
      </c>
      <c r="K537" s="516" t="n"/>
      <c r="L537" s="516" t="n"/>
    </row>
    <row r="538" hidden="1">
      <c r="B538" s="1" t="n">
        <v>39</v>
      </c>
      <c r="C538" s="24" t="n">
        <v>45658</v>
      </c>
      <c r="D538" s="24" t="n">
        <v>45688</v>
      </c>
      <c r="E538" s="25">
        <f>D538-C538+1</f>
        <v/>
      </c>
      <c r="F538" s="319">
        <f>J537</f>
        <v/>
      </c>
      <c r="G538" s="319">
        <f>-PMT($L$497/$D$494,20,$F$530,,0)</f>
        <v/>
      </c>
      <c r="H538" s="319">
        <f>$L$497*F538/$D$494</f>
        <v/>
      </c>
      <c r="I538" s="319">
        <f>G538-H538</f>
        <v/>
      </c>
      <c r="J538" s="319">
        <f>F538-I538</f>
        <v/>
      </c>
      <c r="K538" s="516" t="n"/>
      <c r="L538" s="516" t="n"/>
    </row>
    <row r="539" hidden="1">
      <c r="B539" s="1" t="n">
        <v>40</v>
      </c>
      <c r="C539" s="24" t="n">
        <v>45689</v>
      </c>
      <c r="D539" s="24" t="n">
        <v>45716</v>
      </c>
      <c r="E539" s="25">
        <f>D539-C539+1</f>
        <v/>
      </c>
      <c r="F539" s="319">
        <f>J538</f>
        <v/>
      </c>
      <c r="G539" s="319">
        <f>-PMT($L$497/$D$494,20,$F$530,,0)</f>
        <v/>
      </c>
      <c r="H539" s="319">
        <f>$L$497*F539/$D$494</f>
        <v/>
      </c>
      <c r="I539" s="319">
        <f>G539-H539</f>
        <v/>
      </c>
      <c r="J539" s="319">
        <f>F539-I539</f>
        <v/>
      </c>
      <c r="K539" s="516" t="n"/>
      <c r="L539" s="516" t="n"/>
    </row>
    <row r="540" hidden="1">
      <c r="B540" s="1" t="n">
        <v>41</v>
      </c>
      <c r="C540" s="24" t="n">
        <v>45717</v>
      </c>
      <c r="D540" s="24" t="n">
        <v>45747</v>
      </c>
      <c r="E540" s="25">
        <f>D540-C540+1</f>
        <v/>
      </c>
      <c r="F540" s="319">
        <f>J539</f>
        <v/>
      </c>
      <c r="G540" s="319">
        <f>-PMT($L$497/$D$494,20,$F$530,,0)</f>
        <v/>
      </c>
      <c r="H540" s="319">
        <f>$L$497*F540/$D$494</f>
        <v/>
      </c>
      <c r="I540" s="319">
        <f>G540-H540</f>
        <v/>
      </c>
      <c r="J540" s="319">
        <f>F540-I540</f>
        <v/>
      </c>
      <c r="K540" s="516" t="n"/>
      <c r="L540" s="516" t="n"/>
    </row>
    <row r="541" hidden="1">
      <c r="B541" s="1" t="n">
        <v>42</v>
      </c>
      <c r="C541" s="24" t="n">
        <v>45748</v>
      </c>
      <c r="D541" s="24" t="n">
        <v>45777</v>
      </c>
      <c r="E541" s="25">
        <f>D541-C541+1</f>
        <v/>
      </c>
      <c r="F541" s="319">
        <f>J540</f>
        <v/>
      </c>
      <c r="G541" s="319">
        <f>-PMT($L$497/$D$494,20,$F$530,,0)</f>
        <v/>
      </c>
      <c r="H541" s="319">
        <f>$L$497*F541/$D$494</f>
        <v/>
      </c>
      <c r="I541" s="319">
        <f>G541-H541</f>
        <v/>
      </c>
      <c r="J541" s="319">
        <f>F541-I541</f>
        <v/>
      </c>
      <c r="K541" s="516" t="n"/>
      <c r="L541" s="516" t="n"/>
    </row>
    <row r="542" hidden="1">
      <c r="B542" s="1" t="n">
        <v>43</v>
      </c>
      <c r="C542" s="24" t="n">
        <v>45778</v>
      </c>
      <c r="D542" s="24" t="n">
        <v>45808</v>
      </c>
      <c r="E542" s="25">
        <f>D542-C542+1</f>
        <v/>
      </c>
      <c r="F542" s="319">
        <f>J541</f>
        <v/>
      </c>
      <c r="G542" s="319">
        <f>-PMT($L$497/$D$494,20,$F$530,,0)</f>
        <v/>
      </c>
      <c r="H542" s="319">
        <f>$L$497*F542/$D$494</f>
        <v/>
      </c>
      <c r="I542" s="319">
        <f>G542-H542</f>
        <v/>
      </c>
      <c r="J542" s="319">
        <f>F542-I542</f>
        <v/>
      </c>
      <c r="K542" s="516" t="n"/>
      <c r="L542" s="516" t="n"/>
    </row>
    <row r="543" hidden="1">
      <c r="B543" s="1" t="n">
        <v>44</v>
      </c>
      <c r="C543" s="24" t="n">
        <v>45809</v>
      </c>
      <c r="D543" s="24" t="n">
        <v>45838</v>
      </c>
      <c r="E543" s="25">
        <f>D543-C543+1</f>
        <v/>
      </c>
      <c r="F543" s="319">
        <f>J542</f>
        <v/>
      </c>
      <c r="G543" s="319">
        <f>-PMT($L$497/$D$494,20,$F$530,,0)</f>
        <v/>
      </c>
      <c r="H543" s="319">
        <f>$L$497*F543/$D$494</f>
        <v/>
      </c>
      <c r="I543" s="319">
        <f>G543-H543</f>
        <v/>
      </c>
      <c r="J543" s="319">
        <f>F543-I543</f>
        <v/>
      </c>
      <c r="K543" s="516" t="n"/>
      <c r="L543" s="516" t="n"/>
    </row>
    <row r="544" hidden="1">
      <c r="B544" s="1" t="n">
        <v>45</v>
      </c>
      <c r="C544" s="24" t="n">
        <v>45839</v>
      </c>
      <c r="D544" s="24" t="n">
        <v>45869</v>
      </c>
      <c r="E544" s="25">
        <f>D544-C544+1</f>
        <v/>
      </c>
      <c r="F544" s="319">
        <f>J543</f>
        <v/>
      </c>
      <c r="G544" s="319">
        <f>-PMT($L$497/$D$494,20,$F$530,,0)</f>
        <v/>
      </c>
      <c r="H544" s="319">
        <f>$L$497*F544/$D$494</f>
        <v/>
      </c>
      <c r="I544" s="319">
        <f>G544-H544</f>
        <v/>
      </c>
      <c r="J544" s="319">
        <f>F544-I544</f>
        <v/>
      </c>
      <c r="K544" s="516" t="n"/>
      <c r="L544" s="516" t="n"/>
    </row>
    <row r="545" hidden="1">
      <c r="B545" s="1" t="n">
        <v>46</v>
      </c>
      <c r="C545" s="24" t="n">
        <v>45870</v>
      </c>
      <c r="D545" s="24" t="n">
        <v>45900</v>
      </c>
      <c r="E545" s="25">
        <f>D545-C545+1</f>
        <v/>
      </c>
      <c r="F545" s="319">
        <f>J544</f>
        <v/>
      </c>
      <c r="G545" s="319">
        <f>-PMT($L$497/$D$494,20,$F$530,,0)</f>
        <v/>
      </c>
      <c r="H545" s="319">
        <f>$L$497*F545/$D$494</f>
        <v/>
      </c>
      <c r="I545" s="319">
        <f>G545-H545</f>
        <v/>
      </c>
      <c r="J545" s="319">
        <f>F545-I545</f>
        <v/>
      </c>
      <c r="K545" s="516" t="n"/>
      <c r="L545" s="516" t="n"/>
    </row>
    <row r="546" hidden="1">
      <c r="B546" s="1" t="n">
        <v>47</v>
      </c>
      <c r="C546" s="24" t="n">
        <v>45901</v>
      </c>
      <c r="D546" s="24" t="n">
        <v>45930</v>
      </c>
      <c r="E546" s="25">
        <f>D546-C546+1</f>
        <v/>
      </c>
      <c r="F546" s="319">
        <f>J545</f>
        <v/>
      </c>
      <c r="G546" s="319">
        <f>-PMT($L$497/$D$494,20,$F$530,,0)</f>
        <v/>
      </c>
      <c r="H546" s="319">
        <f>$L$497*F546/$D$494</f>
        <v/>
      </c>
      <c r="I546" s="319">
        <f>G546-H546</f>
        <v/>
      </c>
      <c r="J546" s="319">
        <f>F546-I546</f>
        <v/>
      </c>
      <c r="K546" s="516" t="n"/>
      <c r="L546" s="516" t="n"/>
    </row>
    <row r="547" hidden="1">
      <c r="B547" s="1" t="n">
        <v>48</v>
      </c>
      <c r="C547" s="24" t="n">
        <v>45931</v>
      </c>
      <c r="D547" s="24" t="n">
        <v>45961</v>
      </c>
      <c r="E547" s="25">
        <f>D547-C547+1</f>
        <v/>
      </c>
      <c r="F547" s="319">
        <f>J546</f>
        <v/>
      </c>
      <c r="G547" s="319">
        <f>-PMT($L$497/$D$494,20,$F$530,,0)</f>
        <v/>
      </c>
      <c r="H547" s="319">
        <f>$L$497*F547/$D$494</f>
        <v/>
      </c>
      <c r="I547" s="319">
        <f>G547-H547</f>
        <v/>
      </c>
      <c r="J547" s="319">
        <f>F547-I547</f>
        <v/>
      </c>
      <c r="K547" s="516" t="n"/>
      <c r="L547" s="516" t="n"/>
    </row>
    <row r="548" hidden="1">
      <c r="B548" s="1" t="n">
        <v>49</v>
      </c>
      <c r="C548" s="24" t="n">
        <v>45962</v>
      </c>
      <c r="D548" s="24" t="n">
        <v>45991</v>
      </c>
      <c r="E548" s="25">
        <f>D548-C548+1</f>
        <v/>
      </c>
      <c r="F548" s="319">
        <f>J547</f>
        <v/>
      </c>
      <c r="G548" s="319">
        <f>-PMT($L$497/$D$494,20,$F$530,,0)</f>
        <v/>
      </c>
      <c r="H548" s="319">
        <f>$L$497*F548/$D$494</f>
        <v/>
      </c>
      <c r="I548" s="319">
        <f>G548-H548</f>
        <v/>
      </c>
      <c r="J548" s="319">
        <f>F548-I548</f>
        <v/>
      </c>
      <c r="K548" s="516" t="n"/>
      <c r="L548" s="516" t="n"/>
    </row>
    <row r="549" hidden="1">
      <c r="B549" s="1" t="n">
        <v>50</v>
      </c>
      <c r="C549" s="24" t="n">
        <v>45992</v>
      </c>
      <c r="D549" s="24" t="n">
        <v>46022</v>
      </c>
      <c r="E549" s="25">
        <f>D549-C549+1</f>
        <v/>
      </c>
      <c r="F549" s="319">
        <f>J548</f>
        <v/>
      </c>
      <c r="G549" s="319">
        <f>-PMT($L$497/$D$494,20,$F$530,,0)</f>
        <v/>
      </c>
      <c r="H549" s="319">
        <f>$L$497*F549/$D$494</f>
        <v/>
      </c>
      <c r="I549" s="319">
        <f>G549-H549</f>
        <v/>
      </c>
      <c r="J549" s="319">
        <f>F549-I549</f>
        <v/>
      </c>
      <c r="K549" s="516" t="n"/>
      <c r="L549" s="516" t="n"/>
    </row>
    <row r="550" hidden="1">
      <c r="B550" s="1" t="n"/>
      <c r="C550" s="1" t="n"/>
      <c r="D550" s="1" t="n"/>
      <c r="E550" s="30">
        <f>SUM(E500:E549)</f>
        <v/>
      </c>
      <c r="F550" s="319" t="n"/>
      <c r="G550" s="319" t="n"/>
      <c r="H550" s="319" t="n"/>
      <c r="I550" s="319" t="n"/>
      <c r="J550" s="319" t="n"/>
      <c r="K550" s="1" t="n"/>
      <c r="L550" s="1" t="n"/>
    </row>
    <row r="553">
      <c r="B553" s="1" t="n"/>
      <c r="C553" s="9" t="inlineStr">
        <is>
          <t>Mach Milk</t>
        </is>
      </c>
      <c r="D553" s="319" t="n"/>
      <c r="E553" s="319" t="n"/>
      <c r="F553" s="319" t="n"/>
      <c r="G553" s="319" t="n"/>
      <c r="H553" s="319" t="n"/>
      <c r="I553" s="290" t="inlineStr">
        <is>
          <t>13.9 to 16.6%</t>
        </is>
      </c>
      <c r="J553" s="319" t="inlineStr">
        <is>
          <t>16.6% to 17.3%</t>
        </is>
      </c>
      <c r="K553" s="290" t="inlineStr">
        <is>
          <t>17.3% to 20%</t>
        </is>
      </c>
      <c r="L553" s="290" t="inlineStr">
        <is>
          <t>20% to 21.40%</t>
        </is>
      </c>
      <c r="M553" s="290" t="inlineStr">
        <is>
          <t>21.40 to 22.70%</t>
        </is>
      </c>
      <c r="R553" s="514" t="inlineStr">
        <is>
          <t>E-Banker account (Dupleix)</t>
        </is>
      </c>
      <c r="S553" s="495">
        <f>IFERROR(INDEX('Blocks'!$I$2:$I$101,MATCH(9,'Blocks'!$A$2:$A$101,0)),"")</f>
        <v/>
      </c>
    </row>
    <row r="554">
      <c r="B554" s="1" t="n"/>
      <c r="C554" s="1" t="n"/>
      <c r="D554" s="319" t="n"/>
      <c r="E554" s="319" t="n"/>
      <c r="F554" s="319" t="inlineStr">
        <is>
          <t>Effective 01 May 2022</t>
        </is>
      </c>
      <c r="G554" s="319" t="n"/>
      <c r="H554" s="248" t="n">
        <v>44805</v>
      </c>
      <c r="I554" s="290" t="n">
        <v>44866</v>
      </c>
      <c r="J554" s="248" t="n">
        <v>44896</v>
      </c>
      <c r="K554" s="248" t="n">
        <v>45047</v>
      </c>
      <c r="L554" s="248" t="n">
        <v>45108</v>
      </c>
      <c r="M554" s="248" t="n">
        <v>45139</v>
      </c>
      <c r="R554" s="514" t="inlineStr">
        <is>
          <t>Facility (Loan Book)</t>
        </is>
      </c>
      <c r="S554" s="495">
        <f>IFERROR(INDEX('Blocks'!$H$2:$H$101,MATCH(9,'Blocks'!$A$2:$A$101,0)),"")</f>
        <v/>
      </c>
    </row>
    <row r="555">
      <c r="B555" s="1" t="n"/>
      <c r="C555" s="10" t="inlineStr">
        <is>
          <t>Principal (MK)</t>
        </is>
      </c>
      <c r="D555" s="11" t="n">
        <v>81075926.78</v>
      </c>
      <c r="E555" s="319" t="n"/>
      <c r="F555" s="291" t="inlineStr">
        <is>
          <t>Principal (MK)</t>
        </is>
      </c>
      <c r="G555" s="11" t="n">
        <v>71734831.68681987</v>
      </c>
      <c r="H555" s="290" t="inlineStr">
        <is>
          <t>Rate Adj</t>
        </is>
      </c>
      <c r="I555" s="290" t="inlineStr">
        <is>
          <t>Rate Adj</t>
        </is>
      </c>
      <c r="J555" s="290" t="inlineStr">
        <is>
          <t>Rate Adj</t>
        </is>
      </c>
      <c r="K555" s="290" t="inlineStr">
        <is>
          <t>Rate Adj</t>
        </is>
      </c>
      <c r="L555" s="290" t="inlineStr">
        <is>
          <t>Rate Adj</t>
        </is>
      </c>
      <c r="M555" s="290" t="inlineStr">
        <is>
          <t>Rate Adj</t>
        </is>
      </c>
      <c r="R555" s="514" t="inlineStr">
        <is>
          <t>Take-on posting 31 Jul 2024</t>
        </is>
      </c>
      <c r="S555" s="496">
        <f>IFERROR(INDEX('E-Banker master'!$N$2:$N$186,MATCH(S553,'E-Banker master'!$A$2:$A$186,0)),"")</f>
        <v/>
      </c>
    </row>
    <row r="556">
      <c r="B556" s="1" t="n"/>
      <c r="C556" s="13" t="inlineStr">
        <is>
          <t>Rate</t>
        </is>
      </c>
      <c r="D556" s="14" t="n">
        <v>0.207</v>
      </c>
      <c r="E556" s="257" t="n"/>
      <c r="F556" s="292" t="inlineStr">
        <is>
          <t>Rate</t>
        </is>
      </c>
      <c r="G556" s="296" t="n">
        <v>0.221</v>
      </c>
      <c r="H556" s="257">
        <f>G556+0.4%</f>
        <v/>
      </c>
      <c r="I556" s="319">
        <f>H556+2.7%</f>
        <v/>
      </c>
      <c r="J556" s="257">
        <f>I556+0.7%</f>
        <v/>
      </c>
      <c r="K556" s="257">
        <f>J556+2.7%</f>
        <v/>
      </c>
      <c r="L556" s="257">
        <f>K556+1.4%</f>
        <v/>
      </c>
      <c r="M556" s="257">
        <f>L556+1.3%</f>
        <v/>
      </c>
      <c r="R556" s="514" t="inlineStr">
        <is>
          <t>E-Banker balance 31 Oct 2024</t>
        </is>
      </c>
      <c r="S556" s="496">
        <f>IFERROR(INDEX('E-Banker master'!$P$2:$P$186,MATCH(S553,'E-Banker master'!$A$2:$A$186,0)),"")</f>
        <v/>
      </c>
    </row>
    <row r="557">
      <c r="B557" s="1" t="n"/>
      <c r="C557" s="13" t="inlineStr">
        <is>
          <t>n</t>
        </is>
      </c>
      <c r="D557" s="16" t="n">
        <v>4</v>
      </c>
      <c r="E557" s="1" t="n"/>
      <c r="F557" s="292" t="inlineStr">
        <is>
          <t>n</t>
        </is>
      </c>
      <c r="G557" s="296" t="n">
        <v>4</v>
      </c>
      <c r="H557" s="319" t="n"/>
      <c r="I557" s="319" t="n"/>
      <c r="J557" s="319" t="n"/>
      <c r="K557" s="1" t="n"/>
      <c r="L557" s="1" t="n"/>
    </row>
    <row r="558">
      <c r="B558" s="1" t="n"/>
      <c r="C558" s="13" t="inlineStr">
        <is>
          <t>Per</t>
        </is>
      </c>
      <c r="D558" s="16" t="n">
        <v>12</v>
      </c>
      <c r="E558" s="1" t="n"/>
      <c r="F558" s="292" t="inlineStr">
        <is>
          <t>Per</t>
        </is>
      </c>
      <c r="G558" s="296" t="n">
        <v>12</v>
      </c>
      <c r="H558" s="319" t="inlineStr">
        <is>
          <t>22.70% to 23.40%</t>
        </is>
      </c>
      <c r="I558" s="319" t="inlineStr">
        <is>
          <t>23.40% to 23.50%</t>
        </is>
      </c>
      <c r="J558" s="319" t="inlineStr">
        <is>
          <t>23.50% to 23.60%</t>
        </is>
      </c>
      <c r="K558" s="319" t="inlineStr">
        <is>
          <t>23.60% to 24.900%</t>
        </is>
      </c>
      <c r="L558" s="378" t="inlineStr">
        <is>
          <t>24.90% to 25.00%</t>
        </is>
      </c>
      <c r="M558" s="378" t="inlineStr">
        <is>
          <t>25.00% to 25.1</t>
        </is>
      </c>
      <c r="N558" s="378" t="inlineStr">
        <is>
          <t>25.10% to 25.4</t>
        </is>
      </c>
    </row>
    <row r="559">
      <c r="B559" s="1" t="n"/>
      <c r="C559" s="13" t="inlineStr">
        <is>
          <t>nPer</t>
        </is>
      </c>
      <c r="D559" s="515">
        <f>D557*D558</f>
        <v/>
      </c>
      <c r="E559" s="1" t="n"/>
      <c r="F559" s="292" t="inlineStr">
        <is>
          <t>nPer</t>
        </is>
      </c>
      <c r="G559" s="296" t="n">
        <v>40</v>
      </c>
      <c r="H559" s="248" t="n">
        <v>45170</v>
      </c>
      <c r="I559" s="290" t="n">
        <v>45200</v>
      </c>
      <c r="J559" s="248" t="n">
        <v>45261</v>
      </c>
      <c r="K559" s="248" t="n">
        <v>45323</v>
      </c>
      <c r="L559" s="304" t="n">
        <v>45413</v>
      </c>
      <c r="M559" s="304" t="n">
        <v>45444</v>
      </c>
      <c r="N559" s="304" t="n">
        <v>45474</v>
      </c>
    </row>
    <row r="560">
      <c r="B560" s="1" t="n"/>
      <c r="C560" s="13" t="inlineStr">
        <is>
          <t>Days in a year</t>
        </is>
      </c>
      <c r="D560" s="18" t="n">
        <v>365</v>
      </c>
      <c r="E560" s="1" t="n"/>
      <c r="F560" s="292" t="inlineStr">
        <is>
          <t>Days in a year</t>
        </is>
      </c>
      <c r="G560" s="296" t="n">
        <v>365</v>
      </c>
      <c r="H560" s="290" t="inlineStr">
        <is>
          <t>Rate Adj</t>
        </is>
      </c>
      <c r="I560" s="290" t="inlineStr">
        <is>
          <t>Rate Adj</t>
        </is>
      </c>
      <c r="J560" s="290" t="inlineStr">
        <is>
          <t>Rate Adj</t>
        </is>
      </c>
      <c r="K560" s="290" t="inlineStr">
        <is>
          <t>Rate Adj</t>
        </is>
      </c>
      <c r="L560" s="378" t="inlineStr">
        <is>
          <t>Rate Adj</t>
        </is>
      </c>
      <c r="M560" s="378" t="inlineStr">
        <is>
          <t>Rate Adj</t>
        </is>
      </c>
      <c r="N560" s="378" t="inlineStr">
        <is>
          <t>Rate Adj</t>
        </is>
      </c>
    </row>
    <row r="561">
      <c r="B561" s="1" t="n"/>
      <c r="C561" s="19" t="inlineStr">
        <is>
          <t>Pmt (MK)</t>
        </is>
      </c>
      <c r="D561" s="20">
        <f>-PMT(D556/D558,D559,D555,0,0)</f>
        <v/>
      </c>
      <c r="E561" s="319" t="n"/>
      <c r="F561" s="293" t="inlineStr">
        <is>
          <t>Pmt (MK)</t>
        </is>
      </c>
      <c r="G561" s="20">
        <f>-PMT(G556/G558,G559,G555,0,0)</f>
        <v/>
      </c>
      <c r="H561" s="257">
        <f>M556+0.7%</f>
        <v/>
      </c>
      <c r="I561" s="319">
        <f>H561+0.1%</f>
        <v/>
      </c>
      <c r="J561" s="257">
        <f>I561+0.1%</f>
        <v/>
      </c>
      <c r="K561" s="257">
        <f>J561+1.3%</f>
        <v/>
      </c>
      <c r="L561" s="379">
        <f>+K561+0.1%</f>
        <v/>
      </c>
      <c r="M561" s="379">
        <f>+L561+0.1%</f>
        <v/>
      </c>
      <c r="N561" s="379">
        <f>+M561+0.3%</f>
        <v/>
      </c>
    </row>
    <row r="562">
      <c r="B562" s="1" t="n"/>
      <c r="C562" s="1" t="n"/>
      <c r="D562" s="319" t="n"/>
      <c r="E562" s="319" t="n"/>
      <c r="F562" s="319" t="n"/>
      <c r="G562" s="319" t="n"/>
      <c r="H562" s="319" t="n"/>
      <c r="I562" s="319" t="n"/>
      <c r="J562" s="319" t="n"/>
      <c r="K562" s="1" t="n"/>
      <c r="L562" s="1" t="n"/>
    </row>
    <row r="563">
      <c r="B563" s="1" t="n"/>
      <c r="C563" s="21" t="inlineStr">
        <is>
          <t>Period Start</t>
        </is>
      </c>
      <c r="D563" s="22" t="inlineStr">
        <is>
          <t>Period End</t>
        </is>
      </c>
      <c r="E563" s="22" t="inlineStr">
        <is>
          <t>Days</t>
        </is>
      </c>
      <c r="F563" s="294" t="inlineStr">
        <is>
          <t>Opening bal.</t>
        </is>
      </c>
      <c r="G563" s="294" t="inlineStr">
        <is>
          <t>Pmt</t>
        </is>
      </c>
      <c r="H563" s="294" t="inlineStr">
        <is>
          <t>Interest</t>
        </is>
      </c>
      <c r="I563" s="294" t="inlineStr">
        <is>
          <t>Principal</t>
        </is>
      </c>
      <c r="J563" s="294" t="inlineStr">
        <is>
          <t>Closing balance</t>
        </is>
      </c>
      <c r="K563" s="23" t="inlineStr">
        <is>
          <t>Amount Repaid</t>
        </is>
      </c>
      <c r="L563" s="23" t="inlineStr">
        <is>
          <t>Accumulated Arrears</t>
        </is>
      </c>
    </row>
    <row r="564">
      <c r="B564" s="1" t="n">
        <v>1</v>
      </c>
      <c r="C564" s="24" t="n">
        <v>44440</v>
      </c>
      <c r="D564" s="24" t="n">
        <v>44469</v>
      </c>
      <c r="E564" s="25">
        <f>D564-C564+1</f>
        <v/>
      </c>
      <c r="F564" s="319">
        <f>D555</f>
        <v/>
      </c>
      <c r="G564" s="319" t="n"/>
      <c r="H564" s="319">
        <f>D556/D558*F564</f>
        <v/>
      </c>
      <c r="I564" s="319">
        <f>-H564</f>
        <v/>
      </c>
      <c r="J564" s="319">
        <f>F564-I564</f>
        <v/>
      </c>
      <c r="K564" s="516" t="n">
        <v>0</v>
      </c>
      <c r="L564" s="516" t="n"/>
      <c r="N564" s="521" t="n"/>
    </row>
    <row r="565">
      <c r="B565" s="1" t="n">
        <v>2</v>
      </c>
      <c r="C565" s="24">
        <f>D564+1</f>
        <v/>
      </c>
      <c r="D565" s="24">
        <f>C565+30</f>
        <v/>
      </c>
      <c r="E565" s="25">
        <f>D565-C565+1</f>
        <v/>
      </c>
      <c r="F565" s="319">
        <f>J564</f>
        <v/>
      </c>
      <c r="G565" s="319" t="n"/>
      <c r="H565" s="319">
        <f>$D$556*F565/$D$558</f>
        <v/>
      </c>
      <c r="I565" s="319">
        <f>G565-H565</f>
        <v/>
      </c>
      <c r="J565" s="319">
        <f>F565-I565</f>
        <v/>
      </c>
      <c r="K565" s="516" t="n">
        <v>0</v>
      </c>
      <c r="L565" s="516" t="n"/>
    </row>
    <row r="566">
      <c r="B566" s="1" t="n">
        <v>3</v>
      </c>
      <c r="C566" s="24" t="n">
        <v>44501</v>
      </c>
      <c r="D566" s="24" t="n">
        <v>44530</v>
      </c>
      <c r="E566" s="25">
        <f>D566-C566+1</f>
        <v/>
      </c>
      <c r="F566" s="319">
        <f>J565</f>
        <v/>
      </c>
      <c r="G566" s="319" t="n"/>
      <c r="H566" s="319">
        <f>$D$556*F566/$D$558</f>
        <v/>
      </c>
      <c r="I566" s="319">
        <f>G566-H566</f>
        <v/>
      </c>
      <c r="J566" s="319">
        <f>F566-I566</f>
        <v/>
      </c>
      <c r="K566" s="516" t="n">
        <v>0</v>
      </c>
      <c r="L566" s="516" t="n"/>
    </row>
    <row r="567">
      <c r="B567" s="1" t="n">
        <v>4</v>
      </c>
      <c r="C567" s="24">
        <f>D566+1</f>
        <v/>
      </c>
      <c r="D567" s="24">
        <f>C567+30</f>
        <v/>
      </c>
      <c r="E567" s="25">
        <f>D567-C567+1</f>
        <v/>
      </c>
      <c r="F567" s="319">
        <f>J566</f>
        <v/>
      </c>
      <c r="G567" s="319" t="n"/>
      <c r="H567" s="319">
        <f>$D$556*F567/$D$558</f>
        <v/>
      </c>
      <c r="I567" s="319">
        <f>G567-H567</f>
        <v/>
      </c>
      <c r="J567" s="319">
        <f>F567-I567</f>
        <v/>
      </c>
      <c r="K567" s="516" t="n">
        <v>0</v>
      </c>
      <c r="L567" s="516" t="n"/>
    </row>
    <row r="568">
      <c r="B568" s="1" t="n">
        <v>5</v>
      </c>
      <c r="C568" s="24" t="n">
        <v>44562</v>
      </c>
      <c r="D568" s="24" t="n">
        <v>44592</v>
      </c>
      <c r="E568" s="25">
        <f>D568-C568+1</f>
        <v/>
      </c>
      <c r="F568" s="319">
        <f>J567</f>
        <v/>
      </c>
      <c r="G568" s="319" t="n"/>
      <c r="H568" s="319">
        <f>$D$556*F568/$D$558</f>
        <v/>
      </c>
      <c r="I568" s="319">
        <f>G568-H568</f>
        <v/>
      </c>
      <c r="J568" s="319">
        <f>F568-I568</f>
        <v/>
      </c>
      <c r="K568" s="516" t="n">
        <v>0</v>
      </c>
      <c r="L568" s="516" t="n"/>
    </row>
    <row r="569">
      <c r="B569" s="1" t="n">
        <v>6</v>
      </c>
      <c r="C569" s="24" t="n">
        <v>44593</v>
      </c>
      <c r="D569" s="24" t="n">
        <v>44620</v>
      </c>
      <c r="E569" s="25">
        <f>D569-C569+1</f>
        <v/>
      </c>
      <c r="F569" s="319">
        <f>J568</f>
        <v/>
      </c>
      <c r="G569" s="319" t="n"/>
      <c r="H569" s="319">
        <f>$D$556*F569/$D$558</f>
        <v/>
      </c>
      <c r="I569" s="319">
        <f>G569-H569</f>
        <v/>
      </c>
      <c r="J569" s="319">
        <f>F569-I569</f>
        <v/>
      </c>
      <c r="K569" s="516" t="n">
        <v>0</v>
      </c>
      <c r="L569" s="516" t="n"/>
    </row>
    <row r="570">
      <c r="B570" s="1" t="n">
        <v>7</v>
      </c>
      <c r="C570" s="24" t="n">
        <v>44621</v>
      </c>
      <c r="D570" s="24" t="n">
        <v>44651</v>
      </c>
      <c r="E570" s="25">
        <f>D570-C570+1</f>
        <v/>
      </c>
      <c r="F570" s="319">
        <f>J569</f>
        <v/>
      </c>
      <c r="G570" s="319" t="n"/>
      <c r="H570" s="319">
        <f>$D$556*F570/$D$558</f>
        <v/>
      </c>
      <c r="I570" s="319">
        <f>G570-H570</f>
        <v/>
      </c>
      <c r="J570" s="319">
        <f>F570-I570</f>
        <v/>
      </c>
      <c r="K570" s="516" t="n">
        <v>0</v>
      </c>
      <c r="L570" s="516" t="n"/>
    </row>
    <row r="571">
      <c r="B571" s="1" t="n">
        <v>8</v>
      </c>
      <c r="C571" s="24" t="n">
        <v>44652</v>
      </c>
      <c r="D571" s="24" t="n">
        <v>44681</v>
      </c>
      <c r="E571" s="25">
        <f>D571-C571+1</f>
        <v/>
      </c>
      <c r="F571" s="295">
        <f>J570</f>
        <v/>
      </c>
      <c r="G571" s="319" t="n"/>
      <c r="H571" s="319">
        <f>$D$556*F571/$D$558</f>
        <v/>
      </c>
      <c r="I571" s="319">
        <f>G571-H571</f>
        <v/>
      </c>
      <c r="J571" s="319">
        <f>F571-I571</f>
        <v/>
      </c>
      <c r="K571" s="516" t="n">
        <v>0</v>
      </c>
      <c r="L571" s="516" t="n"/>
    </row>
    <row r="572">
      <c r="B572" s="1" t="n">
        <v>9</v>
      </c>
      <c r="C572" s="24" t="n">
        <v>44682</v>
      </c>
      <c r="D572" s="24" t="n">
        <v>44712</v>
      </c>
      <c r="E572" s="25">
        <f>D572-C572+1</f>
        <v/>
      </c>
      <c r="F572" s="319">
        <f>J571</f>
        <v/>
      </c>
      <c r="G572" s="319" t="n"/>
      <c r="H572" s="319">
        <f>$G$556*F572/$D$558</f>
        <v/>
      </c>
      <c r="I572" s="319">
        <f>G572-H572</f>
        <v/>
      </c>
      <c r="J572" s="319">
        <f>F572-I572</f>
        <v/>
      </c>
      <c r="K572" s="516" t="n">
        <v>0</v>
      </c>
    </row>
    <row r="573">
      <c r="B573" s="1" t="n">
        <v>10</v>
      </c>
      <c r="C573" s="24" t="n">
        <v>44713</v>
      </c>
      <c r="D573" s="24" t="n">
        <v>44742</v>
      </c>
      <c r="E573" s="25">
        <f>D573-C573+1</f>
        <v/>
      </c>
      <c r="F573" s="319">
        <f>J572</f>
        <v/>
      </c>
      <c r="G573" s="319">
        <f>-PMT($G$556/$D$558,39,$F$573,,0)</f>
        <v/>
      </c>
      <c r="H573" s="319">
        <f>$G$556*F573/$D$558</f>
        <v/>
      </c>
      <c r="I573" s="319">
        <f>G573-H573</f>
        <v/>
      </c>
      <c r="J573" s="319">
        <f>F573-I573</f>
        <v/>
      </c>
      <c r="K573" s="516" t="n">
        <v>700000</v>
      </c>
      <c r="L573" s="516">
        <f>G573-K573</f>
        <v/>
      </c>
      <c r="M573" s="237" t="n"/>
    </row>
    <row r="574">
      <c r="B574" s="1" t="n">
        <v>11</v>
      </c>
      <c r="C574" s="24" t="n">
        <v>44743</v>
      </c>
      <c r="D574" s="24" t="n">
        <v>44773</v>
      </c>
      <c r="E574" s="25">
        <f>D574-C574+1</f>
        <v/>
      </c>
      <c r="F574" s="319">
        <f>J573</f>
        <v/>
      </c>
      <c r="G574" s="319">
        <f>-PMT($G$556/$D$558,39,$F$573,,0)</f>
        <v/>
      </c>
      <c r="H574" s="319">
        <f>$G$556*F574/$D$558</f>
        <v/>
      </c>
      <c r="I574" s="319">
        <f>G574-H574</f>
        <v/>
      </c>
      <c r="J574" s="319">
        <f>F574-I574</f>
        <v/>
      </c>
      <c r="K574" s="516" t="n">
        <v>0</v>
      </c>
      <c r="L574" s="516">
        <f>L573+G574-K574</f>
        <v/>
      </c>
    </row>
    <row r="575">
      <c r="B575" s="1" t="n">
        <v>12</v>
      </c>
      <c r="C575" s="24" t="n">
        <v>44774</v>
      </c>
      <c r="D575" s="24" t="n">
        <v>44804</v>
      </c>
      <c r="E575" s="25">
        <f>D575-C575+1</f>
        <v/>
      </c>
      <c r="F575" s="319">
        <f>J574</f>
        <v/>
      </c>
      <c r="G575" s="319">
        <f>-PMT($G$556/$D$558,39,$F$573,,0)</f>
        <v/>
      </c>
      <c r="H575" s="319">
        <f>$G$556*F575/$D$558</f>
        <v/>
      </c>
      <c r="I575" s="319">
        <f>G575-H575</f>
        <v/>
      </c>
      <c r="J575" s="319">
        <f>F575-I575</f>
        <v/>
      </c>
      <c r="K575" s="516" t="n"/>
      <c r="L575" s="516">
        <f>L574+G575-K575</f>
        <v/>
      </c>
    </row>
    <row r="576">
      <c r="B576" s="1" t="n">
        <v>13</v>
      </c>
      <c r="C576" s="24" t="n">
        <v>44805</v>
      </c>
      <c r="D576" s="24" t="n">
        <v>44834</v>
      </c>
      <c r="E576" s="25">
        <f>D576-C576+1</f>
        <v/>
      </c>
      <c r="F576" s="319">
        <f>J575</f>
        <v/>
      </c>
      <c r="G576" s="320">
        <f>-PMT($H$556/$D$558,36,$F$576,,0)</f>
        <v/>
      </c>
      <c r="H576" s="319">
        <f>$H$556*F576/$D$558</f>
        <v/>
      </c>
      <c r="I576" s="319">
        <f>G576-H576</f>
        <v/>
      </c>
      <c r="J576" s="319">
        <f>F576-I576</f>
        <v/>
      </c>
      <c r="K576" s="516" t="n"/>
      <c r="L576" s="516">
        <f>L575+G576-K576</f>
        <v/>
      </c>
    </row>
    <row r="577">
      <c r="B577" s="1" t="n">
        <v>14</v>
      </c>
      <c r="C577" s="24" t="n">
        <v>44835</v>
      </c>
      <c r="D577" s="24" t="n">
        <v>44865</v>
      </c>
      <c r="E577" s="25">
        <f>D577-C577+1</f>
        <v/>
      </c>
      <c r="F577" s="319">
        <f>J576</f>
        <v/>
      </c>
      <c r="G577" s="320">
        <f>-PMT($H$556/$D$558,36,$F$576,,0)</f>
        <v/>
      </c>
      <c r="H577" s="319">
        <f>$H$556*F577/$D$558</f>
        <v/>
      </c>
      <c r="I577" s="319">
        <f>G577-H577</f>
        <v/>
      </c>
      <c r="J577" s="319">
        <f>F577-I577</f>
        <v/>
      </c>
      <c r="K577" s="516" t="n"/>
      <c r="L577" s="516">
        <f>L576+G577-K577</f>
        <v/>
      </c>
    </row>
    <row r="578">
      <c r="B578" s="1" t="n">
        <v>15</v>
      </c>
      <c r="C578" s="24" t="n">
        <v>44866</v>
      </c>
      <c r="D578" s="24" t="n">
        <v>44895</v>
      </c>
      <c r="E578" s="25">
        <f>D578-C578+1</f>
        <v/>
      </c>
      <c r="F578" s="319">
        <f>J577</f>
        <v/>
      </c>
      <c r="G578" s="320">
        <f>-PMT($I$556/$D$558,34,$F$578,,0)</f>
        <v/>
      </c>
      <c r="H578" s="319">
        <f>$I$556*F578/$D$558</f>
        <v/>
      </c>
      <c r="I578" s="319">
        <f>G578-H578</f>
        <v/>
      </c>
      <c r="J578" s="319">
        <f>F578-I578</f>
        <v/>
      </c>
      <c r="K578" s="516" t="n"/>
      <c r="L578" s="516">
        <f>L577+G578-K578</f>
        <v/>
      </c>
    </row>
    <row r="579">
      <c r="B579" s="1" t="n">
        <v>16</v>
      </c>
      <c r="C579" s="24" t="n">
        <v>44896</v>
      </c>
      <c r="D579" s="24" t="n">
        <v>44926</v>
      </c>
      <c r="E579" s="25">
        <f>D579-C579+1</f>
        <v/>
      </c>
      <c r="F579" s="319">
        <f>J578</f>
        <v/>
      </c>
      <c r="G579" s="320">
        <f>-PMT($J$556/$D$558,33,$F$579,,0)</f>
        <v/>
      </c>
      <c r="H579" s="319">
        <f>$J$556*F579/$D$558</f>
        <v/>
      </c>
      <c r="I579" s="319">
        <f>G579-H579</f>
        <v/>
      </c>
      <c r="J579" s="319">
        <f>F579-I579</f>
        <v/>
      </c>
      <c r="K579" s="516" t="n"/>
      <c r="L579" s="516">
        <f>L578+G579-K579</f>
        <v/>
      </c>
    </row>
    <row r="580">
      <c r="B580" s="1" t="n">
        <v>17</v>
      </c>
      <c r="C580" s="24" t="n">
        <v>44927</v>
      </c>
      <c r="D580" s="24" t="n">
        <v>44957</v>
      </c>
      <c r="E580" s="25">
        <f>D580-C580+1</f>
        <v/>
      </c>
      <c r="F580" s="319">
        <f>J579</f>
        <v/>
      </c>
      <c r="G580" s="320">
        <f>-PMT($J$556/$D$558,33,$F$579,,0)</f>
        <v/>
      </c>
      <c r="H580" s="319">
        <f>$J$556*F580/$D$558</f>
        <v/>
      </c>
      <c r="I580" s="319">
        <f>G580-H580</f>
        <v/>
      </c>
      <c r="J580" s="319">
        <f>F580-I580</f>
        <v/>
      </c>
      <c r="K580" s="516" t="n"/>
      <c r="L580" s="516">
        <f>L579+G580-K580</f>
        <v/>
      </c>
    </row>
    <row r="581">
      <c r="B581" s="1" t="n">
        <v>18</v>
      </c>
      <c r="C581" s="24" t="n">
        <v>44958</v>
      </c>
      <c r="D581" s="24" t="n">
        <v>44985</v>
      </c>
      <c r="E581" s="25">
        <f>D581-C581+1</f>
        <v/>
      </c>
      <c r="F581" s="319">
        <f>J580</f>
        <v/>
      </c>
      <c r="G581" s="320">
        <f>-PMT($J$556/$D$558,33,$F$579,,0)</f>
        <v/>
      </c>
      <c r="H581" s="319">
        <f>$J$556*F581/$D$558</f>
        <v/>
      </c>
      <c r="I581" s="319">
        <f>G581-H581</f>
        <v/>
      </c>
      <c r="J581" s="319">
        <f>F581-I581</f>
        <v/>
      </c>
      <c r="K581" s="516" t="n">
        <v>2000000</v>
      </c>
      <c r="L581" s="516">
        <f>L580+G581-K581</f>
        <v/>
      </c>
    </row>
    <row r="582">
      <c r="B582" s="1" t="n">
        <v>19</v>
      </c>
      <c r="C582" s="24" t="n">
        <v>44986</v>
      </c>
      <c r="D582" s="24" t="n">
        <v>45016</v>
      </c>
      <c r="E582" s="25">
        <f>D582-C582+1</f>
        <v/>
      </c>
      <c r="F582" s="319">
        <f>J581</f>
        <v/>
      </c>
      <c r="G582" s="320">
        <f>-PMT($J$556/$D$558,33,$F$579,,0)</f>
        <v/>
      </c>
      <c r="H582" s="319">
        <f>$J$556*F582/$D$558</f>
        <v/>
      </c>
      <c r="I582" s="319">
        <f>G582-H582</f>
        <v/>
      </c>
      <c r="J582" s="319">
        <f>F582-I582</f>
        <v/>
      </c>
      <c r="K582" s="516" t="n"/>
      <c r="L582" s="516">
        <f>L581+G582-K582</f>
        <v/>
      </c>
    </row>
    <row r="583">
      <c r="B583" s="1" t="n">
        <v>20</v>
      </c>
      <c r="C583" s="24" t="n">
        <v>45017</v>
      </c>
      <c r="D583" s="24" t="n">
        <v>45046</v>
      </c>
      <c r="E583" s="25">
        <f>D583-C583+1</f>
        <v/>
      </c>
      <c r="F583" s="319">
        <f>J582</f>
        <v/>
      </c>
      <c r="G583" s="320">
        <f>-PMT($J$556/$D$558,33,$F$579,,0)</f>
        <v/>
      </c>
      <c r="H583" s="319">
        <f>$J$556*F583/$D$558</f>
        <v/>
      </c>
      <c r="I583" s="319">
        <f>G583-H583</f>
        <v/>
      </c>
      <c r="J583" s="319">
        <f>F583-I583</f>
        <v/>
      </c>
      <c r="K583" s="516" t="n"/>
      <c r="L583" s="516">
        <f>L582+G583-K583</f>
        <v/>
      </c>
    </row>
    <row r="584">
      <c r="B584" s="1" t="n">
        <v>21</v>
      </c>
      <c r="C584" s="24" t="n">
        <v>45047</v>
      </c>
      <c r="D584" s="24" t="n">
        <v>45077</v>
      </c>
      <c r="E584" s="25">
        <f>D584-C584+1</f>
        <v/>
      </c>
      <c r="F584" s="319">
        <f>J583</f>
        <v/>
      </c>
      <c r="G584" s="320">
        <f>-PMT($K$556/$D$558,28,$F$584,,0)</f>
        <v/>
      </c>
      <c r="H584" s="319">
        <f>$K$556*F584/$D$558</f>
        <v/>
      </c>
      <c r="I584" s="319">
        <f>G584-H584</f>
        <v/>
      </c>
      <c r="J584" s="319">
        <f>F584-I584</f>
        <v/>
      </c>
      <c r="K584" s="516" t="n"/>
      <c r="L584" s="516">
        <f>L583+G584-K584</f>
        <v/>
      </c>
    </row>
    <row r="585">
      <c r="B585" s="1" t="n">
        <v>22</v>
      </c>
      <c r="C585" s="24" t="n">
        <v>45078</v>
      </c>
      <c r="D585" s="24" t="n">
        <v>45107</v>
      </c>
      <c r="E585" s="25">
        <f>D585-C585+1</f>
        <v/>
      </c>
      <c r="F585" s="319">
        <f>J584</f>
        <v/>
      </c>
      <c r="G585" s="320">
        <f>-PMT($K$556/$D$558,28,$F$584,,0)</f>
        <v/>
      </c>
      <c r="H585" s="319">
        <f>$K$556*F585/$D$558</f>
        <v/>
      </c>
      <c r="I585" s="319">
        <f>G585-H585</f>
        <v/>
      </c>
      <c r="J585" s="319">
        <f>F585-I585</f>
        <v/>
      </c>
      <c r="K585" s="516" t="n"/>
      <c r="L585" s="519">
        <f>L584+G585-K585</f>
        <v/>
      </c>
    </row>
    <row r="586">
      <c r="B586" s="1" t="n">
        <v>23</v>
      </c>
      <c r="C586" s="24" t="n">
        <v>45108</v>
      </c>
      <c r="D586" s="24" t="n">
        <v>45138</v>
      </c>
      <c r="E586" s="25">
        <f>D586-C586+1</f>
        <v/>
      </c>
      <c r="F586" s="319">
        <f>J585</f>
        <v/>
      </c>
      <c r="G586" s="320">
        <f>-PMT($L$556/$D$558,26,$F$586,,0)</f>
        <v/>
      </c>
      <c r="H586" s="319">
        <f>$L$556*F586/$D$558</f>
        <v/>
      </c>
      <c r="I586" s="319">
        <f>G586-H586</f>
        <v/>
      </c>
      <c r="J586" s="319">
        <f>F586-I586</f>
        <v/>
      </c>
      <c r="K586" s="516" t="n">
        <v>1000000</v>
      </c>
      <c r="L586" s="519">
        <f>L585+G586-K586</f>
        <v/>
      </c>
    </row>
    <row r="587">
      <c r="B587" s="1" t="n">
        <v>24</v>
      </c>
      <c r="C587" s="24" t="n">
        <v>45139</v>
      </c>
      <c r="D587" s="24" t="n">
        <v>45169</v>
      </c>
      <c r="E587" s="25">
        <f>D587-C587+1</f>
        <v/>
      </c>
      <c r="F587" s="319">
        <f>J586</f>
        <v/>
      </c>
      <c r="G587" s="320">
        <f>-PMT($M$556/$D$558,25,$F$587,,0)</f>
        <v/>
      </c>
      <c r="H587" s="319">
        <f>$M$556*F587/$D$558</f>
        <v/>
      </c>
      <c r="I587" s="319">
        <f>G587-H587</f>
        <v/>
      </c>
      <c r="J587" s="319">
        <f>F587-I587</f>
        <v/>
      </c>
      <c r="K587" s="516" t="n"/>
      <c r="L587" s="516">
        <f>L586+G587-K587</f>
        <v/>
      </c>
    </row>
    <row r="588">
      <c r="B588" s="1" t="n">
        <v>25</v>
      </c>
      <c r="C588" s="24" t="n">
        <v>45170</v>
      </c>
      <c r="D588" s="24" t="n">
        <v>45199</v>
      </c>
      <c r="E588" s="25">
        <f>D588-C588+1</f>
        <v/>
      </c>
      <c r="F588" s="319">
        <f>J587</f>
        <v/>
      </c>
      <c r="G588" s="320">
        <f>-PMT($H$561/$D$558,24,$F$588,,0)</f>
        <v/>
      </c>
      <c r="H588" s="319">
        <f>$H$561*F588/$D$558</f>
        <v/>
      </c>
      <c r="I588" s="319">
        <f>G588-H588</f>
        <v/>
      </c>
      <c r="J588" s="319">
        <f>F588-I588</f>
        <v/>
      </c>
      <c r="K588" s="516" t="n">
        <v>1000000</v>
      </c>
      <c r="L588" s="516">
        <f>L587+G588-K588</f>
        <v/>
      </c>
    </row>
    <row r="589">
      <c r="B589" s="1" t="n">
        <v>26</v>
      </c>
      <c r="C589" s="24" t="n">
        <v>45200</v>
      </c>
      <c r="D589" s="24" t="n">
        <v>45230</v>
      </c>
      <c r="E589" s="25">
        <f>D589-C589+1</f>
        <v/>
      </c>
      <c r="F589" s="319">
        <f>J588</f>
        <v/>
      </c>
      <c r="G589" s="320">
        <f>-PMT($I$561/$D$558,23,$F$589,,0)</f>
        <v/>
      </c>
      <c r="H589" s="319">
        <f>$I$561*F589/$D$558</f>
        <v/>
      </c>
      <c r="I589" s="319">
        <f>G589-H589</f>
        <v/>
      </c>
      <c r="J589" s="319">
        <f>F589-I589</f>
        <v/>
      </c>
      <c r="K589" s="516" t="n"/>
      <c r="L589" s="516">
        <f>L588+G589-K589</f>
        <v/>
      </c>
      <c r="N589" s="237" t="n"/>
    </row>
    <row r="590">
      <c r="B590" s="1" t="n">
        <v>27</v>
      </c>
      <c r="C590" s="24" t="n">
        <v>45231</v>
      </c>
      <c r="D590" s="24" t="n">
        <v>45260</v>
      </c>
      <c r="E590" s="25">
        <f>D590-C590+1</f>
        <v/>
      </c>
      <c r="F590" s="319">
        <f>J589</f>
        <v/>
      </c>
      <c r="G590" s="320">
        <f>-PMT($I$561/$D$558,23,$F$589,,0)</f>
        <v/>
      </c>
      <c r="H590" s="319">
        <f>$I$561*F590/$D$558</f>
        <v/>
      </c>
      <c r="I590" s="319">
        <f>G590-H590</f>
        <v/>
      </c>
      <c r="J590" s="319">
        <f>F590-I590</f>
        <v/>
      </c>
      <c r="K590" s="516" t="n"/>
      <c r="L590" s="516">
        <f>L589+G590-K590</f>
        <v/>
      </c>
    </row>
    <row r="591">
      <c r="B591" s="1" t="n">
        <v>28</v>
      </c>
      <c r="C591" s="24" t="n">
        <v>45261</v>
      </c>
      <c r="D591" s="24" t="n">
        <v>45291</v>
      </c>
      <c r="E591" s="25">
        <f>D591-C591+1</f>
        <v/>
      </c>
      <c r="F591" s="319">
        <f>J590</f>
        <v/>
      </c>
      <c r="G591" s="320">
        <f>-PMT($J$561/$D$558,21,$F$591,,0)</f>
        <v/>
      </c>
      <c r="H591" s="319">
        <f>$J$561*F591/$D$558</f>
        <v/>
      </c>
      <c r="I591" s="319">
        <f>G591-H591</f>
        <v/>
      </c>
      <c r="J591" s="319">
        <f>F591-I591</f>
        <v/>
      </c>
      <c r="K591" s="516" t="n"/>
      <c r="L591" s="516">
        <f>L590+G591-K591</f>
        <v/>
      </c>
    </row>
    <row r="592">
      <c r="B592" s="1" t="n">
        <v>29</v>
      </c>
      <c r="C592" s="24" t="n">
        <v>45292</v>
      </c>
      <c r="D592" s="24" t="n">
        <v>45322</v>
      </c>
      <c r="E592" s="25">
        <f>D592-C592+1</f>
        <v/>
      </c>
      <c r="F592" s="319">
        <f>J591</f>
        <v/>
      </c>
      <c r="G592" s="320">
        <f>-PMT($J$561/$D$558,21,$F$591,,0)</f>
        <v/>
      </c>
      <c r="H592" s="319">
        <f>$J$561*F592/$D$558</f>
        <v/>
      </c>
      <c r="I592" s="319">
        <f>G592-H592</f>
        <v/>
      </c>
      <c r="J592" s="319">
        <f>F592-I592</f>
        <v/>
      </c>
      <c r="K592" s="516" t="n"/>
      <c r="L592" s="516">
        <f>L591+G592-K592</f>
        <v/>
      </c>
    </row>
    <row r="593">
      <c r="B593" s="1" t="n">
        <v>30</v>
      </c>
      <c r="C593" s="24" t="n">
        <v>45323</v>
      </c>
      <c r="D593" s="24" t="n">
        <v>45351</v>
      </c>
      <c r="E593" s="25">
        <f>D593-C593+1</f>
        <v/>
      </c>
      <c r="F593" s="319">
        <f>J592</f>
        <v/>
      </c>
      <c r="G593" s="320">
        <f>-PMT($K$561/$D$558,19,$F$593,,0)</f>
        <v/>
      </c>
      <c r="H593" s="319">
        <f>$K$561*F593/$D$558</f>
        <v/>
      </c>
      <c r="I593" s="319">
        <f>G593-H593</f>
        <v/>
      </c>
      <c r="J593" s="319">
        <f>F593-I593</f>
        <v/>
      </c>
      <c r="K593" s="516" t="n"/>
      <c r="L593" s="516">
        <f>L592+G593-K593</f>
        <v/>
      </c>
    </row>
    <row r="594">
      <c r="B594" s="1" t="n">
        <v>31</v>
      </c>
      <c r="C594" s="24" t="n">
        <v>45352</v>
      </c>
      <c r="D594" s="24" t="n">
        <v>45382</v>
      </c>
      <c r="E594" s="25">
        <f>D594-C594+1</f>
        <v/>
      </c>
      <c r="F594" s="319">
        <f>J593</f>
        <v/>
      </c>
      <c r="G594" s="320">
        <f>-PMT($K$561/$D$558,19,$F$593,,0)</f>
        <v/>
      </c>
      <c r="H594" s="319">
        <f>$K$561*F594/$D$558</f>
        <v/>
      </c>
      <c r="I594" s="319">
        <f>G594-H594</f>
        <v/>
      </c>
      <c r="J594" s="319">
        <f>F594-I594</f>
        <v/>
      </c>
      <c r="K594" s="516" t="n"/>
      <c r="L594" s="516">
        <f>L593+G594-K594</f>
        <v/>
      </c>
    </row>
    <row r="595">
      <c r="B595" s="1" t="n">
        <v>32</v>
      </c>
      <c r="C595" s="24" t="n">
        <v>45383</v>
      </c>
      <c r="D595" s="24" t="n">
        <v>45412</v>
      </c>
      <c r="E595" s="25">
        <f>D595-C595+1</f>
        <v/>
      </c>
      <c r="F595" s="319">
        <f>J594</f>
        <v/>
      </c>
      <c r="G595" s="320">
        <f>-PMT($K$561/$D$558,19,$F$593,,0)</f>
        <v/>
      </c>
      <c r="H595" s="319">
        <f>$K$561*F595/$D$558</f>
        <v/>
      </c>
      <c r="I595" s="319">
        <f>G595-H595</f>
        <v/>
      </c>
      <c r="J595" s="319">
        <f>F595-I595</f>
        <v/>
      </c>
      <c r="K595" s="516" t="n"/>
      <c r="L595" s="516">
        <f>L594+G595-K595</f>
        <v/>
      </c>
    </row>
    <row r="596">
      <c r="B596" s="1" t="n">
        <v>33</v>
      </c>
      <c r="C596" s="24" t="n">
        <v>45413</v>
      </c>
      <c r="D596" s="24" t="n">
        <v>45443</v>
      </c>
      <c r="E596" s="25">
        <f>D596-C596+1</f>
        <v/>
      </c>
      <c r="F596" s="319">
        <f>J595</f>
        <v/>
      </c>
      <c r="G596" s="320">
        <f>-PMT($L$561/$D$558,16,$F$596,,0)</f>
        <v/>
      </c>
      <c r="H596" s="319">
        <f>$L$561*F596/$D$558</f>
        <v/>
      </c>
      <c r="I596" s="319">
        <f>G596-H596</f>
        <v/>
      </c>
      <c r="J596" s="319">
        <f>F596-I596</f>
        <v/>
      </c>
      <c r="K596" s="516" t="n">
        <v>3700000</v>
      </c>
      <c r="L596" s="516">
        <f>L595+G596-K596</f>
        <v/>
      </c>
    </row>
    <row r="597">
      <c r="B597" s="1" t="n">
        <v>34</v>
      </c>
      <c r="C597" s="24" t="n">
        <v>45444</v>
      </c>
      <c r="D597" s="24" t="n">
        <v>45473</v>
      </c>
      <c r="E597" s="25">
        <f>D597-C597+1</f>
        <v/>
      </c>
      <c r="F597" s="319">
        <f>J596</f>
        <v/>
      </c>
      <c r="G597" s="319">
        <f>-PMT($M$561/$D$558,15,$F$597,,0)</f>
        <v/>
      </c>
      <c r="H597" s="319">
        <f>$M$561*F597/$D$558</f>
        <v/>
      </c>
      <c r="I597" s="319">
        <f>G597-H597</f>
        <v/>
      </c>
      <c r="J597" s="319">
        <f>F597-I597</f>
        <v/>
      </c>
      <c r="K597" s="516" t="n">
        <v>3300000</v>
      </c>
      <c r="L597" s="516">
        <f>L596+G597-K597</f>
        <v/>
      </c>
    </row>
    <row r="598">
      <c r="B598" s="1" t="n">
        <v>35</v>
      </c>
      <c r="C598" s="24" t="n">
        <v>45474</v>
      </c>
      <c r="D598" s="24" t="n">
        <v>45504</v>
      </c>
      <c r="E598" s="25">
        <f>D598-C598+1</f>
        <v/>
      </c>
      <c r="F598" s="319">
        <f>J597</f>
        <v/>
      </c>
      <c r="G598" s="319">
        <f>-PMT($N$561/$D$558,14,$F$598,,0)</f>
        <v/>
      </c>
      <c r="H598" s="319">
        <f>$N$561*F598/$D$558</f>
        <v/>
      </c>
      <c r="I598" s="319">
        <f>G598-H598</f>
        <v/>
      </c>
      <c r="J598" s="319">
        <f>F598-I598</f>
        <v/>
      </c>
      <c r="K598" s="516" t="n">
        <v>2100000</v>
      </c>
      <c r="L598" s="516">
        <f>L597+G598-K598</f>
        <v/>
      </c>
    </row>
    <row r="599">
      <c r="B599" s="1" t="n">
        <v>36</v>
      </c>
      <c r="C599" s="24" t="n">
        <v>45505</v>
      </c>
      <c r="D599" s="24" t="n">
        <v>45535</v>
      </c>
      <c r="E599" s="25">
        <f>D599-C599+1</f>
        <v/>
      </c>
      <c r="F599" s="319">
        <f>J598</f>
        <v/>
      </c>
      <c r="G599" s="319">
        <f>-PMT($N$561/$D$558,14,$F$598,,0)</f>
        <v/>
      </c>
      <c r="H599" s="319">
        <f>$N$561*F599/$D$558</f>
        <v/>
      </c>
      <c r="I599" s="319">
        <f>G599-H599</f>
        <v/>
      </c>
      <c r="J599" s="319">
        <f>F599-I599</f>
        <v/>
      </c>
      <c r="K599" s="516" t="n"/>
      <c r="L599" s="516">
        <f>L598+G599-K599</f>
        <v/>
      </c>
    </row>
    <row r="600">
      <c r="B600" s="1" t="n">
        <v>37</v>
      </c>
      <c r="C600" s="24" t="n">
        <v>45536</v>
      </c>
      <c r="D600" s="24" t="n">
        <v>45565</v>
      </c>
      <c r="E600" s="25">
        <f>D600-C600+1</f>
        <v/>
      </c>
      <c r="F600" s="319">
        <f>J599</f>
        <v/>
      </c>
      <c r="G600" s="319">
        <f>-PMT($N$561/$D$558,14,$F$598,,0)</f>
        <v/>
      </c>
      <c r="H600" s="319">
        <f>$N$561*F600/$D$558</f>
        <v/>
      </c>
      <c r="I600" s="319">
        <f>G600-H600</f>
        <v/>
      </c>
      <c r="J600" s="319">
        <f>F600-I600</f>
        <v/>
      </c>
      <c r="K600" s="516" t="n"/>
      <c r="L600" s="516">
        <f>L599+G600-K600</f>
        <v/>
      </c>
    </row>
    <row r="601">
      <c r="B601" s="1" t="n">
        <v>38</v>
      </c>
      <c r="C601" s="24" t="n">
        <v>45566</v>
      </c>
      <c r="D601" s="24" t="n">
        <v>45596</v>
      </c>
      <c r="E601" s="25">
        <f>D601-C601+1</f>
        <v/>
      </c>
      <c r="F601" s="319">
        <f>J600</f>
        <v/>
      </c>
      <c r="G601" s="319">
        <f>-PMT($N$561/$D$558,14,$F$598,,0)</f>
        <v/>
      </c>
      <c r="H601" s="319">
        <f>$N$561*F601/$D$558</f>
        <v/>
      </c>
      <c r="I601" s="319">
        <f>G601-H601</f>
        <v/>
      </c>
      <c r="J601" s="319">
        <f>F601-I601</f>
        <v/>
      </c>
      <c r="K601" s="516" t="n"/>
      <c r="L601" s="524">
        <f>L600+G601-K601</f>
        <v/>
      </c>
    </row>
    <row r="602">
      <c r="B602" s="1" t="n">
        <v>39</v>
      </c>
      <c r="C602" s="24" t="n">
        <v>45597</v>
      </c>
      <c r="D602" s="24" t="n">
        <v>45626</v>
      </c>
      <c r="E602" s="25">
        <f>D602-C602+1</f>
        <v/>
      </c>
      <c r="F602" s="319">
        <f>J601</f>
        <v/>
      </c>
      <c r="G602" s="319">
        <f>-PMT($N$561/$D$558,14,$F$598,,0)</f>
        <v/>
      </c>
      <c r="H602" s="319">
        <f>$N$561*F602/$D$558</f>
        <v/>
      </c>
      <c r="I602" s="319">
        <f>G602-H602</f>
        <v/>
      </c>
      <c r="J602" s="319">
        <f>F602-I602</f>
        <v/>
      </c>
      <c r="K602" s="516" t="n"/>
      <c r="L602" s="516" t="n"/>
    </row>
    <row r="603">
      <c r="B603" s="1" t="n">
        <v>40</v>
      </c>
      <c r="C603" s="24" t="n">
        <v>45627</v>
      </c>
      <c r="D603" s="24" t="n">
        <v>45657</v>
      </c>
      <c r="E603" s="25">
        <f>D603-C603+1</f>
        <v/>
      </c>
      <c r="F603" s="319">
        <f>J602</f>
        <v/>
      </c>
      <c r="G603" s="319">
        <f>-PMT($N$561/$D$558,14,$F$598,,0)</f>
        <v/>
      </c>
      <c r="H603" s="319">
        <f>$N$561*F603/$D$558</f>
        <v/>
      </c>
      <c r="I603" s="319">
        <f>G603-H603</f>
        <v/>
      </c>
      <c r="J603" s="319">
        <f>F603-I603</f>
        <v/>
      </c>
      <c r="K603" s="516" t="n"/>
      <c r="L603" s="516" t="n"/>
    </row>
    <row r="604">
      <c r="B604" s="1" t="n">
        <v>41</v>
      </c>
      <c r="C604" s="24" t="n">
        <v>45658</v>
      </c>
      <c r="D604" s="24" t="n">
        <v>45688</v>
      </c>
      <c r="E604" s="25">
        <f>D604-C604+1</f>
        <v/>
      </c>
      <c r="F604" s="319">
        <f>J603</f>
        <v/>
      </c>
      <c r="G604" s="319">
        <f>-PMT($N$561/$D$558,14,$F$598,,0)</f>
        <v/>
      </c>
      <c r="H604" s="319">
        <f>$N$561*F604/$D$558</f>
        <v/>
      </c>
      <c r="I604" s="319">
        <f>G604-H604</f>
        <v/>
      </c>
      <c r="J604" s="319">
        <f>F604-I604</f>
        <v/>
      </c>
      <c r="K604" s="516" t="n"/>
      <c r="L604" s="516" t="n"/>
    </row>
    <row r="605">
      <c r="B605" s="1" t="n">
        <v>42</v>
      </c>
      <c r="C605" s="24" t="n">
        <v>45689</v>
      </c>
      <c r="D605" s="24" t="n">
        <v>45716</v>
      </c>
      <c r="E605" s="25">
        <f>D605-C605+1</f>
        <v/>
      </c>
      <c r="F605" s="319">
        <f>J604</f>
        <v/>
      </c>
      <c r="G605" s="319">
        <f>-PMT($N$561/$D$558,14,$F$598,,0)</f>
        <v/>
      </c>
      <c r="H605" s="319">
        <f>$N$561*F605/$D$558</f>
        <v/>
      </c>
      <c r="I605" s="319">
        <f>G605-H605</f>
        <v/>
      </c>
      <c r="J605" s="319">
        <f>F605-I605</f>
        <v/>
      </c>
      <c r="K605" s="516" t="n"/>
      <c r="L605" s="516" t="n"/>
    </row>
    <row r="606">
      <c r="B606" s="1" t="n">
        <v>43</v>
      </c>
      <c r="C606" s="24" t="n">
        <v>45717</v>
      </c>
      <c r="D606" s="24" t="n">
        <v>45747</v>
      </c>
      <c r="E606" s="25">
        <f>D606-C606+1</f>
        <v/>
      </c>
      <c r="F606" s="319">
        <f>J605</f>
        <v/>
      </c>
      <c r="G606" s="319">
        <f>-PMT($N$561/$D$558,14,$F$598,,0)</f>
        <v/>
      </c>
      <c r="H606" s="319">
        <f>$N$561*F606/$D$558</f>
        <v/>
      </c>
      <c r="I606" s="319">
        <f>G606-H606</f>
        <v/>
      </c>
      <c r="J606" s="319">
        <f>F606-I606</f>
        <v/>
      </c>
      <c r="K606" s="516" t="n"/>
      <c r="L606" s="516" t="n"/>
    </row>
    <row r="607">
      <c r="B607" s="1" t="n">
        <v>44</v>
      </c>
      <c r="C607" s="24" t="n">
        <v>45748</v>
      </c>
      <c r="D607" s="24" t="n">
        <v>45777</v>
      </c>
      <c r="E607" s="25">
        <f>D607-C607+1</f>
        <v/>
      </c>
      <c r="F607" s="319">
        <f>J606</f>
        <v/>
      </c>
      <c r="G607" s="319">
        <f>-PMT($N$561/$D$558,14,$F$598,,0)</f>
        <v/>
      </c>
      <c r="H607" s="319">
        <f>$N$561*F607/$D$558</f>
        <v/>
      </c>
      <c r="I607" s="319">
        <f>G607-H607</f>
        <v/>
      </c>
      <c r="J607" s="319">
        <f>F607-I607</f>
        <v/>
      </c>
      <c r="K607" s="516" t="n"/>
      <c r="L607" s="516" t="n"/>
    </row>
    <row r="608">
      <c r="B608" s="1" t="n">
        <v>45</v>
      </c>
      <c r="C608" s="24" t="n">
        <v>45778</v>
      </c>
      <c r="D608" s="24" t="n">
        <v>45808</v>
      </c>
      <c r="E608" s="25">
        <f>D608-C608+1</f>
        <v/>
      </c>
      <c r="F608" s="319">
        <f>J607</f>
        <v/>
      </c>
      <c r="G608" s="319">
        <f>-PMT($N$561/$D$558,14,$F$598,,0)</f>
        <v/>
      </c>
      <c r="H608" s="319">
        <f>$N$561*F608/$D$558</f>
        <v/>
      </c>
      <c r="I608" s="319">
        <f>G608-H608</f>
        <v/>
      </c>
      <c r="J608" s="319">
        <f>F608-I608</f>
        <v/>
      </c>
      <c r="K608" s="516" t="n"/>
      <c r="L608" s="516" t="n"/>
    </row>
    <row r="609">
      <c r="B609" s="1" t="n">
        <v>46</v>
      </c>
      <c r="C609" s="24" t="n">
        <v>45809</v>
      </c>
      <c r="D609" s="24" t="n">
        <v>45838</v>
      </c>
      <c r="E609" s="25">
        <f>D609-C609+1</f>
        <v/>
      </c>
      <c r="F609" s="319">
        <f>J608</f>
        <v/>
      </c>
      <c r="G609" s="319">
        <f>-PMT($N$561/$D$558,14,$F$598,,0)</f>
        <v/>
      </c>
      <c r="H609" s="319">
        <f>$N$561*F609/$D$558</f>
        <v/>
      </c>
      <c r="I609" s="319">
        <f>G609-H609</f>
        <v/>
      </c>
      <c r="J609" s="319">
        <f>F609-I609</f>
        <v/>
      </c>
      <c r="K609" s="516" t="n"/>
      <c r="L609" s="516" t="n"/>
    </row>
    <row r="610">
      <c r="B610" s="1" t="n">
        <v>47</v>
      </c>
      <c r="C610" s="24" t="n">
        <v>45839</v>
      </c>
      <c r="D610" s="24" t="n">
        <v>45869</v>
      </c>
      <c r="E610" s="25">
        <f>D610-C610+1</f>
        <v/>
      </c>
      <c r="F610" s="319">
        <f>J609</f>
        <v/>
      </c>
      <c r="G610" s="319">
        <f>-PMT($N$561/$D$558,14,$F$598,,0)</f>
        <v/>
      </c>
      <c r="H610" s="319">
        <f>$N$561*F610/$D$558</f>
        <v/>
      </c>
      <c r="I610" s="319">
        <f>G610-H610</f>
        <v/>
      </c>
      <c r="J610" s="319">
        <f>F610-I610</f>
        <v/>
      </c>
      <c r="K610" s="516" t="n"/>
      <c r="L610" s="516" t="n"/>
    </row>
    <row r="611">
      <c r="B611" s="1" t="n">
        <v>48</v>
      </c>
      <c r="C611" s="24" t="n">
        <v>45870</v>
      </c>
      <c r="D611" s="24" t="n">
        <v>45900</v>
      </c>
      <c r="E611" s="25">
        <f>D611-C611+1</f>
        <v/>
      </c>
      <c r="F611" s="319">
        <f>J610</f>
        <v/>
      </c>
      <c r="G611" s="319">
        <f>-PMT($N$561/$D$558,14,$F$598,,0)</f>
        <v/>
      </c>
      <c r="H611" s="319">
        <f>$N$561*F611/$D$558</f>
        <v/>
      </c>
      <c r="I611" s="319">
        <f>G611-H611</f>
        <v/>
      </c>
      <c r="J611" s="319">
        <f>F611-I611</f>
        <v/>
      </c>
      <c r="K611" s="516" t="n"/>
      <c r="L611" s="516" t="n"/>
    </row>
    <row r="612">
      <c r="B612" s="1" t="n"/>
      <c r="C612" s="24" t="n"/>
      <c r="D612" s="24" t="n"/>
      <c r="E612" s="25" t="n"/>
      <c r="F612" s="319" t="n"/>
      <c r="G612" s="319" t="n"/>
      <c r="H612" s="319" t="n"/>
      <c r="I612" s="319" t="n"/>
      <c r="J612" s="319" t="n"/>
      <c r="K612" s="516" t="n"/>
      <c r="L612" s="516" t="n"/>
    </row>
    <row r="613">
      <c r="B613" s="1" t="n"/>
      <c r="C613" s="1" t="n"/>
      <c r="D613" s="1" t="n"/>
      <c r="E613" s="30">
        <f>SUM(E564:E611)</f>
        <v/>
      </c>
      <c r="F613" s="319" t="n"/>
      <c r="G613" s="319" t="n"/>
      <c r="H613" s="319" t="n"/>
      <c r="I613" s="319" t="n"/>
      <c r="J613" s="319" t="n"/>
      <c r="K613" s="1" t="n"/>
      <c r="L613" s="1" t="n"/>
    </row>
    <row r="616">
      <c r="B616" s="1" t="n"/>
      <c r="C616" s="9" t="inlineStr">
        <is>
          <t>Natures Gift</t>
        </is>
      </c>
      <c r="D616" s="319" t="n"/>
      <c r="E616" s="529">
        <f>+D619-12.2%</f>
        <v/>
      </c>
      <c r="F616" s="319" t="n"/>
      <c r="G616" s="319" t="n"/>
      <c r="H616" s="319" t="n"/>
      <c r="I616" s="319" t="n"/>
      <c r="J616" s="290" t="inlineStr">
        <is>
          <t>13.9 to 16.6%</t>
        </is>
      </c>
      <c r="K616" s="319" t="inlineStr">
        <is>
          <t>16.6% to 17.3%</t>
        </is>
      </c>
      <c r="L616" s="290" t="inlineStr">
        <is>
          <t>17.3% to 20%</t>
        </is>
      </c>
      <c r="M616" s="290" t="inlineStr">
        <is>
          <t>20% to 21.40%</t>
        </is>
      </c>
      <c r="N616" s="290" t="inlineStr">
        <is>
          <t>21.40 to 22.70%</t>
        </is>
      </c>
      <c r="R616" s="514" t="inlineStr">
        <is>
          <t>E-Banker account (Dupleix)</t>
        </is>
      </c>
      <c r="S616" s="495">
        <f>IFERROR(INDEX('Blocks'!$I$2:$I$101,MATCH(10,'Blocks'!$A$2:$A$101,0)),"")</f>
        <v/>
      </c>
    </row>
    <row r="617">
      <c r="B617" s="1" t="n"/>
      <c r="C617" s="1" t="n"/>
      <c r="D617" s="319" t="inlineStr">
        <is>
          <t>First tranche</t>
        </is>
      </c>
      <c r="E617" s="319" t="n"/>
      <c r="F617" s="319" t="n"/>
      <c r="G617" s="319" t="n"/>
      <c r="H617" s="319" t="n"/>
      <c r="I617" s="290" t="n">
        <v>44805</v>
      </c>
      <c r="J617" s="248" t="n">
        <v>44866</v>
      </c>
      <c r="K617" s="248" t="n">
        <v>44896</v>
      </c>
      <c r="L617" s="248" t="n">
        <v>45047</v>
      </c>
      <c r="M617" s="248" t="n">
        <v>45108</v>
      </c>
      <c r="N617" s="248" t="n">
        <v>45139</v>
      </c>
      <c r="R617" s="514" t="inlineStr">
        <is>
          <t>Facility (Loan Book)</t>
        </is>
      </c>
      <c r="S617" s="495">
        <f>IFERROR(INDEX('Blocks'!$H$2:$H$101,MATCH(10,'Blocks'!$A$2:$A$101,0)),"")</f>
        <v/>
      </c>
    </row>
    <row r="618">
      <c r="B618" s="1" t="n"/>
      <c r="C618" s="10" t="inlineStr">
        <is>
          <t>Principal (MK)</t>
        </is>
      </c>
      <c r="D618" s="11" t="n">
        <v>80000000</v>
      </c>
      <c r="E618" s="319" t="n"/>
      <c r="F618" s="319" t="n"/>
      <c r="G618" s="291" t="inlineStr">
        <is>
          <t>Principal (MK)</t>
        </is>
      </c>
      <c r="H618" s="11" t="n">
        <v>69156569.23461735</v>
      </c>
      <c r="I618" s="290" t="inlineStr">
        <is>
          <t>Rate Adj</t>
        </is>
      </c>
      <c r="J618" s="290" t="inlineStr">
        <is>
          <t>Rate Adj</t>
        </is>
      </c>
      <c r="K618" s="290" t="inlineStr">
        <is>
          <t>Rate Adj</t>
        </is>
      </c>
      <c r="L618" s="290" t="inlineStr">
        <is>
          <t>Rate Adj</t>
        </is>
      </c>
      <c r="M618" s="290" t="inlineStr">
        <is>
          <t>Rate Adj</t>
        </is>
      </c>
      <c r="N618" s="290" t="inlineStr">
        <is>
          <t>Rate Adj</t>
        </is>
      </c>
      <c r="R618" s="514" t="inlineStr">
        <is>
          <t>Take-on posting 31 Jul 2024</t>
        </is>
      </c>
      <c r="S618" s="496">
        <f>IFERROR(INDEX('E-Banker master'!$N$2:$N$186,MATCH(S616,'E-Banker master'!$A$2:$A$186,0)),"")</f>
        <v/>
      </c>
    </row>
    <row r="619">
      <c r="B619" s="1" t="n"/>
      <c r="C619" s="13" t="inlineStr">
        <is>
          <t>Rate</t>
        </is>
      </c>
      <c r="D619" s="14" t="n">
        <v>0.18</v>
      </c>
      <c r="E619" s="257" t="n"/>
      <c r="F619" s="319" t="n"/>
      <c r="G619" s="292" t="inlineStr">
        <is>
          <t>Rate</t>
        </is>
      </c>
      <c r="H619" s="296" t="n">
        <v>0.195</v>
      </c>
      <c r="I619" s="319">
        <f>H619+0.4%</f>
        <v/>
      </c>
      <c r="J619" s="257">
        <f>I619+2.7%</f>
        <v/>
      </c>
      <c r="K619" s="257">
        <f>J619+0.7%</f>
        <v/>
      </c>
      <c r="L619" s="257">
        <f>K619+2.7%</f>
        <v/>
      </c>
      <c r="M619" s="257">
        <f>L619+1.4%</f>
        <v/>
      </c>
      <c r="N619" s="257">
        <f>M619+1.3%</f>
        <v/>
      </c>
      <c r="R619" s="514" t="inlineStr">
        <is>
          <t>E-Banker balance 31 Oct 2024</t>
        </is>
      </c>
      <c r="S619" s="496">
        <f>IFERROR(INDEX('E-Banker master'!$P$2:$P$186,MATCH(S616,'E-Banker master'!$A$2:$A$186,0)),"")</f>
        <v/>
      </c>
    </row>
    <row r="620">
      <c r="B620" s="1" t="n"/>
      <c r="C620" s="13" t="inlineStr">
        <is>
          <t>n</t>
        </is>
      </c>
      <c r="D620" s="16" t="n">
        <v>5</v>
      </c>
      <c r="E620" s="1" t="n"/>
      <c r="F620" s="319" t="n"/>
      <c r="G620" s="292" t="inlineStr">
        <is>
          <t>n</t>
        </is>
      </c>
      <c r="H620" s="296" t="n">
        <v>5</v>
      </c>
      <c r="I620" s="319" t="n"/>
      <c r="J620" s="319" t="n"/>
      <c r="K620" s="1" t="n"/>
      <c r="L620" s="1" t="n"/>
    </row>
    <row r="621">
      <c r="B621" s="1" t="n"/>
      <c r="C621" s="13" t="inlineStr">
        <is>
          <t>Per</t>
        </is>
      </c>
      <c r="D621" s="16" t="n">
        <v>12</v>
      </c>
      <c r="E621" s="1" t="n"/>
      <c r="F621" s="319" t="n"/>
      <c r="G621" s="292" t="inlineStr">
        <is>
          <t>Per</t>
        </is>
      </c>
      <c r="H621" s="296" t="n">
        <v>12</v>
      </c>
      <c r="I621" s="319" t="n"/>
      <c r="J621" s="319" t="inlineStr">
        <is>
          <t>22.70% to 23.40%</t>
        </is>
      </c>
      <c r="K621" s="319" t="inlineStr">
        <is>
          <t>23.40% to 23.50%</t>
        </is>
      </c>
      <c r="L621" s="290" t="inlineStr">
        <is>
          <t>23.50% to 23.60%</t>
        </is>
      </c>
      <c r="M621" s="290" t="inlineStr">
        <is>
          <t>23.60% to 24.90%</t>
        </is>
      </c>
      <c r="N621" s="378" t="inlineStr">
        <is>
          <t>24.90% to 25.00%</t>
        </is>
      </c>
      <c r="O621" s="378" t="inlineStr">
        <is>
          <t>25.00% to 25.1%</t>
        </is>
      </c>
      <c r="P621" s="378" t="inlineStr">
        <is>
          <t>25.10% to 25.4%</t>
        </is>
      </c>
    </row>
    <row r="622">
      <c r="B622" s="1" t="n"/>
      <c r="C622" s="13" t="inlineStr">
        <is>
          <t>nPer</t>
        </is>
      </c>
      <c r="D622" s="515">
        <f>D620*D621</f>
        <v/>
      </c>
      <c r="E622" s="1" t="n"/>
      <c r="F622" s="319" t="n"/>
      <c r="G622" s="292" t="inlineStr">
        <is>
          <t>nPer</t>
        </is>
      </c>
      <c r="H622" s="296" t="n">
        <v>48</v>
      </c>
      <c r="I622" s="319">
        <f>+H619-D619</f>
        <v/>
      </c>
      <c r="J622" s="248" t="n">
        <v>45170</v>
      </c>
      <c r="K622" s="248" t="n">
        <v>45200</v>
      </c>
      <c r="L622" s="248" t="n">
        <v>45261</v>
      </c>
      <c r="M622" s="248" t="n">
        <v>44958</v>
      </c>
      <c r="N622" s="304" t="n">
        <v>45413</v>
      </c>
      <c r="O622" s="304" t="n">
        <v>45444</v>
      </c>
      <c r="P622" s="304" t="n">
        <v>45474</v>
      </c>
    </row>
    <row r="623">
      <c r="B623" s="1" t="n"/>
      <c r="C623" s="13" t="inlineStr">
        <is>
          <t>Days in a year</t>
        </is>
      </c>
      <c r="D623" s="18" t="n">
        <v>365</v>
      </c>
      <c r="E623" s="1" t="n"/>
      <c r="F623" s="319" t="n"/>
      <c r="G623" s="292" t="inlineStr">
        <is>
          <t>Days in a year</t>
        </is>
      </c>
      <c r="H623" s="296" t="n">
        <v>365</v>
      </c>
      <c r="I623" s="319" t="n"/>
      <c r="J623" s="290" t="inlineStr">
        <is>
          <t>Rate Adj</t>
        </is>
      </c>
      <c r="K623" s="290" t="inlineStr">
        <is>
          <t>Rate Adj</t>
        </is>
      </c>
      <c r="L623" s="290" t="inlineStr">
        <is>
          <t>Rate Adj</t>
        </is>
      </c>
      <c r="M623" s="290" t="inlineStr">
        <is>
          <t>Rate Adj</t>
        </is>
      </c>
      <c r="N623" s="378" t="inlineStr">
        <is>
          <t>Rate Adj</t>
        </is>
      </c>
      <c r="O623" s="378" t="inlineStr">
        <is>
          <t>Rate Adj</t>
        </is>
      </c>
      <c r="P623" s="378" t="inlineStr">
        <is>
          <t>Rate Adj</t>
        </is>
      </c>
    </row>
    <row r="624">
      <c r="B624" s="1" t="n"/>
      <c r="C624" s="19" t="inlineStr">
        <is>
          <t>Pmt (MK)</t>
        </is>
      </c>
      <c r="D624" s="20">
        <f>-PMT(D619/D621,D622,D618,0,0)</f>
        <v/>
      </c>
      <c r="E624" s="319" t="n"/>
      <c r="F624" s="319" t="n"/>
      <c r="G624" s="293" t="inlineStr">
        <is>
          <t>Pmt (MK)</t>
        </is>
      </c>
      <c r="H624" s="20">
        <f>-PMT(H619/H621,H622,H618,0,0)</f>
        <v/>
      </c>
      <c r="I624" s="319" t="n"/>
      <c r="J624" s="257">
        <f>N619+0.7%</f>
        <v/>
      </c>
      <c r="K624" s="257">
        <f>J624+0.1%</f>
        <v/>
      </c>
      <c r="L624" s="257">
        <f>K624+0.1%</f>
        <v/>
      </c>
      <c r="M624" s="257">
        <f>L624+1.3%</f>
        <v/>
      </c>
      <c r="N624" s="379">
        <f>+M624+0.1%</f>
        <v/>
      </c>
      <c r="O624" s="379">
        <f>+N624+0.1%</f>
        <v/>
      </c>
      <c r="P624" s="379">
        <f>+O624+0.3%</f>
        <v/>
      </c>
    </row>
    <row r="625">
      <c r="B625" s="1" t="n"/>
      <c r="C625" s="1" t="n"/>
      <c r="D625" s="319" t="n"/>
      <c r="E625" s="319" t="n"/>
      <c r="F625" s="319" t="n"/>
      <c r="G625" s="319" t="n"/>
      <c r="H625" s="319" t="n"/>
      <c r="I625" s="319" t="n"/>
      <c r="J625" s="319" t="n"/>
      <c r="K625" s="1" t="n"/>
      <c r="L625" s="1" t="n"/>
    </row>
    <row r="626">
      <c r="B626" s="1" t="n"/>
      <c r="C626" s="21" t="inlineStr">
        <is>
          <t>Period Start</t>
        </is>
      </c>
      <c r="D626" s="22" t="inlineStr">
        <is>
          <t>Period End</t>
        </is>
      </c>
      <c r="E626" s="22" t="inlineStr">
        <is>
          <t>Days</t>
        </is>
      </c>
      <c r="F626" s="294" t="inlineStr">
        <is>
          <t>Opening bal.</t>
        </is>
      </c>
      <c r="G626" s="294" t="inlineStr">
        <is>
          <t>Pmt</t>
        </is>
      </c>
      <c r="H626" s="294" t="inlineStr">
        <is>
          <t>Interest</t>
        </is>
      </c>
      <c r="I626" s="294" t="inlineStr">
        <is>
          <t>Principal</t>
        </is>
      </c>
      <c r="J626" s="294" t="inlineStr">
        <is>
          <t>Closing balance</t>
        </is>
      </c>
      <c r="K626" s="23" t="inlineStr">
        <is>
          <t>Amount Repaid</t>
        </is>
      </c>
      <c r="L626" s="23" t="inlineStr">
        <is>
          <t>Accumulated Arrears</t>
        </is>
      </c>
    </row>
    <row r="627">
      <c r="B627" s="1" t="n">
        <v>0</v>
      </c>
      <c r="C627" s="24" t="n">
        <v>44307</v>
      </c>
      <c r="D627" s="24" t="n">
        <v>44316</v>
      </c>
      <c r="E627" s="25">
        <f>D627-C627+1</f>
        <v/>
      </c>
      <c r="F627" s="319">
        <f>D618</f>
        <v/>
      </c>
      <c r="G627" s="319">
        <f>H627</f>
        <v/>
      </c>
      <c r="H627" s="319" t="n"/>
      <c r="I627" s="319" t="n">
        <v>0</v>
      </c>
      <c r="J627" s="319">
        <f>F627-I627</f>
        <v/>
      </c>
      <c r="K627" s="516" t="n">
        <v>0</v>
      </c>
      <c r="L627" s="516">
        <f>H627</f>
        <v/>
      </c>
      <c r="N627" s="521" t="n"/>
    </row>
    <row r="628">
      <c r="B628" s="1" t="n">
        <v>1</v>
      </c>
      <c r="C628" s="24" t="n">
        <v>44317</v>
      </c>
      <c r="D628" s="24" t="n">
        <v>44347</v>
      </c>
      <c r="E628" s="25">
        <f>D628-C628+1</f>
        <v/>
      </c>
      <c r="F628" s="319">
        <f>J627</f>
        <v/>
      </c>
      <c r="G628" s="319">
        <f>-PMT($D$619/$D$621,60,$F$627,,0)</f>
        <v/>
      </c>
      <c r="H628" s="319">
        <f>$D$619*F628/$D$621</f>
        <v/>
      </c>
      <c r="I628" s="319">
        <f>G628-H628</f>
        <v/>
      </c>
      <c r="J628" s="319">
        <f>F628-I628</f>
        <v/>
      </c>
      <c r="K628" s="516" t="n">
        <v>0</v>
      </c>
      <c r="L628" s="516">
        <f>L627+G628</f>
        <v/>
      </c>
    </row>
    <row r="629">
      <c r="B629" s="1" t="n">
        <v>2</v>
      </c>
      <c r="C629" s="24" t="n">
        <v>44348</v>
      </c>
      <c r="D629" s="24" t="n">
        <v>44377</v>
      </c>
      <c r="E629" s="25">
        <f>D629-C629+1</f>
        <v/>
      </c>
      <c r="F629" s="319">
        <f>J628</f>
        <v/>
      </c>
      <c r="G629" s="319">
        <f>-PMT($D$619/$D$621,60,$F$627,,0)</f>
        <v/>
      </c>
      <c r="H629" s="319">
        <f>$D$619*F629/$D$621</f>
        <v/>
      </c>
      <c r="I629" s="319">
        <f>G629-H629</f>
        <v/>
      </c>
      <c r="J629" s="319">
        <f>F629-I629</f>
        <v/>
      </c>
      <c r="K629" s="516" t="n">
        <v>0</v>
      </c>
      <c r="L629" s="519">
        <f>L628+G629</f>
        <v/>
      </c>
    </row>
    <row r="630">
      <c r="B630" s="1" t="n">
        <v>3</v>
      </c>
      <c r="C630" s="24" t="n">
        <v>44378</v>
      </c>
      <c r="D630" s="24" t="n">
        <v>44408</v>
      </c>
      <c r="E630" s="25">
        <f>D630-C630+1</f>
        <v/>
      </c>
      <c r="F630" s="319">
        <f>J629</f>
        <v/>
      </c>
      <c r="G630" s="319">
        <f>-PMT($D$619/$D$621,60,$F$627,,0)</f>
        <v/>
      </c>
      <c r="H630" s="319">
        <f>($D$619*F630/$D$621)+F618*8*D619/D623</f>
        <v/>
      </c>
      <c r="I630" s="319">
        <f>G630-H630</f>
        <v/>
      </c>
      <c r="J630" s="319">
        <f>F630-I630</f>
        <v/>
      </c>
      <c r="K630" s="516" t="n">
        <v>0</v>
      </c>
      <c r="L630" s="519">
        <f>L629+G630</f>
        <v/>
      </c>
    </row>
    <row r="631">
      <c r="B631" s="1" t="n">
        <v>4</v>
      </c>
      <c r="C631" s="24" t="n">
        <v>44409</v>
      </c>
      <c r="D631" s="24" t="n">
        <v>44439</v>
      </c>
      <c r="E631" s="25">
        <f>D631-C631+1</f>
        <v/>
      </c>
      <c r="F631" s="319">
        <f>J630</f>
        <v/>
      </c>
      <c r="G631" s="319">
        <f>-PMT($D$619/$D$621,57,$F$631,,0)</f>
        <v/>
      </c>
      <c r="H631" s="319">
        <f>$D$619*F631/$D$621</f>
        <v/>
      </c>
      <c r="I631" s="319">
        <f>G631-H631</f>
        <v/>
      </c>
      <c r="J631" s="319">
        <f>F631-I631</f>
        <v/>
      </c>
      <c r="K631" s="516" t="n">
        <v>6488943.13</v>
      </c>
      <c r="L631" s="516">
        <f>L630+G631-K631</f>
        <v/>
      </c>
    </row>
    <row r="632">
      <c r="B632" s="1" t="n">
        <v>5</v>
      </c>
      <c r="C632" s="24" t="n">
        <v>44440</v>
      </c>
      <c r="D632" s="24" t="n">
        <v>44469</v>
      </c>
      <c r="E632" s="25">
        <f>D632-C632+1</f>
        <v/>
      </c>
      <c r="F632" s="319">
        <f>J631</f>
        <v/>
      </c>
      <c r="G632" s="319">
        <f>-PMT($D$619/$D$621,57,$F$631,,0)</f>
        <v/>
      </c>
      <c r="H632" s="319">
        <f>$D$619*F632/$D$621</f>
        <v/>
      </c>
      <c r="I632" s="319">
        <f>G632-H632</f>
        <v/>
      </c>
      <c r="J632" s="319">
        <f>F632-I632</f>
        <v/>
      </c>
      <c r="K632" s="516" t="n">
        <v>0</v>
      </c>
      <c r="L632" s="516">
        <f>L631+G632-K632</f>
        <v/>
      </c>
    </row>
    <row r="633">
      <c r="B633" s="1" t="n">
        <v>6</v>
      </c>
      <c r="C633" s="24" t="n">
        <v>44470</v>
      </c>
      <c r="D633" s="24" t="n">
        <v>44500</v>
      </c>
      <c r="E633" s="25">
        <f>D633-C633+1</f>
        <v/>
      </c>
      <c r="F633" s="319">
        <f>J632</f>
        <v/>
      </c>
      <c r="G633" s="319">
        <f>-PMT($D$619/$D$621,57,$F$631,,0)</f>
        <v/>
      </c>
      <c r="H633" s="319">
        <f>$D$619*F633/$D$621</f>
        <v/>
      </c>
      <c r="I633" s="319">
        <f>G633-H633</f>
        <v/>
      </c>
      <c r="J633" s="319">
        <f>F633-I633</f>
        <v/>
      </c>
      <c r="K633" s="516" t="n">
        <v>5699902.04</v>
      </c>
      <c r="L633" s="516">
        <f>L632+G633-K633</f>
        <v/>
      </c>
    </row>
    <row r="634">
      <c r="B634" s="1" t="n">
        <v>7</v>
      </c>
      <c r="C634" s="24" t="n">
        <v>44501</v>
      </c>
      <c r="D634" s="24" t="n">
        <v>44530</v>
      </c>
      <c r="E634" s="25">
        <f>D634-C634+1</f>
        <v/>
      </c>
      <c r="F634" s="319">
        <f>J633</f>
        <v/>
      </c>
      <c r="G634" s="319">
        <f>-PMT($D$619/$D$621,57,$F$631,,0)</f>
        <v/>
      </c>
      <c r="H634" s="319">
        <f>$D$619*F634/$D$621</f>
        <v/>
      </c>
      <c r="I634" s="319">
        <f>G634-H634</f>
        <v/>
      </c>
      <c r="J634" s="319">
        <f>F634-I634</f>
        <v/>
      </c>
      <c r="K634" s="516" t="n">
        <v>0</v>
      </c>
      <c r="L634" s="516" t="n"/>
    </row>
    <row r="635">
      <c r="B635" s="1" t="n">
        <v>8</v>
      </c>
      <c r="C635" s="24" t="n">
        <v>44531</v>
      </c>
      <c r="D635" s="24" t="n">
        <v>44561</v>
      </c>
      <c r="E635" s="25">
        <f>D635-C635+1</f>
        <v/>
      </c>
      <c r="F635" s="319">
        <f>J634</f>
        <v/>
      </c>
      <c r="G635" s="319">
        <f>-PMT($D$619/$D$621,57,$F$631,,0)</f>
        <v/>
      </c>
      <c r="H635" s="319">
        <f>$D$619*F635/$D$621</f>
        <v/>
      </c>
      <c r="I635" s="319">
        <f>G635-H635</f>
        <v/>
      </c>
      <c r="J635" s="319">
        <f>F635-I635</f>
        <v/>
      </c>
      <c r="K635" s="516" t="n">
        <v>0</v>
      </c>
      <c r="L635" s="516" t="n"/>
    </row>
    <row r="636">
      <c r="B636" s="1" t="n">
        <v>9</v>
      </c>
      <c r="C636" s="24" t="n">
        <v>44562</v>
      </c>
      <c r="D636" s="24" t="n">
        <v>44592</v>
      </c>
      <c r="E636" s="25">
        <f>D636-C636+1</f>
        <v/>
      </c>
      <c r="F636" s="319">
        <f>J635</f>
        <v/>
      </c>
      <c r="G636" s="319">
        <f>-PMT($D$619/$D$621,57,$F$631,,0)</f>
        <v/>
      </c>
      <c r="H636" s="319">
        <f>$D$619*F636/$D$621</f>
        <v/>
      </c>
      <c r="I636" s="319">
        <f>G636-H636</f>
        <v/>
      </c>
      <c r="J636" s="319">
        <f>F636-I636</f>
        <v/>
      </c>
      <c r="K636" s="516" t="n">
        <v>0</v>
      </c>
      <c r="L636" s="516" t="n"/>
    </row>
    <row r="637">
      <c r="B637" s="1" t="n">
        <v>10</v>
      </c>
      <c r="C637" s="24" t="n">
        <v>44593</v>
      </c>
      <c r="D637" s="24" t="n">
        <v>44620</v>
      </c>
      <c r="E637" s="25">
        <f>D637-C637+1</f>
        <v/>
      </c>
      <c r="F637" s="319">
        <f>J636</f>
        <v/>
      </c>
      <c r="G637" s="319">
        <f>-PMT($D$619/$D$621,57,$F$631,,0)</f>
        <v/>
      </c>
      <c r="H637" s="319">
        <f>$D$619*F637/$D$621</f>
        <v/>
      </c>
      <c r="I637" s="319">
        <f>G637-H637</f>
        <v/>
      </c>
      <c r="J637" s="319">
        <f>F637-I637</f>
        <v/>
      </c>
      <c r="K637" s="516" t="n">
        <v>0</v>
      </c>
      <c r="L637" s="516" t="n"/>
    </row>
    <row r="638">
      <c r="B638" s="1" t="n">
        <v>11</v>
      </c>
      <c r="C638" s="24" t="n">
        <v>44621</v>
      </c>
      <c r="D638" s="24" t="n">
        <v>44651</v>
      </c>
      <c r="E638" s="25">
        <f>D638-C638+1</f>
        <v/>
      </c>
      <c r="F638" s="319">
        <f>J637</f>
        <v/>
      </c>
      <c r="G638" s="319">
        <f>-PMT($D$619/$D$621,57,$F$631,,0)</f>
        <v/>
      </c>
      <c r="H638" s="319">
        <f>$D$619*F638/$D$621</f>
        <v/>
      </c>
      <c r="I638" s="319">
        <f>G638-H638</f>
        <v/>
      </c>
      <c r="J638" s="319">
        <f>F638-I638</f>
        <v/>
      </c>
      <c r="K638" s="516" t="n">
        <v>0</v>
      </c>
      <c r="L638" s="516" t="n"/>
    </row>
    <row r="639">
      <c r="B639" s="1" t="n">
        <v>12</v>
      </c>
      <c r="C639" s="24" t="n">
        <v>44652</v>
      </c>
      <c r="D639" s="24" t="n">
        <v>44681</v>
      </c>
      <c r="E639" s="25">
        <f>D639-C639+1</f>
        <v/>
      </c>
      <c r="F639" s="319">
        <f>J638</f>
        <v/>
      </c>
      <c r="G639" s="319">
        <f>-PMT($D$619/$D$621,57,$F$631,,0)</f>
        <v/>
      </c>
      <c r="H639" s="319">
        <f>$D$619*F639/$D$621</f>
        <v/>
      </c>
      <c r="I639" s="319">
        <f>G639-H639</f>
        <v/>
      </c>
      <c r="J639" s="319">
        <f>F639-I639</f>
        <v/>
      </c>
      <c r="K639" s="516" t="n">
        <v>12188845.17</v>
      </c>
      <c r="L639" s="516">
        <f>SUM(G634:G639)-K639</f>
        <v/>
      </c>
    </row>
    <row r="640">
      <c r="B640" s="1" t="n">
        <v>13</v>
      </c>
      <c r="C640" s="24" t="n">
        <v>44682</v>
      </c>
      <c r="D640" s="24" t="n">
        <v>44712</v>
      </c>
      <c r="E640" s="25">
        <f>D640-C640+1</f>
        <v/>
      </c>
      <c r="F640" s="319">
        <f>J639</f>
        <v/>
      </c>
      <c r="G640" s="319">
        <f>-PMT($H$619/$D$621,48,$F$640,,0)</f>
        <v/>
      </c>
      <c r="H640" s="319">
        <f>$H$619*F640/$D$621</f>
        <v/>
      </c>
      <c r="I640" s="319">
        <f>G640-H640</f>
        <v/>
      </c>
      <c r="J640" s="319">
        <f>F640-I640</f>
        <v/>
      </c>
      <c r="K640" s="516" t="n"/>
      <c r="L640" s="516" t="n"/>
    </row>
    <row r="641">
      <c r="B641" s="1" t="n">
        <v>14</v>
      </c>
      <c r="C641" s="24" t="n">
        <v>44713</v>
      </c>
      <c r="D641" s="24" t="n">
        <v>44742</v>
      </c>
      <c r="E641" s="25">
        <f>D641-C641+1</f>
        <v/>
      </c>
      <c r="F641" s="319">
        <f>J640</f>
        <v/>
      </c>
      <c r="G641" s="319">
        <f>-PMT($H$619/$D$621,48,$F$640,,0)</f>
        <v/>
      </c>
      <c r="H641" s="319">
        <f>$H$619*F641/$D$621</f>
        <v/>
      </c>
      <c r="I641" s="319">
        <f>G641-H641</f>
        <v/>
      </c>
      <c r="J641" s="319">
        <f>F641-I641</f>
        <v/>
      </c>
      <c r="K641" s="516" t="n"/>
      <c r="L641" s="516" t="n"/>
    </row>
    <row r="642">
      <c r="B642" s="1" t="n">
        <v>15</v>
      </c>
      <c r="C642" s="24" t="n">
        <v>44743</v>
      </c>
      <c r="D642" s="24" t="n">
        <v>44773</v>
      </c>
      <c r="E642" s="25">
        <f>D642-C642+1</f>
        <v/>
      </c>
      <c r="F642" s="319">
        <f>J641</f>
        <v/>
      </c>
      <c r="G642" s="319">
        <f>-PMT($H$619/$D$621,48,$F$640,,0)</f>
        <v/>
      </c>
      <c r="H642" s="319">
        <f>$H$619*F642/$D$621</f>
        <v/>
      </c>
      <c r="I642" s="319">
        <f>G642-H642</f>
        <v/>
      </c>
      <c r="J642" s="319">
        <f>F642-I642</f>
        <v/>
      </c>
      <c r="K642" s="516" t="n"/>
      <c r="L642" s="516" t="n"/>
    </row>
    <row r="643">
      <c r="B643" s="1" t="n">
        <v>16</v>
      </c>
      <c r="C643" s="24" t="n">
        <v>44774</v>
      </c>
      <c r="D643" s="24" t="n">
        <v>44804</v>
      </c>
      <c r="E643" s="25">
        <f>D643-C643+1</f>
        <v/>
      </c>
      <c r="F643" s="319">
        <f>J642</f>
        <v/>
      </c>
      <c r="G643" s="319">
        <f>-PMT($H$619/$D$621,48,$F$640,,0)</f>
        <v/>
      </c>
      <c r="H643" s="319">
        <f>$H$619*F643/$D$621</f>
        <v/>
      </c>
      <c r="I643" s="319">
        <f>G643-H643</f>
        <v/>
      </c>
      <c r="J643" s="319">
        <f>F643-I643</f>
        <v/>
      </c>
      <c r="K643" s="516" t="n"/>
      <c r="L643" s="516" t="n"/>
    </row>
    <row r="644">
      <c r="B644" s="1" t="n">
        <v>17</v>
      </c>
      <c r="C644" s="24" t="n">
        <v>44805</v>
      </c>
      <c r="D644" s="24" t="n">
        <v>44834</v>
      </c>
      <c r="E644" s="25">
        <f>D644-C644+1</f>
        <v/>
      </c>
      <c r="F644" s="319">
        <f>J643</f>
        <v/>
      </c>
      <c r="G644" s="319">
        <f>-PMT($I$619/$D$621,44,$F$644,,0)</f>
        <v/>
      </c>
      <c r="H644" s="319">
        <f>$I$619*F644/$D$621</f>
        <v/>
      </c>
      <c r="I644" s="319">
        <f>G644-H644</f>
        <v/>
      </c>
      <c r="J644" s="319">
        <f>F644-I644</f>
        <v/>
      </c>
      <c r="K644" s="516" t="n"/>
      <c r="L644" s="516" t="n"/>
    </row>
    <row r="645">
      <c r="B645" s="1" t="n">
        <v>18</v>
      </c>
      <c r="C645" s="24" t="n">
        <v>44835</v>
      </c>
      <c r="D645" s="24" t="n">
        <v>44865</v>
      </c>
      <c r="E645" s="25">
        <f>D645-C645+1</f>
        <v/>
      </c>
      <c r="F645" s="319">
        <f>J644</f>
        <v/>
      </c>
      <c r="G645" s="319">
        <f>-PMT($I$619/$D$621,44,$F$644,,0)</f>
        <v/>
      </c>
      <c r="H645" s="319">
        <f>$I$619*F645/$D$621</f>
        <v/>
      </c>
      <c r="I645" s="319">
        <f>G645-H645</f>
        <v/>
      </c>
      <c r="J645" s="319">
        <f>F645-I645</f>
        <v/>
      </c>
      <c r="K645" s="516" t="n"/>
      <c r="L645" s="516" t="n"/>
    </row>
    <row r="646">
      <c r="B646" s="1" t="n">
        <v>19</v>
      </c>
      <c r="C646" s="24" t="n">
        <v>44866</v>
      </c>
      <c r="D646" s="24" t="n">
        <v>44895</v>
      </c>
      <c r="E646" s="25">
        <f>D646-C646+1</f>
        <v/>
      </c>
      <c r="F646" s="319">
        <f>J645</f>
        <v/>
      </c>
      <c r="G646" s="319">
        <f>-PMT($J$619/$D$621,42,$F$646,,0)</f>
        <v/>
      </c>
      <c r="H646" s="319">
        <f>$J$619*F646/$D$621</f>
        <v/>
      </c>
      <c r="I646" s="319">
        <f>G646-H646</f>
        <v/>
      </c>
      <c r="J646" s="319">
        <f>F646-I646</f>
        <v/>
      </c>
      <c r="K646" s="516" t="n"/>
      <c r="L646" s="516" t="n"/>
    </row>
    <row r="647">
      <c r="B647" s="1" t="n">
        <v>20</v>
      </c>
      <c r="C647" s="24" t="n">
        <v>44896</v>
      </c>
      <c r="D647" s="24" t="n">
        <v>44926</v>
      </c>
      <c r="E647" s="25">
        <f>D647-C647+1</f>
        <v/>
      </c>
      <c r="F647" s="319">
        <f>J646</f>
        <v/>
      </c>
      <c r="G647" s="319">
        <f>-PMT($K$619/$D$621,41,$F$647,,0)</f>
        <v/>
      </c>
      <c r="H647" s="319">
        <f>$K$619*F647/$D$621</f>
        <v/>
      </c>
      <c r="I647" s="319">
        <f>G647-H647</f>
        <v/>
      </c>
      <c r="J647" s="319">
        <f>F647-I647</f>
        <v/>
      </c>
      <c r="K647" s="516" t="n"/>
      <c r="L647" s="516" t="n"/>
    </row>
    <row r="648">
      <c r="B648" s="1" t="n">
        <v>21</v>
      </c>
      <c r="C648" s="24" t="n">
        <v>44927</v>
      </c>
      <c r="D648" s="24" t="n">
        <v>44957</v>
      </c>
      <c r="E648" s="25">
        <f>D648-C648+1</f>
        <v/>
      </c>
      <c r="F648" s="319">
        <f>J647</f>
        <v/>
      </c>
      <c r="G648" s="319">
        <f>-PMT($K$619/$D$621,41,$F$647,,0)</f>
        <v/>
      </c>
      <c r="H648" s="319">
        <f>$K$619*F648/$D$621</f>
        <v/>
      </c>
      <c r="I648" s="319">
        <f>G648-H648</f>
        <v/>
      </c>
      <c r="J648" s="319">
        <f>F648-I648</f>
        <v/>
      </c>
      <c r="K648" s="516" t="n"/>
      <c r="L648" s="516" t="n"/>
    </row>
    <row r="649">
      <c r="B649" s="1" t="n">
        <v>22</v>
      </c>
      <c r="C649" s="24" t="n">
        <v>44958</v>
      </c>
      <c r="D649" s="24" t="n">
        <v>44985</v>
      </c>
      <c r="E649" s="25">
        <f>D649-C649+1</f>
        <v/>
      </c>
      <c r="F649" s="319">
        <f>J648</f>
        <v/>
      </c>
      <c r="G649" s="319">
        <f>-PMT($K$619/$D$621,41,$F$647,,0)</f>
        <v/>
      </c>
      <c r="H649" s="319">
        <f>$K$619*F649/$D$621</f>
        <v/>
      </c>
      <c r="I649" s="319">
        <f>G649-H649</f>
        <v/>
      </c>
      <c r="J649" s="319">
        <f>F649-I649</f>
        <v/>
      </c>
      <c r="K649" s="516" t="n"/>
      <c r="L649" s="516" t="n"/>
    </row>
    <row r="650">
      <c r="B650" s="1" t="n">
        <v>23</v>
      </c>
      <c r="C650" s="24" t="n">
        <v>44986</v>
      </c>
      <c r="D650" s="24" t="n">
        <v>45016</v>
      </c>
      <c r="E650" s="25">
        <f>D650-C650+1</f>
        <v/>
      </c>
      <c r="F650" s="319">
        <f>J649</f>
        <v/>
      </c>
      <c r="G650" s="319">
        <f>-PMT($K$619/$D$621,41,$F$647,,0)</f>
        <v/>
      </c>
      <c r="H650" s="319">
        <f>$K$619*F650/$D$621</f>
        <v/>
      </c>
      <c r="I650" s="319">
        <f>G650-H650</f>
        <v/>
      </c>
      <c r="J650" s="319">
        <f>F650-I650</f>
        <v/>
      </c>
      <c r="K650" s="516" t="n"/>
      <c r="L650" s="516" t="n"/>
    </row>
    <row r="651">
      <c r="B651" s="1" t="n">
        <v>24</v>
      </c>
      <c r="C651" s="24" t="n">
        <v>45017</v>
      </c>
      <c r="D651" s="24" t="n">
        <v>45046</v>
      </c>
      <c r="E651" s="25">
        <f>D651-C651+1</f>
        <v/>
      </c>
      <c r="F651" s="319">
        <f>J650</f>
        <v/>
      </c>
      <c r="G651" s="319">
        <f>-PMT($N$624/$D$621,37,$F$651,,0)</f>
        <v/>
      </c>
      <c r="H651" s="319">
        <f>$N$624*F651/$D$621</f>
        <v/>
      </c>
      <c r="I651" s="319">
        <f>G651-H651</f>
        <v/>
      </c>
      <c r="J651" s="319">
        <f>F651-I651</f>
        <v/>
      </c>
      <c r="K651" s="516" t="n">
        <v>25032964.54</v>
      </c>
      <c r="L651" s="263">
        <f>SUM(G640:G651)-K651</f>
        <v/>
      </c>
    </row>
    <row r="652">
      <c r="B652" s="1" t="n">
        <v>25</v>
      </c>
      <c r="C652" s="24" t="n">
        <v>45047</v>
      </c>
      <c r="D652" s="24" t="n">
        <v>45077</v>
      </c>
      <c r="E652" s="25">
        <f>D652-C652+1</f>
        <v/>
      </c>
      <c r="F652" s="319">
        <f>J651</f>
        <v/>
      </c>
      <c r="G652" s="319">
        <f>-PMT($N$624/$D$621,37,$F$651,,0)</f>
        <v/>
      </c>
      <c r="H652" s="319">
        <f>$N$624*F652/$D$621</f>
        <v/>
      </c>
      <c r="I652" s="319">
        <f>G652-H652</f>
        <v/>
      </c>
      <c r="J652" s="319">
        <f>F652-I652</f>
        <v/>
      </c>
      <c r="K652" s="516" t="n"/>
      <c r="L652" s="516" t="n"/>
    </row>
    <row r="653">
      <c r="B653" s="1" t="n">
        <v>26</v>
      </c>
      <c r="C653" s="24" t="n">
        <v>45078</v>
      </c>
      <c r="D653" s="24" t="n">
        <v>45107</v>
      </c>
      <c r="E653" s="25">
        <f>D653-C653+1</f>
        <v/>
      </c>
      <c r="F653" s="319">
        <f>J652</f>
        <v/>
      </c>
      <c r="G653" s="319">
        <f>-PMT($N$624/$D$621,37,$F$651,,0)</f>
        <v/>
      </c>
      <c r="H653" s="319">
        <f>$N$624*F653/$D$621</f>
        <v/>
      </c>
      <c r="I653" s="319">
        <f>G653-H653</f>
        <v/>
      </c>
      <c r="J653" s="319">
        <f>F653-I653</f>
        <v/>
      </c>
      <c r="K653" s="516" t="n"/>
      <c r="L653" s="516" t="n"/>
    </row>
    <row r="654">
      <c r="B654" s="1" t="n">
        <v>27</v>
      </c>
      <c r="C654" s="24" t="n">
        <v>45108</v>
      </c>
      <c r="D654" s="24" t="n">
        <v>45138</v>
      </c>
      <c r="E654" s="25">
        <f>D654-C654+1</f>
        <v/>
      </c>
      <c r="F654" s="319">
        <f>J653</f>
        <v/>
      </c>
      <c r="G654" s="319">
        <f>-PMT($N$624/$D$621,37,$F$651,,0)</f>
        <v/>
      </c>
      <c r="H654" s="319">
        <f>$N$624*F654/$D$621</f>
        <v/>
      </c>
      <c r="I654" s="319">
        <f>G654-H654</f>
        <v/>
      </c>
      <c r="J654" s="319">
        <f>F654-I654</f>
        <v/>
      </c>
      <c r="K654" s="516" t="n"/>
      <c r="L654" s="516" t="n"/>
    </row>
    <row r="655">
      <c r="B655" s="1" t="n">
        <v>28</v>
      </c>
      <c r="C655" s="24" t="n">
        <v>45139</v>
      </c>
      <c r="D655" s="24" t="n">
        <v>45169</v>
      </c>
      <c r="E655" s="25">
        <f>D655-C655+1</f>
        <v/>
      </c>
      <c r="F655" s="319">
        <f>J654</f>
        <v/>
      </c>
      <c r="G655" s="319">
        <f>-PMT($N$624/$D$621,37,$F$651,,0)</f>
        <v/>
      </c>
      <c r="H655" s="319">
        <f>$N$624*F655/$D$621</f>
        <v/>
      </c>
      <c r="I655" s="319">
        <f>G655-H655</f>
        <v/>
      </c>
      <c r="J655" s="319">
        <f>F655-I655</f>
        <v/>
      </c>
      <c r="K655" s="516" t="n"/>
      <c r="L655" s="516" t="n"/>
    </row>
    <row r="656">
      <c r="B656" s="1" t="n">
        <v>29</v>
      </c>
      <c r="C656" s="24" t="n">
        <v>45170</v>
      </c>
      <c r="D656" s="24" t="n">
        <v>45199</v>
      </c>
      <c r="E656" s="25">
        <f>D656-C656+1</f>
        <v/>
      </c>
      <c r="F656" s="319">
        <f>J655</f>
        <v/>
      </c>
      <c r="G656" s="319">
        <f>-PMT($N$624/$D$621,37,$F$651,,0)</f>
        <v/>
      </c>
      <c r="H656" s="319">
        <f>$N$624*F656/$D$621</f>
        <v/>
      </c>
      <c r="I656" s="319">
        <f>G656-H656</f>
        <v/>
      </c>
      <c r="J656" s="319">
        <f>F656-I656</f>
        <v/>
      </c>
      <c r="K656" s="516" t="n"/>
      <c r="L656" s="516" t="n"/>
    </row>
    <row r="657">
      <c r="B657" s="1" t="n">
        <v>30</v>
      </c>
      <c r="C657" s="24" t="n">
        <v>45200</v>
      </c>
      <c r="D657" s="24" t="n">
        <v>45230</v>
      </c>
      <c r="E657" s="25">
        <f>D657-C657+1</f>
        <v/>
      </c>
      <c r="F657" s="319">
        <f>J656</f>
        <v/>
      </c>
      <c r="G657" s="319">
        <f>-PMT($N$624/$D$621,37,$F$651,,0)</f>
        <v/>
      </c>
      <c r="H657" s="319">
        <f>$N$624*F657/$D$621</f>
        <v/>
      </c>
      <c r="I657" s="319">
        <f>G657-H657</f>
        <v/>
      </c>
      <c r="J657" s="319">
        <f>F657-I657</f>
        <v/>
      </c>
      <c r="K657" s="516" t="n"/>
      <c r="L657" s="516" t="n"/>
    </row>
    <row r="658">
      <c r="B658" s="1" t="n">
        <v>31</v>
      </c>
      <c r="C658" s="24" t="n">
        <v>45231</v>
      </c>
      <c r="D658" s="24" t="n">
        <v>45260</v>
      </c>
      <c r="E658" s="25">
        <f>D658-C658+1</f>
        <v/>
      </c>
      <c r="F658" s="319">
        <f>J657</f>
        <v/>
      </c>
      <c r="G658" s="319">
        <f>-PMT($N$624/$D$621,37,$F$651,,0)</f>
        <v/>
      </c>
      <c r="H658" s="319">
        <f>$N$624*F658/$D$621</f>
        <v/>
      </c>
      <c r="I658" s="319">
        <f>G658-H658</f>
        <v/>
      </c>
      <c r="J658" s="319">
        <f>F658-I658</f>
        <v/>
      </c>
      <c r="K658" s="516" t="n"/>
      <c r="L658" s="516" t="n"/>
    </row>
    <row r="659">
      <c r="B659" s="1" t="n">
        <v>32</v>
      </c>
      <c r="C659" s="24" t="n">
        <v>45261</v>
      </c>
      <c r="D659" s="24" t="n">
        <v>45291</v>
      </c>
      <c r="E659" s="25">
        <f>D659-C659+1</f>
        <v/>
      </c>
      <c r="F659" s="319">
        <f>J658</f>
        <v/>
      </c>
      <c r="G659" s="319">
        <f>-PMT($N$624/$D$621,37,$F$651,,0)</f>
        <v/>
      </c>
      <c r="H659" s="319">
        <f>$N$624*F659/$D$621</f>
        <v/>
      </c>
      <c r="I659" s="319">
        <f>G659-H659</f>
        <v/>
      </c>
      <c r="J659" s="319">
        <f>F659-I659</f>
        <v/>
      </c>
      <c r="K659" s="516" t="n"/>
      <c r="L659" s="516" t="n"/>
    </row>
    <row r="660">
      <c r="B660" s="1" t="n">
        <v>33</v>
      </c>
      <c r="C660" s="24" t="n">
        <v>45292</v>
      </c>
      <c r="D660" s="24" t="n">
        <v>45322</v>
      </c>
      <c r="E660" s="25">
        <f>D660-C660+1</f>
        <v/>
      </c>
      <c r="F660" s="319">
        <f>J659</f>
        <v/>
      </c>
      <c r="G660" s="319">
        <f>-PMT($N$624/$D$621,37,$F$651,,0)</f>
        <v/>
      </c>
      <c r="H660" s="319">
        <f>$N$624*F660/$D$621</f>
        <v/>
      </c>
      <c r="I660" s="319">
        <f>G660-H660</f>
        <v/>
      </c>
      <c r="J660" s="319">
        <f>F660-I660</f>
        <v/>
      </c>
      <c r="K660" s="516" t="n">
        <v>763863.9399999999</v>
      </c>
      <c r="L660" s="516" t="n"/>
    </row>
    <row r="661">
      <c r="B661" s="1" t="n">
        <v>34</v>
      </c>
      <c r="C661" s="24" t="n">
        <v>45323</v>
      </c>
      <c r="D661" s="24" t="n">
        <v>45351</v>
      </c>
      <c r="E661" s="25">
        <f>D661-C661+1</f>
        <v/>
      </c>
      <c r="F661" s="319">
        <f>J660</f>
        <v/>
      </c>
      <c r="G661" s="319">
        <f>-PMT($N$624/$D$621,37,$F$651,,0)</f>
        <v/>
      </c>
      <c r="H661" s="319">
        <f>$N$624*F661/$D$621</f>
        <v/>
      </c>
      <c r="I661" s="319">
        <f>G661-H661</f>
        <v/>
      </c>
      <c r="J661" s="319">
        <f>F661-I661</f>
        <v/>
      </c>
      <c r="K661" s="516" t="n"/>
      <c r="L661" s="516" t="n"/>
    </row>
    <row r="662">
      <c r="B662" s="1" t="n">
        <v>35</v>
      </c>
      <c r="C662" s="24" t="n">
        <v>45352</v>
      </c>
      <c r="D662" s="24" t="n">
        <v>45382</v>
      </c>
      <c r="E662" s="25">
        <f>D662-C662+1</f>
        <v/>
      </c>
      <c r="F662" s="319">
        <f>J661</f>
        <v/>
      </c>
      <c r="G662" s="319">
        <f>-PMT($N$624/$D$621,37,$F$651,,0)</f>
        <v/>
      </c>
      <c r="H662" s="319">
        <f>$N$624*F662/$D$621</f>
        <v/>
      </c>
      <c r="I662" s="319">
        <f>G662-H662</f>
        <v/>
      </c>
      <c r="J662" s="319">
        <f>F662-I662</f>
        <v/>
      </c>
      <c r="K662" s="516" t="n"/>
      <c r="L662" s="516" t="n"/>
    </row>
    <row r="663">
      <c r="B663" s="1" t="n">
        <v>36</v>
      </c>
      <c r="C663" s="24" t="n">
        <v>45383</v>
      </c>
      <c r="D663" s="24" t="n">
        <v>45412</v>
      </c>
      <c r="E663" s="25">
        <f>D663-C663+1</f>
        <v/>
      </c>
      <c r="F663" s="319">
        <f>J662</f>
        <v/>
      </c>
      <c r="G663" s="319">
        <f>-PMT($N$624/$D$621,37,$F$651,,0)</f>
        <v/>
      </c>
      <c r="H663" s="319">
        <f>$N$624*F663/$D$621</f>
        <v/>
      </c>
      <c r="I663" s="319">
        <f>G663-H663</f>
        <v/>
      </c>
      <c r="J663" s="319">
        <f>F663-I663</f>
        <v/>
      </c>
      <c r="K663" s="516" t="n">
        <v>28443092.67</v>
      </c>
      <c r="L663" s="520">
        <f>SUM(G652:G663)-K663</f>
        <v/>
      </c>
    </row>
    <row r="664">
      <c r="B664" s="1" t="n">
        <v>37</v>
      </c>
      <c r="C664" s="24" t="n">
        <v>45413</v>
      </c>
      <c r="D664" s="24" t="n">
        <v>45443</v>
      </c>
      <c r="E664" s="25">
        <f>D664-C664+1</f>
        <v/>
      </c>
      <c r="F664" s="319">
        <f>J663</f>
        <v/>
      </c>
      <c r="G664" s="319">
        <f>-PMT($N$624/$D$621,37,$F$651,,0)</f>
        <v/>
      </c>
      <c r="H664" s="319">
        <f>$N$624*F664/$D$621</f>
        <v/>
      </c>
      <c r="I664" s="319">
        <f>G664-H664</f>
        <v/>
      </c>
      <c r="J664" s="319">
        <f>F664-I664</f>
        <v/>
      </c>
      <c r="K664" s="516" t="n"/>
      <c r="L664" s="516" t="n"/>
    </row>
    <row r="665">
      <c r="B665" s="1" t="n">
        <v>38</v>
      </c>
      <c r="C665" s="24" t="n">
        <v>45444</v>
      </c>
      <c r="D665" s="24" t="n">
        <v>45473</v>
      </c>
      <c r="E665" s="25">
        <f>D665-C665+1</f>
        <v/>
      </c>
      <c r="F665" s="319">
        <f>J664</f>
        <v/>
      </c>
      <c r="G665" s="319">
        <f>-PMT($O$624/$D$621,23,$F$665,,0)</f>
        <v/>
      </c>
      <c r="H665" s="319">
        <f>$O$624*F665/$D$621</f>
        <v/>
      </c>
      <c r="I665" s="319">
        <f>G665-H665</f>
        <v/>
      </c>
      <c r="J665" s="319">
        <f>F665-I665</f>
        <v/>
      </c>
      <c r="K665" s="516" t="n"/>
      <c r="L665" s="516" t="n"/>
    </row>
    <row r="666">
      <c r="B666" s="1" t="n">
        <v>39</v>
      </c>
      <c r="C666" s="24" t="n">
        <v>45474</v>
      </c>
      <c r="D666" s="24" t="n">
        <v>45504</v>
      </c>
      <c r="E666" s="25">
        <f>D666-C666+1</f>
        <v/>
      </c>
      <c r="F666" s="319">
        <f>J665</f>
        <v/>
      </c>
      <c r="G666" s="319">
        <f>-PMT($P$624/$D$621,22,$F$666,,0)</f>
        <v/>
      </c>
      <c r="H666" s="319">
        <f>$P$624*F666/$D$621</f>
        <v/>
      </c>
      <c r="I666" s="319">
        <f>G666-H666</f>
        <v/>
      </c>
      <c r="J666" s="319">
        <f>F666-I666</f>
        <v/>
      </c>
      <c r="K666" s="516" t="n"/>
      <c r="L666" s="516" t="n"/>
    </row>
    <row r="667">
      <c r="B667" s="1" t="n">
        <v>40</v>
      </c>
      <c r="C667" s="24" t="n">
        <v>45505</v>
      </c>
      <c r="D667" s="24" t="n">
        <v>45535</v>
      </c>
      <c r="E667" s="25">
        <f>D667-C667+1</f>
        <v/>
      </c>
      <c r="F667" s="319">
        <f>J666</f>
        <v/>
      </c>
      <c r="G667" s="319">
        <f>-PMT($P$624/$D$621,22,$F$666,,0)</f>
        <v/>
      </c>
      <c r="H667" s="319">
        <f>$P$624*F667/$D$621</f>
        <v/>
      </c>
      <c r="I667" s="319">
        <f>G667-H667</f>
        <v/>
      </c>
      <c r="J667" s="319">
        <f>F667-I667</f>
        <v/>
      </c>
      <c r="K667" s="516" t="n">
        <v>1001834.36</v>
      </c>
      <c r="L667" s="520">
        <f>SUM(L663)-K667</f>
        <v/>
      </c>
    </row>
    <row r="668">
      <c r="B668" s="1" t="n">
        <v>41</v>
      </c>
      <c r="C668" s="24" t="n">
        <v>45536</v>
      </c>
      <c r="D668" s="24" t="n">
        <v>45565</v>
      </c>
      <c r="E668" s="25">
        <f>D668-C668+1</f>
        <v/>
      </c>
      <c r="F668" s="319">
        <f>J667</f>
        <v/>
      </c>
      <c r="G668" s="319">
        <f>-PMT($P$624/$D$621,22,$F$666,,0)</f>
        <v/>
      </c>
      <c r="H668" s="319">
        <f>$P$624*F668/$D$621</f>
        <v/>
      </c>
      <c r="I668" s="319">
        <f>G668-H668</f>
        <v/>
      </c>
      <c r="J668" s="319">
        <f>F668-I668</f>
        <v/>
      </c>
      <c r="K668" s="516" t="n"/>
      <c r="L668" s="516" t="n"/>
    </row>
    <row r="669">
      <c r="B669" s="1" t="n">
        <v>42</v>
      </c>
      <c r="C669" s="24" t="n">
        <v>45566</v>
      </c>
      <c r="D669" s="24" t="n">
        <v>45596</v>
      </c>
      <c r="E669" s="25">
        <f>D669-C669+1</f>
        <v/>
      </c>
      <c r="F669" s="319">
        <f>J668</f>
        <v/>
      </c>
      <c r="G669" s="319">
        <f>-PMT($P$624/$D$621,22,$F$666,,0)</f>
        <v/>
      </c>
      <c r="H669" s="319">
        <f>$P$624*F669/$D$621</f>
        <v/>
      </c>
      <c r="I669" s="319">
        <f>G669-H669</f>
        <v/>
      </c>
      <c r="J669" s="319">
        <f>F669-I669</f>
        <v/>
      </c>
      <c r="K669" s="516" t="n"/>
      <c r="L669" s="516" t="n"/>
    </row>
    <row r="670">
      <c r="B670" s="1" t="n">
        <v>43</v>
      </c>
      <c r="C670" s="24" t="n">
        <v>45597</v>
      </c>
      <c r="D670" s="24" t="n">
        <v>45626</v>
      </c>
      <c r="E670" s="25">
        <f>D670-C670+1</f>
        <v/>
      </c>
      <c r="F670" s="319">
        <f>J669</f>
        <v/>
      </c>
      <c r="G670" s="319">
        <f>-PMT($P$624/$D$621,22,$F$666,,0)</f>
        <v/>
      </c>
      <c r="H670" s="319">
        <f>$P$624*F670/$D$621</f>
        <v/>
      </c>
      <c r="I670" s="319">
        <f>G670-H670</f>
        <v/>
      </c>
      <c r="J670" s="319">
        <f>F670-I670</f>
        <v/>
      </c>
      <c r="K670" s="516" t="n"/>
      <c r="L670" s="516" t="n"/>
    </row>
    <row r="671">
      <c r="B671" s="1" t="n">
        <v>44</v>
      </c>
      <c r="C671" s="24" t="n">
        <v>45627</v>
      </c>
      <c r="D671" s="24" t="n">
        <v>45657</v>
      </c>
      <c r="E671" s="25">
        <f>D671-C671+1</f>
        <v/>
      </c>
      <c r="F671" s="319">
        <f>J670</f>
        <v/>
      </c>
      <c r="G671" s="319">
        <f>-PMT($P$624/$D$621,22,$F$666,,0)</f>
        <v/>
      </c>
      <c r="H671" s="319">
        <f>$P$624*F671/$D$621</f>
        <v/>
      </c>
      <c r="I671" s="319">
        <f>G671-H671</f>
        <v/>
      </c>
      <c r="J671" s="319">
        <f>F671-I671</f>
        <v/>
      </c>
      <c r="K671" s="516" t="n"/>
      <c r="L671" s="516" t="n"/>
    </row>
    <row r="672">
      <c r="B672" s="1" t="n">
        <v>45</v>
      </c>
      <c r="C672" s="24" t="n">
        <v>45658</v>
      </c>
      <c r="D672" s="24" t="n">
        <v>45688</v>
      </c>
      <c r="E672" s="25">
        <f>D672-C672+1</f>
        <v/>
      </c>
      <c r="F672" s="319">
        <f>J671</f>
        <v/>
      </c>
      <c r="G672" s="319">
        <f>-PMT($P$624/$D$621,22,$F$666,,0)</f>
        <v/>
      </c>
      <c r="H672" s="319">
        <f>$P$624*F672/$D$621</f>
        <v/>
      </c>
      <c r="I672" s="319">
        <f>G672-H672</f>
        <v/>
      </c>
      <c r="J672" s="319">
        <f>F672-I672</f>
        <v/>
      </c>
      <c r="K672" s="516" t="n"/>
      <c r="L672" s="516" t="n"/>
    </row>
    <row r="673">
      <c r="B673" s="1" t="n">
        <v>46</v>
      </c>
      <c r="C673" s="24" t="n">
        <v>45689</v>
      </c>
      <c r="D673" s="24" t="n">
        <v>45716</v>
      </c>
      <c r="E673" s="25">
        <f>D673-C673+1</f>
        <v/>
      </c>
      <c r="F673" s="319">
        <f>J672</f>
        <v/>
      </c>
      <c r="G673" s="319">
        <f>-PMT($P$624/$D$621,22,$F$666,,0)</f>
        <v/>
      </c>
      <c r="H673" s="319">
        <f>$P$624*F673/$D$621</f>
        <v/>
      </c>
      <c r="I673" s="319">
        <f>G673-H673</f>
        <v/>
      </c>
      <c r="J673" s="319">
        <f>F673-I673</f>
        <v/>
      </c>
      <c r="K673" s="516" t="n"/>
      <c r="L673" s="516" t="n"/>
    </row>
    <row r="674">
      <c r="B674" s="1" t="n">
        <v>47</v>
      </c>
      <c r="C674" s="24" t="n">
        <v>45717</v>
      </c>
      <c r="D674" s="24" t="n">
        <v>45747</v>
      </c>
      <c r="E674" s="25">
        <f>D674-C674+1</f>
        <v/>
      </c>
      <c r="F674" s="319">
        <f>J673</f>
        <v/>
      </c>
      <c r="G674" s="319">
        <f>-PMT($P$624/$D$621,22,$F$666,,0)</f>
        <v/>
      </c>
      <c r="H674" s="319">
        <f>$P$624*F674/$D$621</f>
        <v/>
      </c>
      <c r="I674" s="319">
        <f>G674-H674</f>
        <v/>
      </c>
      <c r="J674" s="319">
        <f>F674-I674</f>
        <v/>
      </c>
      <c r="K674" s="516" t="n"/>
      <c r="L674" s="516" t="n"/>
    </row>
    <row r="675">
      <c r="B675" s="1" t="n">
        <v>48</v>
      </c>
      <c r="C675" s="24" t="n">
        <v>45748</v>
      </c>
      <c r="D675" s="24" t="n">
        <v>45777</v>
      </c>
      <c r="E675" s="25">
        <f>D675-C675+1</f>
        <v/>
      </c>
      <c r="F675" s="319">
        <f>J674</f>
        <v/>
      </c>
      <c r="G675" s="319">
        <f>-PMT($P$624/$D$621,22,$F$666,,0)</f>
        <v/>
      </c>
      <c r="H675" s="319">
        <f>$P$624*F675/$D$621</f>
        <v/>
      </c>
      <c r="I675" s="319">
        <f>G675-H675</f>
        <v/>
      </c>
      <c r="J675" s="319">
        <f>F675-I675</f>
        <v/>
      </c>
      <c r="K675" s="516" t="inlineStr">
        <is>
          <t>NEXT DUE DATE- 12months</t>
        </is>
      </c>
      <c r="L675" s="520">
        <f>SUM(G664:G675)</f>
        <v/>
      </c>
    </row>
    <row r="676">
      <c r="B676" s="1" t="n">
        <v>49</v>
      </c>
      <c r="C676" s="24" t="n">
        <v>45778</v>
      </c>
      <c r="D676" s="24" t="n">
        <v>45808</v>
      </c>
      <c r="E676" s="25">
        <f>D676-C676+1</f>
        <v/>
      </c>
      <c r="F676" s="319">
        <f>J675</f>
        <v/>
      </c>
      <c r="G676" s="319">
        <f>-PMT($P$624/$D$621,22,$F$666,,0)</f>
        <v/>
      </c>
      <c r="H676" s="319">
        <f>$P$624*F676/$D$621</f>
        <v/>
      </c>
      <c r="I676" s="319">
        <f>G676-H676</f>
        <v/>
      </c>
      <c r="J676" s="319">
        <f>F676-I676</f>
        <v/>
      </c>
      <c r="K676" s="516" t="n"/>
      <c r="L676" s="516" t="n"/>
    </row>
    <row r="677">
      <c r="B677" s="1" t="n">
        <v>50</v>
      </c>
      <c r="C677" s="24" t="n">
        <v>45809</v>
      </c>
      <c r="D677" s="24" t="n">
        <v>45838</v>
      </c>
      <c r="E677" s="25">
        <f>D677-C677+1</f>
        <v/>
      </c>
      <c r="F677" s="319">
        <f>J676</f>
        <v/>
      </c>
      <c r="G677" s="319">
        <f>-PMT($P$624/$D$621,22,$F$666,,0)</f>
        <v/>
      </c>
      <c r="H677" s="319">
        <f>$P$624*F677/$D$621</f>
        <v/>
      </c>
      <c r="I677" s="319">
        <f>G677-H677</f>
        <v/>
      </c>
      <c r="J677" s="319">
        <f>F677-I677</f>
        <v/>
      </c>
      <c r="K677" s="516" t="n"/>
      <c r="L677" s="516" t="n"/>
    </row>
    <row r="678">
      <c r="B678" s="1" t="n">
        <v>51</v>
      </c>
      <c r="C678" s="24" t="n">
        <v>45839</v>
      </c>
      <c r="D678" s="24" t="n">
        <v>45869</v>
      </c>
      <c r="E678" s="25">
        <f>D678-C678+1</f>
        <v/>
      </c>
      <c r="F678" s="319">
        <f>J677</f>
        <v/>
      </c>
      <c r="G678" s="319">
        <f>-PMT($P$624/$D$621,22,$F$666,,0)</f>
        <v/>
      </c>
      <c r="H678" s="319">
        <f>$P$624*F678/$D$621</f>
        <v/>
      </c>
      <c r="I678" s="319">
        <f>G678-H678</f>
        <v/>
      </c>
      <c r="J678" s="319">
        <f>F678-I678</f>
        <v/>
      </c>
      <c r="K678" s="516" t="n"/>
      <c r="L678" s="516" t="n"/>
    </row>
    <row r="679">
      <c r="B679" s="1" t="n">
        <v>52</v>
      </c>
      <c r="C679" s="24" t="n">
        <v>45870</v>
      </c>
      <c r="D679" s="24" t="n">
        <v>45900</v>
      </c>
      <c r="E679" s="25">
        <f>D679-C679+1</f>
        <v/>
      </c>
      <c r="F679" s="319">
        <f>J678</f>
        <v/>
      </c>
      <c r="G679" s="319">
        <f>-PMT($P$624/$D$621,22,$F$666,,0)</f>
        <v/>
      </c>
      <c r="H679" s="319">
        <f>$P$624*F679/$D$621</f>
        <v/>
      </c>
      <c r="I679" s="319">
        <f>G679-H679</f>
        <v/>
      </c>
      <c r="J679" s="319">
        <f>F679-I679</f>
        <v/>
      </c>
      <c r="K679" s="516" t="n"/>
      <c r="L679" s="516" t="n"/>
    </row>
    <row r="680">
      <c r="B680" s="1" t="n">
        <v>53</v>
      </c>
      <c r="C680" s="24" t="n">
        <v>45901</v>
      </c>
      <c r="D680" s="24" t="n">
        <v>45930</v>
      </c>
      <c r="E680" s="25">
        <f>D680-C680+1</f>
        <v/>
      </c>
      <c r="F680" s="319">
        <f>J679</f>
        <v/>
      </c>
      <c r="G680" s="319">
        <f>-PMT($P$624/$D$621,22,$F$666,,0)</f>
        <v/>
      </c>
      <c r="H680" s="319">
        <f>$P$624*F680/$D$621</f>
        <v/>
      </c>
      <c r="I680" s="319">
        <f>G680-H680</f>
        <v/>
      </c>
      <c r="J680" s="319">
        <f>F680-I680</f>
        <v/>
      </c>
      <c r="K680" s="516" t="n"/>
      <c r="L680" s="516" t="n"/>
    </row>
    <row r="681">
      <c r="B681" s="1" t="n">
        <v>54</v>
      </c>
      <c r="C681" s="24" t="n">
        <v>45931</v>
      </c>
      <c r="D681" s="24" t="n">
        <v>45961</v>
      </c>
      <c r="E681" s="25">
        <f>D681-C681+1</f>
        <v/>
      </c>
      <c r="F681" s="319">
        <f>J680</f>
        <v/>
      </c>
      <c r="G681" s="319">
        <f>-PMT($P$624/$D$621,22,$F$666,,0)</f>
        <v/>
      </c>
      <c r="H681" s="319">
        <f>$P$624*F681/$D$621</f>
        <v/>
      </c>
      <c r="I681" s="319">
        <f>G681-H681</f>
        <v/>
      </c>
      <c r="J681" s="319">
        <f>F681-I681</f>
        <v/>
      </c>
      <c r="K681" s="516" t="n"/>
      <c r="L681" s="516" t="n"/>
    </row>
    <row r="682">
      <c r="B682" s="1" t="n">
        <v>55</v>
      </c>
      <c r="C682" s="24" t="n">
        <v>45962</v>
      </c>
      <c r="D682" s="24" t="n">
        <v>45991</v>
      </c>
      <c r="E682" s="25">
        <f>D682-C682+1</f>
        <v/>
      </c>
      <c r="F682" s="319">
        <f>J681</f>
        <v/>
      </c>
      <c r="G682" s="319">
        <f>-PMT($P$624/$D$621,22,$F$666,,0)</f>
        <v/>
      </c>
      <c r="H682" s="319">
        <f>$P$624*F682/$D$621</f>
        <v/>
      </c>
      <c r="I682" s="319">
        <f>G682-H682</f>
        <v/>
      </c>
      <c r="J682" s="319">
        <f>F682-I682</f>
        <v/>
      </c>
      <c r="K682" s="516" t="n"/>
      <c r="L682" s="516" t="n"/>
    </row>
    <row r="683">
      <c r="B683" s="1" t="n">
        <v>56</v>
      </c>
      <c r="C683" s="24" t="n">
        <v>45992</v>
      </c>
      <c r="D683" s="24" t="n">
        <v>46022</v>
      </c>
      <c r="E683" s="25">
        <f>D683-C683+1</f>
        <v/>
      </c>
      <c r="F683" s="319">
        <f>J682</f>
        <v/>
      </c>
      <c r="G683" s="319">
        <f>-PMT($P$624/$D$621,22,$F$666,,0)</f>
        <v/>
      </c>
      <c r="H683" s="319">
        <f>$P$624*F683/$D$621</f>
        <v/>
      </c>
      <c r="I683" s="319">
        <f>G683-H683</f>
        <v/>
      </c>
      <c r="J683" s="319">
        <f>F683-I683</f>
        <v/>
      </c>
      <c r="K683" s="516" t="n"/>
      <c r="L683" s="516" t="n"/>
    </row>
    <row r="684">
      <c r="B684" s="1" t="n">
        <v>57</v>
      </c>
      <c r="C684" s="24" t="n">
        <v>46023</v>
      </c>
      <c r="D684" s="24" t="n">
        <v>46053</v>
      </c>
      <c r="E684" s="25">
        <f>D684-C684+1</f>
        <v/>
      </c>
      <c r="F684" s="319">
        <f>J683</f>
        <v/>
      </c>
      <c r="G684" s="319">
        <f>-PMT($P$624/$D$621,22,$F$666,,0)</f>
        <v/>
      </c>
      <c r="H684" s="319">
        <f>$P$624*F684/$D$621</f>
        <v/>
      </c>
      <c r="I684" s="319">
        <f>G684-H684</f>
        <v/>
      </c>
      <c r="J684" s="319">
        <f>F684-I684</f>
        <v/>
      </c>
      <c r="K684" s="516" t="n"/>
      <c r="L684" s="516" t="n"/>
    </row>
    <row r="685">
      <c r="B685" s="1" t="n">
        <v>58</v>
      </c>
      <c r="C685" s="24" t="n">
        <v>46054</v>
      </c>
      <c r="D685" s="24" t="n">
        <v>46081</v>
      </c>
      <c r="E685" s="25">
        <f>D685-C685+1</f>
        <v/>
      </c>
      <c r="F685" s="319">
        <f>J684</f>
        <v/>
      </c>
      <c r="G685" s="319">
        <f>-PMT($P$624/$D$621,22,$F$666,,0)</f>
        <v/>
      </c>
      <c r="H685" s="319">
        <f>$P$624*F685/$D$621</f>
        <v/>
      </c>
      <c r="I685" s="319">
        <f>G685-H685</f>
        <v/>
      </c>
      <c r="J685" s="319">
        <f>F685-I685</f>
        <v/>
      </c>
      <c r="K685" s="516" t="n"/>
      <c r="L685" s="516" t="n"/>
    </row>
    <row r="686">
      <c r="B686" s="1" t="n">
        <v>59</v>
      </c>
      <c r="C686" s="24" t="n">
        <v>46082</v>
      </c>
      <c r="D686" s="24" t="n">
        <v>46112</v>
      </c>
      <c r="E686" s="25">
        <f>D686-C686+1</f>
        <v/>
      </c>
      <c r="F686" s="319">
        <f>J685</f>
        <v/>
      </c>
      <c r="G686" s="319">
        <f>-PMT($P$624/$D$621,22,$F$666,,0)</f>
        <v/>
      </c>
      <c r="H686" s="319">
        <f>$P$624*F686/$D$621</f>
        <v/>
      </c>
      <c r="I686" s="319">
        <f>G686-H686</f>
        <v/>
      </c>
      <c r="J686" s="319">
        <f>F686-I686</f>
        <v/>
      </c>
      <c r="K686" s="516" t="n"/>
      <c r="L686" s="516" t="n"/>
    </row>
    <row r="687">
      <c r="B687" s="1" t="n">
        <v>60</v>
      </c>
      <c r="C687" s="24" t="n">
        <v>46113</v>
      </c>
      <c r="D687" s="24" t="n">
        <v>46142</v>
      </c>
      <c r="E687" s="25">
        <f>D687-C687+1</f>
        <v/>
      </c>
      <c r="F687" s="319">
        <f>J686</f>
        <v/>
      </c>
      <c r="G687" s="319">
        <f>-PMT($P$624/$D$621,22,$F$666,,0)</f>
        <v/>
      </c>
      <c r="H687" s="319">
        <f>$P$624*F687/$D$621</f>
        <v/>
      </c>
      <c r="I687" s="319">
        <f>G687-H687</f>
        <v/>
      </c>
      <c r="J687" s="319">
        <f>F687-I687</f>
        <v/>
      </c>
      <c r="K687" s="516" t="n"/>
      <c r="L687" s="516" t="n"/>
    </row>
    <row r="688">
      <c r="B688" s="1" t="n"/>
      <c r="C688" s="1" t="n"/>
      <c r="D688" s="1" t="n"/>
      <c r="E688" s="30">
        <f>SUM(E627:E687)</f>
        <v/>
      </c>
      <c r="F688" s="319" t="n"/>
      <c r="G688" s="319" t="n"/>
      <c r="H688" s="319" t="n"/>
      <c r="I688" s="319" t="n"/>
      <c r="J688" s="319" t="n"/>
      <c r="K688" s="1" t="n"/>
      <c r="L688" s="1" t="n"/>
    </row>
    <row r="692">
      <c r="B692" s="1" t="n"/>
      <c r="C692" s="9" t="inlineStr">
        <is>
          <t>Kajikhomele</t>
        </is>
      </c>
      <c r="D692" s="319" t="n"/>
      <c r="E692" s="319" t="n"/>
      <c r="F692" s="319" t="n"/>
      <c r="G692" s="319" t="n"/>
      <c r="H692" s="319" t="n"/>
      <c r="I692" s="319" t="n"/>
      <c r="J692" s="290" t="inlineStr">
        <is>
          <t>13.9 to 16.6%</t>
        </is>
      </c>
      <c r="K692" s="319" t="inlineStr">
        <is>
          <t>16.6% to 17.3%</t>
        </is>
      </c>
      <c r="L692" s="290" t="inlineStr">
        <is>
          <t>17.3% to 20%</t>
        </is>
      </c>
      <c r="M692" s="290" t="inlineStr">
        <is>
          <t>20% to 21.40%</t>
        </is>
      </c>
      <c r="N692" s="290" t="inlineStr">
        <is>
          <t>21.40 to 22.70%</t>
        </is>
      </c>
      <c r="R692" s="514" t="inlineStr">
        <is>
          <t>E-Banker account (Dupleix)</t>
        </is>
      </c>
      <c r="S692" s="495">
        <f>IFERROR(INDEX('Blocks'!$I$2:$I$101,MATCH(11,'Blocks'!$A$2:$A$101,0)),"")</f>
        <v/>
      </c>
    </row>
    <row r="693">
      <c r="B693" s="1" t="n"/>
      <c r="C693" s="1" t="n"/>
      <c r="D693" s="319" t="n"/>
      <c r="E693" s="319" t="n"/>
      <c r="F693" s="319" t="inlineStr">
        <is>
          <t>2nd draw down</t>
        </is>
      </c>
      <c r="G693" s="319" t="n"/>
      <c r="H693" s="319" t="n"/>
      <c r="I693" s="290" t="n">
        <v>44805</v>
      </c>
      <c r="J693" s="248" t="n">
        <v>44866</v>
      </c>
      <c r="K693" s="248" t="n">
        <v>44896</v>
      </c>
      <c r="L693" s="248" t="n">
        <v>45047</v>
      </c>
      <c r="M693" s="248" t="n">
        <v>45108</v>
      </c>
      <c r="N693" s="248" t="n">
        <v>45139</v>
      </c>
      <c r="R693" s="514" t="inlineStr">
        <is>
          <t>Facility (Loan Book)</t>
        </is>
      </c>
      <c r="S693" s="495">
        <f>IFERROR(INDEX('Blocks'!$H$2:$H$101,MATCH(11,'Blocks'!$A$2:$A$101,0)),"")</f>
        <v/>
      </c>
    </row>
    <row r="694">
      <c r="B694" s="1" t="n"/>
      <c r="C694" s="10" t="inlineStr">
        <is>
          <t>Principal (MK)</t>
        </is>
      </c>
      <c r="D694" s="11">
        <f>46448288+2605500+2498712</f>
        <v/>
      </c>
      <c r="E694" s="319" t="n"/>
      <c r="F694" s="319" t="n">
        <v>45000000</v>
      </c>
      <c r="G694" s="291" t="inlineStr">
        <is>
          <t>Principal (MK)</t>
        </is>
      </c>
      <c r="H694" s="11" t="n">
        <v>91448288</v>
      </c>
      <c r="I694" s="290" t="inlineStr">
        <is>
          <t>Rate Adj</t>
        </is>
      </c>
      <c r="J694" s="290" t="inlineStr">
        <is>
          <t>Rate Adj</t>
        </is>
      </c>
      <c r="K694" s="290" t="inlineStr">
        <is>
          <t>Rate Adj</t>
        </is>
      </c>
      <c r="L694" s="290" t="inlineStr">
        <is>
          <t>Rate Adj</t>
        </is>
      </c>
      <c r="M694" s="290" t="inlineStr">
        <is>
          <t>Rate Adj</t>
        </is>
      </c>
      <c r="N694" s="290" t="inlineStr">
        <is>
          <t>Rate Adj</t>
        </is>
      </c>
      <c r="R694" s="514" t="inlineStr">
        <is>
          <t>Take-on posting 31 Jul 2024</t>
        </is>
      </c>
      <c r="S694" s="496">
        <f>IFERROR(INDEX('E-Banker master'!$N$2:$N$186,MATCH(S692,'E-Banker master'!$A$2:$A$186,0)),"")</f>
        <v/>
      </c>
    </row>
    <row r="695">
      <c r="B695" s="1" t="n"/>
      <c r="C695" s="13" t="inlineStr">
        <is>
          <t>Rate</t>
        </is>
      </c>
      <c r="D695" s="14" t="n">
        <v>0.19</v>
      </c>
      <c r="E695" s="257" t="n"/>
      <c r="F695" s="319" t="n"/>
      <c r="G695" s="292" t="inlineStr">
        <is>
          <t>Rate</t>
        </is>
      </c>
      <c r="H695" s="296" t="n">
        <v>0.205</v>
      </c>
      <c r="I695" s="319">
        <f>H695+0.4%</f>
        <v/>
      </c>
      <c r="J695" s="257">
        <f>I695+2.7%</f>
        <v/>
      </c>
      <c r="K695" s="257">
        <f>J695+0.7%</f>
        <v/>
      </c>
      <c r="L695" s="257">
        <f>K695+2.7%</f>
        <v/>
      </c>
      <c r="M695" s="257">
        <f>L695+1.4%</f>
        <v/>
      </c>
      <c r="N695" s="257">
        <f>M695+1.3%</f>
        <v/>
      </c>
      <c r="R695" s="514" t="inlineStr">
        <is>
          <t>E-Banker balance 31 Oct 2024</t>
        </is>
      </c>
      <c r="S695" s="496">
        <f>IFERROR(INDEX('E-Banker master'!$P$2:$P$186,MATCH(S692,'E-Banker master'!$A$2:$A$186,0)),"")</f>
        <v/>
      </c>
    </row>
    <row r="696">
      <c r="B696" s="1" t="n"/>
      <c r="C696" s="13" t="inlineStr">
        <is>
          <t>n</t>
        </is>
      </c>
      <c r="D696" s="16" t="n">
        <v>4</v>
      </c>
      <c r="E696" s="1" t="n"/>
      <c r="F696" s="319" t="n"/>
      <c r="G696" s="292" t="inlineStr">
        <is>
          <t>n</t>
        </is>
      </c>
      <c r="H696" s="296" t="n">
        <v>4</v>
      </c>
      <c r="I696" s="319" t="n"/>
      <c r="J696" s="319" t="n"/>
      <c r="K696" s="1" t="n"/>
      <c r="L696" s="1" t="n"/>
    </row>
    <row r="697">
      <c r="B697" s="1" t="n"/>
      <c r="C697" s="13" t="inlineStr">
        <is>
          <t>Per</t>
        </is>
      </c>
      <c r="D697" s="16" t="n">
        <v>12</v>
      </c>
      <c r="E697" s="1" t="n"/>
      <c r="F697" s="319" t="n"/>
      <c r="G697" s="292" t="inlineStr">
        <is>
          <t>Per</t>
        </is>
      </c>
      <c r="H697" s="296" t="n">
        <v>12</v>
      </c>
      <c r="I697" s="319" t="inlineStr">
        <is>
          <t>22.70% to 23.40%</t>
        </is>
      </c>
      <c r="J697" s="319" t="inlineStr">
        <is>
          <t>23.40% to 23.50%</t>
        </is>
      </c>
      <c r="K697" s="290" t="inlineStr">
        <is>
          <t>23.50% to 23.60%</t>
        </is>
      </c>
      <c r="L697" s="290" t="inlineStr">
        <is>
          <t>23.60% to 24.90%</t>
        </is>
      </c>
      <c r="M697" s="380" t="inlineStr">
        <is>
          <t>24.90% to 25.00%</t>
        </is>
      </c>
      <c r="N697" s="380" t="inlineStr">
        <is>
          <t>25.00% to 25.1</t>
        </is>
      </c>
      <c r="O697" s="380" t="inlineStr">
        <is>
          <t>25.010% to 25.4</t>
        </is>
      </c>
    </row>
    <row r="698">
      <c r="B698" s="1" t="n"/>
      <c r="C698" s="13" t="inlineStr">
        <is>
          <t>nPer</t>
        </is>
      </c>
      <c r="D698" s="515">
        <f>D696*D697</f>
        <v/>
      </c>
      <c r="E698" s="1" t="n"/>
      <c r="F698" s="319" t="n"/>
      <c r="G698" s="292" t="inlineStr">
        <is>
          <t>nPer</t>
        </is>
      </c>
      <c r="H698" s="296" t="n">
        <v>37</v>
      </c>
      <c r="I698" s="290" t="n">
        <v>45170</v>
      </c>
      <c r="J698" s="248" t="n">
        <v>45200</v>
      </c>
      <c r="K698" s="248" t="n">
        <v>45261</v>
      </c>
      <c r="L698" s="248" t="n">
        <v>44958</v>
      </c>
      <c r="M698" s="381" t="n">
        <v>45413</v>
      </c>
      <c r="N698" s="381" t="n">
        <v>45444</v>
      </c>
      <c r="O698" s="381" t="n">
        <v>45444</v>
      </c>
    </row>
    <row r="699">
      <c r="B699" s="1" t="n"/>
      <c r="C699" s="13" t="inlineStr">
        <is>
          <t>Days in a year</t>
        </is>
      </c>
      <c r="D699" s="18" t="n">
        <v>365</v>
      </c>
      <c r="E699" s="1" t="n"/>
      <c r="F699" s="319" t="n"/>
      <c r="G699" s="292" t="inlineStr">
        <is>
          <t>Days in a year</t>
        </is>
      </c>
      <c r="H699" s="296" t="n">
        <v>365</v>
      </c>
      <c r="I699" s="290" t="inlineStr">
        <is>
          <t>Rate Adj</t>
        </is>
      </c>
      <c r="J699" s="290" t="inlineStr">
        <is>
          <t>Rate Adj</t>
        </is>
      </c>
      <c r="K699" s="290" t="inlineStr">
        <is>
          <t>Rate Adj</t>
        </is>
      </c>
      <c r="L699" s="290" t="inlineStr">
        <is>
          <t>Rate Adj</t>
        </is>
      </c>
      <c r="M699" s="380" t="inlineStr">
        <is>
          <t>Rate Adj</t>
        </is>
      </c>
      <c r="N699" s="380" t="inlineStr">
        <is>
          <t>Rate Adj</t>
        </is>
      </c>
      <c r="O699" s="380" t="inlineStr">
        <is>
          <t>Rate Adj</t>
        </is>
      </c>
    </row>
    <row r="700">
      <c r="B700" s="1" t="n"/>
      <c r="C700" s="19" t="inlineStr">
        <is>
          <t>Pmt (MK)</t>
        </is>
      </c>
      <c r="D700" s="20">
        <f>-PMT(D695/D697,D698,D694,0,0)</f>
        <v/>
      </c>
      <c r="E700" s="319" t="n"/>
      <c r="F700" s="319" t="n"/>
      <c r="G700" s="293" t="inlineStr">
        <is>
          <t>Pmt (MK)</t>
        </is>
      </c>
      <c r="H700" s="20">
        <f>-PMT(H695/H697,H698,H694,0,0)</f>
        <v/>
      </c>
      <c r="I700" s="319">
        <f>N695+0.7%</f>
        <v/>
      </c>
      <c r="J700" s="257">
        <f>I700+0.1%</f>
        <v/>
      </c>
      <c r="K700" s="257">
        <f>J700+0.1%</f>
        <v/>
      </c>
      <c r="L700" s="257">
        <f>K700+1.3%</f>
        <v/>
      </c>
      <c r="M700" s="379">
        <f>+L700+0.1%</f>
        <v/>
      </c>
      <c r="N700" s="379">
        <f>+M700+0.1%</f>
        <v/>
      </c>
      <c r="O700" s="379">
        <f>+N700+0.3%</f>
        <v/>
      </c>
    </row>
    <row r="701">
      <c r="B701" s="1" t="n"/>
      <c r="C701" s="1" t="n"/>
      <c r="D701" s="319" t="n"/>
      <c r="E701" s="319" t="n"/>
      <c r="F701" s="319" t="n"/>
      <c r="G701" s="319" t="n"/>
      <c r="H701" s="319" t="n"/>
      <c r="I701" s="319" t="n"/>
      <c r="J701" s="319" t="n"/>
      <c r="K701" s="1" t="n"/>
      <c r="L701" s="1" t="n"/>
    </row>
    <row r="702">
      <c r="B702" s="1" t="n"/>
      <c r="C702" s="21" t="inlineStr">
        <is>
          <t>Period Start</t>
        </is>
      </c>
      <c r="D702" s="22" t="inlineStr">
        <is>
          <t>Period End</t>
        </is>
      </c>
      <c r="E702" s="22" t="inlineStr">
        <is>
          <t>Days</t>
        </is>
      </c>
      <c r="F702" s="294" t="inlineStr">
        <is>
          <t>Opening bal.</t>
        </is>
      </c>
      <c r="G702" s="294" t="inlineStr">
        <is>
          <t>Pmt</t>
        </is>
      </c>
      <c r="H702" s="294" t="inlineStr">
        <is>
          <t>Interest</t>
        </is>
      </c>
      <c r="I702" s="294" t="inlineStr">
        <is>
          <t>Principal</t>
        </is>
      </c>
      <c r="J702" s="294" t="inlineStr">
        <is>
          <t>Closing balance</t>
        </is>
      </c>
      <c r="K702" s="23" t="inlineStr">
        <is>
          <t>Amount Repaid</t>
        </is>
      </c>
      <c r="L702" s="23" t="inlineStr">
        <is>
          <t>Accumulated Arrears</t>
        </is>
      </c>
    </row>
    <row r="703">
      <c r="B703" s="1" t="n">
        <v>0</v>
      </c>
      <c r="C703" s="24" t="n">
        <v>44336</v>
      </c>
      <c r="D703" s="24" t="n">
        <v>44347</v>
      </c>
      <c r="E703" s="25">
        <f>D703-C703+1</f>
        <v/>
      </c>
      <c r="F703" s="319">
        <f>D694</f>
        <v/>
      </c>
      <c r="G703" s="319" t="n">
        <v>0</v>
      </c>
      <c r="H703" s="319">
        <f>F703*D695*E703/365</f>
        <v/>
      </c>
      <c r="I703" s="319" t="n">
        <v>0</v>
      </c>
      <c r="J703" s="319">
        <f>F703-I703</f>
        <v/>
      </c>
      <c r="K703" s="516" t="n">
        <v>0</v>
      </c>
      <c r="L703" s="516" t="n">
        <v>0</v>
      </c>
      <c r="N703" s="521" t="n"/>
    </row>
    <row r="704">
      <c r="B704" s="1" t="n">
        <v>1</v>
      </c>
      <c r="C704" s="24">
        <f>D703+1</f>
        <v/>
      </c>
      <c r="D704" s="24" t="n">
        <v>44377</v>
      </c>
      <c r="E704" s="25">
        <f>D704-C704+1</f>
        <v/>
      </c>
      <c r="F704" s="319">
        <f>J703</f>
        <v/>
      </c>
      <c r="G704" s="319" t="n">
        <v>0</v>
      </c>
      <c r="H704" s="319">
        <f>D695*F704/D697</f>
        <v/>
      </c>
      <c r="I704" s="319" t="n">
        <v>0</v>
      </c>
      <c r="J704" s="319">
        <f>F704-I704</f>
        <v/>
      </c>
      <c r="K704" s="516" t="n">
        <v>0</v>
      </c>
      <c r="L704" s="516" t="n"/>
    </row>
    <row r="705">
      <c r="B705" s="1" t="n">
        <v>2</v>
      </c>
      <c r="C705" s="24" t="n">
        <v>44378</v>
      </c>
      <c r="D705" s="24" t="n">
        <v>44408</v>
      </c>
      <c r="E705" s="25">
        <f>D705-C705+1</f>
        <v/>
      </c>
      <c r="F705" s="319">
        <f>J704</f>
        <v/>
      </c>
      <c r="G705" s="319" t="n">
        <v>0</v>
      </c>
      <c r="H705" s="319">
        <f>(D695*F705/D697)+F694*D695*24/D699</f>
        <v/>
      </c>
      <c r="I705" s="319" t="n">
        <v>0</v>
      </c>
      <c r="J705" s="319">
        <f>F705-I705</f>
        <v/>
      </c>
      <c r="K705" s="516" t="n">
        <v>0</v>
      </c>
      <c r="L705" s="516" t="n">
        <v>0</v>
      </c>
    </row>
    <row r="706">
      <c r="B706" s="1" t="n">
        <v>3</v>
      </c>
      <c r="C706" s="24">
        <f>D705+1</f>
        <v/>
      </c>
      <c r="D706" s="24" t="n">
        <v>44439</v>
      </c>
      <c r="E706" s="25">
        <f>D706-C706+1</f>
        <v/>
      </c>
      <c r="F706" s="319">
        <f>J705+F694</f>
        <v/>
      </c>
      <c r="G706" s="319" t="n">
        <v>0</v>
      </c>
      <c r="H706" s="319">
        <f>D695*F706/D697</f>
        <v/>
      </c>
      <c r="I706" s="319" t="n">
        <v>0</v>
      </c>
      <c r="J706" s="319">
        <f>F706-I706</f>
        <v/>
      </c>
      <c r="K706" s="516" t="n">
        <v>0</v>
      </c>
      <c r="L706" s="516" t="n">
        <v>0</v>
      </c>
    </row>
    <row r="707">
      <c r="B707" s="1" t="n">
        <v>4</v>
      </c>
      <c r="C707" s="24" t="n">
        <v>44440</v>
      </c>
      <c r="D707" s="24" t="n">
        <v>44469</v>
      </c>
      <c r="E707" s="25">
        <f>D707-C707+1</f>
        <v/>
      </c>
      <c r="F707" s="319">
        <f>J706</f>
        <v/>
      </c>
      <c r="G707" s="319" t="n">
        <v>0</v>
      </c>
      <c r="H707" s="319">
        <f>$D$695*F707/$D$697</f>
        <v/>
      </c>
      <c r="I707" s="319" t="n">
        <v>0</v>
      </c>
      <c r="J707" s="319">
        <f>F707-I707</f>
        <v/>
      </c>
      <c r="K707" s="516" t="n">
        <v>0</v>
      </c>
      <c r="L707" s="516" t="n">
        <v>0</v>
      </c>
    </row>
    <row r="708">
      <c r="B708" s="1" t="n">
        <v>5</v>
      </c>
      <c r="C708" s="24">
        <f>D707+1</f>
        <v/>
      </c>
      <c r="D708" s="24" t="n">
        <v>44500</v>
      </c>
      <c r="E708" s="25">
        <f>D708-C708+1</f>
        <v/>
      </c>
      <c r="F708" s="319">
        <f>J707</f>
        <v/>
      </c>
      <c r="G708" s="319" t="n">
        <v>0</v>
      </c>
      <c r="H708" s="319">
        <f>$D$695*F708/$D$697</f>
        <v/>
      </c>
      <c r="I708" s="319" t="n">
        <v>0</v>
      </c>
      <c r="J708" s="319">
        <f>F708-I708</f>
        <v/>
      </c>
      <c r="K708" s="516" t="n">
        <v>0</v>
      </c>
      <c r="L708" s="516" t="n">
        <v>0</v>
      </c>
    </row>
    <row r="709">
      <c r="B709" s="1" t="n">
        <v>6</v>
      </c>
      <c r="C709" s="24" t="n">
        <v>44501</v>
      </c>
      <c r="D709" s="24" t="n">
        <v>44530</v>
      </c>
      <c r="E709" s="25">
        <f>D709-C709+1</f>
        <v/>
      </c>
      <c r="F709" s="319">
        <f>J708</f>
        <v/>
      </c>
      <c r="G709" s="319" t="n">
        <v>0</v>
      </c>
      <c r="H709" s="319">
        <f>$D$695*F709/$D$697</f>
        <v/>
      </c>
      <c r="I709" s="319" t="n">
        <v>0</v>
      </c>
      <c r="J709" s="319">
        <f>F709-I709</f>
        <v/>
      </c>
      <c r="K709" s="516" t="n">
        <v>0</v>
      </c>
      <c r="L709" s="516" t="n">
        <v>0</v>
      </c>
    </row>
    <row r="710">
      <c r="B710" s="1" t="n">
        <v>7</v>
      </c>
      <c r="C710" s="24">
        <f>D709+1</f>
        <v/>
      </c>
      <c r="D710" s="24" t="n">
        <v>44561</v>
      </c>
      <c r="E710" s="25">
        <f>D710-C710+1</f>
        <v/>
      </c>
      <c r="F710" s="295">
        <f>J709</f>
        <v/>
      </c>
      <c r="G710" s="319" t="n">
        <v>0</v>
      </c>
      <c r="H710" s="319">
        <f>$D$695*F710/$D$697</f>
        <v/>
      </c>
      <c r="I710" s="319" t="n">
        <v>0</v>
      </c>
      <c r="J710" s="319">
        <f>F710-I710</f>
        <v/>
      </c>
      <c r="K710" s="516" t="n">
        <v>0</v>
      </c>
      <c r="L710" s="516" t="n">
        <v>0</v>
      </c>
    </row>
    <row r="711">
      <c r="B711" s="1" t="n">
        <v>8</v>
      </c>
      <c r="C711" s="24" t="n">
        <v>44562</v>
      </c>
      <c r="D711" s="24" t="n">
        <v>44592</v>
      </c>
      <c r="E711" s="25">
        <f>D711-C711+1</f>
        <v/>
      </c>
      <c r="F711" s="319">
        <f>J710</f>
        <v/>
      </c>
      <c r="G711" s="319" t="n">
        <v>0</v>
      </c>
      <c r="H711" s="319">
        <f>$D$695*F711/$D$697</f>
        <v/>
      </c>
      <c r="I711" s="319" t="n">
        <v>0</v>
      </c>
      <c r="J711" s="319">
        <f>F711-I711</f>
        <v/>
      </c>
      <c r="K711" s="516" t="n">
        <v>0</v>
      </c>
      <c r="L711" s="516" t="n">
        <v>0</v>
      </c>
    </row>
    <row r="712">
      <c r="B712" s="1" t="n">
        <v>9</v>
      </c>
      <c r="C712" s="24">
        <f>D711+1</f>
        <v/>
      </c>
      <c r="D712" s="24" t="n">
        <v>44620</v>
      </c>
      <c r="E712" s="25">
        <f>D712-C712+1</f>
        <v/>
      </c>
      <c r="F712" s="319">
        <f>J711</f>
        <v/>
      </c>
      <c r="G712" s="319" t="n">
        <v>0</v>
      </c>
      <c r="H712" s="319">
        <f>$D$695*F712/$D$697</f>
        <v/>
      </c>
      <c r="I712" s="319" t="n">
        <v>0</v>
      </c>
      <c r="J712" s="319">
        <f>F712-I712</f>
        <v/>
      </c>
      <c r="K712" s="516" t="n">
        <v>0</v>
      </c>
      <c r="L712" s="516" t="n">
        <v>0</v>
      </c>
    </row>
    <row r="713">
      <c r="B713" s="1" t="n">
        <v>10</v>
      </c>
      <c r="C713" s="24" t="n">
        <v>44621</v>
      </c>
      <c r="D713" s="24" t="n">
        <v>44651</v>
      </c>
      <c r="E713" s="25">
        <f>D713-C713+1</f>
        <v/>
      </c>
      <c r="F713" s="319">
        <f>J712</f>
        <v/>
      </c>
      <c r="G713" s="319" t="n">
        <v>0</v>
      </c>
      <c r="H713" s="319">
        <f>$D$695*F713/$D$697</f>
        <v/>
      </c>
      <c r="I713" s="319" t="n">
        <v>0</v>
      </c>
      <c r="J713" s="319">
        <f>F713-I713</f>
        <v/>
      </c>
      <c r="K713" s="516" t="n">
        <v>0</v>
      </c>
      <c r="L713" s="516" t="n">
        <v>0</v>
      </c>
    </row>
    <row r="714">
      <c r="B714" s="1" t="n">
        <v>11</v>
      </c>
      <c r="C714" s="24">
        <f>D713+1</f>
        <v/>
      </c>
      <c r="D714" s="24" t="n">
        <v>44681</v>
      </c>
      <c r="E714" s="25">
        <f>D714-C714+1</f>
        <v/>
      </c>
      <c r="F714" s="319">
        <f>J713</f>
        <v/>
      </c>
      <c r="G714" s="319" t="n">
        <v>0</v>
      </c>
      <c r="H714" s="319">
        <f>$D$695*F714/$D$697</f>
        <v/>
      </c>
      <c r="I714" s="319" t="n">
        <v>0</v>
      </c>
      <c r="J714" s="319">
        <f>F714-I714</f>
        <v/>
      </c>
      <c r="K714" s="516" t="n">
        <v>0</v>
      </c>
      <c r="L714" s="516" t="n">
        <v>0</v>
      </c>
    </row>
    <row r="715">
      <c r="B715" s="1" t="n">
        <v>12</v>
      </c>
      <c r="C715" s="24" t="n">
        <v>44682</v>
      </c>
      <c r="D715" s="24" t="n">
        <v>44712</v>
      </c>
      <c r="E715" s="25">
        <f>D715-C715+1</f>
        <v/>
      </c>
      <c r="F715" s="319">
        <f>J714</f>
        <v/>
      </c>
      <c r="G715" s="319" t="n">
        <v>0</v>
      </c>
      <c r="H715" s="319">
        <f>$H$695*F715/$D$697</f>
        <v/>
      </c>
      <c r="I715" s="319" t="n">
        <v>0</v>
      </c>
      <c r="J715" s="319">
        <f>F715-I715</f>
        <v/>
      </c>
      <c r="K715" s="516" t="n">
        <v>0</v>
      </c>
      <c r="L715" s="516" t="n">
        <v>0</v>
      </c>
    </row>
    <row r="716">
      <c r="B716" s="1" t="n">
        <v>13</v>
      </c>
      <c r="C716" s="24">
        <f>D715+1</f>
        <v/>
      </c>
      <c r="D716" s="24" t="n">
        <v>44742</v>
      </c>
      <c r="E716" s="25">
        <f>D716-C716+1</f>
        <v/>
      </c>
      <c r="F716" s="319">
        <f>J715+SUM(H703:H715)</f>
        <v/>
      </c>
      <c r="G716" s="319" t="n">
        <v>0</v>
      </c>
      <c r="H716" s="319">
        <f>$H$695*F716/$D$697</f>
        <v/>
      </c>
      <c r="I716" s="319" t="n">
        <v>0</v>
      </c>
      <c r="J716" s="319">
        <f>F716-I716</f>
        <v/>
      </c>
      <c r="K716" s="516" t="n">
        <v>0</v>
      </c>
      <c r="L716" s="519" t="n"/>
    </row>
    <row r="717">
      <c r="B717" s="1" t="n">
        <v>14</v>
      </c>
      <c r="C717" s="24" t="n">
        <v>44743</v>
      </c>
      <c r="D717" s="24" t="n">
        <v>44773</v>
      </c>
      <c r="E717" s="25">
        <f>D717-C717+1</f>
        <v/>
      </c>
      <c r="F717" s="319">
        <f>J716</f>
        <v/>
      </c>
      <c r="G717" s="319" t="n">
        <v>0</v>
      </c>
      <c r="H717" s="319">
        <f>$H$695*F717/$D$697</f>
        <v/>
      </c>
      <c r="I717" s="319" t="n">
        <v>0</v>
      </c>
      <c r="J717" s="319">
        <f>F717-I717</f>
        <v/>
      </c>
      <c r="K717" s="516" t="n"/>
      <c r="L717" s="516" t="n"/>
    </row>
    <row r="718">
      <c r="B718" s="1" t="n">
        <v>15</v>
      </c>
      <c r="C718" s="24">
        <f>D717+1</f>
        <v/>
      </c>
      <c r="D718" s="24" t="n">
        <v>44804</v>
      </c>
      <c r="E718" s="25">
        <f>D718-C718+1</f>
        <v/>
      </c>
      <c r="F718" s="319">
        <f>J717</f>
        <v/>
      </c>
      <c r="G718" s="319" t="n">
        <v>0</v>
      </c>
      <c r="H718" s="319">
        <f>$H$695*F718/$D$697</f>
        <v/>
      </c>
      <c r="I718" s="319" t="n">
        <v>0</v>
      </c>
      <c r="J718" s="319">
        <f>F718-I718</f>
        <v/>
      </c>
      <c r="K718" s="516" t="n"/>
      <c r="L718" s="516" t="n"/>
    </row>
    <row r="719">
      <c r="B719" s="1" t="n">
        <v>16</v>
      </c>
      <c r="C719" s="24" t="n">
        <v>44805</v>
      </c>
      <c r="D719" s="24" t="n">
        <v>44834</v>
      </c>
      <c r="E719" s="25">
        <f>D719-C719+1</f>
        <v/>
      </c>
      <c r="F719" s="319">
        <f>J718</f>
        <v/>
      </c>
      <c r="G719" s="319" t="n">
        <v>0</v>
      </c>
      <c r="H719" s="319">
        <f>$I$695*F719/$D$697</f>
        <v/>
      </c>
      <c r="I719" s="319" t="n">
        <v>0</v>
      </c>
      <c r="J719" s="319">
        <f>F719-I719</f>
        <v/>
      </c>
      <c r="K719" s="516" t="n"/>
      <c r="L719" s="516" t="n"/>
    </row>
    <row r="720">
      <c r="B720" s="1" t="n">
        <v>17</v>
      </c>
      <c r="C720" s="24">
        <f>D719+1</f>
        <v/>
      </c>
      <c r="D720" s="24" t="n">
        <v>44865</v>
      </c>
      <c r="E720" s="25">
        <f>D720-C720+1</f>
        <v/>
      </c>
      <c r="F720" s="319">
        <f>J719</f>
        <v/>
      </c>
      <c r="G720" s="319" t="n">
        <v>0</v>
      </c>
      <c r="H720" s="319">
        <f>$I$695*F720/$D$697</f>
        <v/>
      </c>
      <c r="I720" s="319" t="n">
        <v>0</v>
      </c>
      <c r="J720" s="319">
        <f>F720-I720</f>
        <v/>
      </c>
      <c r="K720" s="516" t="n"/>
      <c r="L720" s="516" t="n"/>
    </row>
    <row r="721">
      <c r="B721" s="1" t="n">
        <v>18</v>
      </c>
      <c r="C721" s="24" t="n">
        <v>44866</v>
      </c>
      <c r="D721" s="24" t="n">
        <v>44895</v>
      </c>
      <c r="E721" s="25">
        <f>D721-C721+1</f>
        <v/>
      </c>
      <c r="F721" s="319">
        <f>J720</f>
        <v/>
      </c>
      <c r="G721" s="319" t="n">
        <v>0</v>
      </c>
      <c r="H721" s="319">
        <f>$J$695*F721/$D$697</f>
        <v/>
      </c>
      <c r="I721" s="319" t="n">
        <v>0</v>
      </c>
      <c r="J721" s="319">
        <f>F721-I721</f>
        <v/>
      </c>
      <c r="K721" s="516" t="n"/>
      <c r="L721" s="148" t="n"/>
      <c r="M721" s="516" t="n"/>
    </row>
    <row r="722">
      <c r="B722" s="1" t="n">
        <v>19</v>
      </c>
      <c r="C722" s="24">
        <f>D721+1</f>
        <v/>
      </c>
      <c r="D722" s="24" t="n">
        <v>44926</v>
      </c>
      <c r="E722" s="25">
        <f>D722-C722+1</f>
        <v/>
      </c>
      <c r="F722" s="319">
        <f>J721</f>
        <v/>
      </c>
      <c r="G722" s="319" t="n">
        <v>0</v>
      </c>
      <c r="H722" s="319">
        <f>$K$695*F722/$D$697</f>
        <v/>
      </c>
      <c r="I722" s="319" t="n">
        <v>0</v>
      </c>
      <c r="J722" s="319">
        <f>F722-I722</f>
        <v/>
      </c>
      <c r="K722" s="516" t="n"/>
      <c r="L722" s="516" t="n"/>
    </row>
    <row r="723">
      <c r="B723" s="1" t="n">
        <v>20</v>
      </c>
      <c r="C723" s="24" t="n">
        <v>44927</v>
      </c>
      <c r="D723" s="24" t="n">
        <v>44957</v>
      </c>
      <c r="E723" s="25">
        <f>D723-C723+1</f>
        <v/>
      </c>
      <c r="F723" s="319">
        <f>J722</f>
        <v/>
      </c>
      <c r="G723" s="319" t="n">
        <v>0</v>
      </c>
      <c r="H723" s="319">
        <f>$K$695*F723/$D$697</f>
        <v/>
      </c>
      <c r="I723" s="319" t="n">
        <v>0</v>
      </c>
      <c r="J723" s="319">
        <f>F723-I723</f>
        <v/>
      </c>
      <c r="K723" s="516" t="n"/>
      <c r="L723" s="516" t="n"/>
    </row>
    <row r="724">
      <c r="B724" s="1" t="n">
        <v>21</v>
      </c>
      <c r="C724" s="24">
        <f>D723+1</f>
        <v/>
      </c>
      <c r="D724" s="24" t="n">
        <v>44985</v>
      </c>
      <c r="E724" s="25">
        <f>D724-C724+1</f>
        <v/>
      </c>
      <c r="F724" s="319">
        <f>J723</f>
        <v/>
      </c>
      <c r="G724" s="319" t="n">
        <v>0</v>
      </c>
      <c r="H724" s="319">
        <f>$K$695*F724/$D$697</f>
        <v/>
      </c>
      <c r="I724" s="319" t="n">
        <v>0</v>
      </c>
      <c r="J724" s="319">
        <f>F724-I724</f>
        <v/>
      </c>
      <c r="K724" s="516" t="n"/>
      <c r="L724" s="516" t="n"/>
    </row>
    <row r="725" customFormat="1" s="237">
      <c r="A725" s="7" t="n"/>
      <c r="B725" s="1" t="n">
        <v>22</v>
      </c>
      <c r="C725" s="24" t="n">
        <v>44986</v>
      </c>
      <c r="D725" s="24" t="n">
        <v>45016</v>
      </c>
      <c r="E725" s="25">
        <f>D725-C725+1</f>
        <v/>
      </c>
      <c r="F725" s="319">
        <f>J724</f>
        <v/>
      </c>
      <c r="G725" s="319" t="n">
        <v>0</v>
      </c>
      <c r="H725" s="319">
        <f>$K$695*F725/$D$697</f>
        <v/>
      </c>
      <c r="I725" s="319" t="n">
        <v>0</v>
      </c>
      <c r="J725" s="319">
        <f>F725-I725</f>
        <v/>
      </c>
      <c r="K725" s="516" t="n"/>
      <c r="L725" s="516" t="n"/>
      <c r="N725" s="7" t="n"/>
      <c r="O725" s="7" t="n"/>
      <c r="P725" s="7" t="n"/>
    </row>
    <row r="726" ht="14.5" customFormat="1" customHeight="1" s="237" thickBot="1">
      <c r="A726" s="7" t="n"/>
      <c r="B726" s="1" t="n">
        <v>23</v>
      </c>
      <c r="C726" s="24">
        <f>D725+1</f>
        <v/>
      </c>
      <c r="D726" s="24" t="n">
        <v>45046</v>
      </c>
      <c r="E726" s="25">
        <f>D726-C726+1</f>
        <v/>
      </c>
      <c r="F726" s="319">
        <f>J725</f>
        <v/>
      </c>
      <c r="G726" s="319" t="n">
        <v>0</v>
      </c>
      <c r="H726" s="319">
        <f>$K$695*F726/$D$697</f>
        <v/>
      </c>
      <c r="I726" s="319" t="n">
        <v>0</v>
      </c>
      <c r="J726" s="319">
        <f>F726-I726</f>
        <v/>
      </c>
      <c r="K726" s="516" t="n"/>
      <c r="L726" s="516" t="n"/>
      <c r="N726" s="7" t="n"/>
      <c r="O726" s="7" t="n"/>
      <c r="P726" s="7" t="n"/>
    </row>
    <row r="727" ht="14.5" customFormat="1" customHeight="1" s="237" thickBot="1">
      <c r="A727" s="7" t="n"/>
      <c r="B727" s="1" t="n">
        <v>24</v>
      </c>
      <c r="C727" s="24" t="n">
        <v>45047</v>
      </c>
      <c r="D727" s="24" t="n">
        <v>45077</v>
      </c>
      <c r="E727" s="25">
        <f>D727-C727+1</f>
        <v/>
      </c>
      <c r="F727" s="319">
        <f>J726</f>
        <v/>
      </c>
      <c r="G727" s="319" t="n">
        <v>0</v>
      </c>
      <c r="H727" s="319">
        <f>$L$695*F727/$D$697</f>
        <v/>
      </c>
      <c r="I727" s="319" t="n">
        <v>0</v>
      </c>
      <c r="J727" s="319">
        <f>F727-I727</f>
        <v/>
      </c>
      <c r="K727" s="516" t="n"/>
      <c r="L727" s="516" t="n"/>
      <c r="M727" s="316" t="n"/>
      <c r="N727" s="7" t="n"/>
      <c r="O727" s="7" t="n"/>
      <c r="P727" s="7" t="n"/>
    </row>
    <row r="728" customFormat="1" s="237">
      <c r="A728" s="7" t="n"/>
      <c r="B728" s="1" t="n">
        <v>25</v>
      </c>
      <c r="C728" s="24">
        <f>D727+1</f>
        <v/>
      </c>
      <c r="D728" s="24" t="n">
        <v>45107</v>
      </c>
      <c r="E728" s="25">
        <f>D728-C728+1</f>
        <v/>
      </c>
      <c r="F728" s="319">
        <f>J727</f>
        <v/>
      </c>
      <c r="G728" s="319">
        <f>-PMT($L$695/$D$697,24,$F$728,,0)</f>
        <v/>
      </c>
      <c r="H728" s="319">
        <f>$L$695*F728/$D$697</f>
        <v/>
      </c>
      <c r="I728" s="319">
        <f>G728-H728</f>
        <v/>
      </c>
      <c r="J728" s="319">
        <f>F728-I728</f>
        <v/>
      </c>
      <c r="K728" s="516" t="inlineStr">
        <is>
          <t>PAYMENT DUE ON 30 JUNE 2023</t>
        </is>
      </c>
      <c r="L728" s="516">
        <f>G728</f>
        <v/>
      </c>
      <c r="N728" s="7" t="n"/>
      <c r="O728" s="7" t="n"/>
      <c r="P728" s="7" t="n"/>
    </row>
    <row r="729" customFormat="1" s="237">
      <c r="A729" s="7" t="n"/>
      <c r="B729" s="1" t="n">
        <v>26</v>
      </c>
      <c r="C729" s="24" t="n">
        <v>45108</v>
      </c>
      <c r="D729" s="24" t="n">
        <v>45138</v>
      </c>
      <c r="E729" s="25">
        <f>D729-C729+1</f>
        <v/>
      </c>
      <c r="F729" s="319">
        <f>J728</f>
        <v/>
      </c>
      <c r="G729" s="319">
        <f>-PMT($M$695/$D$697,23,$F$729,,0)</f>
        <v/>
      </c>
      <c r="H729" s="319">
        <f>$M$695*F729/$D$697</f>
        <v/>
      </c>
      <c r="I729" s="319">
        <f>G729-H729</f>
        <v/>
      </c>
      <c r="J729" s="319">
        <f>F729-I729</f>
        <v/>
      </c>
      <c r="K729" s="516" t="n"/>
      <c r="L729" s="516">
        <f>+L728+G729-K729</f>
        <v/>
      </c>
      <c r="N729" s="7" t="n"/>
      <c r="O729" s="7" t="n"/>
      <c r="P729" s="7" t="n"/>
    </row>
    <row r="730" customFormat="1" s="237">
      <c r="A730" s="7" t="n"/>
      <c r="B730" s="1" t="n">
        <v>27</v>
      </c>
      <c r="C730" s="24">
        <f>D729+1</f>
        <v/>
      </c>
      <c r="D730" s="24" t="n">
        <v>45169</v>
      </c>
      <c r="E730" s="25">
        <f>D730-C730+1</f>
        <v/>
      </c>
      <c r="F730" s="319">
        <f>J729</f>
        <v/>
      </c>
      <c r="G730" s="319">
        <f>-PMT($N$695/$D$697,22,$F$730,,0)</f>
        <v/>
      </c>
      <c r="H730" s="319">
        <f>$N$695*F730/$D$697</f>
        <v/>
      </c>
      <c r="I730" s="319">
        <f>G730-H730</f>
        <v/>
      </c>
      <c r="J730" s="319">
        <f>F730-I730</f>
        <v/>
      </c>
      <c r="K730" s="516" t="n"/>
      <c r="L730" s="516">
        <f>+L729+G730-K730</f>
        <v/>
      </c>
      <c r="N730" s="7" t="n"/>
      <c r="O730" s="7" t="n"/>
      <c r="P730" s="7" t="n"/>
    </row>
    <row r="731" customFormat="1" s="237">
      <c r="A731" s="7" t="n"/>
      <c r="B731" s="1" t="n">
        <v>28</v>
      </c>
      <c r="C731" s="24" t="n">
        <v>45170</v>
      </c>
      <c r="D731" s="24" t="n">
        <v>45199</v>
      </c>
      <c r="E731" s="25">
        <f>D731-C731+1</f>
        <v/>
      </c>
      <c r="F731" s="319">
        <f>J730</f>
        <v/>
      </c>
      <c r="G731" s="319">
        <f>-PMT($I$700/$D$697,21,$F$731,,0)</f>
        <v/>
      </c>
      <c r="H731" s="319">
        <f>$I$700*F731/$D$697</f>
        <v/>
      </c>
      <c r="I731" s="319">
        <f>G731-H731</f>
        <v/>
      </c>
      <c r="J731" s="319">
        <f>F731-I731</f>
        <v/>
      </c>
      <c r="K731" s="516" t="n"/>
      <c r="L731" s="516">
        <f>+L730+G731-K731</f>
        <v/>
      </c>
      <c r="N731" s="7" t="n"/>
      <c r="O731" s="7" t="n"/>
      <c r="P731" s="7" t="n"/>
    </row>
    <row r="732" customFormat="1" s="237">
      <c r="A732" s="7" t="n"/>
      <c r="B732" s="1" t="n">
        <v>29</v>
      </c>
      <c r="C732" s="24">
        <f>D731+1</f>
        <v/>
      </c>
      <c r="D732" s="24" t="n">
        <v>45230</v>
      </c>
      <c r="E732" s="25">
        <f>D732-C732+1</f>
        <v/>
      </c>
      <c r="F732" s="319">
        <f>J731</f>
        <v/>
      </c>
      <c r="G732" s="320">
        <f>-PMT($J$700/$D$697,20,$F$732,,0)</f>
        <v/>
      </c>
      <c r="H732" s="319">
        <f>$J$700*F732/$D$697</f>
        <v/>
      </c>
      <c r="I732" s="319">
        <f>G732-H732</f>
        <v/>
      </c>
      <c r="J732" s="319">
        <f>F732-I732</f>
        <v/>
      </c>
      <c r="K732" s="516" t="n">
        <v>23143102</v>
      </c>
      <c r="L732" s="516">
        <f>+L731+G732-K732</f>
        <v/>
      </c>
      <c r="N732" s="7" t="n"/>
      <c r="O732" s="7" t="n"/>
      <c r="P732" s="7" t="n"/>
    </row>
    <row r="733" customFormat="1" s="237">
      <c r="A733" s="7" t="n"/>
      <c r="B733" s="1" t="n">
        <v>30</v>
      </c>
      <c r="C733" s="24" t="n">
        <v>45231</v>
      </c>
      <c r="D733" s="24" t="n">
        <v>45260</v>
      </c>
      <c r="E733" s="25">
        <f>D733-C733+1</f>
        <v/>
      </c>
      <c r="F733" s="319">
        <f>J732</f>
        <v/>
      </c>
      <c r="G733" s="320">
        <f>-PMT($J$700/$D$697,20,$F$732,,0)</f>
        <v/>
      </c>
      <c r="H733" s="319">
        <f>$J$700*F733/$D$697</f>
        <v/>
      </c>
      <c r="I733" s="319">
        <f>G733-H733</f>
        <v/>
      </c>
      <c r="J733" s="319">
        <f>F733-I733</f>
        <v/>
      </c>
      <c r="K733" s="516" t="n"/>
      <c r="L733" s="516">
        <f>+L732+G733-K733</f>
        <v/>
      </c>
      <c r="N733" s="7" t="n"/>
      <c r="O733" s="7" t="n"/>
      <c r="P733" s="7" t="n"/>
    </row>
    <row r="734" customFormat="1" s="237">
      <c r="A734" s="7" t="n"/>
      <c r="B734" s="1" t="n">
        <v>31</v>
      </c>
      <c r="C734" s="24">
        <f>D733+1</f>
        <v/>
      </c>
      <c r="D734" s="24" t="n">
        <v>45291</v>
      </c>
      <c r="E734" s="25">
        <f>D734-C734+1</f>
        <v/>
      </c>
      <c r="F734" s="319">
        <f>J733</f>
        <v/>
      </c>
      <c r="G734" s="320">
        <f>-PMT($K$700/$D$697,18,$F$734,,0)</f>
        <v/>
      </c>
      <c r="H734" s="319">
        <f>$K$700*F734/$D$697</f>
        <v/>
      </c>
      <c r="I734" s="319">
        <f>G734-H734</f>
        <v/>
      </c>
      <c r="J734" s="319">
        <f>F734-I734</f>
        <v/>
      </c>
      <c r="K734" s="516" t="n"/>
      <c r="L734" s="516">
        <f>+L733+G734-K734</f>
        <v/>
      </c>
      <c r="N734" s="7" t="n"/>
      <c r="O734" s="7" t="n"/>
      <c r="P734" s="7" t="n"/>
    </row>
    <row r="735" customFormat="1" s="237">
      <c r="A735" s="7" t="n"/>
      <c r="B735" s="1" t="n">
        <v>32</v>
      </c>
      <c r="C735" s="24" t="n">
        <v>45292</v>
      </c>
      <c r="D735" s="24" t="n">
        <v>45322</v>
      </c>
      <c r="E735" s="25">
        <f>D735-C735+1</f>
        <v/>
      </c>
      <c r="F735" s="319">
        <f>J734</f>
        <v/>
      </c>
      <c r="G735" s="320">
        <f>-PMT($K$700/$D$697,18,$F$734,,0)</f>
        <v/>
      </c>
      <c r="H735" s="319">
        <f>$K$700*F735/$D$697</f>
        <v/>
      </c>
      <c r="I735" s="319">
        <f>G735-H735</f>
        <v/>
      </c>
      <c r="J735" s="319">
        <f>F735-I735</f>
        <v/>
      </c>
      <c r="K735" s="516" t="n"/>
      <c r="L735" s="516">
        <f>+L734+G735-K735</f>
        <v/>
      </c>
      <c r="N735" s="7" t="n"/>
      <c r="O735" s="7" t="n"/>
      <c r="P735" s="7" t="n"/>
    </row>
    <row r="736" customFormat="1" s="237">
      <c r="A736" s="7" t="n"/>
      <c r="B736" s="1" t="n">
        <v>33</v>
      </c>
      <c r="C736" s="24">
        <f>D735+1</f>
        <v/>
      </c>
      <c r="D736" s="24" t="n">
        <v>45351</v>
      </c>
      <c r="E736" s="25">
        <f>D736-C736+1</f>
        <v/>
      </c>
      <c r="F736" s="319">
        <f>J735</f>
        <v/>
      </c>
      <c r="G736" s="320">
        <f>-PMT($L$700/$D$697,16,$F$736,,0)</f>
        <v/>
      </c>
      <c r="H736" s="319">
        <f>$L$700*F736/$D$697</f>
        <v/>
      </c>
      <c r="I736" s="319">
        <f>G736-H736</f>
        <v/>
      </c>
      <c r="J736" s="319">
        <f>F736-I736</f>
        <v/>
      </c>
      <c r="K736" s="516" t="n"/>
      <c r="L736" s="516">
        <f>+L735+G736-K736</f>
        <v/>
      </c>
      <c r="N736" s="7" t="n"/>
      <c r="O736" s="7" t="n"/>
      <c r="P736" s="7" t="n"/>
    </row>
    <row r="737" customFormat="1" s="237">
      <c r="A737" s="7" t="n"/>
      <c r="B737" s="1" t="n">
        <v>34</v>
      </c>
      <c r="C737" s="24" t="n">
        <v>45352</v>
      </c>
      <c r="D737" s="24" t="n">
        <v>45382</v>
      </c>
      <c r="E737" s="25">
        <f>D737-C737+1</f>
        <v/>
      </c>
      <c r="F737" s="319">
        <f>J736</f>
        <v/>
      </c>
      <c r="G737" s="320">
        <f>-PMT($L$700/$D$697,16,$F$736,,0)</f>
        <v/>
      </c>
      <c r="H737" s="319">
        <f>$L$700*F737/$D$697</f>
        <v/>
      </c>
      <c r="I737" s="319">
        <f>G737-H737</f>
        <v/>
      </c>
      <c r="J737" s="319">
        <f>F737-I737</f>
        <v/>
      </c>
      <c r="K737" s="516" t="n"/>
      <c r="L737" s="516">
        <f>+L736+G737-K737</f>
        <v/>
      </c>
      <c r="N737" s="7" t="n"/>
      <c r="O737" s="7" t="n"/>
      <c r="P737" s="7" t="n"/>
    </row>
    <row r="738" customFormat="1" s="237">
      <c r="A738" s="7" t="n"/>
      <c r="B738" s="1" t="n">
        <v>35</v>
      </c>
      <c r="C738" s="24">
        <f>D737+1</f>
        <v/>
      </c>
      <c r="D738" s="24" t="n">
        <v>45412</v>
      </c>
      <c r="E738" s="25">
        <f>D738-C738+1</f>
        <v/>
      </c>
      <c r="F738" s="319">
        <f>J737</f>
        <v/>
      </c>
      <c r="G738" s="320">
        <f>-PMT($L$700/$D$697,16,$F$736,,0)</f>
        <v/>
      </c>
      <c r="H738" s="319">
        <f>$L$700*F738/$D$697</f>
        <v/>
      </c>
      <c r="I738" s="319">
        <f>G738-H738</f>
        <v/>
      </c>
      <c r="J738" s="319">
        <f>F738-I738</f>
        <v/>
      </c>
      <c r="K738" s="516" t="n"/>
      <c r="L738" s="516">
        <f>+L737+G738-K738</f>
        <v/>
      </c>
      <c r="N738" s="7" t="n"/>
      <c r="O738" s="7" t="n"/>
      <c r="P738" s="7" t="n"/>
    </row>
    <row r="739" customFormat="1" s="237">
      <c r="A739" s="7" t="n"/>
      <c r="B739" s="1" t="n">
        <v>36</v>
      </c>
      <c r="C739" s="24" t="n">
        <v>45413</v>
      </c>
      <c r="D739" s="24" t="n">
        <v>45443</v>
      </c>
      <c r="E739" s="25">
        <f>D739-C739+1</f>
        <v/>
      </c>
      <c r="F739" s="319">
        <f>J738</f>
        <v/>
      </c>
      <c r="G739" s="320">
        <f>-PMT($M$700/$D$697,13,$F$739,,0)</f>
        <v/>
      </c>
      <c r="H739" s="319">
        <f>$M$700*F739/$D$697</f>
        <v/>
      </c>
      <c r="I739" s="319">
        <f>G739-H739</f>
        <v/>
      </c>
      <c r="J739" s="319">
        <f>F739-I739</f>
        <v/>
      </c>
      <c r="K739" s="516" t="n"/>
      <c r="L739" s="516">
        <f>+L738+G739-K739</f>
        <v/>
      </c>
      <c r="N739" s="7" t="n"/>
      <c r="O739" s="7" t="n"/>
      <c r="P739" s="7" t="n"/>
    </row>
    <row r="740" customFormat="1" s="237">
      <c r="A740" s="7" t="n"/>
      <c r="B740" s="1" t="n">
        <v>37</v>
      </c>
      <c r="C740" s="24">
        <f>D739+1</f>
        <v/>
      </c>
      <c r="D740" s="24" t="n">
        <v>45473</v>
      </c>
      <c r="E740" s="25">
        <f>D740-C740+1</f>
        <v/>
      </c>
      <c r="F740" s="319">
        <f>J739</f>
        <v/>
      </c>
      <c r="G740" s="319">
        <f>-PMT($N$700/$D$697,12,$F$740,,0)</f>
        <v/>
      </c>
      <c r="H740" s="319">
        <f>$N$700*F740/$D$697</f>
        <v/>
      </c>
      <c r="I740" s="319">
        <f>G740-H740</f>
        <v/>
      </c>
      <c r="J740" s="319">
        <f>F740-I740</f>
        <v/>
      </c>
      <c r="K740" s="516" t="n"/>
      <c r="L740" s="516">
        <f>+L739+G740-K740</f>
        <v/>
      </c>
      <c r="N740" s="7" t="n"/>
      <c r="O740" s="7" t="n"/>
      <c r="P740" s="7" t="n"/>
    </row>
    <row r="741">
      <c r="B741" s="1" t="n">
        <v>38</v>
      </c>
      <c r="C741" s="24" t="n">
        <v>45474</v>
      </c>
      <c r="D741" s="24" t="n">
        <v>45504</v>
      </c>
      <c r="E741" s="25">
        <f>D741-C741+1</f>
        <v/>
      </c>
      <c r="F741" s="319">
        <f>J740</f>
        <v/>
      </c>
      <c r="G741" s="522">
        <f>-PMT($O$700/$D$697,11,$F$741,,0)</f>
        <v/>
      </c>
      <c r="H741" s="319">
        <f>$O$700*F741/$D$697</f>
        <v/>
      </c>
      <c r="I741" s="319">
        <f>G741-H741</f>
        <v/>
      </c>
      <c r="J741" s="319">
        <f>F741-I741</f>
        <v/>
      </c>
      <c r="K741" s="516" t="n"/>
      <c r="L741" s="516">
        <f>+L740+G741-K741</f>
        <v/>
      </c>
    </row>
    <row r="742">
      <c r="B742" s="1" t="n">
        <v>39</v>
      </c>
      <c r="C742" s="24">
        <f>D741+1</f>
        <v/>
      </c>
      <c r="D742" s="24" t="n">
        <v>45535</v>
      </c>
      <c r="E742" s="25">
        <f>D742-C742+1</f>
        <v/>
      </c>
      <c r="F742" s="319">
        <f>J741</f>
        <v/>
      </c>
      <c r="G742" s="319">
        <f>-PMT($O$700/$D$697,11,$F$741,,0)</f>
        <v/>
      </c>
      <c r="H742" s="319">
        <f>$O$700*F742/$D$697</f>
        <v/>
      </c>
      <c r="I742" s="319">
        <f>G742-H742</f>
        <v/>
      </c>
      <c r="J742" s="319">
        <f>F742-I742</f>
        <v/>
      </c>
      <c r="K742" s="516" t="n"/>
      <c r="L742" s="516">
        <f>+L741+G742-K742</f>
        <v/>
      </c>
    </row>
    <row r="743">
      <c r="B743" s="1" t="n">
        <v>40</v>
      </c>
      <c r="C743" s="24" t="n">
        <v>45536</v>
      </c>
      <c r="D743" s="24" t="n">
        <v>45565</v>
      </c>
      <c r="E743" s="25">
        <f>D743-C743+1</f>
        <v/>
      </c>
      <c r="F743" s="319">
        <f>J742</f>
        <v/>
      </c>
      <c r="G743" s="319">
        <f>-PMT($O$700/$D$697,11,$F$741,,0)</f>
        <v/>
      </c>
      <c r="H743" s="319">
        <f>$O$700*F743/$D$697</f>
        <v/>
      </c>
      <c r="I743" s="319">
        <f>G743-H743</f>
        <v/>
      </c>
      <c r="J743" s="319">
        <f>F743-I743</f>
        <v/>
      </c>
      <c r="K743" s="516" t="n"/>
      <c r="L743" s="516">
        <f>+L742+G743-K743</f>
        <v/>
      </c>
    </row>
    <row r="744">
      <c r="B744" s="1" t="n">
        <v>41</v>
      </c>
      <c r="C744" s="24">
        <f>D743+1</f>
        <v/>
      </c>
      <c r="D744" s="24" t="n">
        <v>45596</v>
      </c>
      <c r="E744" s="25">
        <f>D744-C744+1</f>
        <v/>
      </c>
      <c r="F744" s="319">
        <f>J743</f>
        <v/>
      </c>
      <c r="G744" s="319">
        <f>-PMT($O$700/$D$697,11,$F$741,,0)</f>
        <v/>
      </c>
      <c r="H744" s="319">
        <f>$O$700*F744/$D$697</f>
        <v/>
      </c>
      <c r="I744" s="319">
        <f>G744-H744</f>
        <v/>
      </c>
      <c r="J744" s="319">
        <f>F744-I744</f>
        <v/>
      </c>
      <c r="K744" s="516" t="n"/>
      <c r="L744" s="524">
        <f>+L743+G744-K744</f>
        <v/>
      </c>
    </row>
    <row r="745">
      <c r="B745" s="1" t="n">
        <v>42</v>
      </c>
      <c r="C745" s="24" t="n">
        <v>45597</v>
      </c>
      <c r="D745" s="24" t="n">
        <v>45626</v>
      </c>
      <c r="E745" s="25">
        <f>D745-C745+1</f>
        <v/>
      </c>
      <c r="F745" s="319">
        <f>J744</f>
        <v/>
      </c>
      <c r="G745" s="319">
        <f>-PMT($O$700/$D$697,11,$F$741,,0)</f>
        <v/>
      </c>
      <c r="H745" s="319">
        <f>$O$700*F745/$D$697</f>
        <v/>
      </c>
      <c r="I745" s="319">
        <f>G745-H745</f>
        <v/>
      </c>
      <c r="J745" s="319">
        <f>F745-I745</f>
        <v/>
      </c>
      <c r="K745" s="516" t="n"/>
      <c r="L745" s="516" t="n"/>
    </row>
    <row r="746">
      <c r="B746" s="1" t="n">
        <v>43</v>
      </c>
      <c r="C746" s="24">
        <f>D745+1</f>
        <v/>
      </c>
      <c r="D746" s="24" t="n">
        <v>45657</v>
      </c>
      <c r="E746" s="25">
        <f>D746-C746+1</f>
        <v/>
      </c>
      <c r="F746" s="319">
        <f>J745</f>
        <v/>
      </c>
      <c r="G746" s="319">
        <f>-PMT($O$700/$D$697,11,$F$741,,0)</f>
        <v/>
      </c>
      <c r="H746" s="319">
        <f>$O$700*F746/$D$697</f>
        <v/>
      </c>
      <c r="I746" s="319">
        <f>G746-H746</f>
        <v/>
      </c>
      <c r="J746" s="319">
        <f>F746-I746</f>
        <v/>
      </c>
      <c r="K746" s="516" t="n"/>
      <c r="L746" s="516" t="n"/>
    </row>
    <row r="747">
      <c r="B747" s="1" t="n">
        <v>44</v>
      </c>
      <c r="C747" s="24" t="n">
        <v>45658</v>
      </c>
      <c r="D747" s="24" t="n">
        <v>45688</v>
      </c>
      <c r="E747" s="25">
        <f>D747-C747+1</f>
        <v/>
      </c>
      <c r="F747" s="319">
        <f>J746</f>
        <v/>
      </c>
      <c r="G747" s="319">
        <f>-PMT($O$700/$D$697,11,$F$741,,0)</f>
        <v/>
      </c>
      <c r="H747" s="319">
        <f>$O$700*F747/$D$697</f>
        <v/>
      </c>
      <c r="I747" s="319">
        <f>G747-H747</f>
        <v/>
      </c>
      <c r="J747" s="319">
        <f>F747-I747</f>
        <v/>
      </c>
      <c r="K747" s="516" t="n"/>
      <c r="L747" s="516" t="n"/>
    </row>
    <row r="748">
      <c r="B748" s="1" t="n">
        <v>45</v>
      </c>
      <c r="C748" s="24">
        <f>D747+1</f>
        <v/>
      </c>
      <c r="D748" s="24" t="n">
        <v>45716</v>
      </c>
      <c r="E748" s="25">
        <f>D748-C748+1</f>
        <v/>
      </c>
      <c r="F748" s="319">
        <f>J747</f>
        <v/>
      </c>
      <c r="G748" s="319">
        <f>-PMT($O$700/$D$697,11,$F$741,,0)</f>
        <v/>
      </c>
      <c r="H748" s="319">
        <f>$O$700*F748/$D$697</f>
        <v/>
      </c>
      <c r="I748" s="319">
        <f>G748-H748</f>
        <v/>
      </c>
      <c r="J748" s="319">
        <f>F748-I748</f>
        <v/>
      </c>
      <c r="K748" s="516" t="n"/>
      <c r="L748" s="516" t="n"/>
    </row>
    <row r="749">
      <c r="B749" s="1" t="n">
        <v>46</v>
      </c>
      <c r="C749" s="24" t="n">
        <v>45717</v>
      </c>
      <c r="D749" s="24" t="n">
        <v>45747</v>
      </c>
      <c r="E749" s="25">
        <f>D749-C749+1</f>
        <v/>
      </c>
      <c r="F749" s="319">
        <f>J748</f>
        <v/>
      </c>
      <c r="G749" s="319">
        <f>-PMT($O$700/$D$697,11,$F$741,,0)</f>
        <v/>
      </c>
      <c r="H749" s="319">
        <f>$O$700*F749/$D$697</f>
        <v/>
      </c>
      <c r="I749" s="319">
        <f>G749-H749</f>
        <v/>
      </c>
      <c r="J749" s="319">
        <f>F749-I749</f>
        <v/>
      </c>
      <c r="K749" s="516" t="n"/>
      <c r="L749" s="516" t="n"/>
    </row>
    <row r="750">
      <c r="B750" s="1" t="n">
        <v>47</v>
      </c>
      <c r="C750" s="24">
        <f>D749+1</f>
        <v/>
      </c>
      <c r="D750" s="24" t="n">
        <v>45777</v>
      </c>
      <c r="E750" s="25">
        <f>D750-C750+1</f>
        <v/>
      </c>
      <c r="F750" s="319">
        <f>J749</f>
        <v/>
      </c>
      <c r="G750" s="319">
        <f>-PMT($O$700/$D$697,11,$F$741,,0)</f>
        <v/>
      </c>
      <c r="H750" s="319">
        <f>$O$700*F750/$D$697</f>
        <v/>
      </c>
      <c r="I750" s="319">
        <f>G750-H750</f>
        <v/>
      </c>
      <c r="J750" s="319">
        <f>F750-I750</f>
        <v/>
      </c>
      <c r="K750" s="516" t="n"/>
      <c r="L750" s="516" t="n"/>
    </row>
    <row r="751">
      <c r="B751" s="1" t="n">
        <v>48</v>
      </c>
      <c r="C751" s="24" t="n">
        <v>45778</v>
      </c>
      <c r="D751" s="24" t="n">
        <v>45808</v>
      </c>
      <c r="E751" s="25">
        <f>D751-C751+1</f>
        <v/>
      </c>
      <c r="F751" s="319">
        <f>J750</f>
        <v/>
      </c>
      <c r="G751" s="319">
        <f>-PMT($O$700/$D$697,11,$F$741,,0)</f>
        <v/>
      </c>
      <c r="H751" s="319">
        <f>$O$700*F751/$D$697</f>
        <v/>
      </c>
      <c r="I751" s="319">
        <f>G751-H751</f>
        <v/>
      </c>
      <c r="J751" s="319">
        <f>F751-I751</f>
        <v/>
      </c>
      <c r="K751" s="516" t="n"/>
      <c r="L751" s="516" t="n"/>
    </row>
    <row r="752">
      <c r="B752" s="1" t="n"/>
      <c r="C752" s="24" t="n"/>
      <c r="D752" s="24" t="n"/>
      <c r="E752" s="25" t="n"/>
      <c r="F752" s="319" t="n"/>
      <c r="G752" s="319" t="n"/>
      <c r="H752" s="319" t="n"/>
      <c r="I752" s="319" t="n"/>
      <c r="J752" s="319" t="n"/>
      <c r="K752" s="516" t="n"/>
      <c r="L752" s="516" t="n"/>
    </row>
    <row r="753">
      <c r="B753" s="1" t="n"/>
      <c r="C753" s="1" t="n"/>
      <c r="D753" s="1" t="n"/>
      <c r="E753" s="30">
        <f>SUM(E703:E751)</f>
        <v/>
      </c>
      <c r="F753" s="319" t="n"/>
      <c r="G753" s="319" t="n"/>
      <c r="H753" s="319" t="n"/>
      <c r="I753" s="319" t="n"/>
      <c r="J753" s="319" t="n"/>
      <c r="K753" s="1" t="n"/>
      <c r="L753" s="1" t="n"/>
    </row>
    <row r="754">
      <c r="B754" s="1" t="n"/>
      <c r="C754" s="9" t="n"/>
      <c r="D754" s="319" t="n"/>
      <c r="E754" s="319" t="n"/>
      <c r="F754" s="319" t="n"/>
      <c r="G754" s="319" t="n"/>
      <c r="H754" s="319" t="n"/>
      <c r="I754" s="319" t="n"/>
      <c r="J754" s="290" t="n"/>
      <c r="K754" s="319" t="n"/>
      <c r="L754" s="290" t="n"/>
      <c r="M754" s="290" t="n"/>
      <c r="N754" s="290" t="n"/>
    </row>
    <row r="756" customFormat="1" s="237">
      <c r="A756" s="7" t="n"/>
      <c r="B756" s="1" t="n"/>
      <c r="C756" s="9" t="inlineStr">
        <is>
          <t>Natures Gift</t>
        </is>
      </c>
      <c r="D756" s="319" t="n"/>
      <c r="E756" s="319" t="n"/>
      <c r="F756" s="319" t="n"/>
      <c r="G756" s="319" t="n"/>
      <c r="H756" s="319" t="n"/>
      <c r="I756" s="290" t="inlineStr">
        <is>
          <t>13.9 to 16.6%</t>
        </is>
      </c>
      <c r="J756" s="319" t="inlineStr">
        <is>
          <t>16.6% to 17.3%</t>
        </is>
      </c>
      <c r="K756" s="290" t="inlineStr">
        <is>
          <t>17.3% to 20%</t>
        </is>
      </c>
      <c r="L756" s="290" t="inlineStr">
        <is>
          <t>20% to 21.40%</t>
        </is>
      </c>
      <c r="M756" s="290" t="inlineStr">
        <is>
          <t>21.40 to 22.70%</t>
        </is>
      </c>
      <c r="N756" s="7" t="n"/>
      <c r="O756" s="7" t="n"/>
      <c r="R756" s="514" t="inlineStr">
        <is>
          <t>E-Banker account (Dupleix)</t>
        </is>
      </c>
      <c r="S756" s="495">
        <f>IFERROR(INDEX('Blocks'!$I$2:$I$101,MATCH(12,'Blocks'!$A$2:$A$101,0)),"")</f>
        <v/>
      </c>
    </row>
    <row r="757" customFormat="1" s="237">
      <c r="A757" s="7" t="n"/>
      <c r="B757" s="1" t="n"/>
      <c r="C757" s="1" t="n"/>
      <c r="D757" s="319" t="inlineStr">
        <is>
          <t>Second Tranche</t>
        </is>
      </c>
      <c r="E757" s="319" t="n"/>
      <c r="F757" s="319" t="n"/>
      <c r="G757" s="319" t="n"/>
      <c r="H757" s="248" t="n">
        <v>44805</v>
      </c>
      <c r="I757" s="290" t="n">
        <v>44866</v>
      </c>
      <c r="J757" s="248" t="n">
        <v>44896</v>
      </c>
      <c r="K757" s="248" t="n">
        <v>45047</v>
      </c>
      <c r="L757" s="248" t="n">
        <v>45108</v>
      </c>
      <c r="M757" s="248" t="n">
        <v>45139</v>
      </c>
      <c r="N757" s="7" t="n"/>
      <c r="O757" s="7" t="n"/>
      <c r="R757" s="514" t="inlineStr">
        <is>
          <t>Facility (Loan Book)</t>
        </is>
      </c>
      <c r="S757" s="495">
        <f>IFERROR(INDEX('Blocks'!$H$2:$H$101,MATCH(12,'Blocks'!$A$2:$A$101,0)),"")</f>
        <v/>
      </c>
    </row>
    <row r="758" customFormat="1" s="237">
      <c r="A758" s="7" t="n"/>
      <c r="B758" s="1" t="n"/>
      <c r="C758" s="10" t="inlineStr">
        <is>
          <t>Principal (MK)</t>
        </is>
      </c>
      <c r="D758" s="11" t="n">
        <v>85000000</v>
      </c>
      <c r="E758" s="319" t="n"/>
      <c r="F758" s="291" t="inlineStr">
        <is>
          <t>Principal (MK)</t>
        </is>
      </c>
      <c r="G758" s="11" t="n">
        <v>75638638.30036813</v>
      </c>
      <c r="H758" s="290" t="inlineStr">
        <is>
          <t>Rate Adj</t>
        </is>
      </c>
      <c r="I758" s="290" t="inlineStr">
        <is>
          <t>Rate Adj</t>
        </is>
      </c>
      <c r="J758" s="290" t="inlineStr">
        <is>
          <t>Rate Adj</t>
        </is>
      </c>
      <c r="K758" s="290" t="inlineStr">
        <is>
          <t>Rate Adj</t>
        </is>
      </c>
      <c r="L758" s="290" t="inlineStr">
        <is>
          <t>Rate Adj</t>
        </is>
      </c>
      <c r="M758" s="290" t="inlineStr">
        <is>
          <t>Rate Adj</t>
        </is>
      </c>
      <c r="N758" s="7" t="n"/>
      <c r="O758" s="7" t="n"/>
      <c r="R758" s="514" t="inlineStr">
        <is>
          <t>Take-on posting 31 Jul 2024</t>
        </is>
      </c>
      <c r="S758" s="496">
        <f>IFERROR(INDEX('E-Banker master'!$N$2:$N$186,MATCH(S756,'E-Banker master'!$A$2:$A$186,0)),"")</f>
        <v/>
      </c>
    </row>
    <row r="759" customFormat="1" s="237">
      <c r="A759" s="7" t="n"/>
      <c r="B759" s="1" t="n"/>
      <c r="C759" s="13" t="inlineStr">
        <is>
          <t>Rate</t>
        </is>
      </c>
      <c r="D759" s="14" t="n">
        <v>0.18</v>
      </c>
      <c r="E759" s="257" t="n"/>
      <c r="F759" s="292" t="inlineStr">
        <is>
          <t>Rate</t>
        </is>
      </c>
      <c r="G759" s="296" t="n">
        <v>0.195</v>
      </c>
      <c r="H759" s="257">
        <f>G759+0.4%</f>
        <v/>
      </c>
      <c r="I759" s="319">
        <f>H759+2.7%</f>
        <v/>
      </c>
      <c r="J759" s="257">
        <f>I759+0.7%</f>
        <v/>
      </c>
      <c r="K759" s="257">
        <f>J759+2.7%</f>
        <v/>
      </c>
      <c r="L759" s="257">
        <f>K759+1.4%</f>
        <v/>
      </c>
      <c r="M759" s="257">
        <f>L759+1.3%</f>
        <v/>
      </c>
      <c r="N759" s="7" t="n"/>
      <c r="O759" s="7" t="n"/>
      <c r="R759" s="514" t="inlineStr">
        <is>
          <t>E-Banker balance 31 Oct 2024</t>
        </is>
      </c>
      <c r="S759" s="496">
        <f>IFERROR(INDEX('E-Banker master'!$P$2:$P$186,MATCH(S756,'E-Banker master'!$A$2:$A$186,0)),"")</f>
        <v/>
      </c>
    </row>
    <row r="760" customFormat="1" s="237">
      <c r="A760" s="7" t="n"/>
      <c r="B760" s="1" t="n"/>
      <c r="C760" s="13" t="inlineStr">
        <is>
          <t>n</t>
        </is>
      </c>
      <c r="D760" s="16" t="n">
        <v>5</v>
      </c>
      <c r="E760" s="1" t="n"/>
      <c r="F760" s="292" t="inlineStr">
        <is>
          <t>n</t>
        </is>
      </c>
      <c r="G760" s="296" t="n">
        <v>5</v>
      </c>
      <c r="H760" s="319" t="n"/>
      <c r="I760" s="319" t="n"/>
      <c r="J760" s="319" t="n"/>
      <c r="K760" s="1" t="n"/>
      <c r="L760" s="1" t="n"/>
      <c r="N760" s="7" t="n"/>
      <c r="O760" s="7" t="n"/>
    </row>
    <row r="761" customFormat="1" s="237">
      <c r="A761" s="7" t="n"/>
      <c r="B761" s="1" t="n"/>
      <c r="C761" s="13" t="inlineStr">
        <is>
          <t>Per</t>
        </is>
      </c>
      <c r="D761" s="16" t="n">
        <v>12</v>
      </c>
      <c r="E761" s="1" t="n"/>
      <c r="F761" s="292" t="inlineStr">
        <is>
          <t>Per</t>
        </is>
      </c>
      <c r="G761" s="296" t="n">
        <v>12</v>
      </c>
      <c r="H761" s="319" t="inlineStr">
        <is>
          <t>22.70% to 23.40%</t>
        </is>
      </c>
      <c r="I761" s="319" t="inlineStr">
        <is>
          <t>23.40% to 23.50%</t>
        </is>
      </c>
      <c r="J761" s="290" t="inlineStr">
        <is>
          <t>23.50% to 23.60%</t>
        </is>
      </c>
      <c r="K761" s="290" t="inlineStr">
        <is>
          <t>23.60% to 24.90%</t>
        </is>
      </c>
      <c r="L761" s="380" t="inlineStr">
        <is>
          <t>24.90% to 25.00%</t>
        </is>
      </c>
      <c r="M761" s="380" t="inlineStr">
        <is>
          <t>25.00% to 25.1%</t>
        </is>
      </c>
      <c r="N761" s="380" t="inlineStr">
        <is>
          <t>25.10% to 25.14%</t>
        </is>
      </c>
      <c r="O761" s="7" t="n"/>
    </row>
    <row r="762">
      <c r="B762" s="1" t="n"/>
      <c r="C762" s="13" t="inlineStr">
        <is>
          <t>nPer</t>
        </is>
      </c>
      <c r="D762" s="515" t="n">
        <v>56</v>
      </c>
      <c r="E762" s="1" t="n"/>
      <c r="F762" s="292" t="inlineStr">
        <is>
          <t>nPer</t>
        </is>
      </c>
      <c r="G762" s="296" t="n">
        <v>47</v>
      </c>
      <c r="H762" s="248" t="n">
        <v>45170</v>
      </c>
      <c r="I762" s="290" t="n">
        <v>45200</v>
      </c>
      <c r="J762" s="248" t="n">
        <v>45261</v>
      </c>
      <c r="K762" s="248" t="n">
        <v>44958</v>
      </c>
      <c r="L762" s="381" t="n">
        <v>45413</v>
      </c>
      <c r="M762" s="381" t="n">
        <v>45444</v>
      </c>
      <c r="N762" s="381" t="n">
        <v>45444</v>
      </c>
    </row>
    <row r="763">
      <c r="B763" s="1" t="n"/>
      <c r="C763" s="13" t="inlineStr">
        <is>
          <t>Days in a year</t>
        </is>
      </c>
      <c r="D763" s="18" t="n">
        <v>365</v>
      </c>
      <c r="E763" s="1" t="n"/>
      <c r="F763" s="292" t="inlineStr">
        <is>
          <t>Days in a year</t>
        </is>
      </c>
      <c r="G763" s="296" t="n">
        <v>365</v>
      </c>
      <c r="H763" s="290" t="inlineStr">
        <is>
          <t>Rate Adj</t>
        </is>
      </c>
      <c r="I763" s="290" t="inlineStr">
        <is>
          <t>Rate Adj</t>
        </is>
      </c>
      <c r="J763" s="290" t="inlineStr">
        <is>
          <t>Rate Adj</t>
        </is>
      </c>
      <c r="K763" s="290" t="inlineStr">
        <is>
          <t>Rate Adj</t>
        </is>
      </c>
      <c r="L763" s="380" t="inlineStr">
        <is>
          <t>Rate Adj</t>
        </is>
      </c>
      <c r="M763" s="380" t="inlineStr">
        <is>
          <t>Rate Adj</t>
        </is>
      </c>
      <c r="N763" s="380" t="inlineStr">
        <is>
          <t>Rate Adj</t>
        </is>
      </c>
    </row>
    <row r="764">
      <c r="B764" s="1" t="n"/>
      <c r="C764" s="19" t="inlineStr">
        <is>
          <t>Pmt (MK)</t>
        </is>
      </c>
      <c r="D764" s="20">
        <f>-PMT(D759/D761,D762,D758,0,0)</f>
        <v/>
      </c>
      <c r="E764" s="319" t="n"/>
      <c r="F764" s="293" t="inlineStr">
        <is>
          <t>Pmt (MK)</t>
        </is>
      </c>
      <c r="G764" s="20">
        <f>-PMT(G759/G761,G762,G758,0,0)</f>
        <v/>
      </c>
      <c r="H764" s="257">
        <f>M759+0.7%</f>
        <v/>
      </c>
      <c r="I764" s="319">
        <f>H764+0.1%</f>
        <v/>
      </c>
      <c r="J764" s="257">
        <f>I764+0.1%</f>
        <v/>
      </c>
      <c r="K764" s="257">
        <f>J764+1.3%</f>
        <v/>
      </c>
      <c r="L764" s="379">
        <f>+K764+0.1%</f>
        <v/>
      </c>
      <c r="M764" s="379">
        <f>+L764+0.1%</f>
        <v/>
      </c>
      <c r="N764" s="379">
        <f>+M764+0.3%</f>
        <v/>
      </c>
    </row>
    <row r="765">
      <c r="B765" s="1" t="n"/>
      <c r="C765" s="1" t="n"/>
      <c r="D765" s="319" t="n"/>
      <c r="E765" s="319" t="n"/>
      <c r="F765" s="319" t="n"/>
      <c r="G765" s="319" t="n"/>
      <c r="H765" s="319" t="n"/>
      <c r="I765" s="319" t="n"/>
      <c r="J765" s="319" t="n"/>
      <c r="K765" s="1" t="n"/>
      <c r="L765" s="1" t="n"/>
    </row>
    <row r="766">
      <c r="B766" s="1" t="n"/>
      <c r="C766" s="21" t="inlineStr">
        <is>
          <t>Period Start</t>
        </is>
      </c>
      <c r="D766" s="22" t="inlineStr">
        <is>
          <t>Period End</t>
        </is>
      </c>
      <c r="E766" s="22" t="inlineStr">
        <is>
          <t>Days</t>
        </is>
      </c>
      <c r="F766" s="294" t="inlineStr">
        <is>
          <t>Opening bal.</t>
        </is>
      </c>
      <c r="G766" s="294" t="inlineStr">
        <is>
          <t>Pmt</t>
        </is>
      </c>
      <c r="H766" s="294" t="inlineStr">
        <is>
          <t>Interest</t>
        </is>
      </c>
      <c r="I766" s="294" t="inlineStr">
        <is>
          <t>Principal</t>
        </is>
      </c>
      <c r="J766" s="294" t="inlineStr">
        <is>
          <t>Closing balance</t>
        </is>
      </c>
      <c r="K766" s="23" t="inlineStr">
        <is>
          <t>Amount Repaid</t>
        </is>
      </c>
      <c r="L766" s="23" t="inlineStr">
        <is>
          <t>Accumulated Arrears</t>
        </is>
      </c>
    </row>
    <row r="767">
      <c r="B767" s="1" t="n">
        <v>0</v>
      </c>
      <c r="C767" s="24" t="n">
        <v>44400</v>
      </c>
      <c r="D767" s="24" t="n">
        <v>44408</v>
      </c>
      <c r="E767" s="25">
        <f>D767-C767+1</f>
        <v/>
      </c>
      <c r="F767" s="319">
        <f>D758</f>
        <v/>
      </c>
      <c r="G767" s="319">
        <f>H767</f>
        <v/>
      </c>
      <c r="H767" s="319">
        <f>F767*D759*10/D763</f>
        <v/>
      </c>
      <c r="I767" s="319" t="n">
        <v>0</v>
      </c>
      <c r="J767" s="319">
        <f>F767-I767</f>
        <v/>
      </c>
      <c r="K767" s="516" t="n"/>
      <c r="L767" s="516" t="n"/>
      <c r="N767" s="521" t="n"/>
    </row>
    <row r="768">
      <c r="B768" s="1" t="n">
        <v>1</v>
      </c>
      <c r="C768" s="24" t="n">
        <v>44409</v>
      </c>
      <c r="D768" s="24" t="n">
        <v>44439</v>
      </c>
      <c r="E768" s="25">
        <f>D768-C768+1</f>
        <v/>
      </c>
      <c r="F768" s="319">
        <f>J767</f>
        <v/>
      </c>
      <c r="G768" s="319">
        <f>-PMT($D$759/$D$761,56,$F$767,,0)</f>
        <v/>
      </c>
      <c r="H768" s="319">
        <f>$D$759*F768/$D$761</f>
        <v/>
      </c>
      <c r="I768" s="319">
        <f>G768-H768</f>
        <v/>
      </c>
      <c r="J768" s="319">
        <f>F768-I768</f>
        <v/>
      </c>
      <c r="K768" s="516" t="n"/>
      <c r="L768" s="516" t="n"/>
    </row>
    <row r="769">
      <c r="B769" s="1" t="n">
        <v>2</v>
      </c>
      <c r="C769" s="24" t="n">
        <v>44440</v>
      </c>
      <c r="D769" s="24" t="n">
        <v>44469</v>
      </c>
      <c r="E769" s="25">
        <f>D769-C769+1</f>
        <v/>
      </c>
      <c r="F769" s="319">
        <f>J768</f>
        <v/>
      </c>
      <c r="G769" s="319">
        <f>-PMT($D$759/$D$761,56,$F$767,,0)</f>
        <v/>
      </c>
      <c r="H769" s="319">
        <f>$D$759*F769/$D$761</f>
        <v/>
      </c>
      <c r="I769" s="319">
        <f>G769-H769</f>
        <v/>
      </c>
      <c r="J769" s="319">
        <f>F769-I769</f>
        <v/>
      </c>
      <c r="K769" s="516" t="n"/>
      <c r="L769" s="519" t="n"/>
    </row>
    <row r="770">
      <c r="B770" s="1" t="n">
        <v>3</v>
      </c>
      <c r="C770" s="24" t="n">
        <v>44470</v>
      </c>
      <c r="D770" s="24" t="n">
        <v>44500</v>
      </c>
      <c r="E770" s="25">
        <f>D770-C770+1</f>
        <v/>
      </c>
      <c r="F770" s="319">
        <f>J769</f>
        <v/>
      </c>
      <c r="G770" s="319">
        <f>-PMT($D$759/$D$761,56,$F$767,,0)</f>
        <v/>
      </c>
      <c r="H770" s="319">
        <f>$D$759*F770/$D$761</f>
        <v/>
      </c>
      <c r="I770" s="319">
        <f>G770-H770</f>
        <v/>
      </c>
      <c r="J770" s="319">
        <f>F770-I770</f>
        <v/>
      </c>
      <c r="K770" s="516" t="n"/>
      <c r="L770" s="519" t="n"/>
    </row>
    <row r="771">
      <c r="B771" s="1" t="n">
        <v>4</v>
      </c>
      <c r="C771" s="24" t="n">
        <v>44501</v>
      </c>
      <c r="D771" s="24" t="n">
        <v>44530</v>
      </c>
      <c r="E771" s="25">
        <f>D771-C771+1</f>
        <v/>
      </c>
      <c r="F771" s="319">
        <f>J770</f>
        <v/>
      </c>
      <c r="G771" s="319">
        <f>-PMT($D$759/$D$761,56,$F$767,,0)</f>
        <v/>
      </c>
      <c r="H771" s="319">
        <f>$D$759*F771/$D$761</f>
        <v/>
      </c>
      <c r="I771" s="319">
        <f>G771-H771</f>
        <v/>
      </c>
      <c r="J771" s="319">
        <f>F771-I771</f>
        <v/>
      </c>
      <c r="K771" s="516" t="n"/>
      <c r="L771" s="516" t="n"/>
    </row>
    <row r="772">
      <c r="B772" s="1" t="n">
        <v>5</v>
      </c>
      <c r="C772" s="24" t="n">
        <v>44531</v>
      </c>
      <c r="D772" s="24" t="n">
        <v>44561</v>
      </c>
      <c r="E772" s="25">
        <f>D772-C772+1</f>
        <v/>
      </c>
      <c r="F772" s="319">
        <f>J771</f>
        <v/>
      </c>
      <c r="G772" s="319">
        <f>-PMT($D$759/$D$761,56,$F$767,,0)</f>
        <v/>
      </c>
      <c r="H772" s="319">
        <f>$D$759*F772/$D$761</f>
        <v/>
      </c>
      <c r="I772" s="319">
        <f>G772-H772</f>
        <v/>
      </c>
      <c r="J772" s="319">
        <f>F772-I772</f>
        <v/>
      </c>
      <c r="K772" s="516" t="n"/>
      <c r="L772" s="516" t="n"/>
    </row>
    <row r="773">
      <c r="B773" s="1" t="n">
        <v>6</v>
      </c>
      <c r="C773" s="24" t="n">
        <v>44562</v>
      </c>
      <c r="D773" s="24" t="n">
        <v>44592</v>
      </c>
      <c r="E773" s="25">
        <f>D773-C773+1</f>
        <v/>
      </c>
      <c r="F773" s="319">
        <f>J772</f>
        <v/>
      </c>
      <c r="G773" s="319">
        <f>-PMT($D$759/$D$761,56,$F$767,,0)</f>
        <v/>
      </c>
      <c r="H773" s="319">
        <f>$D$759*F773/$D$761</f>
        <v/>
      </c>
      <c r="I773" s="319">
        <f>G773-H773</f>
        <v/>
      </c>
      <c r="J773" s="319">
        <f>F773-I773</f>
        <v/>
      </c>
      <c r="K773" s="516" t="n"/>
      <c r="L773" s="516">
        <f>SUM(G767:G773)</f>
        <v/>
      </c>
      <c r="M773" s="237">
        <f>L773*2</f>
        <v/>
      </c>
    </row>
    <row r="774">
      <c r="B774" s="1" t="n">
        <v>7</v>
      </c>
      <c r="C774" s="24" t="n">
        <v>44593</v>
      </c>
      <c r="D774" s="24" t="n">
        <v>44620</v>
      </c>
      <c r="E774" s="25">
        <f>D774-C774+1</f>
        <v/>
      </c>
      <c r="F774" s="319">
        <f>J773</f>
        <v/>
      </c>
      <c r="G774" s="319">
        <f>-PMT($D$759/$D$761,56,$F$767,,0)</f>
        <v/>
      </c>
      <c r="H774" s="319">
        <f>$D$759*F774/$D$761</f>
        <v/>
      </c>
      <c r="I774" s="319">
        <f>G774-H774</f>
        <v/>
      </c>
      <c r="J774" s="319">
        <f>F774-I774</f>
        <v/>
      </c>
      <c r="K774" s="516" t="n"/>
      <c r="L774" s="516" t="n"/>
    </row>
    <row r="775">
      <c r="B775" s="1" t="n">
        <v>8</v>
      </c>
      <c r="C775" s="24" t="n">
        <v>44621</v>
      </c>
      <c r="D775" s="24" t="n">
        <v>44651</v>
      </c>
      <c r="E775" s="25">
        <f>D775-C775+1</f>
        <v/>
      </c>
      <c r="F775" s="319">
        <f>J774</f>
        <v/>
      </c>
      <c r="G775" s="319">
        <f>-PMT($D$759/$D$761,56,$F$767,,0)</f>
        <v/>
      </c>
      <c r="H775" s="319">
        <f>$D$759*F775/$D$761</f>
        <v/>
      </c>
      <c r="I775" s="319">
        <f>G775-H775</f>
        <v/>
      </c>
      <c r="J775" s="319">
        <f>F775-I775</f>
        <v/>
      </c>
      <c r="K775" s="516" t="n"/>
      <c r="L775" s="516" t="n"/>
    </row>
    <row r="776">
      <c r="B776" s="1" t="n">
        <v>9</v>
      </c>
      <c r="C776" s="24" t="n">
        <v>44652</v>
      </c>
      <c r="D776" s="24" t="n">
        <v>44681</v>
      </c>
      <c r="E776" s="25">
        <f>D776-C776+1</f>
        <v/>
      </c>
      <c r="F776" s="319">
        <f>J775</f>
        <v/>
      </c>
      <c r="G776" s="319">
        <f>-PMT($D$759/$D$761,56,$F$767,,0)</f>
        <v/>
      </c>
      <c r="H776" s="319">
        <f>$D$759*F776/$D$761</f>
        <v/>
      </c>
      <c r="I776" s="319">
        <f>G776-H776</f>
        <v/>
      </c>
      <c r="J776" s="319">
        <f>F776-I776</f>
        <v/>
      </c>
      <c r="K776" s="516" t="n"/>
      <c r="L776" s="516" t="n"/>
    </row>
    <row r="777">
      <c r="B777" s="1" t="n">
        <v>10</v>
      </c>
      <c r="C777" s="24" t="n">
        <v>44682</v>
      </c>
      <c r="D777" s="24" t="n">
        <v>44712</v>
      </c>
      <c r="E777" s="25">
        <f>D777-C777+1</f>
        <v/>
      </c>
      <c r="F777" s="319">
        <f>J776</f>
        <v/>
      </c>
      <c r="G777" s="319">
        <f>-PMT($G$759/$D$761,47,$F$777,,0)</f>
        <v/>
      </c>
      <c r="H777" s="319">
        <f>$G$759*F777/$D$761</f>
        <v/>
      </c>
      <c r="I777" s="319">
        <f>G777-H777</f>
        <v/>
      </c>
      <c r="J777" s="319">
        <f>F777-I777</f>
        <v/>
      </c>
      <c r="K777" s="516" t="n"/>
      <c r="L777" s="516" t="n"/>
    </row>
    <row r="778" customFormat="1" s="237">
      <c r="A778" s="7" t="n"/>
      <c r="B778" s="1" t="n">
        <v>11</v>
      </c>
      <c r="C778" s="24" t="n">
        <v>44713</v>
      </c>
      <c r="D778" s="24" t="n">
        <v>44742</v>
      </c>
      <c r="E778" s="25">
        <f>D778-C778+1</f>
        <v/>
      </c>
      <c r="F778" s="319">
        <f>J777</f>
        <v/>
      </c>
      <c r="G778" s="319">
        <f>-PMT($G$759/$D$761,47,$F$777,,0)</f>
        <v/>
      </c>
      <c r="H778" s="319">
        <f>$G$759*F778/$D$761</f>
        <v/>
      </c>
      <c r="I778" s="319">
        <f>G778-H778</f>
        <v/>
      </c>
      <c r="J778" s="319">
        <f>F778-I778</f>
        <v/>
      </c>
      <c r="K778" s="516" t="n"/>
      <c r="L778" s="516" t="n"/>
      <c r="N778" s="7" t="n"/>
      <c r="O778" s="7" t="n"/>
    </row>
    <row r="779" customFormat="1" s="237">
      <c r="A779" s="7" t="n"/>
      <c r="B779" s="1" t="n">
        <v>12</v>
      </c>
      <c r="C779" s="24" t="n">
        <v>44743</v>
      </c>
      <c r="D779" s="24" t="n">
        <v>44773</v>
      </c>
      <c r="E779" s="25">
        <f>D779-C779+1</f>
        <v/>
      </c>
      <c r="F779" s="319">
        <f>J778</f>
        <v/>
      </c>
      <c r="G779" s="319">
        <f>-PMT($G$759/$D$761,47,$F$777,,0)</f>
        <v/>
      </c>
      <c r="H779" s="319">
        <f>$G$759*F779/$D$761</f>
        <v/>
      </c>
      <c r="I779" s="319">
        <f>G779-H779</f>
        <v/>
      </c>
      <c r="J779" s="319">
        <f>F779-I779</f>
        <v/>
      </c>
      <c r="K779" s="516" t="n">
        <v>27889840.89</v>
      </c>
      <c r="L779" s="516">
        <f>SUM(G767:G779)-K779</f>
        <v/>
      </c>
      <c r="N779" s="7" t="n"/>
      <c r="O779" s="7" t="n"/>
    </row>
    <row r="780" customFormat="1" s="237">
      <c r="A780" s="7" t="n"/>
      <c r="B780" s="1" t="n">
        <v>13</v>
      </c>
      <c r="C780" s="24" t="n">
        <v>44774</v>
      </c>
      <c r="D780" s="24" t="n">
        <v>44804</v>
      </c>
      <c r="E780" s="25">
        <f>D780-C780+1</f>
        <v/>
      </c>
      <c r="F780" s="319">
        <f>J779</f>
        <v/>
      </c>
      <c r="G780" s="319">
        <f>-PMT($G$759/$D$761,47,$F$777,,0)</f>
        <v/>
      </c>
      <c r="H780" s="319">
        <f>$G$759*F780/$D$761</f>
        <v/>
      </c>
      <c r="I780" s="319">
        <f>G780-H780</f>
        <v/>
      </c>
      <c r="J780" s="149">
        <f>F780-I780</f>
        <v/>
      </c>
      <c r="K780" s="516" t="n"/>
      <c r="L780" s="516" t="n"/>
      <c r="N780" s="7" t="n"/>
      <c r="O780" s="7" t="n"/>
    </row>
    <row r="781" customFormat="1" s="237">
      <c r="A781" s="7" t="n"/>
      <c r="B781" s="1" t="n">
        <v>14</v>
      </c>
      <c r="C781" s="24" t="n">
        <v>44805</v>
      </c>
      <c r="D781" s="24" t="n">
        <v>44834</v>
      </c>
      <c r="E781" s="25">
        <f>D781-C781+1</f>
        <v/>
      </c>
      <c r="F781" s="319">
        <f>J780</f>
        <v/>
      </c>
      <c r="G781" s="319">
        <f>-PMT($H$759/$D$761,43,$F$781,,0)</f>
        <v/>
      </c>
      <c r="H781" s="319">
        <f>$H$759*F781/$D$761</f>
        <v/>
      </c>
      <c r="I781" s="319">
        <f>G781-H781</f>
        <v/>
      </c>
      <c r="J781" s="149">
        <f>F781-I781</f>
        <v/>
      </c>
      <c r="K781" s="516" t="n"/>
      <c r="L781" s="516" t="n"/>
      <c r="N781" s="7" t="n"/>
      <c r="O781" s="7" t="n"/>
    </row>
    <row r="782" customFormat="1" s="237">
      <c r="A782" s="7" t="n"/>
      <c r="B782" s="1" t="n">
        <v>15</v>
      </c>
      <c r="C782" s="24" t="n">
        <v>44835</v>
      </c>
      <c r="D782" s="24" t="n">
        <v>44865</v>
      </c>
      <c r="E782" s="25">
        <f>D782-C782+1</f>
        <v/>
      </c>
      <c r="F782" s="319">
        <f>J781</f>
        <v/>
      </c>
      <c r="G782" s="319">
        <f>-PMT($H$759/$D$761,43,$F$781,,0)</f>
        <v/>
      </c>
      <c r="H782" s="319">
        <f>$H$759*F782/$D$761</f>
        <v/>
      </c>
      <c r="I782" s="319">
        <f>G782-H782</f>
        <v/>
      </c>
      <c r="J782" s="149">
        <f>F782-I782</f>
        <v/>
      </c>
      <c r="K782" s="516" t="n"/>
      <c r="L782" s="516" t="n"/>
      <c r="N782" s="7" t="n"/>
      <c r="O782" s="7" t="n"/>
    </row>
    <row r="783" customFormat="1" s="237">
      <c r="A783" s="7" t="n"/>
      <c r="B783" s="1" t="n">
        <v>16</v>
      </c>
      <c r="C783" s="24" t="n">
        <v>44866</v>
      </c>
      <c r="D783" s="24" t="n">
        <v>44895</v>
      </c>
      <c r="E783" s="25">
        <f>D783-C783+1</f>
        <v/>
      </c>
      <c r="F783" s="319">
        <f>J782</f>
        <v/>
      </c>
      <c r="G783" s="319">
        <f>-PMT($I$759/$D$761,41,$F$783,,0)</f>
        <v/>
      </c>
      <c r="H783" s="319">
        <f>$I$759*F783/$D$761</f>
        <v/>
      </c>
      <c r="I783" s="319">
        <f>G783-H783</f>
        <v/>
      </c>
      <c r="J783" s="149">
        <f>F783-I783</f>
        <v/>
      </c>
      <c r="K783" s="516" t="n"/>
      <c r="L783" s="516" t="n"/>
      <c r="N783" s="7" t="n"/>
      <c r="O783" s="7" t="n"/>
    </row>
    <row r="784" customFormat="1" s="237">
      <c r="A784" s="7" t="n"/>
      <c r="B784" s="1" t="n">
        <v>17</v>
      </c>
      <c r="C784" s="24" t="n">
        <v>44896</v>
      </c>
      <c r="D784" s="24" t="n">
        <v>44926</v>
      </c>
      <c r="E784" s="25">
        <f>D784-C784+1</f>
        <v/>
      </c>
      <c r="F784" s="319">
        <f>J783</f>
        <v/>
      </c>
      <c r="G784" s="319">
        <f>-PMT($J$759/$D$761,40,$F$784,,0)</f>
        <v/>
      </c>
      <c r="H784" s="319">
        <f>$J$759*F784/$D$761</f>
        <v/>
      </c>
      <c r="I784" s="319">
        <f>G784-H784</f>
        <v/>
      </c>
      <c r="J784" s="149">
        <f>F784-I784</f>
        <v/>
      </c>
      <c r="K784" s="516" t="n"/>
      <c r="L784" s="516" t="n"/>
      <c r="N784" s="7" t="n"/>
      <c r="O784" s="7" t="n"/>
    </row>
    <row r="785" customFormat="1" s="237">
      <c r="A785" s="7" t="n"/>
      <c r="B785" s="1" t="n">
        <v>18</v>
      </c>
      <c r="C785" s="24" t="n">
        <v>44927</v>
      </c>
      <c r="D785" s="24" t="n">
        <v>44957</v>
      </c>
      <c r="E785" s="25">
        <f>D785-C785+1</f>
        <v/>
      </c>
      <c r="F785" s="319">
        <f>J784</f>
        <v/>
      </c>
      <c r="G785" s="319">
        <f>-PMT($J$759/$D$761,40,$F$784,,0)</f>
        <v/>
      </c>
      <c r="H785" s="319">
        <f>$J$759*F785/$D$761</f>
        <v/>
      </c>
      <c r="I785" s="319">
        <f>G785-H785</f>
        <v/>
      </c>
      <c r="J785" s="149">
        <f>F785-I785</f>
        <v/>
      </c>
      <c r="K785" s="516" t="n"/>
      <c r="L785" s="516" t="n"/>
      <c r="N785" s="7" t="n"/>
      <c r="O785" s="7" t="n"/>
    </row>
    <row r="786" customFormat="1" s="237">
      <c r="A786" s="7" t="n"/>
      <c r="B786" s="1" t="n">
        <v>19</v>
      </c>
      <c r="C786" s="24" t="n">
        <v>44958</v>
      </c>
      <c r="D786" s="24" t="n">
        <v>44985</v>
      </c>
      <c r="E786" s="25">
        <f>D786-C786+1</f>
        <v/>
      </c>
      <c r="F786" s="319">
        <f>J785</f>
        <v/>
      </c>
      <c r="G786" s="319">
        <f>-PMT($J$759/$D$761,40,$F$784,,0)</f>
        <v/>
      </c>
      <c r="H786" s="319">
        <f>$J$759*F786/$D$761</f>
        <v/>
      </c>
      <c r="I786" s="319">
        <f>G786-H786</f>
        <v/>
      </c>
      <c r="J786" s="149">
        <f>F786-I786</f>
        <v/>
      </c>
      <c r="K786" s="516" t="n"/>
      <c r="L786" s="516" t="n"/>
      <c r="N786" s="7" t="n"/>
      <c r="O786" s="7" t="n"/>
    </row>
    <row r="787" customFormat="1" s="237">
      <c r="A787" s="7" t="n"/>
      <c r="B787" s="1" t="n">
        <v>20</v>
      </c>
      <c r="C787" s="24" t="n">
        <v>44986</v>
      </c>
      <c r="D787" s="24" t="n">
        <v>45016</v>
      </c>
      <c r="E787" s="25">
        <f>D787-C787+1</f>
        <v/>
      </c>
      <c r="F787" s="319">
        <f>J786</f>
        <v/>
      </c>
      <c r="G787" s="319">
        <f>-PMT($J$759/$D$761,40,$F$784,,0)</f>
        <v/>
      </c>
      <c r="H787" s="319">
        <f>$J$759*F787/$D$761</f>
        <v/>
      </c>
      <c r="I787" s="319">
        <f>G787-H787</f>
        <v/>
      </c>
      <c r="J787" s="149">
        <f>F787-I787</f>
        <v/>
      </c>
      <c r="K787" s="516" t="n"/>
      <c r="L787" s="516" t="n"/>
      <c r="N787" s="7" t="n"/>
      <c r="O787" s="7" t="n"/>
    </row>
    <row r="788" customFormat="1" s="237">
      <c r="A788" s="7" t="n"/>
      <c r="B788" s="1" t="n">
        <v>21</v>
      </c>
      <c r="C788" s="24" t="n">
        <v>45017</v>
      </c>
      <c r="D788" s="24" t="n">
        <v>45046</v>
      </c>
      <c r="E788" s="25">
        <f>D788-C788+1</f>
        <v/>
      </c>
      <c r="F788" s="319">
        <f>J787</f>
        <v/>
      </c>
      <c r="G788" s="319">
        <f>-PMT($J$759/$D$761,40,$F$784,,0)</f>
        <v/>
      </c>
      <c r="H788" s="319">
        <f>$J$759*F788/$D$761</f>
        <v/>
      </c>
      <c r="I788" s="319">
        <f>G788-H788</f>
        <v/>
      </c>
      <c r="J788" s="149">
        <f>F788-I788</f>
        <v/>
      </c>
      <c r="K788" s="516" t="n"/>
      <c r="L788" s="516" t="n"/>
      <c r="N788" s="7" t="n"/>
      <c r="O788" s="7" t="n"/>
    </row>
    <row r="789" customFormat="1" s="237">
      <c r="A789" s="7" t="n"/>
      <c r="B789" s="1" t="n">
        <v>22</v>
      </c>
      <c r="C789" s="24" t="n">
        <v>45047</v>
      </c>
      <c r="D789" s="24" t="n">
        <v>45077</v>
      </c>
      <c r="E789" s="25">
        <f>D789-C789+1</f>
        <v/>
      </c>
      <c r="F789" s="319">
        <f>J788</f>
        <v/>
      </c>
      <c r="G789" s="319">
        <f>-PMT($K$759/$D$761,35,$F$789,,0)</f>
        <v/>
      </c>
      <c r="H789" s="319">
        <f>$K$759*F789/$D$761</f>
        <v/>
      </c>
      <c r="I789" s="319">
        <f>G789-H789</f>
        <v/>
      </c>
      <c r="J789" s="149">
        <f>F789-I789</f>
        <v/>
      </c>
      <c r="K789" s="516" t="n"/>
      <c r="L789" s="516" t="n"/>
      <c r="N789" s="7" t="n"/>
      <c r="O789" s="7" t="n"/>
    </row>
    <row r="790" customFormat="1" s="237">
      <c r="A790" s="7" t="n"/>
      <c r="B790" s="1" t="n">
        <v>23</v>
      </c>
      <c r="C790" s="24" t="n">
        <v>45078</v>
      </c>
      <c r="D790" s="24" t="n">
        <v>45107</v>
      </c>
      <c r="E790" s="25">
        <f>D790-C790+1</f>
        <v/>
      </c>
      <c r="F790" s="319">
        <f>J789</f>
        <v/>
      </c>
      <c r="G790" s="319">
        <f>-PMT($K$759/$D$761,35,$F$789,,0)</f>
        <v/>
      </c>
      <c r="H790" s="319">
        <f>$K$759*F790/$D$761</f>
        <v/>
      </c>
      <c r="I790" s="319">
        <f>G790-H790</f>
        <v/>
      </c>
      <c r="J790" s="149">
        <f>F790-I790</f>
        <v/>
      </c>
      <c r="K790" s="516" t="n"/>
      <c r="L790" s="516" t="n"/>
      <c r="N790" s="7" t="n"/>
      <c r="O790" s="7" t="n"/>
    </row>
    <row r="791" customFormat="1" s="237">
      <c r="A791" s="7" t="n"/>
      <c r="B791" s="1" t="n">
        <v>24</v>
      </c>
      <c r="C791" s="24" t="n">
        <v>45108</v>
      </c>
      <c r="D791" s="24" t="n">
        <v>45138</v>
      </c>
      <c r="E791" s="25">
        <f>D791-C791+1</f>
        <v/>
      </c>
      <c r="F791" s="319">
        <f>J790</f>
        <v/>
      </c>
      <c r="G791" s="319">
        <f>-PMT($L$759/$D$761,33,$F$791,,0)</f>
        <v/>
      </c>
      <c r="H791" s="319">
        <f>$L$759*F791/$D$761</f>
        <v/>
      </c>
      <c r="I791" s="319">
        <f>G791-H791</f>
        <v/>
      </c>
      <c r="J791" s="149">
        <f>F791-I791</f>
        <v/>
      </c>
      <c r="K791" s="519" t="n">
        <v>27765661.05</v>
      </c>
      <c r="L791" s="516">
        <f>SUM(G779:G791)-K791+L779</f>
        <v/>
      </c>
      <c r="N791" s="7" t="n"/>
      <c r="O791" s="7" t="n"/>
    </row>
    <row r="792" customFormat="1" s="237">
      <c r="A792" s="7" t="n"/>
      <c r="B792" s="1" t="n">
        <v>25</v>
      </c>
      <c r="C792" s="24" t="n">
        <v>45139</v>
      </c>
      <c r="D792" s="24" t="n">
        <v>45169</v>
      </c>
      <c r="E792" s="25">
        <f>D792-C792+1</f>
        <v/>
      </c>
      <c r="F792" s="319">
        <f>J791</f>
        <v/>
      </c>
      <c r="G792" s="319">
        <f>-PMT($M$759/$D$761,32,$F$792,,0)</f>
        <v/>
      </c>
      <c r="H792" s="319">
        <f>$M$759*F792/$D$761</f>
        <v/>
      </c>
      <c r="I792" s="319">
        <f>G792-H792</f>
        <v/>
      </c>
      <c r="J792" s="319">
        <f>F792-I792</f>
        <v/>
      </c>
      <c r="K792" s="516" t="n"/>
      <c r="L792" s="516" t="n"/>
      <c r="N792" s="7" t="n"/>
      <c r="O792" s="7" t="n"/>
    </row>
    <row r="793" customFormat="1" s="237">
      <c r="A793" s="7" t="n"/>
      <c r="B793" s="1" t="n">
        <v>26</v>
      </c>
      <c r="C793" s="24" t="n">
        <v>45170</v>
      </c>
      <c r="D793" s="24" t="n">
        <v>45199</v>
      </c>
      <c r="E793" s="25">
        <f>D793-C793+1</f>
        <v/>
      </c>
      <c r="F793" s="319">
        <f>J792</f>
        <v/>
      </c>
      <c r="G793" s="319">
        <f>-PMT($H$764/$D$761,31,$F$793,,0)</f>
        <v/>
      </c>
      <c r="H793" s="319">
        <f>$H$764*F793/$D$761</f>
        <v/>
      </c>
      <c r="I793" s="319">
        <f>G793-H793</f>
        <v/>
      </c>
      <c r="J793" s="319">
        <f>F793-I793</f>
        <v/>
      </c>
      <c r="K793" s="516" t="n"/>
      <c r="L793" s="516" t="n"/>
      <c r="N793" s="7" t="n"/>
      <c r="O793" s="7" t="n"/>
    </row>
    <row r="794" customFormat="1" s="237">
      <c r="A794" s="7" t="n"/>
      <c r="B794" s="1" t="n">
        <v>27</v>
      </c>
      <c r="C794" s="24" t="n">
        <v>45200</v>
      </c>
      <c r="D794" s="24" t="n">
        <v>45230</v>
      </c>
      <c r="E794" s="25">
        <f>D794-C794+1</f>
        <v/>
      </c>
      <c r="F794" s="319">
        <f>J793</f>
        <v/>
      </c>
      <c r="G794" s="319">
        <f>-PMT($I$764/$D$761,30,$F$794,,0)</f>
        <v/>
      </c>
      <c r="H794" s="319">
        <f>$I$764*F794/$D$761</f>
        <v/>
      </c>
      <c r="I794" s="319">
        <f>G794-H794</f>
        <v/>
      </c>
      <c r="J794" s="319">
        <f>F794-I794</f>
        <v/>
      </c>
      <c r="K794" s="516" t="n"/>
      <c r="L794" s="516" t="n"/>
      <c r="N794" s="7" t="n"/>
      <c r="O794" s="7" t="n"/>
    </row>
    <row r="795" customFormat="1" s="237">
      <c r="A795" s="7" t="n"/>
      <c r="B795" s="1" t="n">
        <v>28</v>
      </c>
      <c r="C795" s="24" t="n">
        <v>45231</v>
      </c>
      <c r="D795" s="24" t="n">
        <v>45260</v>
      </c>
      <c r="E795" s="25">
        <f>D795-C795+1</f>
        <v/>
      </c>
      <c r="F795" s="319">
        <f>J794</f>
        <v/>
      </c>
      <c r="G795" s="319">
        <f>-PMT($I$764/$D$761,30,$F$794,,0)</f>
        <v/>
      </c>
      <c r="H795" s="319">
        <f>$I$764*F795/$D$761</f>
        <v/>
      </c>
      <c r="I795" s="319">
        <f>G795-H795</f>
        <v/>
      </c>
      <c r="J795" s="319">
        <f>F795-I795</f>
        <v/>
      </c>
      <c r="K795" s="516" t="n"/>
      <c r="L795" s="516" t="n"/>
      <c r="N795" s="7" t="n"/>
      <c r="O795" s="7" t="n"/>
    </row>
    <row r="796" customFormat="1" s="237">
      <c r="A796" s="7" t="n"/>
      <c r="B796" s="1" t="n">
        <v>29</v>
      </c>
      <c r="C796" s="24" t="n">
        <v>45261</v>
      </c>
      <c r="D796" s="24" t="n">
        <v>45291</v>
      </c>
      <c r="E796" s="25">
        <f>D796-C796+1</f>
        <v/>
      </c>
      <c r="F796" s="319">
        <f>J795</f>
        <v/>
      </c>
      <c r="G796" s="319">
        <f>-PMT($J$764/$D$761,28,$F$796,,0)</f>
        <v/>
      </c>
      <c r="H796" s="319">
        <f>$J$764*F796/$D$761</f>
        <v/>
      </c>
      <c r="I796" s="319">
        <f>G796-H796</f>
        <v/>
      </c>
      <c r="J796" s="319">
        <f>F796-I796</f>
        <v/>
      </c>
      <c r="K796" s="516" t="n"/>
      <c r="L796" s="516" t="n"/>
      <c r="N796" s="7" t="n"/>
      <c r="O796" s="7" t="n"/>
    </row>
    <row r="797" customFormat="1" s="237">
      <c r="A797" s="7" t="n"/>
      <c r="B797" s="1" t="n">
        <v>30</v>
      </c>
      <c r="C797" s="24" t="n">
        <v>45292</v>
      </c>
      <c r="D797" s="24" t="n">
        <v>45322</v>
      </c>
      <c r="E797" s="25">
        <f>D797-C797+1</f>
        <v/>
      </c>
      <c r="F797" s="319">
        <f>J796</f>
        <v/>
      </c>
      <c r="G797" s="319">
        <f>-PMT($J$764/$D$761,28,$F$796,,0)</f>
        <v/>
      </c>
      <c r="H797" s="319">
        <f>$J$764*F797/$D$761</f>
        <v/>
      </c>
      <c r="I797" s="319">
        <f>G797-H797</f>
        <v/>
      </c>
      <c r="J797" s="319">
        <f>F797-I797</f>
        <v/>
      </c>
      <c r="K797" s="516" t="n">
        <v>3622610.41</v>
      </c>
      <c r="L797" s="516">
        <f>K797-L791</f>
        <v/>
      </c>
      <c r="N797" s="7" t="n"/>
      <c r="O797" s="7" t="n"/>
    </row>
    <row r="798" customFormat="1" s="237">
      <c r="A798" s="7" t="n"/>
      <c r="B798" s="1" t="n">
        <v>31</v>
      </c>
      <c r="C798" s="24" t="n">
        <v>45323</v>
      </c>
      <c r="D798" s="24" t="n">
        <v>45351</v>
      </c>
      <c r="E798" s="25">
        <f>D798-C798+1</f>
        <v/>
      </c>
      <c r="F798" s="319">
        <f>J797</f>
        <v/>
      </c>
      <c r="G798" s="319">
        <f>-PMT($K$764/$D$761,26,$F$798,,0)</f>
        <v/>
      </c>
      <c r="H798" s="319">
        <f>$K$764*F798/$D$761</f>
        <v/>
      </c>
      <c r="I798" s="319">
        <f>G798-H798</f>
        <v/>
      </c>
      <c r="J798" s="319">
        <f>F798-I798</f>
        <v/>
      </c>
      <c r="K798" s="516" t="n"/>
      <c r="L798" s="516" t="n"/>
      <c r="N798" s="7" t="n"/>
      <c r="O798" s="7" t="n"/>
    </row>
    <row r="799" customFormat="1" s="237">
      <c r="A799" s="7" t="n"/>
      <c r="B799" s="1" t="n">
        <v>32</v>
      </c>
      <c r="C799" s="24" t="n">
        <v>45352</v>
      </c>
      <c r="D799" s="24" t="n">
        <v>45382</v>
      </c>
      <c r="E799" s="25">
        <f>D799-C799+1</f>
        <v/>
      </c>
      <c r="F799" s="319">
        <f>J798</f>
        <v/>
      </c>
      <c r="G799" s="319">
        <f>-PMT($K$764/$D$761,26,$F$798,,0)</f>
        <v/>
      </c>
      <c r="H799" s="319">
        <f>$K$764*F799/$D$761</f>
        <v/>
      </c>
      <c r="I799" s="319">
        <f>G799-H799</f>
        <v/>
      </c>
      <c r="J799" s="319">
        <f>F799-I799</f>
        <v/>
      </c>
      <c r="K799" s="516" t="n"/>
      <c r="L799" s="516" t="n"/>
      <c r="N799" s="7" t="n"/>
      <c r="O799" s="7" t="n"/>
    </row>
    <row r="800" customFormat="1" s="237">
      <c r="A800" s="7" t="n"/>
      <c r="B800" s="1" t="n">
        <v>33</v>
      </c>
      <c r="C800" s="24" t="n">
        <v>45383</v>
      </c>
      <c r="D800" s="24" t="n">
        <v>45412</v>
      </c>
      <c r="E800" s="25">
        <f>D800-C800+1</f>
        <v/>
      </c>
      <c r="F800" s="319">
        <f>J799</f>
        <v/>
      </c>
      <c r="G800" s="319">
        <f>-PMT($K$764/$D$761,26,$F$798,,0)</f>
        <v/>
      </c>
      <c r="H800" s="319">
        <f>$K$764*F800/$D$761</f>
        <v/>
      </c>
      <c r="I800" s="319">
        <f>G800-H800</f>
        <v/>
      </c>
      <c r="J800" s="319">
        <f>F800-I800</f>
        <v/>
      </c>
      <c r="K800" s="516" t="n"/>
      <c r="L800" s="516" t="n"/>
      <c r="N800" s="7" t="n"/>
      <c r="O800" s="7" t="n"/>
    </row>
    <row r="801" customFormat="1" s="237">
      <c r="A801" s="7" t="n"/>
      <c r="B801" s="1" t="n">
        <v>34</v>
      </c>
      <c r="C801" s="24" t="n">
        <v>45413</v>
      </c>
      <c r="D801" s="24" t="n">
        <v>45443</v>
      </c>
      <c r="E801" s="25">
        <f>D801-C801+1</f>
        <v/>
      </c>
      <c r="F801" s="319">
        <f>J800</f>
        <v/>
      </c>
      <c r="G801" s="319">
        <f>-PMT($L$764/$D$761,23,$F$801,,0)</f>
        <v/>
      </c>
      <c r="H801" s="319">
        <f>$L$764*F801/$D$761</f>
        <v/>
      </c>
      <c r="I801" s="319">
        <f>G801-H801</f>
        <v/>
      </c>
      <c r="J801" s="319">
        <f>F801-I801</f>
        <v/>
      </c>
      <c r="K801" s="516" t="n"/>
      <c r="L801" s="516" t="n"/>
      <c r="N801" s="7" t="n"/>
      <c r="O801" s="7" t="n"/>
    </row>
    <row r="802" customFormat="1" s="237">
      <c r="A802" s="7" t="n"/>
      <c r="B802" s="1" t="n">
        <v>35</v>
      </c>
      <c r="C802" s="24" t="n">
        <v>45444</v>
      </c>
      <c r="D802" s="24" t="n">
        <v>45473</v>
      </c>
      <c r="E802" s="25">
        <f>D802-C802+1</f>
        <v/>
      </c>
      <c r="F802" s="319">
        <f>J801</f>
        <v/>
      </c>
      <c r="G802" s="319">
        <f>-PMT($M$764/$D$761,22,$F$802,,0)</f>
        <v/>
      </c>
      <c r="H802" s="319">
        <f>$M$764*F802/$D$761</f>
        <v/>
      </c>
      <c r="I802" s="319">
        <f>G802-H802</f>
        <v/>
      </c>
      <c r="J802" s="319">
        <f>F802-I802</f>
        <v/>
      </c>
      <c r="K802" s="516" t="n"/>
      <c r="L802" s="516" t="n"/>
      <c r="N802" s="7" t="n"/>
      <c r="O802" s="7" t="n"/>
    </row>
    <row r="803" customFormat="1" s="237">
      <c r="A803" s="7" t="n"/>
      <c r="B803" s="1" t="n">
        <v>36</v>
      </c>
      <c r="C803" s="24" t="n">
        <v>45474</v>
      </c>
      <c r="D803" s="24" t="n">
        <v>45504</v>
      </c>
      <c r="E803" s="25">
        <f>D803-C803+1</f>
        <v/>
      </c>
      <c r="F803" s="319">
        <f>J802</f>
        <v/>
      </c>
      <c r="G803" s="319">
        <f>-PMT($N$764/$D$761,21,$F$803,,0)</f>
        <v/>
      </c>
      <c r="H803" s="319">
        <f>$N$764*F803/$D$761</f>
        <v/>
      </c>
      <c r="I803" s="319">
        <f>G803-H803</f>
        <v/>
      </c>
      <c r="J803" s="320">
        <f>F803-I803</f>
        <v/>
      </c>
      <c r="K803" s="516" t="n"/>
      <c r="L803" s="520">
        <f>SUM(G792:G803)</f>
        <v/>
      </c>
      <c r="N803" s="7" t="n"/>
      <c r="O803" s="7" t="n"/>
    </row>
    <row r="804" customFormat="1" s="237">
      <c r="A804" s="7" t="n"/>
      <c r="B804" s="1" t="n">
        <v>37</v>
      </c>
      <c r="C804" s="24" t="n">
        <v>45505</v>
      </c>
      <c r="D804" s="24" t="n">
        <v>45535</v>
      </c>
      <c r="E804" s="25">
        <f>D804-C804+1</f>
        <v/>
      </c>
      <c r="F804" s="319">
        <f>J803</f>
        <v/>
      </c>
      <c r="G804" s="319">
        <f>-PMT($N$764/$D$761,21,$F$803,,0)</f>
        <v/>
      </c>
      <c r="H804" s="319">
        <f>$N$764*F804/$D$761</f>
        <v/>
      </c>
      <c r="I804" s="319">
        <f>G804-H804</f>
        <v/>
      </c>
      <c r="J804" s="319">
        <f>F804-I804</f>
        <v/>
      </c>
      <c r="K804" s="516" t="n">
        <v>31983930.53</v>
      </c>
      <c r="L804" s="516">
        <f>K804-L803</f>
        <v/>
      </c>
      <c r="N804" s="7" t="n"/>
      <c r="O804" s="7" t="n"/>
    </row>
    <row r="805" customFormat="1" s="237">
      <c r="A805" s="7" t="n"/>
      <c r="B805" s="1" t="n">
        <v>38</v>
      </c>
      <c r="C805" s="24" t="n">
        <v>45536</v>
      </c>
      <c r="D805" s="24" t="n">
        <v>45565</v>
      </c>
      <c r="E805" s="25">
        <f>D805-C805+1</f>
        <v/>
      </c>
      <c r="F805" s="319">
        <f>J804</f>
        <v/>
      </c>
      <c r="G805" s="319">
        <f>-PMT($N$764/$D$761,21,$F$803,,0)</f>
        <v/>
      </c>
      <c r="H805" s="319">
        <f>$N$764*F805/$D$761</f>
        <v/>
      </c>
      <c r="I805" s="319">
        <f>G805-H805</f>
        <v/>
      </c>
      <c r="J805" s="319">
        <f>F805-I805</f>
        <v/>
      </c>
      <c r="K805" s="516" t="n"/>
      <c r="L805" s="516" t="n"/>
      <c r="N805" s="7" t="n"/>
      <c r="O805" s="7" t="n"/>
    </row>
    <row r="806" customFormat="1" s="237">
      <c r="A806" s="7" t="n"/>
      <c r="B806" s="1" t="n">
        <v>39</v>
      </c>
      <c r="C806" s="24" t="n">
        <v>45566</v>
      </c>
      <c r="D806" s="24" t="n">
        <v>45596</v>
      </c>
      <c r="E806" s="25">
        <f>D806-C806+1</f>
        <v/>
      </c>
      <c r="F806" s="319">
        <f>J805</f>
        <v/>
      </c>
      <c r="G806" s="319">
        <f>-PMT($N$764/$D$761,21,$F$803,,0)</f>
        <v/>
      </c>
      <c r="H806" s="319">
        <f>$N$764*F806/$D$761</f>
        <v/>
      </c>
      <c r="I806" s="319">
        <f>G806-H806</f>
        <v/>
      </c>
      <c r="J806" s="319">
        <f>F806-I806</f>
        <v/>
      </c>
      <c r="K806" s="516" t="n"/>
      <c r="L806" s="516" t="n"/>
      <c r="N806" s="7" t="n"/>
      <c r="O806" s="7" t="n"/>
    </row>
    <row r="807" customFormat="1" s="237">
      <c r="A807" s="7" t="n"/>
      <c r="B807" s="1" t="n">
        <v>40</v>
      </c>
      <c r="C807" s="24" t="n">
        <v>45597</v>
      </c>
      <c r="D807" s="24" t="n">
        <v>45626</v>
      </c>
      <c r="E807" s="25">
        <f>D807-C807+1</f>
        <v/>
      </c>
      <c r="F807" s="319">
        <f>J806</f>
        <v/>
      </c>
      <c r="G807" s="319">
        <f>-PMT($N$764/$D$761,21,$F$803,,0)</f>
        <v/>
      </c>
      <c r="H807" s="319">
        <f>$N$764*F807/$D$761</f>
        <v/>
      </c>
      <c r="I807" s="319">
        <f>G807-H807</f>
        <v/>
      </c>
      <c r="J807" s="319">
        <f>F807-I807</f>
        <v/>
      </c>
      <c r="K807" s="516" t="n"/>
      <c r="L807" s="516" t="n"/>
      <c r="N807" s="7" t="n"/>
      <c r="O807" s="7" t="n"/>
    </row>
    <row r="808" customFormat="1" s="237">
      <c r="A808" s="7" t="n"/>
      <c r="B808" s="1" t="n">
        <v>41</v>
      </c>
      <c r="C808" s="24" t="n">
        <v>45627</v>
      </c>
      <c r="D808" s="24" t="n">
        <v>45657</v>
      </c>
      <c r="E808" s="25">
        <f>D808-C808+1</f>
        <v/>
      </c>
      <c r="F808" s="319">
        <f>J807</f>
        <v/>
      </c>
      <c r="G808" s="319">
        <f>-PMT($N$764/$D$761,21,$F$803,,0)</f>
        <v/>
      </c>
      <c r="H808" s="319">
        <f>$N$764*F808/$D$761</f>
        <v/>
      </c>
      <c r="I808" s="319">
        <f>G808-H808</f>
        <v/>
      </c>
      <c r="J808" s="319">
        <f>F808-I808</f>
        <v/>
      </c>
      <c r="K808" s="516" t="n"/>
      <c r="L808" s="516" t="n"/>
      <c r="N808" s="7" t="n"/>
      <c r="O808" s="7" t="n"/>
    </row>
    <row r="809" customFormat="1" s="237">
      <c r="A809" s="7" t="n"/>
      <c r="B809" s="1" t="n">
        <v>42</v>
      </c>
      <c r="C809" s="24" t="n">
        <v>45658</v>
      </c>
      <c r="D809" s="24" t="n">
        <v>45688</v>
      </c>
      <c r="E809" s="25">
        <f>D809-C809+1</f>
        <v/>
      </c>
      <c r="F809" s="319">
        <f>J808</f>
        <v/>
      </c>
      <c r="G809" s="319">
        <f>-PMT($N$764/$D$761,21,$F$803,,0)</f>
        <v/>
      </c>
      <c r="H809" s="319">
        <f>$N$764*F809/$D$761</f>
        <v/>
      </c>
      <c r="I809" s="319">
        <f>G809-H809</f>
        <v/>
      </c>
      <c r="J809" s="319">
        <f>F809-I809</f>
        <v/>
      </c>
      <c r="K809" s="516" t="n"/>
      <c r="L809" s="516" t="n"/>
      <c r="N809" s="7" t="n"/>
      <c r="O809" s="7" t="n"/>
    </row>
    <row r="810" customFormat="1" s="237">
      <c r="A810" s="7" t="n"/>
      <c r="B810" s="1" t="n">
        <v>43</v>
      </c>
      <c r="C810" s="24" t="n">
        <v>45689</v>
      </c>
      <c r="D810" s="24" t="n">
        <v>45716</v>
      </c>
      <c r="E810" s="25">
        <f>D810-C810+1</f>
        <v/>
      </c>
      <c r="F810" s="319">
        <f>J809</f>
        <v/>
      </c>
      <c r="G810" s="319">
        <f>-PMT($N$764/$D$761,21,$F$803,,0)</f>
        <v/>
      </c>
      <c r="H810" s="319">
        <f>$N$764*F810/$D$761</f>
        <v/>
      </c>
      <c r="I810" s="319">
        <f>G810-H810</f>
        <v/>
      </c>
      <c r="J810" s="319">
        <f>F810-I810</f>
        <v/>
      </c>
      <c r="K810" s="516" t="n"/>
      <c r="L810" s="516" t="n"/>
      <c r="N810" s="7" t="n"/>
      <c r="O810" s="7" t="n"/>
    </row>
    <row r="811" customFormat="1" s="237">
      <c r="A811" s="7" t="n"/>
      <c r="B811" s="1" t="n">
        <v>44</v>
      </c>
      <c r="C811" s="24" t="n">
        <v>45717</v>
      </c>
      <c r="D811" s="24" t="n">
        <v>45747</v>
      </c>
      <c r="E811" s="25">
        <f>D811-C811+1</f>
        <v/>
      </c>
      <c r="F811" s="319">
        <f>J810</f>
        <v/>
      </c>
      <c r="G811" s="319">
        <f>-PMT($N$764/$D$761,21,$F$803,,0)</f>
        <v/>
      </c>
      <c r="H811" s="319">
        <f>$N$764*F811/$D$761</f>
        <v/>
      </c>
      <c r="I811" s="319">
        <f>G811-H811</f>
        <v/>
      </c>
      <c r="J811" s="319">
        <f>F811-I811</f>
        <v/>
      </c>
      <c r="K811" s="516" t="n"/>
      <c r="L811" s="516" t="n"/>
      <c r="N811" s="7" t="n"/>
      <c r="O811" s="7" t="n"/>
    </row>
    <row r="812" customFormat="1" s="237">
      <c r="A812" s="7" t="n"/>
      <c r="B812" s="1" t="n">
        <v>45</v>
      </c>
      <c r="C812" s="24" t="n">
        <v>45748</v>
      </c>
      <c r="D812" s="24" t="n">
        <v>45777</v>
      </c>
      <c r="E812" s="25">
        <f>D812-C812+1</f>
        <v/>
      </c>
      <c r="F812" s="319">
        <f>J811</f>
        <v/>
      </c>
      <c r="G812" s="319">
        <f>-PMT($N$764/$D$761,21,$F$803,,0)</f>
        <v/>
      </c>
      <c r="H812" s="319">
        <f>$N$764*F812/$D$761</f>
        <v/>
      </c>
      <c r="I812" s="319">
        <f>G812-H812</f>
        <v/>
      </c>
      <c r="J812" s="319">
        <f>F812-I812</f>
        <v/>
      </c>
      <c r="K812" s="516" t="n"/>
      <c r="L812" s="516" t="n"/>
      <c r="N812" s="7" t="n"/>
      <c r="O812" s="7" t="n"/>
    </row>
    <row r="813" customFormat="1" s="237">
      <c r="A813" s="7" t="n"/>
      <c r="B813" s="1" t="n">
        <v>46</v>
      </c>
      <c r="C813" s="24" t="n">
        <v>45778</v>
      </c>
      <c r="D813" s="24" t="n">
        <v>45808</v>
      </c>
      <c r="E813" s="25">
        <f>D813-C813+1</f>
        <v/>
      </c>
      <c r="F813" s="319">
        <f>J812</f>
        <v/>
      </c>
      <c r="G813" s="319">
        <f>-PMT($N$764/$D$761,21,$F$803,,0)</f>
        <v/>
      </c>
      <c r="H813" s="319">
        <f>$N$764*F813/$D$761</f>
        <v/>
      </c>
      <c r="I813" s="319">
        <f>G813-H813</f>
        <v/>
      </c>
      <c r="J813" s="319">
        <f>F813-I813</f>
        <v/>
      </c>
      <c r="K813" s="516" t="n"/>
      <c r="L813" s="516" t="n"/>
      <c r="N813" s="7" t="n"/>
      <c r="O813" s="7" t="n"/>
    </row>
    <row r="814" customFormat="1" s="237">
      <c r="A814" s="7" t="n"/>
      <c r="B814" s="1" t="n">
        <v>47</v>
      </c>
      <c r="C814" s="24" t="n">
        <v>45809</v>
      </c>
      <c r="D814" s="24" t="n">
        <v>45838</v>
      </c>
      <c r="E814" s="25">
        <f>D814-C814+1</f>
        <v/>
      </c>
      <c r="F814" s="319">
        <f>J813</f>
        <v/>
      </c>
      <c r="G814" s="319">
        <f>-PMT($N$764/$D$761,21,$F$803,,0)</f>
        <v/>
      </c>
      <c r="H814" s="319">
        <f>$N$764*F814/$D$761</f>
        <v/>
      </c>
      <c r="I814" s="319">
        <f>G814-H814</f>
        <v/>
      </c>
      <c r="J814" s="319">
        <f>F814-I814</f>
        <v/>
      </c>
      <c r="K814" s="516" t="n"/>
      <c r="L814" s="516" t="n"/>
      <c r="N814" s="7" t="n"/>
      <c r="O814" s="7" t="n"/>
    </row>
    <row r="815" customFormat="1" s="237">
      <c r="A815" s="7" t="n"/>
      <c r="B815" s="1" t="n">
        <v>48</v>
      </c>
      <c r="C815" s="24" t="n">
        <v>45839</v>
      </c>
      <c r="D815" s="24" t="n">
        <v>45869</v>
      </c>
      <c r="E815" s="25">
        <f>D815-C815+1</f>
        <v/>
      </c>
      <c r="F815" s="319">
        <f>J814</f>
        <v/>
      </c>
      <c r="G815" s="319">
        <f>-PMT($N$764/$D$761,21,$F$803,,0)</f>
        <v/>
      </c>
      <c r="H815" s="319">
        <f>$N$764*F815/$D$761</f>
        <v/>
      </c>
      <c r="I815" s="319">
        <f>G815-H815</f>
        <v/>
      </c>
      <c r="J815" s="319">
        <f>F815-I815</f>
        <v/>
      </c>
      <c r="K815" s="516" t="inlineStr">
        <is>
          <t>NEXT DUE DATE</t>
        </is>
      </c>
      <c r="L815" s="516" t="n"/>
      <c r="N815" s="7" t="n"/>
      <c r="O815" s="7" t="n"/>
    </row>
    <row r="816" customFormat="1" s="237">
      <c r="A816" s="7" t="n"/>
      <c r="B816" s="1" t="n">
        <v>49</v>
      </c>
      <c r="C816" s="24" t="n">
        <v>45870</v>
      </c>
      <c r="D816" s="24" t="n">
        <v>45900</v>
      </c>
      <c r="E816" s="25">
        <f>D816-C816+1</f>
        <v/>
      </c>
      <c r="F816" s="319">
        <f>J815</f>
        <v/>
      </c>
      <c r="G816" s="319">
        <f>-PMT($N$764/$D$761,21,$F$803,,0)</f>
        <v/>
      </c>
      <c r="H816" s="319">
        <f>$N$764*F816/$D$761</f>
        <v/>
      </c>
      <c r="I816" s="319">
        <f>G816-H816</f>
        <v/>
      </c>
      <c r="J816" s="319">
        <f>F816-I816</f>
        <v/>
      </c>
      <c r="K816" s="516" t="n"/>
      <c r="L816" s="516" t="n"/>
      <c r="N816" s="7" t="n"/>
      <c r="O816" s="7" t="n"/>
    </row>
    <row r="817" customFormat="1" s="237">
      <c r="A817" s="7" t="n"/>
      <c r="B817" s="1" t="n">
        <v>50</v>
      </c>
      <c r="C817" s="24" t="n">
        <v>45901</v>
      </c>
      <c r="D817" s="24" t="n">
        <v>45930</v>
      </c>
      <c r="E817" s="25">
        <f>D817-C817+1</f>
        <v/>
      </c>
      <c r="F817" s="319">
        <f>J816</f>
        <v/>
      </c>
      <c r="G817" s="319">
        <f>-PMT($N$764/$D$761,21,$F$803,,0)</f>
        <v/>
      </c>
      <c r="H817" s="319">
        <f>$N$764*F817/$D$761</f>
        <v/>
      </c>
      <c r="I817" s="319">
        <f>G817-H817</f>
        <v/>
      </c>
      <c r="J817" s="319">
        <f>F817-I817</f>
        <v/>
      </c>
      <c r="K817" s="516" t="n"/>
      <c r="L817" s="516" t="n"/>
      <c r="N817" s="7" t="n"/>
      <c r="O817" s="7" t="n"/>
    </row>
    <row r="818" customFormat="1" s="237">
      <c r="A818" s="7" t="n"/>
      <c r="B818" s="1" t="n">
        <v>51</v>
      </c>
      <c r="C818" s="24" t="n">
        <v>45931</v>
      </c>
      <c r="D818" s="24" t="n">
        <v>45961</v>
      </c>
      <c r="E818" s="25">
        <f>D818-C818+1</f>
        <v/>
      </c>
      <c r="F818" s="319">
        <f>J817</f>
        <v/>
      </c>
      <c r="G818" s="319">
        <f>-PMT($N$764/$D$761,21,$F$803,,0)</f>
        <v/>
      </c>
      <c r="H818" s="319">
        <f>$N$764*F818/$D$761</f>
        <v/>
      </c>
      <c r="I818" s="319">
        <f>G818-H818</f>
        <v/>
      </c>
      <c r="J818" s="319">
        <f>F818-I818</f>
        <v/>
      </c>
      <c r="K818" s="516" t="n"/>
      <c r="L818" s="516" t="n"/>
      <c r="N818" s="7" t="n"/>
      <c r="O818" s="7" t="n"/>
    </row>
    <row r="819" customFormat="1" s="237">
      <c r="A819" s="7" t="n"/>
      <c r="B819" s="1" t="n">
        <v>52</v>
      </c>
      <c r="C819" s="24" t="n">
        <v>45962</v>
      </c>
      <c r="D819" s="24" t="n">
        <v>45991</v>
      </c>
      <c r="E819" s="25">
        <f>D819-C819+1</f>
        <v/>
      </c>
      <c r="F819" s="319">
        <f>J818</f>
        <v/>
      </c>
      <c r="G819" s="319">
        <f>-PMT($N$764/$D$761,21,$F$803,,0)</f>
        <v/>
      </c>
      <c r="H819" s="319">
        <f>$N$764*F819/$D$761</f>
        <v/>
      </c>
      <c r="I819" s="319">
        <f>G819-H819</f>
        <v/>
      </c>
      <c r="J819" s="319">
        <f>F819-I819</f>
        <v/>
      </c>
      <c r="K819" s="516" t="n"/>
      <c r="L819" s="516" t="n"/>
      <c r="N819" s="7" t="n"/>
      <c r="O819" s="7" t="n"/>
    </row>
    <row r="820" customFormat="1" s="237">
      <c r="A820" s="7" t="n"/>
      <c r="B820" s="1" t="n">
        <v>53</v>
      </c>
      <c r="C820" s="24" t="n">
        <v>45992</v>
      </c>
      <c r="D820" s="24" t="n">
        <v>46022</v>
      </c>
      <c r="E820" s="25">
        <f>D820-C820+1</f>
        <v/>
      </c>
      <c r="F820" s="319">
        <f>J819</f>
        <v/>
      </c>
      <c r="G820" s="319">
        <f>-PMT($N$764/$D$761,21,$F$803,,0)</f>
        <v/>
      </c>
      <c r="H820" s="319">
        <f>$N$764*F820/$D$761</f>
        <v/>
      </c>
      <c r="I820" s="319">
        <f>G820-H820</f>
        <v/>
      </c>
      <c r="J820" s="319">
        <f>F820-I820</f>
        <v/>
      </c>
      <c r="K820" s="516" t="n"/>
      <c r="L820" s="516" t="n"/>
      <c r="N820" s="7" t="n"/>
      <c r="O820" s="7" t="n"/>
    </row>
    <row r="821" customFormat="1" s="237">
      <c r="A821" s="7" t="n"/>
      <c r="B821" s="1" t="n">
        <v>54</v>
      </c>
      <c r="C821" s="24" t="n">
        <v>46023</v>
      </c>
      <c r="D821" s="24" t="n">
        <v>46053</v>
      </c>
      <c r="E821" s="25">
        <f>D821-C821+1</f>
        <v/>
      </c>
      <c r="F821" s="319">
        <f>J820</f>
        <v/>
      </c>
      <c r="G821" s="319">
        <f>-PMT($N$764/$D$761,21,$F$803,,0)</f>
        <v/>
      </c>
      <c r="H821" s="319">
        <f>$N$764*F821/$D$761</f>
        <v/>
      </c>
      <c r="I821" s="319">
        <f>G821-H821</f>
        <v/>
      </c>
      <c r="J821" s="319">
        <f>F821-I821</f>
        <v/>
      </c>
      <c r="K821" s="516" t="n"/>
      <c r="L821" s="516" t="n"/>
      <c r="N821" s="7" t="n"/>
      <c r="O821" s="7" t="n"/>
    </row>
    <row r="822" customFormat="1" s="237">
      <c r="A822" s="7" t="n"/>
      <c r="B822" s="1" t="n">
        <v>55</v>
      </c>
      <c r="C822" s="24" t="n">
        <v>46054</v>
      </c>
      <c r="D822" s="24" t="n">
        <v>46081</v>
      </c>
      <c r="E822" s="25">
        <f>D822-C822+1</f>
        <v/>
      </c>
      <c r="F822" s="319">
        <f>J821</f>
        <v/>
      </c>
      <c r="G822" s="319">
        <f>-PMT($N$764/$D$761,21,$F$803,,0)</f>
        <v/>
      </c>
      <c r="H822" s="319">
        <f>$N$764*F822/$D$761</f>
        <v/>
      </c>
      <c r="I822" s="319">
        <f>G822-H822</f>
        <v/>
      </c>
      <c r="J822" s="319">
        <f>F822-I822</f>
        <v/>
      </c>
      <c r="K822" s="516" t="n"/>
      <c r="L822" s="516" t="n"/>
      <c r="N822" s="7" t="n"/>
      <c r="O822" s="7" t="n"/>
    </row>
    <row r="823" customFormat="1" s="237">
      <c r="A823" s="7" t="n"/>
      <c r="B823" s="1" t="n">
        <v>56</v>
      </c>
      <c r="C823" s="24" t="n">
        <v>46082</v>
      </c>
      <c r="D823" s="24" t="n">
        <v>46112</v>
      </c>
      <c r="E823" s="25">
        <f>D823-C823+1</f>
        <v/>
      </c>
      <c r="F823" s="319">
        <f>J822</f>
        <v/>
      </c>
      <c r="G823" s="319">
        <f>-PMT($N$764/$D$761,21,$F$803,,0)</f>
        <v/>
      </c>
      <c r="H823" s="319">
        <f>$N$764*F823/$D$761</f>
        <v/>
      </c>
      <c r="I823" s="319">
        <f>G823-H823</f>
        <v/>
      </c>
      <c r="J823" s="319">
        <f>F823-I823</f>
        <v/>
      </c>
      <c r="K823" s="516" t="n"/>
      <c r="L823" s="516" t="n"/>
      <c r="N823" s="7" t="n"/>
      <c r="O823" s="7" t="n"/>
    </row>
    <row r="824" customFormat="1" s="237">
      <c r="A824" s="7" t="n"/>
      <c r="B824" s="1" t="n"/>
      <c r="C824" s="24" t="n"/>
      <c r="D824" s="24" t="n"/>
      <c r="E824" s="25" t="n"/>
      <c r="F824" s="319" t="n"/>
      <c r="G824" s="319" t="n"/>
      <c r="H824" s="319" t="n"/>
      <c r="I824" s="319" t="n"/>
      <c r="J824" s="319" t="n"/>
      <c r="K824" s="516" t="n"/>
      <c r="L824" s="516" t="n"/>
      <c r="N824" s="7" t="n"/>
      <c r="O824" s="7" t="n"/>
    </row>
    <row r="825" customFormat="1" s="237">
      <c r="A825" s="7" t="n"/>
      <c r="B825" s="1" t="n"/>
      <c r="C825" s="1" t="n"/>
      <c r="D825" s="1" t="n"/>
      <c r="E825" s="30">
        <f>SUM(E767:E824)</f>
        <v/>
      </c>
      <c r="F825" s="319" t="n"/>
      <c r="G825" s="319" t="n"/>
      <c r="H825" s="319" t="n"/>
      <c r="I825" s="319" t="n"/>
      <c r="J825" s="319" t="n"/>
      <c r="K825" s="1" t="n"/>
      <c r="L825" s="1" t="n"/>
      <c r="N825" s="7" t="n"/>
      <c r="O825" s="7" t="n"/>
    </row>
    <row r="827" hidden="1"/>
    <row r="828" hidden="1"/>
    <row r="829" hidden="1"/>
    <row r="830" hidden="1">
      <c r="B830" s="1" t="n"/>
      <c r="C830" s="9" t="inlineStr">
        <is>
          <t>Ndagha Sustainable Foods Ltd</t>
        </is>
      </c>
      <c r="D830" s="319" t="n"/>
      <c r="E830" s="319" t="n"/>
      <c r="F830" s="319" t="n"/>
      <c r="G830" s="319" t="n"/>
      <c r="H830" s="319" t="n"/>
      <c r="I830" s="319" t="n"/>
      <c r="J830" s="319" t="n"/>
      <c r="K830" s="319" t="n"/>
      <c r="L830" s="319" t="n"/>
      <c r="R830" s="514" t="inlineStr">
        <is>
          <t>E-Banker account (Dupleix)</t>
        </is>
      </c>
      <c r="S830" s="495">
        <f>IFERROR(INDEX('Blocks'!$I$2:$I$101,MATCH(13,'Blocks'!$A$2:$A$101,0)),"")</f>
        <v/>
      </c>
    </row>
    <row r="831" hidden="1">
      <c r="B831" s="1" t="n"/>
      <c r="C831" s="1" t="n"/>
      <c r="D831" s="319" t="n"/>
      <c r="E831" s="319" t="n"/>
      <c r="F831" s="319" t="n"/>
      <c r="G831" s="319" t="n"/>
      <c r="H831" s="319" t="n"/>
      <c r="I831" s="319" t="n"/>
      <c r="J831" s="319" t="n"/>
      <c r="K831" s="319" t="n"/>
      <c r="L831" s="319" t="n"/>
      <c r="R831" s="514" t="inlineStr">
        <is>
          <t>Facility (Loan Book)</t>
        </is>
      </c>
      <c r="S831" s="495">
        <f>IFERROR(INDEX('Blocks'!$H$2:$H$101,MATCH(13,'Blocks'!$A$2:$A$101,0)),"")</f>
        <v/>
      </c>
    </row>
    <row r="832" hidden="1">
      <c r="B832" s="1" t="n"/>
      <c r="C832" s="10" t="inlineStr">
        <is>
          <t>Principal (MK)</t>
        </is>
      </c>
      <c r="D832" s="11" t="n">
        <v>10000000</v>
      </c>
      <c r="E832" s="319" t="n"/>
      <c r="F832" s="319" t="n"/>
      <c r="G832" s="319">
        <f>D832*D833*8/D837</f>
        <v/>
      </c>
      <c r="H832" s="319" t="inlineStr">
        <is>
          <t>DEC</t>
        </is>
      </c>
      <c r="I832" s="319" t="n"/>
      <c r="J832" s="319" t="n"/>
      <c r="K832" s="319" t="n"/>
      <c r="L832" s="319" t="n"/>
      <c r="R832" s="514" t="inlineStr">
        <is>
          <t>Take-on posting 31 Jul 2024</t>
        </is>
      </c>
      <c r="S832" s="496">
        <f>IFERROR(INDEX('E-Banker master'!$N$2:$N$186,MATCH(S830,'E-Banker master'!$A$2:$A$186,0)),"")</f>
        <v/>
      </c>
    </row>
    <row r="833" hidden="1">
      <c r="B833" s="1" t="n"/>
      <c r="C833" s="13" t="inlineStr">
        <is>
          <t>Rate</t>
        </is>
      </c>
      <c r="D833" s="14" t="n">
        <v>0.1</v>
      </c>
      <c r="E833" s="257" t="n"/>
      <c r="F833" s="319" t="n"/>
      <c r="G833" s="319" t="n"/>
      <c r="H833" s="319" t="n"/>
      <c r="I833" s="319" t="n"/>
      <c r="J833" s="319" t="n"/>
      <c r="K833" s="319" t="n"/>
      <c r="L833" s="319" t="n"/>
      <c r="R833" s="514" t="inlineStr">
        <is>
          <t>E-Banker balance 31 Oct 2024</t>
        </is>
      </c>
      <c r="S833" s="496">
        <f>IFERROR(INDEX('E-Banker master'!$P$2:$P$186,MATCH(S830,'E-Banker master'!$A$2:$A$186,0)),"")</f>
        <v/>
      </c>
    </row>
    <row r="834" hidden="1">
      <c r="B834" s="1" t="n"/>
      <c r="C834" s="13" t="inlineStr">
        <is>
          <t>n</t>
        </is>
      </c>
      <c r="D834" s="16" t="n">
        <v>2</v>
      </c>
      <c r="E834" s="1" t="n"/>
      <c r="F834" s="319" t="n"/>
      <c r="G834" s="319" t="n"/>
      <c r="H834" s="319" t="n"/>
      <c r="I834" s="319" t="n"/>
      <c r="J834" s="319" t="n"/>
      <c r="K834" s="1" t="n"/>
      <c r="L834" s="1" t="n"/>
    </row>
    <row r="835" hidden="1">
      <c r="B835" s="1" t="n"/>
      <c r="C835" s="13" t="inlineStr">
        <is>
          <t>Per</t>
        </is>
      </c>
      <c r="D835" s="16" t="n">
        <v>12</v>
      </c>
      <c r="E835" s="1" t="n"/>
      <c r="F835" s="319" t="n"/>
      <c r="G835" s="319" t="n"/>
      <c r="H835" s="319" t="n"/>
      <c r="I835" s="319" t="n"/>
      <c r="J835" s="319" t="n"/>
      <c r="K835" s="1" t="n"/>
      <c r="L835" s="1" t="n"/>
    </row>
    <row r="836" hidden="1">
      <c r="B836" s="1" t="n"/>
      <c r="C836" s="13" t="inlineStr">
        <is>
          <t>nPer</t>
        </is>
      </c>
      <c r="D836" s="515">
        <f>D834*D835</f>
        <v/>
      </c>
      <c r="E836" s="1" t="n"/>
      <c r="F836" s="319" t="n"/>
      <c r="G836" s="319" t="n"/>
      <c r="H836" s="319" t="n"/>
      <c r="I836" s="319" t="n"/>
      <c r="J836" s="319" t="n"/>
      <c r="K836" s="1" t="n"/>
      <c r="L836" s="1" t="n"/>
    </row>
    <row r="837" hidden="1">
      <c r="B837" s="1" t="n"/>
      <c r="C837" s="13" t="inlineStr">
        <is>
          <t>Days in a year</t>
        </is>
      </c>
      <c r="D837" s="18" t="n">
        <v>365</v>
      </c>
      <c r="E837" s="1" t="n"/>
      <c r="F837" s="319" t="n"/>
      <c r="G837" s="319" t="n"/>
      <c r="H837" s="319" t="n"/>
      <c r="I837" s="319" t="n"/>
      <c r="J837" s="319" t="n"/>
      <c r="K837" s="1" t="n"/>
      <c r="L837" s="1" t="n"/>
    </row>
    <row r="838" hidden="1">
      <c r="B838" s="1" t="n"/>
      <c r="C838" s="19" t="inlineStr">
        <is>
          <t>Pmt (MK)</t>
        </is>
      </c>
      <c r="D838" s="20">
        <f>-PMT(D833/D835,D836,D832,0,0)</f>
        <v/>
      </c>
      <c r="E838" s="319" t="n"/>
      <c r="F838" s="319" t="n"/>
      <c r="G838" s="319" t="n"/>
      <c r="H838" s="319" t="n"/>
      <c r="I838" s="319" t="n"/>
      <c r="J838" s="319" t="n"/>
      <c r="K838" s="1" t="n"/>
      <c r="L838" s="1" t="n"/>
    </row>
    <row r="839" hidden="1">
      <c r="B839" s="1" t="n"/>
      <c r="C839" s="1" t="n"/>
      <c r="D839" s="319" t="n"/>
      <c r="E839" s="319" t="n"/>
      <c r="F839" s="319" t="n"/>
      <c r="G839" s="319" t="n"/>
      <c r="H839" s="319" t="n"/>
      <c r="I839" s="319" t="n"/>
      <c r="J839" s="319" t="n"/>
      <c r="K839" s="1" t="n"/>
      <c r="L839" s="1" t="n"/>
    </row>
    <row r="840" hidden="1">
      <c r="B840" s="1" t="n"/>
      <c r="C840" s="21" t="inlineStr">
        <is>
          <t>Period Start</t>
        </is>
      </c>
      <c r="D840" s="22" t="inlineStr">
        <is>
          <t>Period End</t>
        </is>
      </c>
      <c r="E840" s="22" t="inlineStr">
        <is>
          <t>Days</t>
        </is>
      </c>
      <c r="F840" s="294" t="inlineStr">
        <is>
          <t>Opening bal.</t>
        </is>
      </c>
      <c r="G840" s="294" t="inlineStr">
        <is>
          <t>Pmt</t>
        </is>
      </c>
      <c r="H840" s="294" t="inlineStr">
        <is>
          <t>Interest</t>
        </is>
      </c>
      <c r="I840" s="294" t="inlineStr">
        <is>
          <t>Principal</t>
        </is>
      </c>
      <c r="J840" s="294" t="inlineStr">
        <is>
          <t>Closing balance</t>
        </is>
      </c>
      <c r="K840" s="23" t="inlineStr">
        <is>
          <t>Amount Repaid</t>
        </is>
      </c>
      <c r="L840" s="23" t="inlineStr">
        <is>
          <t>Accumulated Arrears</t>
        </is>
      </c>
    </row>
    <row r="841" hidden="1">
      <c r="B841" s="1" t="n">
        <v>1</v>
      </c>
      <c r="C841" s="24" t="n">
        <v>44562</v>
      </c>
      <c r="D841" s="24" t="n">
        <v>44592</v>
      </c>
      <c r="E841" s="25">
        <f>D841-C841+1</f>
        <v/>
      </c>
      <c r="F841" s="319">
        <f>D832</f>
        <v/>
      </c>
      <c r="G841" s="319">
        <f>-PMT($D$833/$D$835,24,$D$832,,0)</f>
        <v/>
      </c>
      <c r="H841" s="319">
        <f>$D$833/$D$835*F841</f>
        <v/>
      </c>
      <c r="I841" s="319">
        <f>G841-H841</f>
        <v/>
      </c>
      <c r="J841" s="319">
        <f>F841-I841</f>
        <v/>
      </c>
      <c r="K841" s="516" t="n"/>
      <c r="L841" s="516" t="n"/>
    </row>
    <row r="842" hidden="1">
      <c r="B842" s="1" t="n">
        <v>2</v>
      </c>
      <c r="C842" s="24" t="n">
        <v>44593</v>
      </c>
      <c r="D842" s="24" t="n">
        <v>44620</v>
      </c>
      <c r="E842" s="25">
        <f>D842-C842+1</f>
        <v/>
      </c>
      <c r="F842" s="319">
        <f>J841</f>
        <v/>
      </c>
      <c r="G842" s="319">
        <f>-PMT($D$833/$D$835,24,$D$832,,0)</f>
        <v/>
      </c>
      <c r="H842" s="319">
        <f>$D$833/$D$835*F842</f>
        <v/>
      </c>
      <c r="I842" s="319">
        <f>G842-H842</f>
        <v/>
      </c>
      <c r="J842" s="319">
        <f>F842-I842</f>
        <v/>
      </c>
      <c r="K842" s="516" t="n"/>
      <c r="L842" s="516" t="n"/>
    </row>
    <row r="843" hidden="1">
      <c r="B843" s="1" t="n">
        <v>3</v>
      </c>
      <c r="C843" s="24" t="n">
        <v>44621</v>
      </c>
      <c r="D843" s="24" t="n">
        <v>44651</v>
      </c>
      <c r="E843" s="25">
        <f>D843-C843+1</f>
        <v/>
      </c>
      <c r="F843" s="319">
        <f>J842</f>
        <v/>
      </c>
      <c r="G843" s="319">
        <f>-PMT($D$833/$D$835,24,$D$832,,0)</f>
        <v/>
      </c>
      <c r="H843" s="319">
        <f>$D$833/$D$835*F843</f>
        <v/>
      </c>
      <c r="I843" s="319">
        <f>G843-H843</f>
        <v/>
      </c>
      <c r="J843" s="319">
        <f>F843-I843</f>
        <v/>
      </c>
      <c r="K843" s="516" t="n"/>
      <c r="L843" s="516" t="n"/>
    </row>
    <row r="844" hidden="1">
      <c r="B844" s="1" t="n">
        <v>4</v>
      </c>
      <c r="C844" s="24" t="n">
        <v>44652</v>
      </c>
      <c r="D844" s="24" t="n">
        <v>44681</v>
      </c>
      <c r="E844" s="25">
        <f>D844-C844+1</f>
        <v/>
      </c>
      <c r="F844" s="319">
        <f>J843</f>
        <v/>
      </c>
      <c r="G844" s="319">
        <f>-PMT($D$833/$D$835,24,$D$832,,0)</f>
        <v/>
      </c>
      <c r="H844" s="319">
        <f>$D$833/$D$835*F844</f>
        <v/>
      </c>
      <c r="I844" s="319">
        <f>G844-H844</f>
        <v/>
      </c>
      <c r="J844" s="319">
        <f>F844-I844</f>
        <v/>
      </c>
      <c r="K844" s="516" t="n"/>
      <c r="L844" s="516" t="n"/>
    </row>
    <row r="845" hidden="1">
      <c r="B845" s="1" t="n">
        <v>5</v>
      </c>
      <c r="C845" s="24" t="n">
        <v>44682</v>
      </c>
      <c r="D845" s="24" t="n">
        <v>44712</v>
      </c>
      <c r="E845" s="25">
        <f>D845-C845+1</f>
        <v/>
      </c>
      <c r="F845" s="319">
        <f>J844</f>
        <v/>
      </c>
      <c r="G845" s="319">
        <f>-PMT($D$833/$D$835,24,$D$832,,0)</f>
        <v/>
      </c>
      <c r="H845" s="319">
        <f>$D$833/$D$835*F845</f>
        <v/>
      </c>
      <c r="I845" s="319">
        <f>G845-H845</f>
        <v/>
      </c>
      <c r="J845" s="319">
        <f>F845-I845</f>
        <v/>
      </c>
      <c r="K845" s="516" t="n"/>
      <c r="L845" s="516" t="n"/>
    </row>
    <row r="846" hidden="1">
      <c r="B846" s="1" t="n">
        <v>6</v>
      </c>
      <c r="C846" s="24" t="n">
        <v>44713</v>
      </c>
      <c r="D846" s="24" t="n">
        <v>44742</v>
      </c>
      <c r="E846" s="25">
        <f>D846-C846+1</f>
        <v/>
      </c>
      <c r="F846" s="319">
        <f>J845</f>
        <v/>
      </c>
      <c r="G846" s="319">
        <f>-PMT($D$833/$D$835,24,$D$832,,0)</f>
        <v/>
      </c>
      <c r="H846" s="319">
        <f>$D$833/$D$835*F846</f>
        <v/>
      </c>
      <c r="I846" s="319">
        <f>G846-H846</f>
        <v/>
      </c>
      <c r="J846" s="319">
        <f>F846-I846</f>
        <v/>
      </c>
      <c r="K846" s="516" t="n"/>
      <c r="L846" s="516" t="n"/>
    </row>
    <row r="847" hidden="1">
      <c r="B847" s="1" t="n">
        <v>7</v>
      </c>
      <c r="C847" s="24" t="n">
        <v>44743</v>
      </c>
      <c r="D847" s="24" t="n">
        <v>44773</v>
      </c>
      <c r="E847" s="25">
        <f>D847-C847+1</f>
        <v/>
      </c>
      <c r="F847" s="319">
        <f>J846</f>
        <v/>
      </c>
      <c r="G847" s="319">
        <f>-PMT($D$833/$D$835,24,$D$832,,0)</f>
        <v/>
      </c>
      <c r="H847" s="319">
        <f>$D$833/$D$835*F847</f>
        <v/>
      </c>
      <c r="I847" s="319">
        <f>G847-H847</f>
        <v/>
      </c>
      <c r="J847" s="319">
        <f>F847-I847</f>
        <v/>
      </c>
      <c r="K847" s="516" t="n"/>
      <c r="L847" s="516" t="n"/>
    </row>
    <row r="848" hidden="1">
      <c r="B848" s="1" t="n">
        <v>8</v>
      </c>
      <c r="C848" s="24" t="n">
        <v>44774</v>
      </c>
      <c r="D848" s="24" t="n">
        <v>44804</v>
      </c>
      <c r="E848" s="25">
        <f>D848-C848+1</f>
        <v/>
      </c>
      <c r="F848" s="319">
        <f>J847</f>
        <v/>
      </c>
      <c r="G848" s="319">
        <f>-PMT($D$833/$D$835,24,$D$832,,0)</f>
        <v/>
      </c>
      <c r="H848" s="319">
        <f>$D$833/$D$835*F848</f>
        <v/>
      </c>
      <c r="I848" s="319">
        <f>G848-H848</f>
        <v/>
      </c>
      <c r="J848" s="319">
        <f>F848-I848</f>
        <v/>
      </c>
      <c r="K848" s="516" t="n"/>
      <c r="L848" s="519" t="n"/>
    </row>
    <row r="849" hidden="1">
      <c r="B849" s="1" t="n">
        <v>9</v>
      </c>
      <c r="C849" s="24" t="n">
        <v>44805</v>
      </c>
      <c r="D849" s="24" t="n">
        <v>44834</v>
      </c>
      <c r="E849" s="25">
        <f>D849-C849+1</f>
        <v/>
      </c>
      <c r="F849" s="319">
        <f>J848</f>
        <v/>
      </c>
      <c r="G849" s="319">
        <f>-PMT($D$833/$D$835,24,$D$832,,0)</f>
        <v/>
      </c>
      <c r="H849" s="319">
        <f>$D$833/$D$835*F849</f>
        <v/>
      </c>
      <c r="I849" s="319">
        <f>G849-H849</f>
        <v/>
      </c>
      <c r="J849" s="319">
        <f>F849-I849</f>
        <v/>
      </c>
      <c r="K849" s="516" t="n"/>
      <c r="L849" s="516" t="n"/>
    </row>
    <row r="850" hidden="1">
      <c r="B850" s="1" t="n">
        <v>10</v>
      </c>
      <c r="C850" s="24" t="n">
        <v>44835</v>
      </c>
      <c r="D850" s="24" t="n">
        <v>44865</v>
      </c>
      <c r="E850" s="25">
        <f>D850-C850+1</f>
        <v/>
      </c>
      <c r="F850" s="319">
        <f>J849</f>
        <v/>
      </c>
      <c r="G850" s="319">
        <f>-PMT($D$833/$D$835,24,$D$832,,0)</f>
        <v/>
      </c>
      <c r="H850" s="319">
        <f>$D$833/$D$835*F850</f>
        <v/>
      </c>
      <c r="I850" s="319">
        <f>G850-H850</f>
        <v/>
      </c>
      <c r="J850" s="319">
        <f>F850-I850</f>
        <v/>
      </c>
      <c r="K850" s="516" t="n"/>
      <c r="L850" s="516" t="n"/>
    </row>
    <row r="851" hidden="1">
      <c r="B851" s="1" t="n">
        <v>11</v>
      </c>
      <c r="C851" s="24" t="n">
        <v>44866</v>
      </c>
      <c r="D851" s="24" t="n">
        <v>44895</v>
      </c>
      <c r="E851" s="25">
        <f>D851-C851+1</f>
        <v/>
      </c>
      <c r="F851" s="319">
        <f>J850</f>
        <v/>
      </c>
      <c r="G851" s="319">
        <f>-PMT($D$833/$D$835,24,$D$832,,0)</f>
        <v/>
      </c>
      <c r="H851" s="319">
        <f>$D$833/$D$835*F851</f>
        <v/>
      </c>
      <c r="I851" s="319">
        <f>G851-H851</f>
        <v/>
      </c>
      <c r="J851" s="319">
        <f>F851-I851</f>
        <v/>
      </c>
      <c r="K851" s="516" t="n"/>
      <c r="L851" s="519" t="n"/>
    </row>
    <row r="852" hidden="1">
      <c r="B852" s="1" t="n">
        <v>12</v>
      </c>
      <c r="C852" s="24" t="n">
        <v>44896</v>
      </c>
      <c r="D852" s="24" t="n">
        <v>44926</v>
      </c>
      <c r="E852" s="25">
        <f>D852-C852+1</f>
        <v/>
      </c>
      <c r="F852" s="319">
        <f>J851</f>
        <v/>
      </c>
      <c r="G852" s="319">
        <f>-PMT($D$833/$D$835,24,$D$832,,0)</f>
        <v/>
      </c>
      <c r="H852" s="319">
        <f>$D$833/$D$835*F852</f>
        <v/>
      </c>
      <c r="I852" s="319">
        <f>G852-H852</f>
        <v/>
      </c>
      <c r="J852" s="319">
        <f>F852-I852</f>
        <v/>
      </c>
      <c r="K852" s="516" t="n">
        <v>1000000</v>
      </c>
      <c r="L852" s="516">
        <f>SUM(G841:G852)-K852</f>
        <v/>
      </c>
    </row>
    <row r="853" hidden="1">
      <c r="B853" s="1" t="n">
        <v>13</v>
      </c>
      <c r="C853" s="24" t="n">
        <v>44927</v>
      </c>
      <c r="D853" s="24" t="n">
        <v>44957</v>
      </c>
      <c r="E853" s="25">
        <f>D853-C853+1</f>
        <v/>
      </c>
      <c r="F853" s="319">
        <f>J852</f>
        <v/>
      </c>
      <c r="G853" s="319">
        <f>-PMT($D$833/$D$835,24,$D$832,,0)</f>
        <v/>
      </c>
      <c r="H853" s="319">
        <f>$D$833/$D$835*F853</f>
        <v/>
      </c>
      <c r="I853" s="319">
        <f>G853-H853</f>
        <v/>
      </c>
      <c r="J853" s="319">
        <f>F853-I853</f>
        <v/>
      </c>
      <c r="K853" s="516" t="n">
        <v>0</v>
      </c>
      <c r="L853" s="516">
        <f>L852+G853-K853</f>
        <v/>
      </c>
    </row>
    <row r="854" hidden="1">
      <c r="B854" s="1" t="n">
        <v>14</v>
      </c>
      <c r="C854" s="24" t="n">
        <v>44958</v>
      </c>
      <c r="D854" s="24" t="n">
        <v>44985</v>
      </c>
      <c r="E854" s="25">
        <f>D854-C854+1</f>
        <v/>
      </c>
      <c r="F854" s="319">
        <f>J853</f>
        <v/>
      </c>
      <c r="G854" s="319">
        <f>-PMT($D$833/$D$835,24,$D$832,,0)</f>
        <v/>
      </c>
      <c r="H854" s="319">
        <f>$D$833/$D$835*F854</f>
        <v/>
      </c>
      <c r="I854" s="319">
        <f>G854-H854</f>
        <v/>
      </c>
      <c r="J854" s="319">
        <f>F854-I854</f>
        <v/>
      </c>
      <c r="K854" s="516" t="n"/>
      <c r="L854" s="516">
        <f>L853+G854-K854</f>
        <v/>
      </c>
    </row>
    <row r="855" hidden="1">
      <c r="B855" s="1" t="n">
        <v>15</v>
      </c>
      <c r="C855" s="24" t="n">
        <v>44986</v>
      </c>
      <c r="D855" s="24" t="n">
        <v>45016</v>
      </c>
      <c r="E855" s="25">
        <f>D855-C855+1</f>
        <v/>
      </c>
      <c r="F855" s="319">
        <f>J854</f>
        <v/>
      </c>
      <c r="G855" s="319">
        <f>-PMT($D$833/$D$835,24,$D$832,,0)</f>
        <v/>
      </c>
      <c r="H855" s="319">
        <f>$D$833/$D$835*F855</f>
        <v/>
      </c>
      <c r="I855" s="319">
        <f>G855-H855</f>
        <v/>
      </c>
      <c r="J855" s="319">
        <f>F855-I855</f>
        <v/>
      </c>
      <c r="K855" s="516" t="n"/>
      <c r="L855" s="516" t="n"/>
    </row>
    <row r="856" hidden="1">
      <c r="B856" s="1" t="n">
        <v>16</v>
      </c>
      <c r="C856" s="24" t="n">
        <v>45017</v>
      </c>
      <c r="D856" s="24" t="n">
        <v>45046</v>
      </c>
      <c r="E856" s="25">
        <f>D856-C856+1</f>
        <v/>
      </c>
      <c r="F856" s="319">
        <f>J855</f>
        <v/>
      </c>
      <c r="G856" s="319">
        <f>-PMT($D$833/$D$835,24,$D$832,,0)</f>
        <v/>
      </c>
      <c r="H856" s="319">
        <f>$D$833/$D$835*F856</f>
        <v/>
      </c>
      <c r="I856" s="319">
        <f>G856-H856</f>
        <v/>
      </c>
      <c r="J856" s="319">
        <f>F856-I856</f>
        <v/>
      </c>
      <c r="K856" s="516" t="n"/>
      <c r="L856" s="516" t="n"/>
    </row>
    <row r="857" hidden="1">
      <c r="B857" s="1" t="n">
        <v>17</v>
      </c>
      <c r="C857" s="24" t="n">
        <v>45047</v>
      </c>
      <c r="D857" s="24" t="n">
        <v>45077</v>
      </c>
      <c r="E857" s="25">
        <f>D857-C857+1</f>
        <v/>
      </c>
      <c r="F857" s="319">
        <f>J856</f>
        <v/>
      </c>
      <c r="G857" s="319">
        <f>-PMT($D$833/$D$835,24,$D$832,,0)</f>
        <v/>
      </c>
      <c r="H857" s="319">
        <f>$D$833/$D$835*F857</f>
        <v/>
      </c>
      <c r="I857" s="319">
        <f>G857-H857</f>
        <v/>
      </c>
      <c r="J857" s="319">
        <f>F857-I857</f>
        <v/>
      </c>
      <c r="K857" s="516" t="n"/>
      <c r="L857" s="516" t="n"/>
    </row>
    <row r="858" hidden="1">
      <c r="B858" s="1" t="n">
        <v>18</v>
      </c>
      <c r="C858" s="24" t="n">
        <v>45078</v>
      </c>
      <c r="D858" s="24" t="n">
        <v>45107</v>
      </c>
      <c r="E858" s="25">
        <f>D858-C858+1</f>
        <v/>
      </c>
      <c r="F858" s="319">
        <f>J857</f>
        <v/>
      </c>
      <c r="G858" s="319">
        <f>-PMT($D$833/$D$835,24,$D$832,,0)</f>
        <v/>
      </c>
      <c r="H858" s="319">
        <f>$D$833/$D$835*F858</f>
        <v/>
      </c>
      <c r="I858" s="319">
        <f>G858-H858</f>
        <v/>
      </c>
      <c r="J858" s="319">
        <f>F858-I858</f>
        <v/>
      </c>
      <c r="K858" s="516" t="n"/>
      <c r="L858" s="516" t="n"/>
    </row>
    <row r="859" hidden="1">
      <c r="B859" s="1" t="n">
        <v>19</v>
      </c>
      <c r="C859" s="24" t="n">
        <v>45108</v>
      </c>
      <c r="D859" s="24" t="n">
        <v>45138</v>
      </c>
      <c r="E859" s="25">
        <f>D859-C859+1</f>
        <v/>
      </c>
      <c r="F859" s="319">
        <f>J858</f>
        <v/>
      </c>
      <c r="G859" s="319">
        <f>-PMT($D$833/$D$835,24,$D$832,,0)</f>
        <v/>
      </c>
      <c r="H859" s="319">
        <f>$D$833/$D$835*F859</f>
        <v/>
      </c>
      <c r="I859" s="319">
        <f>G859-H859</f>
        <v/>
      </c>
      <c r="J859" s="319">
        <f>F859-I859</f>
        <v/>
      </c>
      <c r="K859" s="516" t="n"/>
      <c r="L859" s="516">
        <f>SUM(G841:G859)-K852</f>
        <v/>
      </c>
    </row>
    <row r="860" hidden="1">
      <c r="B860" s="1" t="n">
        <v>20</v>
      </c>
      <c r="C860" s="24" t="n">
        <v>45139</v>
      </c>
      <c r="D860" s="24" t="n">
        <v>45169</v>
      </c>
      <c r="E860" s="25">
        <f>D860-C860+1</f>
        <v/>
      </c>
      <c r="F860" s="319">
        <f>J859</f>
        <v/>
      </c>
      <c r="G860" s="319">
        <f>-PMT($D$833/$D$835,24,$D$832,,0)</f>
        <v/>
      </c>
      <c r="H860" s="319">
        <f>$D$833/$D$835*F860</f>
        <v/>
      </c>
      <c r="I860" s="319">
        <f>G860-H860</f>
        <v/>
      </c>
      <c r="J860" s="319">
        <f>F860-I860</f>
        <v/>
      </c>
      <c r="K860" s="516" t="n"/>
      <c r="L860" s="516">
        <f>L859</f>
        <v/>
      </c>
    </row>
    <row r="861" hidden="1">
      <c r="B861" s="1" t="n">
        <v>21</v>
      </c>
      <c r="C861" s="24" t="n">
        <v>45170</v>
      </c>
      <c r="D861" s="24" t="n">
        <v>45199</v>
      </c>
      <c r="E861" s="25">
        <f>D861-C861+1</f>
        <v/>
      </c>
      <c r="F861" s="319">
        <f>J860</f>
        <v/>
      </c>
      <c r="G861" s="319">
        <f>-PMT($D$833/$D$835,24,$D$832,,0)</f>
        <v/>
      </c>
      <c r="H861" s="319">
        <f>$D$833/$D$835*F861</f>
        <v/>
      </c>
      <c r="I861" s="319">
        <f>G861-H861</f>
        <v/>
      </c>
      <c r="J861" s="319">
        <f>F861-I861</f>
        <v/>
      </c>
      <c r="K861" s="516" t="n">
        <v>5000000</v>
      </c>
      <c r="L861" s="523">
        <f>L860-K861</f>
        <v/>
      </c>
    </row>
    <row r="862" hidden="1">
      <c r="B862" s="1" t="n">
        <v>22</v>
      </c>
      <c r="C862" s="24" t="n">
        <v>45200</v>
      </c>
      <c r="D862" s="24" t="n">
        <v>45230</v>
      </c>
      <c r="E862" s="25">
        <f>D862-C862+1</f>
        <v/>
      </c>
      <c r="F862" s="319">
        <f>J861</f>
        <v/>
      </c>
      <c r="G862" s="319">
        <f>-PMT($D$833/$D$835,24,$D$832,,0)</f>
        <v/>
      </c>
      <c r="H862" s="319">
        <f>$D$833/$D$835*F862</f>
        <v/>
      </c>
      <c r="I862" s="319">
        <f>G862-H862</f>
        <v/>
      </c>
      <c r="J862" s="319">
        <f>F862-I862</f>
        <v/>
      </c>
      <c r="K862" s="516" t="n"/>
      <c r="L862" s="516" t="n"/>
    </row>
    <row r="863" hidden="1">
      <c r="B863" s="1" t="n">
        <v>23</v>
      </c>
      <c r="C863" s="24" t="n">
        <v>45231</v>
      </c>
      <c r="D863" s="24" t="n">
        <v>45260</v>
      </c>
      <c r="E863" s="25">
        <f>D863-C863+1</f>
        <v/>
      </c>
      <c r="F863" s="319">
        <f>J862</f>
        <v/>
      </c>
      <c r="G863" s="319">
        <f>-PMT($D$833/$D$835,24,$D$832,,0)</f>
        <v/>
      </c>
      <c r="H863" s="319">
        <f>$D$833/$D$835*F863</f>
        <v/>
      </c>
      <c r="I863" s="319">
        <f>G863-H863</f>
        <v/>
      </c>
      <c r="J863" s="319">
        <f>F863-I863</f>
        <v/>
      </c>
      <c r="K863" s="516" t="n"/>
      <c r="L863" s="516" t="n"/>
    </row>
    <row r="864" hidden="1">
      <c r="B864" s="1" t="n">
        <v>24</v>
      </c>
      <c r="C864" s="24" t="n">
        <v>45261</v>
      </c>
      <c r="D864" s="24" t="n">
        <v>45291</v>
      </c>
      <c r="E864" s="25">
        <f>D864-C864+1</f>
        <v/>
      </c>
      <c r="F864" s="319">
        <f>J863</f>
        <v/>
      </c>
      <c r="G864" s="319">
        <f>-PMT($D$833/$D$835,24,$D$832,,0)</f>
        <v/>
      </c>
      <c r="H864" s="319">
        <f>$D$833/$D$835*F864</f>
        <v/>
      </c>
      <c r="I864" s="319">
        <f>G864-H864</f>
        <v/>
      </c>
      <c r="J864" s="319">
        <f>F864-I864</f>
        <v/>
      </c>
      <c r="K864" s="516" t="n">
        <v>7767536</v>
      </c>
      <c r="L864" s="520">
        <f>SUM(G860:G864)+L861-K864+2692753.68</f>
        <v/>
      </c>
    </row>
    <row r="865" hidden="1" ht="14.25" customHeight="1">
      <c r="B865" s="1" t="n"/>
      <c r="C865" s="1" t="n"/>
      <c r="D865" s="1" t="n"/>
      <c r="E865" s="30">
        <f>SUM(E841:E864)</f>
        <v/>
      </c>
      <c r="F865" s="319" t="n"/>
      <c r="G865" s="319" t="n"/>
      <c r="H865" s="319" t="n"/>
      <c r="I865" s="319" t="n"/>
      <c r="J865" s="319" t="n"/>
      <c r="K865" s="1" t="n"/>
      <c r="L865" s="1" t="n"/>
    </row>
    <row r="866" hidden="1"/>
    <row r="867" hidden="1"/>
    <row r="868" hidden="1"/>
    <row r="869" hidden="1"/>
    <row r="870" hidden="1" ht="14.25" customHeight="1"/>
    <row r="871" hidden="1">
      <c r="B871" s="1" t="n"/>
      <c r="C871" s="9" t="inlineStr">
        <is>
          <t>Ecogen Limited</t>
        </is>
      </c>
      <c r="D871" s="319" t="n"/>
      <c r="E871" s="319" t="n"/>
      <c r="F871" s="319" t="n"/>
      <c r="G871" s="319" t="n"/>
      <c r="H871" s="319" t="n"/>
      <c r="I871" s="319" t="n"/>
      <c r="J871" s="319" t="n"/>
      <c r="K871" s="319" t="n"/>
      <c r="L871" s="319" t="n"/>
      <c r="R871" s="514" t="inlineStr">
        <is>
          <t>E-Banker account (Dupleix)</t>
        </is>
      </c>
      <c r="S871" s="495">
        <f>IFERROR(INDEX('Blocks'!$I$2:$I$101,MATCH(14,'Blocks'!$A$2:$A$101,0)),"")</f>
        <v/>
      </c>
    </row>
    <row r="872" hidden="1">
      <c r="B872" s="1" t="n"/>
      <c r="C872" s="1" t="n"/>
      <c r="D872" s="319" t="n"/>
      <c r="E872" s="319" t="n"/>
      <c r="F872" s="319" t="n"/>
      <c r="G872" s="319">
        <f>D873*D874*11/D878</f>
        <v/>
      </c>
      <c r="H872" s="319" t="n"/>
      <c r="I872" s="319" t="n"/>
      <c r="J872" s="319" t="n"/>
      <c r="K872" s="319" t="n"/>
      <c r="L872" s="319" t="n"/>
      <c r="R872" s="514" t="inlineStr">
        <is>
          <t>Facility (Loan Book)</t>
        </is>
      </c>
      <c r="S872" s="495">
        <f>IFERROR(INDEX('Blocks'!$H$2:$H$101,MATCH(14,'Blocks'!$A$2:$A$101,0)),"")</f>
        <v/>
      </c>
    </row>
    <row r="873" hidden="1">
      <c r="B873" s="1" t="n"/>
      <c r="C873" s="10" t="inlineStr">
        <is>
          <t>Principal (MK)</t>
        </is>
      </c>
      <c r="D873" s="11" t="n">
        <v>20000000</v>
      </c>
      <c r="E873" s="319" t="n"/>
      <c r="F873" s="319" t="n"/>
      <c r="G873" s="319" t="n"/>
      <c r="H873" s="319" t="n"/>
      <c r="I873" s="319" t="n"/>
      <c r="J873" s="319" t="n"/>
      <c r="K873" s="319" t="n"/>
      <c r="L873" s="319" t="n"/>
      <c r="R873" s="514" t="inlineStr">
        <is>
          <t>Take-on posting 31 Jul 2024</t>
        </is>
      </c>
      <c r="S873" s="496">
        <f>IFERROR(INDEX('E-Banker master'!$N$2:$N$186,MATCH(S871,'E-Banker master'!$A$2:$A$186,0)),"")</f>
        <v/>
      </c>
    </row>
    <row r="874" hidden="1">
      <c r="B874" s="1" t="n"/>
      <c r="C874" s="13" t="inlineStr">
        <is>
          <t>Rate</t>
        </is>
      </c>
      <c r="D874" s="14" t="n">
        <v>0.1</v>
      </c>
      <c r="E874" s="257" t="n"/>
      <c r="F874" s="319" t="n"/>
      <c r="G874" s="319" t="n"/>
      <c r="H874" s="319" t="n"/>
      <c r="I874" s="319" t="n"/>
      <c r="J874" s="319" t="n"/>
      <c r="K874" s="319" t="n"/>
      <c r="L874" s="319" t="n"/>
      <c r="R874" s="514" t="inlineStr">
        <is>
          <t>E-Banker balance 31 Oct 2024</t>
        </is>
      </c>
      <c r="S874" s="496">
        <f>IFERROR(INDEX('E-Banker master'!$P$2:$P$186,MATCH(S871,'E-Banker master'!$A$2:$A$186,0)),"")</f>
        <v/>
      </c>
    </row>
    <row r="875" hidden="1">
      <c r="B875" s="1" t="n"/>
      <c r="C875" s="13" t="inlineStr">
        <is>
          <t>n</t>
        </is>
      </c>
      <c r="D875" s="16" t="n">
        <v>2</v>
      </c>
      <c r="E875" s="1" t="n"/>
      <c r="F875" s="319" t="n"/>
      <c r="G875" s="319" t="n"/>
      <c r="H875" s="319" t="n"/>
      <c r="I875" s="319" t="n"/>
      <c r="J875" s="319" t="n"/>
      <c r="K875" s="1" t="n"/>
      <c r="L875" s="1" t="n"/>
    </row>
    <row r="876" hidden="1">
      <c r="B876" s="1" t="n"/>
      <c r="C876" s="13" t="inlineStr">
        <is>
          <t>Per</t>
        </is>
      </c>
      <c r="D876" s="16" t="n">
        <v>12</v>
      </c>
      <c r="E876" s="1" t="n"/>
      <c r="F876" s="319" t="n"/>
      <c r="G876" s="319" t="n"/>
      <c r="H876" s="319" t="n"/>
      <c r="I876" s="319" t="n"/>
      <c r="J876" s="319" t="n"/>
      <c r="K876" s="1" t="n"/>
      <c r="L876" s="1" t="n"/>
    </row>
    <row r="877" hidden="1">
      <c r="B877" s="1" t="n"/>
      <c r="C877" s="13" t="inlineStr">
        <is>
          <t>nPer</t>
        </is>
      </c>
      <c r="D877" s="515">
        <f>D875*D876</f>
        <v/>
      </c>
      <c r="E877" s="1" t="n"/>
      <c r="F877" s="319" t="n"/>
      <c r="G877" s="319" t="n"/>
      <c r="H877" s="319" t="n"/>
      <c r="I877" s="319" t="n"/>
      <c r="J877" s="319" t="n"/>
      <c r="K877" s="1" t="n"/>
      <c r="L877" s="1" t="n"/>
    </row>
    <row r="878" hidden="1">
      <c r="B878" s="1" t="n"/>
      <c r="C878" s="13" t="inlineStr">
        <is>
          <t>Days in a year</t>
        </is>
      </c>
      <c r="D878" s="18" t="n">
        <v>365</v>
      </c>
      <c r="E878" s="1" t="n"/>
      <c r="F878" s="319" t="n"/>
      <c r="G878" s="319" t="n"/>
      <c r="H878" s="319" t="n"/>
      <c r="I878" s="319" t="n"/>
      <c r="J878" s="319" t="n"/>
      <c r="K878" s="1" t="n"/>
      <c r="L878" s="1" t="n"/>
    </row>
    <row r="879" hidden="1">
      <c r="B879" s="1" t="n"/>
      <c r="C879" s="19" t="inlineStr">
        <is>
          <t>Pmt (MK)</t>
        </is>
      </c>
      <c r="D879" s="20">
        <f>-PMT(D874/D876,D877,D873,0,0)</f>
        <v/>
      </c>
      <c r="E879" s="319" t="n"/>
      <c r="F879" s="319" t="n"/>
      <c r="G879" s="319" t="n"/>
      <c r="H879" s="319" t="n"/>
      <c r="I879" s="319" t="n"/>
      <c r="J879" s="319" t="n"/>
      <c r="K879" s="1" t="n"/>
      <c r="L879" s="1" t="n"/>
    </row>
    <row r="880" hidden="1">
      <c r="B880" s="1" t="n"/>
      <c r="C880" s="1" t="n"/>
      <c r="D880" s="319" t="n"/>
      <c r="E880" s="319" t="n"/>
      <c r="F880" s="319" t="n"/>
      <c r="G880" s="319" t="n"/>
      <c r="H880" s="319" t="n"/>
      <c r="I880" s="319" t="n"/>
      <c r="J880" s="319" t="n"/>
      <c r="K880" s="1" t="n"/>
      <c r="L880" s="1" t="n"/>
    </row>
    <row r="881" hidden="1">
      <c r="B881" s="1" t="n"/>
      <c r="C881" s="21" t="inlineStr">
        <is>
          <t>Period Start</t>
        </is>
      </c>
      <c r="D881" s="22" t="inlineStr">
        <is>
          <t>Period End</t>
        </is>
      </c>
      <c r="E881" s="22" t="inlineStr">
        <is>
          <t>Days</t>
        </is>
      </c>
      <c r="F881" s="294" t="inlineStr">
        <is>
          <t>Opening bal.</t>
        </is>
      </c>
      <c r="G881" s="294" t="inlineStr">
        <is>
          <t>Pmt</t>
        </is>
      </c>
      <c r="H881" s="294" t="inlineStr">
        <is>
          <t>Interest</t>
        </is>
      </c>
      <c r="I881" s="294" t="inlineStr">
        <is>
          <t>Principal</t>
        </is>
      </c>
      <c r="J881" s="294" t="inlineStr">
        <is>
          <t>Closing balance</t>
        </is>
      </c>
      <c r="K881" s="23" t="inlineStr">
        <is>
          <t>Amount Repaid</t>
        </is>
      </c>
      <c r="L881" s="23" t="inlineStr">
        <is>
          <t>Accumulated Arrears</t>
        </is>
      </c>
    </row>
    <row r="882" hidden="1">
      <c r="B882" s="1" t="n">
        <v>1</v>
      </c>
      <c r="C882" s="24" t="n">
        <v>44562</v>
      </c>
      <c r="D882" s="24" t="n">
        <v>44592</v>
      </c>
      <c r="E882" s="25">
        <f>D882-C882+1</f>
        <v/>
      </c>
      <c r="F882" s="319">
        <f>D873</f>
        <v/>
      </c>
      <c r="G882" s="319" t="n"/>
      <c r="H882" s="319">
        <f>$D$874/$D$876*F882</f>
        <v/>
      </c>
      <c r="I882" s="319">
        <f>G882-H882</f>
        <v/>
      </c>
      <c r="J882" s="319">
        <f>F882-I882</f>
        <v/>
      </c>
      <c r="K882" s="516" t="n"/>
      <c r="L882" s="516" t="n"/>
    </row>
    <row r="883" hidden="1">
      <c r="B883" s="1" t="n">
        <v>2</v>
      </c>
      <c r="C883" s="24" t="n">
        <v>44593</v>
      </c>
      <c r="D883" s="24" t="n">
        <v>44620</v>
      </c>
      <c r="E883" s="25">
        <f>D883-C883+1</f>
        <v/>
      </c>
      <c r="F883" s="319">
        <f>J882</f>
        <v/>
      </c>
      <c r="G883" s="319" t="n"/>
      <c r="H883" s="319">
        <f>$D$874/$D$876*F883</f>
        <v/>
      </c>
      <c r="I883" s="319">
        <f>G883-H883</f>
        <v/>
      </c>
      <c r="J883" s="319">
        <f>F883-I883</f>
        <v/>
      </c>
      <c r="K883" s="516" t="n"/>
      <c r="L883" s="516" t="n"/>
    </row>
    <row r="884" hidden="1">
      <c r="B884" s="1" t="n">
        <v>3</v>
      </c>
      <c r="C884" s="24" t="n">
        <v>44621</v>
      </c>
      <c r="D884" s="24" t="n">
        <v>44651</v>
      </c>
      <c r="E884" s="25">
        <f>D884-C884+1</f>
        <v/>
      </c>
      <c r="F884" s="319">
        <f>J883</f>
        <v/>
      </c>
      <c r="G884" s="319" t="n"/>
      <c r="H884" s="319">
        <f>$D$874/$D$876*F884</f>
        <v/>
      </c>
      <c r="I884" s="319">
        <f>G884-H884</f>
        <v/>
      </c>
      <c r="J884" s="319">
        <f>F884-I884</f>
        <v/>
      </c>
      <c r="K884" s="516" t="n"/>
      <c r="L884" s="516" t="n"/>
    </row>
    <row r="885" hidden="1">
      <c r="B885" s="1" t="n">
        <v>4</v>
      </c>
      <c r="C885" s="24" t="n">
        <v>44652</v>
      </c>
      <c r="D885" s="24" t="n">
        <v>44681</v>
      </c>
      <c r="E885" s="25">
        <f>D885-C885+1</f>
        <v/>
      </c>
      <c r="F885" s="319">
        <f>J884</f>
        <v/>
      </c>
      <c r="G885" s="319" t="n"/>
      <c r="H885" s="319">
        <f>$D$874/$D$876*F885</f>
        <v/>
      </c>
      <c r="I885" s="319">
        <f>G885-H885</f>
        <v/>
      </c>
      <c r="J885" s="319">
        <f>F885-I885</f>
        <v/>
      </c>
      <c r="K885" s="516" t="n"/>
      <c r="L885" s="516" t="n"/>
    </row>
    <row r="886" hidden="1">
      <c r="B886" s="1" t="n">
        <v>5</v>
      </c>
      <c r="C886" s="24" t="n">
        <v>44682</v>
      </c>
      <c r="D886" s="24" t="n">
        <v>44712</v>
      </c>
      <c r="E886" s="25">
        <f>D886-C886+1</f>
        <v/>
      </c>
      <c r="F886" s="319">
        <f>J885</f>
        <v/>
      </c>
      <c r="G886" s="319" t="n"/>
      <c r="H886" s="319">
        <f>$D$874/$D$876*F886</f>
        <v/>
      </c>
      <c r="I886" s="319">
        <f>G886-H886</f>
        <v/>
      </c>
      <c r="J886" s="319">
        <f>F886-I886</f>
        <v/>
      </c>
      <c r="K886" s="516" t="n"/>
      <c r="L886" s="516" t="n"/>
    </row>
    <row r="887" hidden="1">
      <c r="B887" s="1" t="n">
        <v>6</v>
      </c>
      <c r="C887" s="24" t="n">
        <v>44713</v>
      </c>
      <c r="D887" s="24" t="n">
        <v>44742</v>
      </c>
      <c r="E887" s="25">
        <f>D887-C887+1</f>
        <v/>
      </c>
      <c r="F887" s="319">
        <f>J886</f>
        <v/>
      </c>
      <c r="G887" s="319" t="n"/>
      <c r="H887" s="319">
        <f>$D$874/$D$876*F887</f>
        <v/>
      </c>
      <c r="I887" s="319">
        <f>G887-H887</f>
        <v/>
      </c>
      <c r="J887" s="319">
        <f>F887-I887</f>
        <v/>
      </c>
      <c r="K887" s="516" t="n"/>
      <c r="L887" s="516" t="n"/>
    </row>
    <row r="888" hidden="1">
      <c r="B888" s="1" t="n">
        <v>7</v>
      </c>
      <c r="C888" s="24" t="n">
        <v>44743</v>
      </c>
      <c r="D888" s="24" t="n">
        <v>44773</v>
      </c>
      <c r="E888" s="25">
        <f>D888-C888+1</f>
        <v/>
      </c>
      <c r="F888" s="319">
        <f>J887</f>
        <v/>
      </c>
      <c r="G888" s="319">
        <f>-PMT($D$874/$D$876,18,$F$888,,0)</f>
        <v/>
      </c>
      <c r="H888" s="319">
        <f>$D$874/$D$876*F888</f>
        <v/>
      </c>
      <c r="I888" s="319">
        <f>G888-H888</f>
        <v/>
      </c>
      <c r="J888" s="319">
        <f>F888-I888</f>
        <v/>
      </c>
      <c r="K888" s="516" t="n"/>
      <c r="L888" s="516">
        <f>G872+G888</f>
        <v/>
      </c>
    </row>
    <row r="889" hidden="1">
      <c r="B889" s="1" t="n">
        <v>8</v>
      </c>
      <c r="C889" s="24" t="n">
        <v>44774</v>
      </c>
      <c r="D889" s="24" t="n">
        <v>44804</v>
      </c>
      <c r="E889" s="25">
        <f>D889-C889+1</f>
        <v/>
      </c>
      <c r="F889" s="319">
        <f>J888</f>
        <v/>
      </c>
      <c r="G889" s="319">
        <f>-PMT($D$874/$D$876,18,$F$888,,0)</f>
        <v/>
      </c>
      <c r="H889" s="319">
        <f>$D$874/$D$876*F889</f>
        <v/>
      </c>
      <c r="I889" s="319">
        <f>G889-H889</f>
        <v/>
      </c>
      <c r="J889" s="319">
        <f>F889-I889</f>
        <v/>
      </c>
      <c r="K889" s="516" t="n">
        <v>1300000</v>
      </c>
      <c r="L889" s="516">
        <f>L888+G889-K889</f>
        <v/>
      </c>
    </row>
    <row r="890" hidden="1">
      <c r="B890" s="1" t="n">
        <v>9</v>
      </c>
      <c r="C890" s="24" t="n">
        <v>44805</v>
      </c>
      <c r="D890" s="24" t="n">
        <v>44834</v>
      </c>
      <c r="E890" s="25">
        <f>D890-C890+1</f>
        <v/>
      </c>
      <c r="F890" s="319">
        <f>J889</f>
        <v/>
      </c>
      <c r="G890" s="319">
        <f>-PMT($D$874/$D$876,18,$F$888,,0)</f>
        <v/>
      </c>
      <c r="H890" s="319">
        <f>$D$874/$D$876*F890</f>
        <v/>
      </c>
      <c r="I890" s="319">
        <f>G890-H890</f>
        <v/>
      </c>
      <c r="J890" s="319">
        <f>F890-I890</f>
        <v/>
      </c>
      <c r="K890" s="516">
        <f>1300000+1300000</f>
        <v/>
      </c>
      <c r="L890" s="516">
        <f>L889+G890-K890</f>
        <v/>
      </c>
    </row>
    <row r="891" hidden="1">
      <c r="B891" s="1" t="n">
        <v>10</v>
      </c>
      <c r="C891" s="24" t="n">
        <v>44835</v>
      </c>
      <c r="D891" s="24" t="n">
        <v>44865</v>
      </c>
      <c r="E891" s="25">
        <f>D891-C891+1</f>
        <v/>
      </c>
      <c r="F891" s="319">
        <f>J890</f>
        <v/>
      </c>
      <c r="G891" s="319">
        <f>-PMT($D$874/$D$876,18,$F$888,,0)</f>
        <v/>
      </c>
      <c r="H891" s="319">
        <f>$D$874/$D$876*F891</f>
        <v/>
      </c>
      <c r="I891" s="319">
        <f>G891-H891</f>
        <v/>
      </c>
      <c r="J891" s="319">
        <f>F891-I891</f>
        <v/>
      </c>
      <c r="K891" s="516" t="n"/>
      <c r="L891" s="516">
        <f>L890+G891-K891</f>
        <v/>
      </c>
    </row>
    <row r="892" hidden="1">
      <c r="B892" s="1" t="n">
        <v>11</v>
      </c>
      <c r="C892" s="24" t="n">
        <v>44866</v>
      </c>
      <c r="D892" s="24" t="n">
        <v>44895</v>
      </c>
      <c r="E892" s="25">
        <f>D892-C892+1</f>
        <v/>
      </c>
      <c r="F892" s="319">
        <f>J891</f>
        <v/>
      </c>
      <c r="G892" s="319">
        <f>-PMT($D$874/$D$876,18,$F$888,,0)</f>
        <v/>
      </c>
      <c r="H892" s="319">
        <f>$D$874/$D$876*F892</f>
        <v/>
      </c>
      <c r="I892" s="319">
        <f>G892-H892</f>
        <v/>
      </c>
      <c r="J892" s="319">
        <f>F892-I892</f>
        <v/>
      </c>
      <c r="K892" s="516" t="n">
        <v>1300000</v>
      </c>
      <c r="L892" s="516">
        <f>L891+G892-K892</f>
        <v/>
      </c>
    </row>
    <row r="893" hidden="1">
      <c r="B893" s="1" t="n">
        <v>12</v>
      </c>
      <c r="C893" s="24" t="n">
        <v>44896</v>
      </c>
      <c r="D893" s="24" t="n">
        <v>44926</v>
      </c>
      <c r="E893" s="25">
        <f>D893-C893+1</f>
        <v/>
      </c>
      <c r="F893" s="319">
        <f>J892</f>
        <v/>
      </c>
      <c r="G893" s="319">
        <f>-PMT($D$874/$D$876,18,$F$888,,0)</f>
        <v/>
      </c>
      <c r="H893" s="319">
        <f>$D$874/$D$876*F893</f>
        <v/>
      </c>
      <c r="I893" s="319">
        <f>G893-H893</f>
        <v/>
      </c>
      <c r="J893" s="319">
        <f>F893-I893</f>
        <v/>
      </c>
      <c r="K893" s="516" t="n">
        <v>1300000</v>
      </c>
      <c r="L893" s="516">
        <f>L892+G893-K893</f>
        <v/>
      </c>
    </row>
    <row r="894" hidden="1">
      <c r="B894" s="1" t="n">
        <v>13</v>
      </c>
      <c r="C894" s="24" t="n">
        <v>44927</v>
      </c>
      <c r="D894" s="24" t="n">
        <v>44957</v>
      </c>
      <c r="E894" s="25">
        <f>D894-C894+1</f>
        <v/>
      </c>
      <c r="F894" s="319">
        <f>J893</f>
        <v/>
      </c>
      <c r="G894" s="319">
        <f>-PMT($D$874/$D$876,18,$F$888,,0)</f>
        <v/>
      </c>
      <c r="H894" s="319">
        <f>$D$874/$D$876*F894</f>
        <v/>
      </c>
      <c r="I894" s="319">
        <f>G894-H894</f>
        <v/>
      </c>
      <c r="J894" s="319">
        <f>F894-I894</f>
        <v/>
      </c>
      <c r="K894" s="516" t="n">
        <v>1300000</v>
      </c>
      <c r="L894" s="516">
        <f>L893+G894-K894</f>
        <v/>
      </c>
    </row>
    <row r="895" hidden="1">
      <c r="B895" s="1" t="n">
        <v>14</v>
      </c>
      <c r="C895" s="24" t="n">
        <v>44958</v>
      </c>
      <c r="D895" s="24" t="n">
        <v>44985</v>
      </c>
      <c r="E895" s="25">
        <f>D895-C895+1</f>
        <v/>
      </c>
      <c r="F895" s="319">
        <f>J894</f>
        <v/>
      </c>
      <c r="G895" s="319">
        <f>-PMT($D$874/$D$876,18,$F$888,,0)</f>
        <v/>
      </c>
      <c r="H895" s="319">
        <f>$D$874/$D$876*F895</f>
        <v/>
      </c>
      <c r="I895" s="319">
        <f>G895-H895</f>
        <v/>
      </c>
      <c r="J895" s="319">
        <f>F895-I895</f>
        <v/>
      </c>
      <c r="K895" s="516" t="n">
        <v>0</v>
      </c>
      <c r="L895" s="516">
        <f>L894+G895-K895</f>
        <v/>
      </c>
    </row>
    <row r="896" hidden="1">
      <c r="B896" s="1" t="n">
        <v>15</v>
      </c>
      <c r="C896" s="24" t="n">
        <v>44986</v>
      </c>
      <c r="D896" s="24" t="n">
        <v>45016</v>
      </c>
      <c r="E896" s="25">
        <f>D896-C896+1</f>
        <v/>
      </c>
      <c r="F896" s="319">
        <f>J895</f>
        <v/>
      </c>
      <c r="G896" s="319">
        <f>-PMT($D$874/$D$876,18,$F$888,,0)</f>
        <v/>
      </c>
      <c r="H896" s="319">
        <f>$D$874/$D$876*F896</f>
        <v/>
      </c>
      <c r="I896" s="319">
        <f>G896-H896</f>
        <v/>
      </c>
      <c r="J896" s="319">
        <f>F896-I896</f>
        <v/>
      </c>
      <c r="K896" s="516">
        <f>2600000+1300000</f>
        <v/>
      </c>
      <c r="L896" s="516">
        <f>L895+G896-K896</f>
        <v/>
      </c>
    </row>
    <row r="897" hidden="1">
      <c r="B897" s="1" t="n">
        <v>16</v>
      </c>
      <c r="C897" s="24" t="n">
        <v>45017</v>
      </c>
      <c r="D897" s="24" t="n">
        <v>45046</v>
      </c>
      <c r="E897" s="25">
        <f>D897-C897+1</f>
        <v/>
      </c>
      <c r="F897" s="319">
        <f>J896</f>
        <v/>
      </c>
      <c r="G897" s="319">
        <f>-PMT($D$874/$D$876,18,$F$888,,0)</f>
        <v/>
      </c>
      <c r="H897" s="319">
        <f>$D$874/$D$876*F897</f>
        <v/>
      </c>
      <c r="I897" s="319">
        <f>G897-H897</f>
        <v/>
      </c>
      <c r="J897" s="319">
        <f>F897-I897</f>
        <v/>
      </c>
      <c r="K897" s="516" t="n">
        <v>0</v>
      </c>
      <c r="L897" s="516">
        <f>L896+G897-K897</f>
        <v/>
      </c>
    </row>
    <row r="898" hidden="1">
      <c r="B898" s="1" t="n">
        <v>17</v>
      </c>
      <c r="C898" s="24" t="n">
        <v>45047</v>
      </c>
      <c r="D898" s="24" t="n">
        <v>45077</v>
      </c>
      <c r="E898" s="25">
        <f>D898-C898+1</f>
        <v/>
      </c>
      <c r="F898" s="319">
        <f>J897</f>
        <v/>
      </c>
      <c r="G898" s="319">
        <f>-PMT($D$874/$D$876,18,$F$888,,0)</f>
        <v/>
      </c>
      <c r="H898" s="319">
        <f>$D$874/$D$876*F898</f>
        <v/>
      </c>
      <c r="I898" s="319">
        <f>G898-H898</f>
        <v/>
      </c>
      <c r="J898" s="319">
        <f>F898-I898</f>
        <v/>
      </c>
      <c r="K898" s="516" t="n">
        <v>0</v>
      </c>
      <c r="L898" s="516">
        <f>L897+G898-K898</f>
        <v/>
      </c>
    </row>
    <row r="899" hidden="1">
      <c r="B899" s="1" t="n">
        <v>18</v>
      </c>
      <c r="C899" s="24" t="n">
        <v>45078</v>
      </c>
      <c r="D899" s="24" t="n">
        <v>45107</v>
      </c>
      <c r="E899" s="25">
        <f>D899-C899+1</f>
        <v/>
      </c>
      <c r="F899" s="319">
        <f>J898</f>
        <v/>
      </c>
      <c r="G899" s="319">
        <f>-PMT($D$874/$D$876,18,$F$888,,0)</f>
        <v/>
      </c>
      <c r="H899" s="319">
        <f>$D$874/$D$876*F899</f>
        <v/>
      </c>
      <c r="I899" s="319">
        <f>G899-H899</f>
        <v/>
      </c>
      <c r="J899" s="319">
        <f>F899-I899</f>
        <v/>
      </c>
      <c r="K899" s="516" t="n">
        <v>2500000</v>
      </c>
      <c r="L899" s="519">
        <f>L898+G899-K899</f>
        <v/>
      </c>
    </row>
    <row r="900" hidden="1">
      <c r="B900" s="1" t="n">
        <v>19</v>
      </c>
      <c r="C900" s="24" t="n">
        <v>45108</v>
      </c>
      <c r="D900" s="24" t="n">
        <v>45138</v>
      </c>
      <c r="E900" s="25">
        <f>D900-C900+1</f>
        <v/>
      </c>
      <c r="F900" s="319">
        <f>J899</f>
        <v/>
      </c>
      <c r="G900" s="319">
        <f>-PMT($D$874/$D$876,18,$F$888,,0)</f>
        <v/>
      </c>
      <c r="H900" s="319">
        <f>$D$874/$D$876*F900</f>
        <v/>
      </c>
      <c r="I900" s="319">
        <f>G900-H900</f>
        <v/>
      </c>
      <c r="J900" s="319">
        <f>F900-I900</f>
        <v/>
      </c>
      <c r="K900" s="516" t="n"/>
      <c r="L900" s="519">
        <f>L899+G900-K900</f>
        <v/>
      </c>
    </row>
    <row r="901" hidden="1">
      <c r="B901" s="1" t="n">
        <v>20</v>
      </c>
      <c r="C901" s="24" t="n">
        <v>45139</v>
      </c>
      <c r="D901" s="24" t="n">
        <v>45169</v>
      </c>
      <c r="E901" s="25">
        <f>D901-C901+1</f>
        <v/>
      </c>
      <c r="F901" s="319">
        <f>J900</f>
        <v/>
      </c>
      <c r="G901" s="319">
        <f>-PMT($D$874/$D$876,18,$F$888,,0)</f>
        <v/>
      </c>
      <c r="H901" s="319">
        <f>$D$874/$D$876*F901</f>
        <v/>
      </c>
      <c r="I901" s="319">
        <f>G901-H901</f>
        <v/>
      </c>
      <c r="J901" s="319">
        <f>F901-I901</f>
        <v/>
      </c>
      <c r="K901" s="516" t="n">
        <v>2272304.14</v>
      </c>
      <c r="L901" s="516">
        <f>L900+G901-K901</f>
        <v/>
      </c>
    </row>
    <row r="902" hidden="1">
      <c r="B902" s="1" t="n">
        <v>21</v>
      </c>
      <c r="C902" s="24" t="n">
        <v>45170</v>
      </c>
      <c r="D902" s="24" t="n">
        <v>45199</v>
      </c>
      <c r="E902" s="25">
        <f>D902-C902+1</f>
        <v/>
      </c>
      <c r="F902" s="319">
        <f>J901</f>
        <v/>
      </c>
      <c r="G902" s="319">
        <f>-PMT($D$874/$D$876,18,$F$888,,0)</f>
        <v/>
      </c>
      <c r="H902" s="319">
        <f>$D$874/$D$876*F902</f>
        <v/>
      </c>
      <c r="I902" s="319">
        <f>G902-H902</f>
        <v/>
      </c>
      <c r="J902" s="319">
        <f>F902-I902</f>
        <v/>
      </c>
      <c r="K902" s="516">
        <f>1300000+1300000</f>
        <v/>
      </c>
      <c r="L902" s="516">
        <f>L901+G902-K902</f>
        <v/>
      </c>
    </row>
    <row r="903" hidden="1">
      <c r="B903" s="1" t="n">
        <v>22</v>
      </c>
      <c r="C903" s="24" t="n">
        <v>45200</v>
      </c>
      <c r="D903" s="24" t="n">
        <v>45230</v>
      </c>
      <c r="E903" s="25">
        <f>D903-C903+1</f>
        <v/>
      </c>
      <c r="F903" s="319">
        <f>J902</f>
        <v/>
      </c>
      <c r="G903" s="319">
        <f>-PMT($D$874/$D$876,18,$F$888,,0)</f>
        <v/>
      </c>
      <c r="H903" s="319">
        <f>$D$874/$D$876*F903</f>
        <v/>
      </c>
      <c r="I903" s="319">
        <f>G903-H903</f>
        <v/>
      </c>
      <c r="J903" s="319">
        <f>F903-I903</f>
        <v/>
      </c>
      <c r="K903" s="516" t="n"/>
      <c r="L903" s="516">
        <f>L902+G903-K903</f>
        <v/>
      </c>
    </row>
    <row r="904" hidden="1">
      <c r="B904" s="1" t="n">
        <v>23</v>
      </c>
      <c r="C904" s="24" t="n">
        <v>45231</v>
      </c>
      <c r="D904" s="24" t="n">
        <v>45260</v>
      </c>
      <c r="E904" s="25">
        <f>D904-C904+1</f>
        <v/>
      </c>
      <c r="F904" s="319">
        <f>J903</f>
        <v/>
      </c>
      <c r="G904" s="319">
        <f>-PMT($D$874/$D$876,18,$F$888,,0)</f>
        <v/>
      </c>
      <c r="H904" s="319">
        <f>$D$874/$D$876*F904</f>
        <v/>
      </c>
      <c r="I904" s="319">
        <f>G904-H904</f>
        <v/>
      </c>
      <c r="J904" s="319">
        <f>F904-I904</f>
        <v/>
      </c>
      <c r="K904" s="516" t="n">
        <v>1300000</v>
      </c>
      <c r="L904" s="516">
        <f>L903+G904-K904</f>
        <v/>
      </c>
    </row>
    <row r="905" hidden="1">
      <c r="B905" s="1" t="n">
        <v>24</v>
      </c>
      <c r="C905" s="24" t="n">
        <v>45261</v>
      </c>
      <c r="D905" s="24" t="n">
        <v>45291</v>
      </c>
      <c r="E905" s="25">
        <f>D905-C905+1</f>
        <v/>
      </c>
      <c r="F905" s="319">
        <f>J904</f>
        <v/>
      </c>
      <c r="G905" s="319">
        <f>-PMT($D$874/$D$876,18,$F$888,,0)</f>
        <v/>
      </c>
      <c r="H905" s="319">
        <f>$D$874/$D$876*F905</f>
        <v/>
      </c>
      <c r="I905" s="319">
        <f>G905-H905</f>
        <v/>
      </c>
      <c r="J905" s="319">
        <f>F905-I905</f>
        <v/>
      </c>
      <c r="K905" s="516" t="n">
        <v>2412319.31</v>
      </c>
      <c r="L905" s="520">
        <f>L904+G905-K905</f>
        <v/>
      </c>
    </row>
    <row r="906" hidden="1" ht="14.25" customHeight="1">
      <c r="B906" s="1" t="n"/>
      <c r="C906" s="1" t="n"/>
      <c r="D906" s="1" t="n"/>
      <c r="E906" s="30">
        <f>SUM(E882:E905)</f>
        <v/>
      </c>
      <c r="F906" s="319" t="n"/>
      <c r="G906" s="319" t="n"/>
      <c r="H906" s="319" t="n"/>
      <c r="I906" s="319" t="n"/>
      <c r="J906" s="319" t="n"/>
      <c r="K906" s="1" t="n"/>
      <c r="L906" s="1" t="n"/>
    </row>
    <row r="907" hidden="1"/>
    <row r="911">
      <c r="B911" s="1" t="n"/>
      <c r="C911" s="9" t="inlineStr">
        <is>
          <t>Zaithwa Farms</t>
        </is>
      </c>
      <c r="D911" s="319" t="n"/>
      <c r="E911" s="319" t="n"/>
      <c r="F911" s="319" t="n"/>
      <c r="G911" s="319" t="n"/>
      <c r="H911" s="319" t="n"/>
      <c r="I911" s="319" t="n"/>
      <c r="J911" s="319" t="n"/>
      <c r="K911" s="319" t="n"/>
      <c r="L911" s="319" t="n"/>
      <c r="R911" s="514" t="inlineStr">
        <is>
          <t>E-Banker account (Dupleix)</t>
        </is>
      </c>
      <c r="S911" s="495">
        <f>IFERROR(INDEX('Blocks'!$I$2:$I$101,MATCH(15,'Blocks'!$A$2:$A$101,0)),"")</f>
        <v/>
      </c>
    </row>
    <row r="912">
      <c r="B912" s="1" t="n"/>
      <c r="C912" s="1" t="n"/>
      <c r="D912" s="319" t="n"/>
      <c r="E912" s="319" t="n"/>
      <c r="F912" s="319" t="n"/>
      <c r="G912" s="319" t="n"/>
      <c r="H912" s="319" t="n"/>
      <c r="I912" s="319" t="n"/>
      <c r="J912" s="319" t="n"/>
      <c r="K912" s="319" t="n"/>
      <c r="L912" s="319" t="n"/>
      <c r="R912" s="514" t="inlineStr">
        <is>
          <t>Facility (Loan Book)</t>
        </is>
      </c>
      <c r="S912" s="495">
        <f>IFERROR(INDEX('Blocks'!$H$2:$H$101,MATCH(15,'Blocks'!$A$2:$A$101,0)),"")</f>
        <v/>
      </c>
    </row>
    <row r="913">
      <c r="B913" s="1" t="n"/>
      <c r="C913" s="10" t="inlineStr">
        <is>
          <t>Principal (MK)</t>
        </is>
      </c>
      <c r="D913" s="11" t="n">
        <v>10000000</v>
      </c>
      <c r="E913" s="319" t="n"/>
      <c r="F913" s="319" t="n"/>
      <c r="G913" s="319">
        <f>D913*D914*11/D918</f>
        <v/>
      </c>
      <c r="H913" s="319" t="inlineStr">
        <is>
          <t>DEC</t>
        </is>
      </c>
      <c r="I913" s="319" t="n"/>
      <c r="J913" s="319" t="n"/>
      <c r="K913" s="319" t="n"/>
      <c r="L913" s="319" t="n"/>
      <c r="R913" s="514" t="inlineStr">
        <is>
          <t>Take-on posting 31 Jul 2024</t>
        </is>
      </c>
      <c r="S913" s="496">
        <f>IFERROR(INDEX('E-Banker master'!$N$2:$N$186,MATCH(S911,'E-Banker master'!$A$2:$A$186,0)),"")</f>
        <v/>
      </c>
    </row>
    <row r="914">
      <c r="B914" s="1" t="n"/>
      <c r="C914" s="13" t="inlineStr">
        <is>
          <t>Rate</t>
        </is>
      </c>
      <c r="D914" s="14" t="n">
        <v>0.1</v>
      </c>
      <c r="E914" s="257" t="n"/>
      <c r="F914" s="319" t="n"/>
      <c r="G914" s="319" t="n"/>
      <c r="H914" s="319" t="n"/>
      <c r="I914" s="319" t="n"/>
      <c r="J914" s="319" t="n"/>
      <c r="K914" s="319" t="n"/>
      <c r="L914" s="319" t="n"/>
      <c r="R914" s="514" t="inlineStr">
        <is>
          <t>E-Banker balance 31 Oct 2024</t>
        </is>
      </c>
      <c r="S914" s="496">
        <f>IFERROR(INDEX('E-Banker master'!$P$2:$P$186,MATCH(S911,'E-Banker master'!$A$2:$A$186,0)),"")</f>
        <v/>
      </c>
    </row>
    <row r="915">
      <c r="B915" s="1" t="n"/>
      <c r="C915" s="13" t="inlineStr">
        <is>
          <t>n</t>
        </is>
      </c>
      <c r="D915" s="16" t="n">
        <v>2</v>
      </c>
      <c r="E915" s="1" t="n"/>
      <c r="F915" s="319" t="n"/>
      <c r="G915" s="319" t="n"/>
      <c r="H915" s="319" t="n"/>
      <c r="I915" s="319" t="n"/>
      <c r="J915" s="319" t="n"/>
      <c r="K915" s="1" t="n"/>
      <c r="L915" s="1" t="n"/>
    </row>
    <row r="916">
      <c r="B916" s="1" t="n"/>
      <c r="C916" s="13" t="inlineStr">
        <is>
          <t>Per</t>
        </is>
      </c>
      <c r="D916" s="16" t="n">
        <v>12</v>
      </c>
      <c r="E916" s="1" t="n"/>
      <c r="F916" s="319" t="n"/>
      <c r="G916" s="319" t="n"/>
      <c r="H916" s="319" t="n"/>
      <c r="I916" s="319" t="n"/>
      <c r="J916" s="319" t="n"/>
      <c r="K916" s="1" t="n"/>
      <c r="L916" s="1" t="n"/>
    </row>
    <row r="917">
      <c r="B917" s="1" t="n"/>
      <c r="C917" s="13" t="inlineStr">
        <is>
          <t>nPer</t>
        </is>
      </c>
      <c r="D917" s="515">
        <f>D915*D916</f>
        <v/>
      </c>
      <c r="E917" s="1" t="n"/>
      <c r="F917" s="319" t="n"/>
      <c r="G917" s="319" t="n"/>
      <c r="H917" s="319" t="n"/>
      <c r="I917" s="319" t="n"/>
      <c r="J917" s="319" t="n"/>
      <c r="K917" s="1" t="n"/>
      <c r="L917" s="1" t="n"/>
    </row>
    <row r="918">
      <c r="B918" s="1" t="n"/>
      <c r="C918" s="13" t="inlineStr">
        <is>
          <t>Days in a year</t>
        </is>
      </c>
      <c r="D918" s="18" t="n">
        <v>365</v>
      </c>
      <c r="E918" s="1" t="n"/>
      <c r="F918" s="319" t="n"/>
      <c r="G918" s="319" t="n"/>
      <c r="H918" s="319" t="n"/>
      <c r="I918" s="319" t="n"/>
      <c r="J918" s="319" t="n"/>
      <c r="K918" s="1" t="n"/>
      <c r="L918" s="1" t="n"/>
    </row>
    <row r="919">
      <c r="B919" s="1" t="n"/>
      <c r="C919" s="19" t="inlineStr">
        <is>
          <t>Pmt (MK)</t>
        </is>
      </c>
      <c r="D919" s="20">
        <f>-PMT(D914/D916,D917,D913,0,0)</f>
        <v/>
      </c>
      <c r="E919" s="319" t="n"/>
      <c r="F919" s="319" t="n"/>
      <c r="G919" s="319" t="n"/>
      <c r="H919" s="319" t="n"/>
      <c r="I919" s="319" t="n"/>
      <c r="J919" s="319" t="n"/>
      <c r="K919" s="1" t="n"/>
      <c r="L919" s="1" t="n"/>
    </row>
    <row r="920">
      <c r="B920" s="1" t="n"/>
      <c r="C920" s="1" t="n"/>
      <c r="D920" s="319" t="n"/>
      <c r="E920" s="319" t="n"/>
      <c r="F920" s="319" t="n"/>
      <c r="G920" s="319" t="n"/>
      <c r="H920" s="319" t="n"/>
      <c r="I920" s="319" t="n"/>
      <c r="J920" s="319" t="n"/>
      <c r="K920" s="1" t="n"/>
      <c r="L920" s="1" t="n"/>
    </row>
    <row r="921">
      <c r="B921" s="1" t="n"/>
      <c r="C921" s="21" t="inlineStr">
        <is>
          <t>Period Start</t>
        </is>
      </c>
      <c r="D921" s="22" t="inlineStr">
        <is>
          <t>Period End</t>
        </is>
      </c>
      <c r="E921" s="22" t="inlineStr">
        <is>
          <t>Days</t>
        </is>
      </c>
      <c r="F921" s="294" t="inlineStr">
        <is>
          <t>Opening bal.</t>
        </is>
      </c>
      <c r="G921" s="294" t="inlineStr">
        <is>
          <t>Pmt</t>
        </is>
      </c>
      <c r="H921" s="294" t="inlineStr">
        <is>
          <t>Interest</t>
        </is>
      </c>
      <c r="I921" s="294" t="inlineStr">
        <is>
          <t>Principal</t>
        </is>
      </c>
      <c r="J921" s="294" t="inlineStr">
        <is>
          <t>Closing balance</t>
        </is>
      </c>
      <c r="K921" s="23" t="inlineStr">
        <is>
          <t>Amount Repaid</t>
        </is>
      </c>
      <c r="L921" s="23" t="inlineStr">
        <is>
          <t>Accumulated Arrears</t>
        </is>
      </c>
    </row>
    <row r="922">
      <c r="B922" s="1" t="n">
        <v>1</v>
      </c>
      <c r="C922" s="24" t="n">
        <v>44562</v>
      </c>
      <c r="D922" s="24" t="n">
        <v>44592</v>
      </c>
      <c r="E922" s="25">
        <f>D922-C922+1</f>
        <v/>
      </c>
      <c r="F922" s="319">
        <f>D913</f>
        <v/>
      </c>
      <c r="G922" s="319">
        <f>-PMT($D$914/$D$916,24,$D$913,,0)</f>
        <v/>
      </c>
      <c r="H922" s="319">
        <f>$D$914/$D$916*F922</f>
        <v/>
      </c>
      <c r="I922" s="319">
        <f>G922-H922</f>
        <v/>
      </c>
      <c r="J922" s="319">
        <f>F922-I922</f>
        <v/>
      </c>
      <c r="K922" s="516" t="n"/>
      <c r="L922" s="516" t="n"/>
    </row>
    <row r="923">
      <c r="B923" s="1" t="n">
        <v>2</v>
      </c>
      <c r="C923" s="24" t="n">
        <v>44593</v>
      </c>
      <c r="D923" s="24" t="n">
        <v>44620</v>
      </c>
      <c r="E923" s="25">
        <f>D923-C923+1</f>
        <v/>
      </c>
      <c r="F923" s="319">
        <f>J922</f>
        <v/>
      </c>
      <c r="G923" s="319">
        <f>-PMT($D$914/$D$916,24,$D$913,,0)</f>
        <v/>
      </c>
      <c r="H923" s="319">
        <f>$D$914/$D$916*F923</f>
        <v/>
      </c>
      <c r="I923" s="319">
        <f>G923-H923</f>
        <v/>
      </c>
      <c r="J923" s="319">
        <f>F923-I923</f>
        <v/>
      </c>
      <c r="K923" s="516" t="n"/>
      <c r="L923" s="516" t="n"/>
    </row>
    <row r="924">
      <c r="B924" s="1" t="n">
        <v>3</v>
      </c>
      <c r="C924" s="24" t="n">
        <v>44621</v>
      </c>
      <c r="D924" s="24" t="n">
        <v>44651</v>
      </c>
      <c r="E924" s="25">
        <f>D924-C924+1</f>
        <v/>
      </c>
      <c r="F924" s="319">
        <f>J923</f>
        <v/>
      </c>
      <c r="G924" s="319">
        <f>-PMT($D$914/$D$916,24,$D$913,,0)</f>
        <v/>
      </c>
      <c r="H924" s="319">
        <f>$D$914/$D$916*F924</f>
        <v/>
      </c>
      <c r="I924" s="319">
        <f>G924-H924</f>
        <v/>
      </c>
      <c r="J924" s="319">
        <f>F924-I924</f>
        <v/>
      </c>
      <c r="K924" s="516" t="n"/>
      <c r="L924" s="516" t="n"/>
    </row>
    <row r="925">
      <c r="B925" s="1" t="n">
        <v>4</v>
      </c>
      <c r="C925" s="24" t="n">
        <v>44652</v>
      </c>
      <c r="D925" s="24" t="n">
        <v>44681</v>
      </c>
      <c r="E925" s="25">
        <f>D925-C925+1</f>
        <v/>
      </c>
      <c r="F925" s="319">
        <f>J924</f>
        <v/>
      </c>
      <c r="G925" s="319">
        <f>-PMT($D$914/$D$916,24,$D$913,,0)</f>
        <v/>
      </c>
      <c r="H925" s="319">
        <f>$D$914/$D$916*F925</f>
        <v/>
      </c>
      <c r="I925" s="319">
        <f>G925-H925</f>
        <v/>
      </c>
      <c r="J925" s="319">
        <f>F925-I925</f>
        <v/>
      </c>
      <c r="K925" s="516" t="n"/>
      <c r="L925" s="516" t="n"/>
    </row>
    <row r="926">
      <c r="B926" s="1" t="n">
        <v>5</v>
      </c>
      <c r="C926" s="24" t="n">
        <v>44682</v>
      </c>
      <c r="D926" s="24" t="n">
        <v>44712</v>
      </c>
      <c r="E926" s="25">
        <f>D926-C926+1</f>
        <v/>
      </c>
      <c r="F926" s="319">
        <f>J925</f>
        <v/>
      </c>
      <c r="G926" s="319">
        <f>-PMT($D$914/$D$916,24,$D$913,,0)</f>
        <v/>
      </c>
      <c r="H926" s="319">
        <f>$D$914/$D$916*F926</f>
        <v/>
      </c>
      <c r="I926" s="319">
        <f>G926-H926</f>
        <v/>
      </c>
      <c r="J926" s="319">
        <f>F926-I926</f>
        <v/>
      </c>
      <c r="K926" s="516" t="n"/>
      <c r="L926" s="516" t="n"/>
    </row>
    <row r="927">
      <c r="B927" s="1" t="n">
        <v>6</v>
      </c>
      <c r="C927" s="24" t="n">
        <v>44713</v>
      </c>
      <c r="D927" s="24" t="n">
        <v>44742</v>
      </c>
      <c r="E927" s="25">
        <f>D927-C927+1</f>
        <v/>
      </c>
      <c r="F927" s="319">
        <f>J926</f>
        <v/>
      </c>
      <c r="G927" s="319">
        <f>-PMT($D$914/$D$916,24,$D$913,,0)</f>
        <v/>
      </c>
      <c r="H927" s="319">
        <f>$D$914/$D$916*F927</f>
        <v/>
      </c>
      <c r="I927" s="319">
        <f>G927-H927</f>
        <v/>
      </c>
      <c r="J927" s="319">
        <f>F927-I927</f>
        <v/>
      </c>
      <c r="K927" s="516" t="n"/>
      <c r="L927" s="516" t="n"/>
    </row>
    <row r="928">
      <c r="B928" s="1" t="n">
        <v>7</v>
      </c>
      <c r="C928" s="24" t="n">
        <v>44743</v>
      </c>
      <c r="D928" s="24" t="n">
        <v>44773</v>
      </c>
      <c r="E928" s="25">
        <f>D928-C928+1</f>
        <v/>
      </c>
      <c r="F928" s="319">
        <f>J927</f>
        <v/>
      </c>
      <c r="G928" s="319">
        <f>-PMT($D$914/$D$916,24,$D$913,,0)</f>
        <v/>
      </c>
      <c r="H928" s="319">
        <f>$D$914/$D$916*F928</f>
        <v/>
      </c>
      <c r="I928" s="319">
        <f>G928-H928</f>
        <v/>
      </c>
      <c r="J928" s="319">
        <f>F928-I928</f>
        <v/>
      </c>
      <c r="K928" s="516" t="n"/>
      <c r="L928" s="516" t="n"/>
    </row>
    <row r="929">
      <c r="B929" s="1" t="n">
        <v>8</v>
      </c>
      <c r="C929" s="24" t="n">
        <v>44774</v>
      </c>
      <c r="D929" s="24" t="n">
        <v>44804</v>
      </c>
      <c r="E929" s="25">
        <f>D929-C929+1</f>
        <v/>
      </c>
      <c r="F929" s="319">
        <f>J928</f>
        <v/>
      </c>
      <c r="G929" s="319">
        <f>-PMT($D$914/$D$916,24,$D$913,,0)</f>
        <v/>
      </c>
      <c r="H929" s="319">
        <f>$D$914/$D$916*F929</f>
        <v/>
      </c>
      <c r="I929" s="319">
        <f>G929-H929</f>
        <v/>
      </c>
      <c r="J929" s="319">
        <f>F929-I929</f>
        <v/>
      </c>
      <c r="K929" s="516" t="n"/>
      <c r="L929" s="519" t="n"/>
    </row>
    <row r="930">
      <c r="B930" s="1" t="n">
        <v>9</v>
      </c>
      <c r="C930" s="24" t="n">
        <v>44805</v>
      </c>
      <c r="D930" s="24" t="n">
        <v>44834</v>
      </c>
      <c r="E930" s="25">
        <f>D930-C930+1</f>
        <v/>
      </c>
      <c r="F930" s="319">
        <f>J929</f>
        <v/>
      </c>
      <c r="G930" s="319">
        <f>-PMT($D$914/$D$916,24,$D$913,,0)</f>
        <v/>
      </c>
      <c r="H930" s="319">
        <f>$D$914/$D$916*F930</f>
        <v/>
      </c>
      <c r="I930" s="319">
        <f>G930-H930</f>
        <v/>
      </c>
      <c r="J930" s="319">
        <f>F930-I930</f>
        <v/>
      </c>
      <c r="K930" s="516" t="n"/>
      <c r="L930" s="516" t="n"/>
    </row>
    <row r="931">
      <c r="B931" s="1" t="n">
        <v>10</v>
      </c>
      <c r="C931" s="24" t="n">
        <v>44835</v>
      </c>
      <c r="D931" s="24" t="n">
        <v>44865</v>
      </c>
      <c r="E931" s="25">
        <f>D931-C931+1</f>
        <v/>
      </c>
      <c r="F931" s="319">
        <f>J930</f>
        <v/>
      </c>
      <c r="G931" s="319">
        <f>-PMT($D$914/$D$916,24,$D$913,,0)</f>
        <v/>
      </c>
      <c r="H931" s="319">
        <f>$D$914/$D$916*F931</f>
        <v/>
      </c>
      <c r="I931" s="319">
        <f>G931-H931</f>
        <v/>
      </c>
      <c r="J931" s="319">
        <f>F931-I931</f>
        <v/>
      </c>
      <c r="K931" s="516" t="n"/>
      <c r="L931" s="516" t="n"/>
    </row>
    <row r="932">
      <c r="B932" s="1" t="n">
        <v>11</v>
      </c>
      <c r="C932" s="24" t="n">
        <v>44866</v>
      </c>
      <c r="D932" s="24" t="n">
        <v>44895</v>
      </c>
      <c r="E932" s="25">
        <f>D932-C932+1</f>
        <v/>
      </c>
      <c r="F932" s="319">
        <f>J931</f>
        <v/>
      </c>
      <c r="G932" s="319">
        <f>-PMT($D$914/$D$916,24,$D$913,,0)</f>
        <v/>
      </c>
      <c r="H932" s="319">
        <f>$D$914/$D$916*F932</f>
        <v/>
      </c>
      <c r="I932" s="319">
        <f>G932-H932</f>
        <v/>
      </c>
      <c r="J932" s="319">
        <f>F932-I932</f>
        <v/>
      </c>
      <c r="K932" s="516" t="n"/>
      <c r="L932" s="519" t="n"/>
    </row>
    <row r="933">
      <c r="B933" s="1" t="n">
        <v>12</v>
      </c>
      <c r="C933" s="24" t="n">
        <v>44896</v>
      </c>
      <c r="D933" s="24" t="n">
        <v>44926</v>
      </c>
      <c r="E933" s="25">
        <f>D933-C933+1</f>
        <v/>
      </c>
      <c r="F933" s="319">
        <f>J932</f>
        <v/>
      </c>
      <c r="G933" s="319">
        <f>-PMT($D$914/$D$916,24,$D$913,,0)</f>
        <v/>
      </c>
      <c r="H933" s="319">
        <f>$D$914/$D$916*F933</f>
        <v/>
      </c>
      <c r="I933" s="319">
        <f>G933-H933</f>
        <v/>
      </c>
      <c r="J933" s="319">
        <f>F933-I933</f>
        <v/>
      </c>
      <c r="K933" s="516" t="n"/>
      <c r="L933" s="516">
        <f>G913+SUM(G922:G933)</f>
        <v/>
      </c>
    </row>
    <row r="934">
      <c r="B934" s="1" t="n">
        <v>13</v>
      </c>
      <c r="C934" s="24" t="n">
        <v>44927</v>
      </c>
      <c r="D934" s="24" t="n">
        <v>44957</v>
      </c>
      <c r="E934" s="25">
        <f>D934-C934+1</f>
        <v/>
      </c>
      <c r="F934" s="319">
        <f>J933</f>
        <v/>
      </c>
      <c r="G934" s="319">
        <f>-PMT($D$914/$D$916,24,$D$913,,0)</f>
        <v/>
      </c>
      <c r="H934" s="319">
        <f>$D$914/$D$916*F934</f>
        <v/>
      </c>
      <c r="I934" s="319">
        <f>G934-H934</f>
        <v/>
      </c>
      <c r="J934" s="319">
        <f>F934-I934</f>
        <v/>
      </c>
      <c r="K934" s="516" t="n">
        <v>0</v>
      </c>
      <c r="L934" s="516">
        <f>L933</f>
        <v/>
      </c>
    </row>
    <row r="935">
      <c r="B935" s="1" t="n">
        <v>14</v>
      </c>
      <c r="C935" s="24" t="n">
        <v>44958</v>
      </c>
      <c r="D935" s="24" t="n">
        <v>44985</v>
      </c>
      <c r="E935" s="25">
        <f>D935-C935+1</f>
        <v/>
      </c>
      <c r="F935" s="319">
        <f>J934</f>
        <v/>
      </c>
      <c r="G935" s="319">
        <f>-PMT($D$914/$D$916,24,$D$913,,0)</f>
        <v/>
      </c>
      <c r="H935" s="319">
        <f>$D$914/$D$916*F935</f>
        <v/>
      </c>
      <c r="I935" s="319">
        <f>G935-H935</f>
        <v/>
      </c>
      <c r="J935" s="319">
        <f>F935-I935</f>
        <v/>
      </c>
      <c r="K935" s="516" t="n"/>
      <c r="L935" s="516">
        <f>L934</f>
        <v/>
      </c>
    </row>
    <row r="936">
      <c r="B936" s="1" t="n">
        <v>15</v>
      </c>
      <c r="C936" s="24" t="n">
        <v>44986</v>
      </c>
      <c r="D936" s="24" t="n">
        <v>45016</v>
      </c>
      <c r="E936" s="25">
        <f>D936-C936+1</f>
        <v/>
      </c>
      <c r="F936" s="319">
        <f>J935</f>
        <v/>
      </c>
      <c r="G936" s="319">
        <f>-PMT($D$914/$D$916,24,$D$913,,0)</f>
        <v/>
      </c>
      <c r="H936" s="319">
        <f>$D$914/$D$916*F936</f>
        <v/>
      </c>
      <c r="I936" s="319">
        <f>G936-H936</f>
        <v/>
      </c>
      <c r="J936" s="319">
        <f>F936-I936</f>
        <v/>
      </c>
      <c r="K936" s="516" t="n"/>
      <c r="L936" s="516">
        <f>L935</f>
        <v/>
      </c>
    </row>
    <row r="937">
      <c r="B937" s="1" t="n">
        <v>16</v>
      </c>
      <c r="C937" s="24" t="n">
        <v>45017</v>
      </c>
      <c r="D937" s="24" t="n">
        <v>45046</v>
      </c>
      <c r="E937" s="25">
        <f>D937-C937+1</f>
        <v/>
      </c>
      <c r="F937" s="319">
        <f>J936</f>
        <v/>
      </c>
      <c r="G937" s="319">
        <f>-PMT($D$914/$D$916,24,$D$913,,0)</f>
        <v/>
      </c>
      <c r="H937" s="319">
        <f>$D$914/$D$916*F937</f>
        <v/>
      </c>
      <c r="I937" s="319">
        <f>G937-H937</f>
        <v/>
      </c>
      <c r="J937" s="319">
        <f>F937-I937</f>
        <v/>
      </c>
      <c r="K937" s="516" t="n"/>
      <c r="L937" s="516">
        <f>L936</f>
        <v/>
      </c>
    </row>
    <row r="938">
      <c r="B938" s="1" t="n">
        <v>17</v>
      </c>
      <c r="C938" s="24" t="n">
        <v>45047</v>
      </c>
      <c r="D938" s="24" t="n">
        <v>45077</v>
      </c>
      <c r="E938" s="25">
        <f>D938-C938+1</f>
        <v/>
      </c>
      <c r="F938" s="319">
        <f>J937</f>
        <v/>
      </c>
      <c r="G938" s="319">
        <f>-PMT($D$914/$D$916,24,$D$913,,0)</f>
        <v/>
      </c>
      <c r="H938" s="319">
        <f>$D$914/$D$916*F938</f>
        <v/>
      </c>
      <c r="I938" s="319">
        <f>G938-H938</f>
        <v/>
      </c>
      <c r="J938" s="319">
        <f>F938-I938</f>
        <v/>
      </c>
      <c r="K938" s="516" t="n"/>
      <c r="L938" s="519">
        <f>L937</f>
        <v/>
      </c>
    </row>
    <row r="939">
      <c r="B939" s="1" t="n">
        <v>18</v>
      </c>
      <c r="C939" s="24" t="n">
        <v>45078</v>
      </c>
      <c r="D939" s="24" t="n">
        <v>45107</v>
      </c>
      <c r="E939" s="25">
        <f>D939-C939+1</f>
        <v/>
      </c>
      <c r="F939" s="319">
        <f>J938</f>
        <v/>
      </c>
      <c r="G939" s="319">
        <f>-PMT($D$914/$D$916,24,$D$913,,0)</f>
        <v/>
      </c>
      <c r="H939" s="319">
        <f>$D$914/$D$916*F939</f>
        <v/>
      </c>
      <c r="I939" s="319">
        <f>G939-H939</f>
        <v/>
      </c>
      <c r="J939" s="319">
        <f>F939-I939</f>
        <v/>
      </c>
      <c r="K939" s="516" t="n"/>
      <c r="L939" s="519">
        <f>L938</f>
        <v/>
      </c>
    </row>
    <row r="940">
      <c r="B940" s="1" t="n">
        <v>19</v>
      </c>
      <c r="C940" s="24" t="n">
        <v>45108</v>
      </c>
      <c r="D940" s="24" t="n">
        <v>45138</v>
      </c>
      <c r="E940" s="25">
        <f>D940-C940+1</f>
        <v/>
      </c>
      <c r="F940" s="319">
        <f>J939</f>
        <v/>
      </c>
      <c r="G940" s="319">
        <f>-PMT($D$914/$D$916,24,$D$913,,0)</f>
        <v/>
      </c>
      <c r="H940" s="319">
        <f>$D$914/$D$916*F940</f>
        <v/>
      </c>
      <c r="I940" s="319">
        <f>G940-H940</f>
        <v/>
      </c>
      <c r="J940" s="319">
        <f>F940-I940</f>
        <v/>
      </c>
      <c r="K940" s="516" t="n"/>
      <c r="L940" s="523">
        <f>L939</f>
        <v/>
      </c>
    </row>
    <row r="941">
      <c r="B941" s="1" t="n">
        <v>20</v>
      </c>
      <c r="C941" s="24" t="n">
        <v>45139</v>
      </c>
      <c r="D941" s="24" t="n">
        <v>45169</v>
      </c>
      <c r="E941" s="25">
        <f>D941-C941+1</f>
        <v/>
      </c>
      <c r="F941" s="319">
        <f>J940</f>
        <v/>
      </c>
      <c r="G941" s="319">
        <f>-PMT($D$914/$D$916,24,$D$913,,0)</f>
        <v/>
      </c>
      <c r="H941" s="319">
        <f>$D$914/$D$916*F941</f>
        <v/>
      </c>
      <c r="I941" s="319">
        <f>G941-H941</f>
        <v/>
      </c>
      <c r="J941" s="319">
        <f>F941-I941</f>
        <v/>
      </c>
      <c r="K941" s="516" t="n"/>
      <c r="L941" s="516" t="n"/>
    </row>
    <row r="942">
      <c r="B942" s="1" t="n">
        <v>21</v>
      </c>
      <c r="C942" s="24" t="n">
        <v>45170</v>
      </c>
      <c r="D942" s="24" t="n">
        <v>45199</v>
      </c>
      <c r="E942" s="25">
        <f>D942-C942+1</f>
        <v/>
      </c>
      <c r="F942" s="319">
        <f>J941</f>
        <v/>
      </c>
      <c r="G942" s="319">
        <f>-PMT($D$914/$D$916,24,$D$913,,0)</f>
        <v/>
      </c>
      <c r="H942" s="319">
        <f>$D$914/$D$916*F942</f>
        <v/>
      </c>
      <c r="I942" s="319">
        <f>G942-H942</f>
        <v/>
      </c>
      <c r="J942" s="319">
        <f>F942-I942</f>
        <v/>
      </c>
      <c r="K942" s="516" t="n"/>
      <c r="L942" s="516" t="n"/>
    </row>
    <row r="943">
      <c r="B943" s="1" t="n">
        <v>22</v>
      </c>
      <c r="C943" s="24" t="n">
        <v>45200</v>
      </c>
      <c r="D943" s="24" t="n">
        <v>45230</v>
      </c>
      <c r="E943" s="25">
        <f>D943-C943+1</f>
        <v/>
      </c>
      <c r="F943" s="319">
        <f>J942</f>
        <v/>
      </c>
      <c r="G943" s="319">
        <f>-PMT($D$914/$D$916,24,$D$913,,0)</f>
        <v/>
      </c>
      <c r="H943" s="319">
        <f>$D$914/$D$916*F943</f>
        <v/>
      </c>
      <c r="I943" s="319">
        <f>G943-H943</f>
        <v/>
      </c>
      <c r="J943" s="319">
        <f>F943-I943</f>
        <v/>
      </c>
      <c r="K943" s="516" t="n"/>
      <c r="L943" s="516" t="n"/>
    </row>
    <row r="944">
      <c r="B944" s="1" t="n">
        <v>23</v>
      </c>
      <c r="C944" s="24" t="n">
        <v>45231</v>
      </c>
      <c r="D944" s="24" t="n">
        <v>45260</v>
      </c>
      <c r="E944" s="25">
        <f>D944-C944+1</f>
        <v/>
      </c>
      <c r="F944" s="319">
        <f>J943</f>
        <v/>
      </c>
      <c r="G944" s="319">
        <f>-PMT($D$914/$D$916,24,$D$913,,0)</f>
        <v/>
      </c>
      <c r="H944" s="319">
        <f>$D$914/$D$916*F944</f>
        <v/>
      </c>
      <c r="I944" s="319">
        <f>G944-H944</f>
        <v/>
      </c>
      <c r="J944" s="319">
        <f>F944-I944</f>
        <v/>
      </c>
      <c r="K944" s="516" t="n"/>
      <c r="L944" s="516" t="n"/>
    </row>
    <row r="945">
      <c r="B945" s="1" t="n">
        <v>24</v>
      </c>
      <c r="C945" s="24" t="n">
        <v>45261</v>
      </c>
      <c r="D945" s="24" t="n">
        <v>45291</v>
      </c>
      <c r="E945" s="25">
        <f>D945-C945+1</f>
        <v/>
      </c>
      <c r="F945" s="319">
        <f>J944</f>
        <v/>
      </c>
      <c r="G945" s="319">
        <f>-PMT($D$914/$D$916,24,$D$913,,0)</f>
        <v/>
      </c>
      <c r="H945" s="319">
        <f>$D$914/$D$916*F945</f>
        <v/>
      </c>
      <c r="I945" s="319">
        <f>G945-H945</f>
        <v/>
      </c>
      <c r="J945" s="319">
        <f>F945-I945</f>
        <v/>
      </c>
      <c r="K945" s="516" t="inlineStr">
        <is>
          <t>DUE DECEMBER 2023- annual repayments</t>
        </is>
      </c>
      <c r="L945" s="523">
        <f>SUM(G922:G945)</f>
        <v/>
      </c>
    </row>
    <row r="946" ht="14.25" customHeight="1">
      <c r="B946" s="1" t="n"/>
      <c r="C946" s="1" t="n"/>
      <c r="D946" s="1" t="n"/>
      <c r="E946" s="30">
        <f>SUM(E922:E945)</f>
        <v/>
      </c>
      <c r="F946" s="319" t="n"/>
      <c r="G946" s="319" t="n"/>
      <c r="H946" s="319" t="n"/>
      <c r="I946" s="319" t="n"/>
      <c r="J946" s="319" t="n"/>
      <c r="K946" s="1" t="n"/>
      <c r="L946" s="1" t="n"/>
    </row>
    <row r="948" hidden="1"/>
    <row r="949" hidden="1"/>
    <row r="950" hidden="1"/>
    <row r="951" hidden="1">
      <c r="B951" s="1" t="n"/>
      <c r="C951" s="9" t="inlineStr">
        <is>
          <t>Beaulaland Food Processors</t>
        </is>
      </c>
      <c r="D951" s="319" t="n"/>
      <c r="E951" s="319" t="n"/>
      <c r="F951" s="319" t="n"/>
      <c r="G951" s="319" t="n"/>
      <c r="H951" s="319" t="n"/>
      <c r="I951" s="319" t="n"/>
      <c r="J951" s="319" t="n"/>
      <c r="K951" s="319" t="n"/>
      <c r="L951" s="319" t="n"/>
      <c r="R951" s="514" t="inlineStr">
        <is>
          <t>E-Banker account (Dupleix)</t>
        </is>
      </c>
      <c r="S951" s="495">
        <f>IFERROR(INDEX('Blocks'!$I$2:$I$101,MATCH(16,'Blocks'!$A$2:$A$101,0)),"")</f>
        <v/>
      </c>
    </row>
    <row r="952" hidden="1">
      <c r="B952" s="1" t="n"/>
      <c r="C952" s="1" t="n"/>
      <c r="D952" s="319" t="n"/>
      <c r="E952" s="319" t="n"/>
      <c r="F952" s="319" t="n"/>
      <c r="G952" s="319" t="n"/>
      <c r="H952" s="319" t="n"/>
      <c r="I952" s="319" t="n"/>
      <c r="J952" s="319" t="n"/>
      <c r="K952" s="319" t="n"/>
      <c r="L952" s="319" t="n"/>
      <c r="R952" s="514" t="inlineStr">
        <is>
          <t>Facility (Loan Book)</t>
        </is>
      </c>
      <c r="S952" s="495">
        <f>IFERROR(INDEX('Blocks'!$H$2:$H$101,MATCH(16,'Blocks'!$A$2:$A$101,0)),"")</f>
        <v/>
      </c>
    </row>
    <row r="953" hidden="1">
      <c r="B953" s="1" t="n"/>
      <c r="C953" s="10" t="inlineStr">
        <is>
          <t>Principal (MK)</t>
        </is>
      </c>
      <c r="D953" s="11" t="n">
        <v>23616000</v>
      </c>
      <c r="E953" s="319" t="n"/>
      <c r="F953" s="319" t="n"/>
      <c r="G953" s="319" t="n"/>
      <c r="H953" s="319" t="n"/>
      <c r="I953" s="319" t="n"/>
      <c r="J953" s="319" t="n"/>
      <c r="K953" s="319" t="n"/>
      <c r="L953" s="319" t="n"/>
      <c r="R953" s="514" t="inlineStr">
        <is>
          <t>Take-on posting 31 Jul 2024</t>
        </is>
      </c>
      <c r="S953" s="496">
        <f>IFERROR(INDEX('E-Banker master'!$N$2:$N$186,MATCH(S951,'E-Banker master'!$A$2:$A$186,0)),"")</f>
        <v/>
      </c>
    </row>
    <row r="954" hidden="1">
      <c r="B954" s="1" t="n"/>
      <c r="C954" s="13" t="inlineStr">
        <is>
          <t>Rate</t>
        </is>
      </c>
      <c r="D954" s="14" t="n">
        <v>0.1</v>
      </c>
      <c r="E954" s="257" t="n"/>
      <c r="F954" s="319" t="n"/>
      <c r="G954" s="319" t="n"/>
      <c r="H954" s="319" t="n"/>
      <c r="I954" s="319" t="n"/>
      <c r="J954" s="319" t="n"/>
      <c r="K954" s="319" t="n"/>
      <c r="L954" s="319" t="n"/>
      <c r="R954" s="514" t="inlineStr">
        <is>
          <t>E-Banker balance 31 Oct 2024</t>
        </is>
      </c>
      <c r="S954" s="496">
        <f>IFERROR(INDEX('E-Banker master'!$P$2:$P$186,MATCH(S951,'E-Banker master'!$A$2:$A$186,0)),"")</f>
        <v/>
      </c>
    </row>
    <row r="955" hidden="1">
      <c r="B955" s="1" t="n"/>
      <c r="C955" s="13" t="inlineStr">
        <is>
          <t>n</t>
        </is>
      </c>
      <c r="D955" s="16" t="n">
        <v>3</v>
      </c>
      <c r="E955" s="1" t="n"/>
      <c r="F955" s="319" t="n"/>
      <c r="G955" s="319" t="n"/>
      <c r="H955" s="319">
        <f>196800-H962</f>
        <v/>
      </c>
      <c r="I955" s="319" t="n"/>
      <c r="J955" s="319" t="n"/>
      <c r="K955" s="1" t="n"/>
      <c r="L955" s="1" t="n"/>
    </row>
    <row r="956" hidden="1">
      <c r="B956" s="1" t="n"/>
      <c r="C956" s="13" t="inlineStr">
        <is>
          <t>Per</t>
        </is>
      </c>
      <c r="D956" s="16" t="n">
        <v>12</v>
      </c>
      <c r="E956" s="1" t="n"/>
      <c r="F956" s="319" t="n"/>
      <c r="G956" s="319" t="n"/>
      <c r="H956" s="319" t="n"/>
      <c r="I956" s="319" t="n"/>
      <c r="J956" s="319" t="n"/>
      <c r="K956" s="1" t="n"/>
      <c r="L956" s="1" t="n"/>
    </row>
    <row r="957" hidden="1">
      <c r="B957" s="1" t="n"/>
      <c r="C957" s="13" t="inlineStr">
        <is>
          <t>nPer</t>
        </is>
      </c>
      <c r="D957" s="515">
        <f>D955*D956</f>
        <v/>
      </c>
      <c r="E957" s="1" t="n"/>
      <c r="F957" s="319" t="n"/>
      <c r="G957" s="319" t="n"/>
      <c r="H957" s="319" t="n"/>
      <c r="I957" s="319" t="n"/>
      <c r="J957" s="319" t="n"/>
      <c r="K957" s="1" t="n"/>
      <c r="L957" s="1" t="n"/>
    </row>
    <row r="958" hidden="1">
      <c r="B958" s="1" t="n"/>
      <c r="C958" s="13" t="inlineStr">
        <is>
          <t>Days in a year</t>
        </is>
      </c>
      <c r="D958" s="18" t="n">
        <v>365</v>
      </c>
      <c r="E958" s="1" t="n"/>
      <c r="F958" s="319" t="n"/>
      <c r="G958" s="319" t="n"/>
      <c r="H958" s="319" t="n"/>
      <c r="I958" s="319" t="n"/>
      <c r="J958" s="319" t="n"/>
      <c r="K958" s="1" t="n"/>
      <c r="L958" s="1" t="n"/>
    </row>
    <row r="959" hidden="1">
      <c r="B959" s="1" t="n"/>
      <c r="C959" s="19" t="inlineStr">
        <is>
          <t>Pmt (MK)</t>
        </is>
      </c>
      <c r="D959" s="20">
        <f>-PMT(D954/D956,D957,D953,0,0)</f>
        <v/>
      </c>
      <c r="E959" s="319" t="n"/>
      <c r="F959" s="319" t="n"/>
      <c r="G959" s="319" t="n"/>
      <c r="H959" s="319" t="n"/>
      <c r="I959" s="319" t="n"/>
      <c r="J959" s="319" t="n"/>
      <c r="K959" s="1" t="n"/>
      <c r="L959" s="1" t="n"/>
    </row>
    <row r="960" hidden="1">
      <c r="B960" s="1" t="n"/>
      <c r="C960" s="1" t="n"/>
      <c r="D960" s="319" t="n"/>
      <c r="E960" s="319" t="n"/>
      <c r="F960" s="319" t="n"/>
      <c r="G960" s="319" t="n"/>
      <c r="H960" s="319" t="n"/>
      <c r="I960" s="319" t="n"/>
      <c r="J960" s="319" t="n"/>
      <c r="K960" s="1" t="n"/>
      <c r="L960" s="1" t="n"/>
    </row>
    <row r="961" hidden="1">
      <c r="B961" s="1" t="n"/>
      <c r="C961" s="21" t="inlineStr">
        <is>
          <t>Period Start</t>
        </is>
      </c>
      <c r="D961" s="22" t="inlineStr">
        <is>
          <t>Period End</t>
        </is>
      </c>
      <c r="E961" s="22" t="inlineStr">
        <is>
          <t>Days</t>
        </is>
      </c>
      <c r="F961" s="294" t="inlineStr">
        <is>
          <t>Opening bal.</t>
        </is>
      </c>
      <c r="G961" s="294" t="inlineStr">
        <is>
          <t>Pmt</t>
        </is>
      </c>
      <c r="H961" s="294" t="inlineStr">
        <is>
          <t>Interest</t>
        </is>
      </c>
      <c r="I961" s="294" t="inlineStr">
        <is>
          <t>Principal</t>
        </is>
      </c>
      <c r="J961" s="294" t="inlineStr">
        <is>
          <t>Closing balance</t>
        </is>
      </c>
      <c r="K961" s="23" t="inlineStr">
        <is>
          <t>Amount Repaid</t>
        </is>
      </c>
      <c r="L961" s="23" t="inlineStr">
        <is>
          <t>Accumulated Arrears</t>
        </is>
      </c>
    </row>
    <row r="962" hidden="1">
      <c r="B962" s="1" t="n">
        <v>1</v>
      </c>
      <c r="C962" s="24" t="n">
        <v>44573</v>
      </c>
      <c r="D962" s="24" t="n">
        <v>44592</v>
      </c>
      <c r="E962" s="25">
        <f>D962-C962+1</f>
        <v/>
      </c>
      <c r="F962" s="319">
        <f>D953</f>
        <v/>
      </c>
      <c r="G962" s="319" t="n"/>
      <c r="H962" s="319">
        <f>$D$954/$D$956*F962*E962/31</f>
        <v/>
      </c>
      <c r="I962" s="319">
        <f>G962-H962</f>
        <v/>
      </c>
      <c r="J962" s="319">
        <f>F962-I962</f>
        <v/>
      </c>
      <c r="K962" s="516" t="n"/>
      <c r="L962" s="516" t="n"/>
    </row>
    <row r="963" hidden="1">
      <c r="B963" s="1" t="n">
        <v>2</v>
      </c>
      <c r="C963" s="24" t="n">
        <v>44593</v>
      </c>
      <c r="D963" s="24" t="n">
        <v>44620</v>
      </c>
      <c r="E963" s="25">
        <f>D963-C963+1</f>
        <v/>
      </c>
      <c r="F963" s="319">
        <f>J962</f>
        <v/>
      </c>
      <c r="G963" s="319" t="n"/>
      <c r="H963" s="319">
        <f>$D$954/$D$956*F963</f>
        <v/>
      </c>
      <c r="I963" s="319">
        <f>G963-H963</f>
        <v/>
      </c>
      <c r="J963" s="319">
        <f>F963-I963</f>
        <v/>
      </c>
      <c r="K963" s="516" t="n"/>
      <c r="L963" s="516" t="n"/>
    </row>
    <row r="964" hidden="1">
      <c r="B964" s="1" t="n">
        <v>3</v>
      </c>
      <c r="C964" s="24" t="n">
        <v>44621</v>
      </c>
      <c r="D964" s="24" t="n">
        <v>44651</v>
      </c>
      <c r="E964" s="25">
        <f>D964-C964+1</f>
        <v/>
      </c>
      <c r="F964" s="319">
        <f>J963</f>
        <v/>
      </c>
      <c r="G964" s="319" t="n"/>
      <c r="H964" s="319">
        <f>$D$954/$D$956*F964</f>
        <v/>
      </c>
      <c r="I964" s="319">
        <f>G964-H964</f>
        <v/>
      </c>
      <c r="J964" s="319">
        <f>F964-I964</f>
        <v/>
      </c>
      <c r="K964" s="516" t="n"/>
      <c r="L964" s="516" t="n"/>
    </row>
    <row r="965" hidden="1">
      <c r="B965" s="1" t="n">
        <v>4</v>
      </c>
      <c r="C965" s="24" t="n">
        <v>44652</v>
      </c>
      <c r="D965" s="24" t="n">
        <v>44681</v>
      </c>
      <c r="E965" s="25">
        <f>D965-C965+1</f>
        <v/>
      </c>
      <c r="F965" s="319">
        <f>J964</f>
        <v/>
      </c>
      <c r="G965" s="319" t="n"/>
      <c r="H965" s="319">
        <f>$D$954/$D$956*F965</f>
        <v/>
      </c>
      <c r="I965" s="319">
        <f>G965-H965</f>
        <v/>
      </c>
      <c r="J965" s="319">
        <f>F965-I965</f>
        <v/>
      </c>
      <c r="K965" s="516" t="n">
        <v>0</v>
      </c>
      <c r="L965" s="516">
        <f>G965-K965</f>
        <v/>
      </c>
    </row>
    <row r="966" hidden="1">
      <c r="B966" s="1" t="n">
        <v>5</v>
      </c>
      <c r="C966" s="24" t="n">
        <v>44682</v>
      </c>
      <c r="D966" s="24" t="n">
        <v>44712</v>
      </c>
      <c r="E966" s="25">
        <f>D966-C966+1</f>
        <v/>
      </c>
      <c r="F966" s="319">
        <f>J965</f>
        <v/>
      </c>
      <c r="G966" s="319">
        <f>-PMT($D$954/$D$956,33,$F$966,,0)</f>
        <v/>
      </c>
      <c r="H966" s="319">
        <f>$D$954/$D$956*F966</f>
        <v/>
      </c>
      <c r="I966" s="319">
        <f>G966-H966</f>
        <v/>
      </c>
      <c r="J966" s="319">
        <f>F966-I966</f>
        <v/>
      </c>
      <c r="K966" s="516" t="n">
        <v>900000</v>
      </c>
      <c r="L966" s="516">
        <f>L965+G966-K966</f>
        <v/>
      </c>
    </row>
    <row r="967" hidden="1">
      <c r="B967" s="1" t="n">
        <v>6</v>
      </c>
      <c r="C967" s="24" t="n">
        <v>44713</v>
      </c>
      <c r="D967" s="24" t="n">
        <v>44742</v>
      </c>
      <c r="E967" s="25">
        <f>D967-C967+1</f>
        <v/>
      </c>
      <c r="F967" s="319">
        <f>J966</f>
        <v/>
      </c>
      <c r="G967" s="319">
        <f>-PMT($D$954/$D$956,33,$F$966,,0)</f>
        <v/>
      </c>
      <c r="H967" s="319">
        <f>$D$954/$D$956*F967</f>
        <v/>
      </c>
      <c r="I967" s="319">
        <f>G967-H967</f>
        <v/>
      </c>
      <c r="J967" s="319">
        <f>F967-I967</f>
        <v/>
      </c>
      <c r="K967" s="516" t="n">
        <v>900000</v>
      </c>
      <c r="L967" s="516">
        <f>L966+G967-K967</f>
        <v/>
      </c>
    </row>
    <row r="968" hidden="1">
      <c r="B968" s="1" t="n">
        <v>7</v>
      </c>
      <c r="C968" s="24" t="n">
        <v>44743</v>
      </c>
      <c r="D968" s="24" t="n">
        <v>44773</v>
      </c>
      <c r="E968" s="25">
        <f>D968-C968+1</f>
        <v/>
      </c>
      <c r="F968" s="319">
        <f>J967</f>
        <v/>
      </c>
      <c r="G968" s="319">
        <f>-PMT($D$954/$D$956,33,$F$966,,0)</f>
        <v/>
      </c>
      <c r="H968" s="319">
        <f>$D$954/$D$956*F968</f>
        <v/>
      </c>
      <c r="I968" s="319">
        <f>G968-H968</f>
        <v/>
      </c>
      <c r="J968" s="319">
        <f>F968-I968</f>
        <v/>
      </c>
      <c r="K968" s="516" t="n">
        <v>900000</v>
      </c>
      <c r="L968" s="516">
        <f>L967+G968-K968</f>
        <v/>
      </c>
    </row>
    <row r="969" hidden="1">
      <c r="B969" s="1" t="n">
        <v>8</v>
      </c>
      <c r="C969" s="24" t="n">
        <v>44774</v>
      </c>
      <c r="D969" s="24" t="n">
        <v>44804</v>
      </c>
      <c r="E969" s="25">
        <f>D969-C969+1</f>
        <v/>
      </c>
      <c r="F969" s="319">
        <f>J968</f>
        <v/>
      </c>
      <c r="G969" s="319">
        <f>-PMT($D$954/$D$956,33,$F$966,,0)</f>
        <v/>
      </c>
      <c r="H969" s="319">
        <f>$D$954/$D$956*F969</f>
        <v/>
      </c>
      <c r="I969" s="319">
        <f>G969-H969</f>
        <v/>
      </c>
      <c r="J969" s="319">
        <f>F969-I969</f>
        <v/>
      </c>
      <c r="K969" s="516" t="n">
        <v>900000</v>
      </c>
      <c r="L969" s="516">
        <f>L968+G969-K969</f>
        <v/>
      </c>
    </row>
    <row r="970" hidden="1">
      <c r="B970" s="1" t="n">
        <v>9</v>
      </c>
      <c r="C970" s="24" t="n">
        <v>44805</v>
      </c>
      <c r="D970" s="24" t="n">
        <v>44834</v>
      </c>
      <c r="E970" s="25">
        <f>D970-C970+1</f>
        <v/>
      </c>
      <c r="F970" s="319">
        <f>J969</f>
        <v/>
      </c>
      <c r="G970" s="319">
        <f>-PMT($D$954/$D$956,33,$F$966,,0)</f>
        <v/>
      </c>
      <c r="H970" s="319">
        <f>$D$954/$D$956*F970</f>
        <v/>
      </c>
      <c r="I970" s="319">
        <f>G970-H970</f>
        <v/>
      </c>
      <c r="J970" s="319">
        <f>F970-I970</f>
        <v/>
      </c>
      <c r="K970" s="516" t="n">
        <v>900000</v>
      </c>
      <c r="L970" s="516">
        <f>L969+G970-K970</f>
        <v/>
      </c>
    </row>
    <row r="971" hidden="1">
      <c r="B971" s="1" t="n">
        <v>10</v>
      </c>
      <c r="C971" s="24" t="n">
        <v>44835</v>
      </c>
      <c r="D971" s="24" t="n">
        <v>44865</v>
      </c>
      <c r="E971" s="25">
        <f>D971-C971+1</f>
        <v/>
      </c>
      <c r="F971" s="319">
        <f>J970</f>
        <v/>
      </c>
      <c r="G971" s="319">
        <f>-PMT($D$954/$D$956,33,$F$966,,0)</f>
        <v/>
      </c>
      <c r="H971" s="319">
        <f>$D$954/$D$956*F971</f>
        <v/>
      </c>
      <c r="I971" s="319">
        <f>G971-H971</f>
        <v/>
      </c>
      <c r="J971" s="319">
        <f>F971-I971</f>
        <v/>
      </c>
      <c r="K971" s="516" t="n">
        <v>700000</v>
      </c>
      <c r="L971" s="516">
        <f>L970+G971-K971</f>
        <v/>
      </c>
    </row>
    <row r="972" hidden="1">
      <c r="B972" s="1" t="n">
        <v>11</v>
      </c>
      <c r="C972" s="24" t="n">
        <v>44866</v>
      </c>
      <c r="D972" s="24" t="n">
        <v>44895</v>
      </c>
      <c r="E972" s="25">
        <f>D972-C972+1</f>
        <v/>
      </c>
      <c r="F972" s="319">
        <f>J971</f>
        <v/>
      </c>
      <c r="G972" s="319">
        <f>-PMT($D$954/$D$956,33,$F$966,,0)</f>
        <v/>
      </c>
      <c r="H972" s="319">
        <f>$D$954/$D$956*F972</f>
        <v/>
      </c>
      <c r="I972" s="319">
        <f>G972-H972</f>
        <v/>
      </c>
      <c r="J972" s="319">
        <f>F972-I972</f>
        <v/>
      </c>
      <c r="K972" s="516" t="n">
        <v>850000</v>
      </c>
      <c r="L972" s="516">
        <f>L971+G972-K972</f>
        <v/>
      </c>
    </row>
    <row r="973" hidden="1">
      <c r="B973" s="1" t="n">
        <v>12</v>
      </c>
      <c r="C973" s="24" t="n">
        <v>44896</v>
      </c>
      <c r="D973" s="24" t="n">
        <v>44926</v>
      </c>
      <c r="E973" s="25">
        <f>D973-C973+1</f>
        <v/>
      </c>
      <c r="F973" s="319">
        <f>J972</f>
        <v/>
      </c>
      <c r="G973" s="319">
        <f>-PMT($D$954/$D$956,33,$F$966,,0)</f>
        <v/>
      </c>
      <c r="H973" s="319">
        <f>$D$954/$D$956*F973</f>
        <v/>
      </c>
      <c r="I973" s="319">
        <f>G973-H973</f>
        <v/>
      </c>
      <c r="J973" s="319">
        <f>F973-I973</f>
        <v/>
      </c>
      <c r="K973" s="516" t="n">
        <v>0</v>
      </c>
      <c r="L973" s="516">
        <f>L972+G973-K973</f>
        <v/>
      </c>
    </row>
    <row r="974" hidden="1">
      <c r="B974" s="1" t="n">
        <v>13</v>
      </c>
      <c r="C974" s="24" t="n">
        <v>44927</v>
      </c>
      <c r="D974" s="24" t="n">
        <v>44957</v>
      </c>
      <c r="E974" s="25">
        <f>D974-C974+1</f>
        <v/>
      </c>
      <c r="F974" s="319">
        <f>J973</f>
        <v/>
      </c>
      <c r="G974" s="319">
        <f>-PMT($D$954/$D$956,33,$F$966,,0)</f>
        <v/>
      </c>
      <c r="H974" s="319">
        <f>$D$954/$D$956*F974</f>
        <v/>
      </c>
      <c r="I974" s="319">
        <f>G974-H974</f>
        <v/>
      </c>
      <c r="J974" s="319">
        <f>F974-I974</f>
        <v/>
      </c>
      <c r="K974" s="516" t="n">
        <v>1000000</v>
      </c>
      <c r="L974" s="516">
        <f>L973+G974-K974</f>
        <v/>
      </c>
    </row>
    <row r="975" hidden="1">
      <c r="B975" s="1" t="n">
        <v>14</v>
      </c>
      <c r="C975" s="24" t="n">
        <v>44958</v>
      </c>
      <c r="D975" s="24" t="n">
        <v>44985</v>
      </c>
      <c r="E975" s="25">
        <f>D975-C975+1</f>
        <v/>
      </c>
      <c r="F975" s="319">
        <f>J974</f>
        <v/>
      </c>
      <c r="G975" s="319">
        <f>-PMT($D$954/$D$956,33,$F$966,,0)</f>
        <v/>
      </c>
      <c r="H975" s="319">
        <f>$D$954/$D$956*F975</f>
        <v/>
      </c>
      <c r="I975" s="319">
        <f>G975-H975</f>
        <v/>
      </c>
      <c r="J975" s="319">
        <f>F975-I975</f>
        <v/>
      </c>
      <c r="K975" s="516" t="n">
        <v>2000000</v>
      </c>
      <c r="L975" s="516">
        <f>L974+G975-K975</f>
        <v/>
      </c>
    </row>
    <row r="976" hidden="1">
      <c r="B976" s="1" t="n">
        <v>15</v>
      </c>
      <c r="C976" s="24" t="n">
        <v>44986</v>
      </c>
      <c r="D976" s="24" t="n">
        <v>45016</v>
      </c>
      <c r="E976" s="25">
        <f>D976-C976+1</f>
        <v/>
      </c>
      <c r="F976" s="319">
        <f>J975</f>
        <v/>
      </c>
      <c r="G976" s="319">
        <f>-PMT($D$954/$D$956,33,$F$966,,0)</f>
        <v/>
      </c>
      <c r="H976" s="319">
        <f>$D$954/$D$956*F976</f>
        <v/>
      </c>
      <c r="I976" s="319">
        <f>G976-H976</f>
        <v/>
      </c>
      <c r="J976" s="319">
        <f>F976-I976</f>
        <v/>
      </c>
      <c r="K976" s="516" t="n">
        <v>650000</v>
      </c>
      <c r="L976" s="516">
        <f>L975+G976-K976</f>
        <v/>
      </c>
    </row>
    <row r="977" hidden="1">
      <c r="B977" s="1" t="n">
        <v>16</v>
      </c>
      <c r="C977" s="24" t="n">
        <v>45017</v>
      </c>
      <c r="D977" s="24" t="n">
        <v>45046</v>
      </c>
      <c r="E977" s="25">
        <f>D977-C977+1</f>
        <v/>
      </c>
      <c r="F977" s="319">
        <f>J976</f>
        <v/>
      </c>
      <c r="G977" s="319">
        <f>-PMT($D$954/$D$956,33,$F$966,,0)</f>
        <v/>
      </c>
      <c r="H977" s="319">
        <f>$D$954/$D$956*F977</f>
        <v/>
      </c>
      <c r="I977" s="319">
        <f>G977-H977</f>
        <v/>
      </c>
      <c r="J977" s="319">
        <f>F977-I977</f>
        <v/>
      </c>
      <c r="K977" s="516" t="n">
        <v>600000</v>
      </c>
      <c r="L977" s="516">
        <f>L976+G977-K977</f>
        <v/>
      </c>
    </row>
    <row r="978" hidden="1">
      <c r="B978" s="1" t="n">
        <v>17</v>
      </c>
      <c r="C978" s="24" t="n">
        <v>45047</v>
      </c>
      <c r="D978" s="24" t="n">
        <v>45077</v>
      </c>
      <c r="E978" s="25">
        <f>D978-C978+1</f>
        <v/>
      </c>
      <c r="F978" s="319">
        <f>J977</f>
        <v/>
      </c>
      <c r="G978" s="319">
        <f>-PMT($D$954/$D$956,33,$F$966,,0)</f>
        <v/>
      </c>
      <c r="H978" s="319">
        <f>$D$954/$D$956*F978</f>
        <v/>
      </c>
      <c r="I978" s="319">
        <f>G978-H978</f>
        <v/>
      </c>
      <c r="J978" s="319">
        <f>F978-I978</f>
        <v/>
      </c>
      <c r="K978" s="516" t="n">
        <v>800000</v>
      </c>
      <c r="L978" s="516">
        <f>L977+G978-K978</f>
        <v/>
      </c>
    </row>
    <row r="979" hidden="1">
      <c r="B979" s="1" t="n">
        <v>18</v>
      </c>
      <c r="C979" s="24" t="n">
        <v>45078</v>
      </c>
      <c r="D979" s="24" t="n">
        <v>45107</v>
      </c>
      <c r="E979" s="25">
        <f>D979-C979+1</f>
        <v/>
      </c>
      <c r="F979" s="319">
        <f>J978</f>
        <v/>
      </c>
      <c r="G979" s="319">
        <f>-PMT($D$954/$D$956,33,$F$966,,0)</f>
        <v/>
      </c>
      <c r="H979" s="319">
        <f>$D$954/$D$956*F979</f>
        <v/>
      </c>
      <c r="I979" s="319">
        <f>G979-H979</f>
        <v/>
      </c>
      <c r="J979" s="319">
        <f>F979-I979</f>
        <v/>
      </c>
      <c r="K979" s="516" t="n">
        <v>300000</v>
      </c>
      <c r="L979" s="519">
        <f>L978+G979-K979</f>
        <v/>
      </c>
    </row>
    <row r="980" hidden="1">
      <c r="B980" s="1" t="n">
        <v>19</v>
      </c>
      <c r="C980" s="24" t="n">
        <v>45108</v>
      </c>
      <c r="D980" s="24" t="n">
        <v>45138</v>
      </c>
      <c r="E980" s="25">
        <f>D980-C980+1</f>
        <v/>
      </c>
      <c r="F980" s="319">
        <f>J979</f>
        <v/>
      </c>
      <c r="G980" s="319">
        <f>-PMT($D$954/$D$956,33,$F$966,,0)</f>
        <v/>
      </c>
      <c r="H980" s="319">
        <f>$D$954/$D$956*F980</f>
        <v/>
      </c>
      <c r="I980" s="319">
        <f>G980-H980</f>
        <v/>
      </c>
      <c r="J980" s="319">
        <f>F980-I980</f>
        <v/>
      </c>
      <c r="K980" s="516" t="n">
        <v>1000000</v>
      </c>
      <c r="L980" s="520">
        <f>L979+G980-K980</f>
        <v/>
      </c>
    </row>
    <row r="981" hidden="1">
      <c r="B981" s="1" t="n">
        <v>20</v>
      </c>
      <c r="C981" s="24" t="n">
        <v>45139</v>
      </c>
      <c r="D981" s="24" t="n">
        <v>45169</v>
      </c>
      <c r="E981" s="25">
        <f>D981-C981+1</f>
        <v/>
      </c>
      <c r="F981" s="319">
        <f>J980</f>
        <v/>
      </c>
      <c r="G981" s="319">
        <f>-PMT($D$954/$D$956,33,$F$966,,0)</f>
        <v/>
      </c>
      <c r="H981" s="319">
        <f>$D$954/$D$956*F981</f>
        <v/>
      </c>
      <c r="I981" s="319">
        <f>G981-H981</f>
        <v/>
      </c>
      <c r="J981" s="319">
        <f>F981-I981</f>
        <v/>
      </c>
      <c r="K981" s="516" t="n">
        <v>14200000</v>
      </c>
      <c r="L981" s="519" t="n"/>
    </row>
    <row r="982" hidden="1">
      <c r="B982" s="1" t="n">
        <v>21</v>
      </c>
      <c r="C982" s="24" t="n">
        <v>45170</v>
      </c>
      <c r="D982" s="24" t="n">
        <v>45199</v>
      </c>
      <c r="E982" s="25">
        <f>D982-C982+1</f>
        <v/>
      </c>
      <c r="F982" s="319">
        <f>J981</f>
        <v/>
      </c>
      <c r="G982" s="319">
        <f>-PMT($D$954/$D$956,33,$F$966,,0)</f>
        <v/>
      </c>
      <c r="H982" s="319">
        <f>$D$954/$D$956*F982</f>
        <v/>
      </c>
      <c r="I982" s="319">
        <f>G982-H982</f>
        <v/>
      </c>
      <c r="J982" s="319">
        <f>F982-I982</f>
        <v/>
      </c>
      <c r="K982" s="516" t="n"/>
      <c r="L982" s="516" t="n"/>
    </row>
    <row r="983" hidden="1">
      <c r="B983" s="1" t="n">
        <v>22</v>
      </c>
      <c r="C983" s="24" t="n">
        <v>45200</v>
      </c>
      <c r="D983" s="24" t="n">
        <v>45230</v>
      </c>
      <c r="E983" s="25">
        <f>D983-C983+1</f>
        <v/>
      </c>
      <c r="F983" s="319">
        <f>J982</f>
        <v/>
      </c>
      <c r="G983" s="319">
        <f>-PMT($D$954/$D$956,33,$F$966,,0)</f>
        <v/>
      </c>
      <c r="H983" s="319">
        <f>$D$954/$D$956*F983</f>
        <v/>
      </c>
      <c r="I983" s="319">
        <f>G983-H983</f>
        <v/>
      </c>
      <c r="J983" s="319">
        <f>F983-I983</f>
        <v/>
      </c>
      <c r="K983" s="516" t="n"/>
      <c r="L983" s="516" t="n"/>
    </row>
    <row r="984" hidden="1">
      <c r="B984" s="1" t="n">
        <v>23</v>
      </c>
      <c r="C984" s="24" t="n">
        <v>45231</v>
      </c>
      <c r="D984" s="24" t="n">
        <v>45260</v>
      </c>
      <c r="E984" s="25">
        <f>D984-C984+1</f>
        <v/>
      </c>
      <c r="F984" s="319">
        <f>J983</f>
        <v/>
      </c>
      <c r="G984" s="319">
        <f>-PMT($D$954/$D$956,33,$F$966,,0)</f>
        <v/>
      </c>
      <c r="H984" s="319">
        <f>$D$954/$D$956*F984</f>
        <v/>
      </c>
      <c r="I984" s="319">
        <f>G984-H984</f>
        <v/>
      </c>
      <c r="J984" s="319">
        <f>F984-I984</f>
        <v/>
      </c>
      <c r="K984" s="516" t="n">
        <v>350000</v>
      </c>
      <c r="L984" s="516" t="n"/>
    </row>
    <row r="985" hidden="1">
      <c r="B985" s="1" t="n">
        <v>24</v>
      </c>
      <c r="C985" s="24" t="n">
        <v>45261</v>
      </c>
      <c r="D985" s="24" t="n">
        <v>45291</v>
      </c>
      <c r="E985" s="25">
        <f>D985-C985+1</f>
        <v/>
      </c>
      <c r="F985" s="319">
        <f>J984</f>
        <v/>
      </c>
      <c r="G985" s="319">
        <f>-PMT($D$954/$D$956,33,$F$966,,0)</f>
        <v/>
      </c>
      <c r="H985" s="319">
        <f>$D$954/$D$956*F985</f>
        <v/>
      </c>
      <c r="I985" s="319">
        <f>G985-H985</f>
        <v/>
      </c>
      <c r="J985" s="319">
        <f>F985-I985</f>
        <v/>
      </c>
      <c r="K985" s="516" t="n"/>
      <c r="L985" s="516" t="n"/>
    </row>
    <row r="986" hidden="1">
      <c r="B986" s="1" t="n">
        <v>25</v>
      </c>
      <c r="C986" s="24" t="n">
        <v>45292</v>
      </c>
      <c r="D986" s="24" t="n">
        <v>45322</v>
      </c>
      <c r="E986" s="25">
        <f>D986-C986+1</f>
        <v/>
      </c>
      <c r="F986" s="319">
        <f>J985</f>
        <v/>
      </c>
      <c r="G986" s="319">
        <f>-PMT($D$954/$D$956,33,$F$966,,0)</f>
        <v/>
      </c>
      <c r="H986" s="319">
        <f>$D$954/$D$956*F986</f>
        <v/>
      </c>
      <c r="I986" s="319">
        <f>G986-H986</f>
        <v/>
      </c>
      <c r="J986" s="319">
        <f>F986-I986</f>
        <v/>
      </c>
      <c r="K986" s="516" t="n"/>
      <c r="L986" s="516" t="n"/>
    </row>
    <row r="987" hidden="1">
      <c r="B987" s="1" t="n">
        <v>26</v>
      </c>
      <c r="C987" s="24" t="n">
        <v>45323</v>
      </c>
      <c r="D987" s="24" t="n">
        <v>45351</v>
      </c>
      <c r="E987" s="25">
        <f>D987-C987+1</f>
        <v/>
      </c>
      <c r="F987" s="319">
        <f>J986</f>
        <v/>
      </c>
      <c r="G987" s="319">
        <f>-PMT($D$954/$D$956,33,$F$966,,0)</f>
        <v/>
      </c>
      <c r="H987" s="319">
        <f>$D$954/$D$956*F987</f>
        <v/>
      </c>
      <c r="I987" s="319">
        <f>G987-H987</f>
        <v/>
      </c>
      <c r="J987" s="319">
        <f>F987-I987</f>
        <v/>
      </c>
      <c r="K987" s="516" t="n"/>
      <c r="L987" s="516" t="n"/>
    </row>
    <row r="988" hidden="1">
      <c r="B988" s="1" t="n">
        <v>27</v>
      </c>
      <c r="C988" s="24" t="n">
        <v>45352</v>
      </c>
      <c r="D988" s="24" t="n">
        <v>45382</v>
      </c>
      <c r="E988" s="25">
        <f>D988-C988+1</f>
        <v/>
      </c>
      <c r="F988" s="319">
        <f>J987</f>
        <v/>
      </c>
      <c r="G988" s="319">
        <f>-PMT($D$954/$D$956,33,$F$966,,0)</f>
        <v/>
      </c>
      <c r="H988" s="319">
        <f>$D$954/$D$956*F988</f>
        <v/>
      </c>
      <c r="I988" s="319">
        <f>G988-H988</f>
        <v/>
      </c>
      <c r="J988" s="319">
        <f>F988-I988</f>
        <v/>
      </c>
      <c r="K988" s="516" t="n"/>
      <c r="L988" s="516" t="n"/>
    </row>
    <row r="989" hidden="1">
      <c r="B989" s="1" t="n">
        <v>28</v>
      </c>
      <c r="C989" s="24" t="n">
        <v>45383</v>
      </c>
      <c r="D989" s="24" t="n">
        <v>45412</v>
      </c>
      <c r="E989" s="25">
        <f>D989-C989+1</f>
        <v/>
      </c>
      <c r="F989" s="319">
        <f>J988</f>
        <v/>
      </c>
      <c r="G989" s="319">
        <f>-PMT($D$954/$D$956,33,$F$966,,0)</f>
        <v/>
      </c>
      <c r="H989" s="319">
        <f>$D$954/$D$956*F989</f>
        <v/>
      </c>
      <c r="I989" s="319">
        <f>G989-H989</f>
        <v/>
      </c>
      <c r="J989" s="319">
        <f>F989-I989</f>
        <v/>
      </c>
      <c r="K989" s="516" t="n"/>
      <c r="L989" s="516" t="n"/>
    </row>
    <row r="990" hidden="1">
      <c r="B990" s="1" t="n">
        <v>29</v>
      </c>
      <c r="C990" s="24" t="n">
        <v>45413</v>
      </c>
      <c r="D990" s="24" t="n">
        <v>45443</v>
      </c>
      <c r="E990" s="25">
        <f>D990-C990+1</f>
        <v/>
      </c>
      <c r="F990" s="319">
        <f>J989</f>
        <v/>
      </c>
      <c r="G990" s="319">
        <f>-PMT($D$954/$D$956,33,$F$966,,0)</f>
        <v/>
      </c>
      <c r="H990" s="319">
        <f>$D$954/$D$956*F990</f>
        <v/>
      </c>
      <c r="I990" s="319">
        <f>G990-H990</f>
        <v/>
      </c>
      <c r="J990" s="319">
        <f>F990-I990</f>
        <v/>
      </c>
      <c r="K990" s="516" t="n"/>
      <c r="L990" s="516" t="n"/>
    </row>
    <row r="991" hidden="1">
      <c r="B991" s="1" t="n">
        <v>30</v>
      </c>
      <c r="C991" s="24" t="n">
        <v>45444</v>
      </c>
      <c r="D991" s="24" t="n">
        <v>45473</v>
      </c>
      <c r="E991" s="25">
        <f>D991-C991+1</f>
        <v/>
      </c>
      <c r="F991" s="319">
        <f>J990</f>
        <v/>
      </c>
      <c r="G991" s="319">
        <f>-PMT($D$954/$D$956,33,$F$966,,0)</f>
        <v/>
      </c>
      <c r="H991" s="319">
        <f>$D$954/$D$956*F991</f>
        <v/>
      </c>
      <c r="I991" s="319">
        <f>G991-H991</f>
        <v/>
      </c>
      <c r="J991" s="319">
        <f>F991-I991</f>
        <v/>
      </c>
      <c r="K991" s="516" t="n"/>
      <c r="L991" s="516" t="n"/>
    </row>
    <row r="992" hidden="1">
      <c r="B992" s="1" t="n">
        <v>31</v>
      </c>
      <c r="C992" s="24" t="n">
        <v>45474</v>
      </c>
      <c r="D992" s="24" t="n">
        <v>45504</v>
      </c>
      <c r="E992" s="25">
        <f>D992-C992+1</f>
        <v/>
      </c>
      <c r="F992" s="319">
        <f>J991</f>
        <v/>
      </c>
      <c r="G992" s="319">
        <f>-PMT($D$954/$D$956,33,$F$966,,0)</f>
        <v/>
      </c>
      <c r="H992" s="319">
        <f>$D$954/$D$956*F992</f>
        <v/>
      </c>
      <c r="I992" s="319">
        <f>G992-H992</f>
        <v/>
      </c>
      <c r="J992" s="319">
        <f>F992-I992</f>
        <v/>
      </c>
      <c r="K992" s="516" t="n"/>
      <c r="L992" s="516" t="n"/>
    </row>
    <row r="993" hidden="1">
      <c r="B993" s="1" t="n">
        <v>32</v>
      </c>
      <c r="C993" s="24" t="n">
        <v>45505</v>
      </c>
      <c r="D993" s="24" t="n">
        <v>45535</v>
      </c>
      <c r="E993" s="25">
        <f>D993-C993+1</f>
        <v/>
      </c>
      <c r="F993" s="319">
        <f>J992</f>
        <v/>
      </c>
      <c r="G993" s="319">
        <f>-PMT($D$954/$D$956,33,$F$966,,0)</f>
        <v/>
      </c>
      <c r="H993" s="319">
        <f>$D$954/$D$956*F993</f>
        <v/>
      </c>
      <c r="I993" s="319">
        <f>G993-H993</f>
        <v/>
      </c>
      <c r="J993" s="319">
        <f>F993-I993</f>
        <v/>
      </c>
      <c r="K993" s="516" t="n"/>
      <c r="L993" s="516" t="n"/>
    </row>
    <row r="994" hidden="1">
      <c r="B994" s="1" t="n">
        <v>33</v>
      </c>
      <c r="C994" s="24" t="n">
        <v>45536</v>
      </c>
      <c r="D994" s="24" t="n">
        <v>45565</v>
      </c>
      <c r="E994" s="25">
        <f>D994-C994+1</f>
        <v/>
      </c>
      <c r="F994" s="319">
        <f>J993</f>
        <v/>
      </c>
      <c r="G994" s="319">
        <f>-PMT($D$954/$D$956,33,$F$966,,0)</f>
        <v/>
      </c>
      <c r="H994" s="319">
        <f>$D$954/$D$956*F994</f>
        <v/>
      </c>
      <c r="I994" s="319">
        <f>G994-H994</f>
        <v/>
      </c>
      <c r="J994" s="319">
        <f>F994-I994</f>
        <v/>
      </c>
      <c r="K994" s="516" t="n"/>
      <c r="L994" s="516" t="n"/>
    </row>
    <row r="995" hidden="1">
      <c r="B995" s="1" t="n">
        <v>34</v>
      </c>
      <c r="C995" s="24" t="n">
        <v>45566</v>
      </c>
      <c r="D995" s="24" t="n">
        <v>45596</v>
      </c>
      <c r="E995" s="25">
        <f>D995-C995+1</f>
        <v/>
      </c>
      <c r="F995" s="319">
        <f>J994</f>
        <v/>
      </c>
      <c r="G995" s="319">
        <f>-PMT($D$954/$D$956,33,$F$966,,0)</f>
        <v/>
      </c>
      <c r="H995" s="319">
        <f>$D$954/$D$956*F995</f>
        <v/>
      </c>
      <c r="I995" s="319">
        <f>G995-H995</f>
        <v/>
      </c>
      <c r="J995" s="319">
        <f>F995-I995</f>
        <v/>
      </c>
      <c r="K995" s="516" t="n"/>
      <c r="L995" s="516" t="n"/>
    </row>
    <row r="996" hidden="1">
      <c r="B996" s="1" t="n">
        <v>35</v>
      </c>
      <c r="C996" s="24" t="n">
        <v>45597</v>
      </c>
      <c r="D996" s="24" t="n">
        <v>45626</v>
      </c>
      <c r="E996" s="25">
        <f>D996-C996+1</f>
        <v/>
      </c>
      <c r="F996" s="319">
        <f>J995</f>
        <v/>
      </c>
      <c r="G996" s="319">
        <f>-PMT($D$954/$D$956,33,$F$966,,0)</f>
        <v/>
      </c>
      <c r="H996" s="319">
        <f>$D$954/$D$956*F996</f>
        <v/>
      </c>
      <c r="I996" s="319">
        <f>G996-H996</f>
        <v/>
      </c>
      <c r="J996" s="319">
        <f>F996-I996</f>
        <v/>
      </c>
      <c r="K996" s="516" t="n"/>
      <c r="L996" s="516" t="n"/>
    </row>
    <row r="997" hidden="1">
      <c r="B997" s="1" t="n">
        <v>36</v>
      </c>
      <c r="C997" s="24" t="n">
        <v>45627</v>
      </c>
      <c r="D997" s="24" t="n">
        <v>45657</v>
      </c>
      <c r="E997" s="25">
        <f>D997-C997+1</f>
        <v/>
      </c>
      <c r="F997" s="319">
        <f>J996</f>
        <v/>
      </c>
      <c r="G997" s="319">
        <f>-PMT($D$954/$D$956,33,$F$966,,0)</f>
        <v/>
      </c>
      <c r="H997" s="319">
        <f>$D$954/$D$956*F997</f>
        <v/>
      </c>
      <c r="I997" s="319">
        <f>G997-H997</f>
        <v/>
      </c>
      <c r="J997" s="319">
        <f>F997-I997</f>
        <v/>
      </c>
      <c r="K997" s="516" t="n"/>
      <c r="L997" s="516" t="n"/>
    </row>
    <row r="998" hidden="1">
      <c r="B998" s="1" t="n">
        <v>37</v>
      </c>
      <c r="C998" s="24" t="n">
        <v>45658</v>
      </c>
      <c r="D998" s="24" t="n">
        <v>45688</v>
      </c>
      <c r="E998" s="25">
        <f>D998-C998+1</f>
        <v/>
      </c>
      <c r="F998" s="319">
        <f>J997</f>
        <v/>
      </c>
      <c r="G998" s="319">
        <f>-PMT($D$954/$D$956,33,$F$966,,0)</f>
        <v/>
      </c>
      <c r="H998" s="319">
        <f>$D$954/$D$956*F998</f>
        <v/>
      </c>
      <c r="I998" s="319">
        <f>G998-H998</f>
        <v/>
      </c>
      <c r="J998" s="319">
        <f>F998-I998</f>
        <v/>
      </c>
      <c r="K998" s="516" t="n"/>
      <c r="L998" s="516" t="n"/>
    </row>
    <row r="999" hidden="1" ht="14.25" customHeight="1">
      <c r="B999" s="1" t="n"/>
      <c r="C999" s="1" t="n"/>
      <c r="D999" s="1" t="n"/>
      <c r="E999" s="30">
        <f>SUM(E962:E985)</f>
        <v/>
      </c>
      <c r="F999" s="319" t="n"/>
      <c r="G999" s="319" t="n"/>
      <c r="H999" s="319" t="n"/>
      <c r="I999" s="319" t="n"/>
      <c r="J999" s="319" t="n"/>
      <c r="K999" s="1" t="n"/>
      <c r="L999" s="1" t="n"/>
    </row>
    <row r="1004">
      <c r="B1004" s="1" t="n"/>
      <c r="C1004" s="9" t="inlineStr">
        <is>
          <t>Steel Base Furnitures</t>
        </is>
      </c>
      <c r="D1004" s="319" t="n"/>
      <c r="E1004" s="319" t="n"/>
      <c r="F1004" s="319" t="n"/>
      <c r="G1004" s="319" t="n"/>
      <c r="H1004" s="319" t="n"/>
      <c r="I1004" s="319" t="n"/>
      <c r="J1004" s="319" t="n"/>
      <c r="K1004" s="319" t="n"/>
      <c r="L1004" s="319" t="n"/>
      <c r="R1004" s="514" t="inlineStr">
        <is>
          <t>E-Banker account (Dupleix)</t>
        </is>
      </c>
      <c r="S1004" s="495">
        <f>IFERROR(INDEX('Blocks'!$I$2:$I$101,MATCH(17,'Blocks'!$A$2:$A$101,0)),"")</f>
        <v/>
      </c>
    </row>
    <row r="1005">
      <c r="B1005" s="1" t="n"/>
      <c r="C1005" s="1" t="n"/>
      <c r="D1005" s="319" t="n"/>
      <c r="E1005" s="319" t="n"/>
      <c r="F1005" s="319" t="n"/>
      <c r="G1005" s="319" t="n"/>
      <c r="H1005" s="319" t="n"/>
      <c r="I1005" s="319" t="n"/>
      <c r="J1005" s="319" t="n"/>
      <c r="K1005" s="319" t="n"/>
      <c r="L1005" s="319" t="n"/>
      <c r="R1005" s="514" t="inlineStr">
        <is>
          <t>Facility (Loan Book)</t>
        </is>
      </c>
      <c r="S1005" s="495">
        <f>IFERROR(INDEX('Blocks'!$H$2:$H$101,MATCH(17,'Blocks'!$A$2:$A$101,0)),"")</f>
        <v/>
      </c>
    </row>
    <row r="1006">
      <c r="B1006" s="1" t="n"/>
      <c r="C1006" s="10" t="inlineStr">
        <is>
          <t>Principal (MK)</t>
        </is>
      </c>
      <c r="D1006" s="11" t="n">
        <v>14677500</v>
      </c>
      <c r="E1006" s="319" t="n"/>
      <c r="F1006" s="319" t="n"/>
      <c r="G1006" s="319" t="n"/>
      <c r="H1006" s="319" t="n"/>
      <c r="I1006" s="319" t="n"/>
      <c r="J1006" s="319" t="n"/>
      <c r="K1006" s="319" t="n"/>
      <c r="L1006" s="319" t="n"/>
      <c r="R1006" s="514" t="inlineStr">
        <is>
          <t>Take-on posting 31 Jul 2024</t>
        </is>
      </c>
      <c r="S1006" s="496">
        <f>IFERROR(INDEX('E-Banker master'!$N$2:$N$186,MATCH(S1004,'E-Banker master'!$A$2:$A$186,0)),"")</f>
        <v/>
      </c>
    </row>
    <row r="1007">
      <c r="B1007" s="1" t="n"/>
      <c r="C1007" s="13" t="inlineStr">
        <is>
          <t>Rate</t>
        </is>
      </c>
      <c r="D1007" s="14" t="n">
        <v>0.1</v>
      </c>
      <c r="E1007" s="257" t="n"/>
      <c r="F1007" s="319" t="n"/>
      <c r="G1007" s="319" t="n"/>
      <c r="H1007" s="319" t="n"/>
      <c r="I1007" s="319" t="n"/>
      <c r="J1007" s="319" t="n"/>
      <c r="K1007" s="319" t="n"/>
      <c r="L1007" s="319" t="n"/>
      <c r="R1007" s="514" t="inlineStr">
        <is>
          <t>E-Banker balance 31 Oct 2024</t>
        </is>
      </c>
      <c r="S1007" s="496">
        <f>IFERROR(INDEX('E-Banker master'!$P$2:$P$186,MATCH(S1004,'E-Banker master'!$A$2:$A$186,0)),"")</f>
        <v/>
      </c>
    </row>
    <row r="1008">
      <c r="B1008" s="1" t="n"/>
      <c r="C1008" s="13" t="inlineStr">
        <is>
          <t>n</t>
        </is>
      </c>
      <c r="D1008" s="16" t="n">
        <v>2</v>
      </c>
      <c r="E1008" s="1" t="n"/>
      <c r="F1008" s="319" t="n"/>
      <c r="G1008" s="319" t="n"/>
      <c r="H1008" s="319" t="n"/>
      <c r="I1008" s="319" t="n"/>
      <c r="J1008" s="319" t="n"/>
      <c r="K1008" s="1" t="n"/>
      <c r="L1008" s="1" t="n"/>
    </row>
    <row r="1009">
      <c r="B1009" s="1" t="n"/>
      <c r="C1009" s="13" t="inlineStr">
        <is>
          <t>Per</t>
        </is>
      </c>
      <c r="D1009" s="16" t="n">
        <v>12</v>
      </c>
      <c r="E1009" s="1" t="n"/>
      <c r="F1009" s="319" t="n"/>
      <c r="G1009" s="319" t="n"/>
      <c r="H1009" s="319" t="n"/>
      <c r="I1009" s="319" t="n"/>
      <c r="J1009" s="319" t="n"/>
      <c r="K1009" s="1" t="n"/>
      <c r="L1009" s="1" t="n"/>
    </row>
    <row r="1010">
      <c r="B1010" s="1" t="n"/>
      <c r="C1010" s="13" t="inlineStr">
        <is>
          <t>nPer</t>
        </is>
      </c>
      <c r="D1010" s="515">
        <f>D1008*D1009</f>
        <v/>
      </c>
      <c r="E1010" s="1" t="n"/>
      <c r="F1010" s="319" t="n"/>
      <c r="G1010" s="319" t="n"/>
      <c r="H1010" s="319" t="n"/>
      <c r="I1010" s="319" t="n"/>
      <c r="J1010" s="319" t="n"/>
      <c r="K1010" s="1" t="n"/>
      <c r="L1010" s="1" t="n"/>
    </row>
    <row r="1011">
      <c r="B1011" s="1" t="n"/>
      <c r="C1011" s="13" t="inlineStr">
        <is>
          <t>Days in a year</t>
        </is>
      </c>
      <c r="D1011" s="18" t="n">
        <v>365</v>
      </c>
      <c r="E1011" s="1" t="n"/>
      <c r="F1011" s="319" t="n"/>
      <c r="G1011" s="319" t="n"/>
      <c r="H1011" s="319" t="n"/>
      <c r="I1011" s="319" t="n"/>
      <c r="J1011" s="319" t="n"/>
      <c r="K1011" s="1" t="n"/>
      <c r="L1011" s="1" t="n"/>
    </row>
    <row r="1012">
      <c r="B1012" s="1" t="n"/>
      <c r="C1012" s="19" t="inlineStr">
        <is>
          <t>Pmt (MK)</t>
        </is>
      </c>
      <c r="D1012" s="20">
        <f>-PMT(D1007/D1009,D1010,D1006,0,0)</f>
        <v/>
      </c>
      <c r="E1012" s="319" t="n"/>
      <c r="F1012" s="319" t="n"/>
      <c r="G1012" s="319" t="n"/>
      <c r="H1012" s="319" t="n"/>
      <c r="I1012" s="319" t="n"/>
      <c r="J1012" s="319" t="n"/>
      <c r="K1012" s="1" t="n"/>
      <c r="L1012" s="1" t="n"/>
    </row>
    <row r="1013">
      <c r="B1013" s="1" t="n"/>
      <c r="C1013" s="1" t="n"/>
      <c r="D1013" s="319" t="n"/>
      <c r="E1013" s="319" t="n"/>
      <c r="F1013" s="319" t="n"/>
      <c r="G1013" s="319" t="n"/>
      <c r="H1013" s="319" t="n"/>
      <c r="I1013" s="319" t="n"/>
      <c r="J1013" s="319" t="n"/>
      <c r="K1013" s="1" t="n"/>
      <c r="L1013" s="1" t="n"/>
    </row>
    <row r="1014">
      <c r="B1014" s="1" t="n"/>
      <c r="C1014" s="21" t="inlineStr">
        <is>
          <t>Period Start</t>
        </is>
      </c>
      <c r="D1014" s="22" t="inlineStr">
        <is>
          <t>Period End</t>
        </is>
      </c>
      <c r="E1014" s="22" t="inlineStr">
        <is>
          <t>Days</t>
        </is>
      </c>
      <c r="F1014" s="294" t="inlineStr">
        <is>
          <t>Opening bal.</t>
        </is>
      </c>
      <c r="G1014" s="294" t="inlineStr">
        <is>
          <t>Pmt</t>
        </is>
      </c>
      <c r="H1014" s="294" t="inlineStr">
        <is>
          <t>Interest</t>
        </is>
      </c>
      <c r="I1014" s="294" t="inlineStr">
        <is>
          <t>Principal</t>
        </is>
      </c>
      <c r="J1014" s="294" t="inlineStr">
        <is>
          <t>Closing balance</t>
        </is>
      </c>
      <c r="K1014" s="23" t="inlineStr">
        <is>
          <t>Amount Repaid</t>
        </is>
      </c>
      <c r="L1014" s="23" t="inlineStr">
        <is>
          <t>Accumulated Arrears</t>
        </is>
      </c>
    </row>
    <row r="1015">
      <c r="B1015" s="1" t="n">
        <v>1</v>
      </c>
      <c r="C1015" s="24" t="n">
        <v>44585</v>
      </c>
      <c r="D1015" s="24" t="n">
        <v>44592</v>
      </c>
      <c r="E1015" s="25">
        <f>D1015-C1015+1</f>
        <v/>
      </c>
      <c r="F1015" s="319">
        <f>D1006</f>
        <v/>
      </c>
      <c r="G1015" s="319" t="n"/>
      <c r="H1015" s="319">
        <f>$D$1007/$D$1009*F1015*E1015/31</f>
        <v/>
      </c>
      <c r="I1015" s="319">
        <f>G1015-H1015</f>
        <v/>
      </c>
      <c r="J1015" s="319">
        <f>F1015-I1015</f>
        <v/>
      </c>
      <c r="K1015" s="516" t="n"/>
      <c r="L1015" s="516" t="n"/>
    </row>
    <row r="1016">
      <c r="B1016" s="1" t="n">
        <v>2</v>
      </c>
      <c r="C1016" s="24" t="n">
        <v>44593</v>
      </c>
      <c r="D1016" s="24" t="n">
        <v>44620</v>
      </c>
      <c r="E1016" s="25">
        <f>D1016-C1016+1</f>
        <v/>
      </c>
      <c r="F1016" s="319">
        <f>J1015</f>
        <v/>
      </c>
      <c r="G1016" s="319" t="n"/>
      <c r="H1016" s="319">
        <f>$D$1007/$D$1009*F1016</f>
        <v/>
      </c>
      <c r="I1016" s="319">
        <f>G1016-H1016</f>
        <v/>
      </c>
      <c r="J1016" s="319">
        <f>F1016-I1016</f>
        <v/>
      </c>
      <c r="K1016" s="516" t="n"/>
      <c r="L1016" s="516" t="n"/>
    </row>
    <row r="1017">
      <c r="B1017" s="1" t="n">
        <v>3</v>
      </c>
      <c r="C1017" s="24" t="n">
        <v>44621</v>
      </c>
      <c r="D1017" s="24" t="n">
        <v>44651</v>
      </c>
      <c r="E1017" s="25">
        <f>D1017-C1017+1</f>
        <v/>
      </c>
      <c r="F1017" s="319">
        <f>J1016</f>
        <v/>
      </c>
      <c r="G1017" s="319" t="n"/>
      <c r="H1017" s="319">
        <f>$D$1007/$D$1009*F1017</f>
        <v/>
      </c>
      <c r="I1017" s="319">
        <f>G1017-H1017</f>
        <v/>
      </c>
      <c r="J1017" s="319">
        <f>F1017-I1017</f>
        <v/>
      </c>
      <c r="K1017" s="516" t="n"/>
      <c r="L1017" s="516" t="n"/>
    </row>
    <row r="1018">
      <c r="B1018" s="1" t="n">
        <v>4</v>
      </c>
      <c r="C1018" s="24" t="n">
        <v>44652</v>
      </c>
      <c r="D1018" s="24" t="n">
        <v>44681</v>
      </c>
      <c r="E1018" s="25">
        <f>D1018-C1018+1</f>
        <v/>
      </c>
      <c r="F1018" s="319">
        <f>J1017</f>
        <v/>
      </c>
      <c r="G1018" s="319" t="n"/>
      <c r="H1018" s="319">
        <f>$D$1007/$D$1009*F1018</f>
        <v/>
      </c>
      <c r="I1018" s="319">
        <f>G1018-H1018</f>
        <v/>
      </c>
      <c r="J1018" s="319">
        <f>F1018-I1018</f>
        <v/>
      </c>
      <c r="K1018" s="516" t="n">
        <v>0</v>
      </c>
      <c r="L1018" s="516" t="n"/>
    </row>
    <row r="1019">
      <c r="B1019" s="1" t="n">
        <v>5</v>
      </c>
      <c r="C1019" s="24" t="n">
        <v>44682</v>
      </c>
      <c r="D1019" s="24" t="n">
        <v>44712</v>
      </c>
      <c r="E1019" s="25">
        <f>D1019-C1019+1</f>
        <v/>
      </c>
      <c r="F1019" s="319">
        <f>J1018</f>
        <v/>
      </c>
      <c r="G1019" s="319" t="n"/>
      <c r="H1019" s="319">
        <f>$D$1007/$D$1009*F1019</f>
        <v/>
      </c>
      <c r="I1019" s="319">
        <f>G1019-H1019</f>
        <v/>
      </c>
      <c r="J1019" s="319">
        <f>F1019-I1019</f>
        <v/>
      </c>
      <c r="K1019" s="516" t="n"/>
      <c r="L1019" s="516" t="n"/>
    </row>
    <row r="1020">
      <c r="B1020" s="1" t="n">
        <v>6</v>
      </c>
      <c r="C1020" s="24" t="n">
        <v>44713</v>
      </c>
      <c r="D1020" s="24" t="n">
        <v>44742</v>
      </c>
      <c r="E1020" s="25">
        <f>D1020-C1020+1</f>
        <v/>
      </c>
      <c r="F1020" s="319">
        <f>J1019</f>
        <v/>
      </c>
      <c r="G1020" s="319" t="n"/>
      <c r="H1020" s="319">
        <f>$D$1007/$D$1009*F1020</f>
        <v/>
      </c>
      <c r="I1020" s="319">
        <f>G1020-H1020</f>
        <v/>
      </c>
      <c r="J1020" s="319">
        <f>F1020-I1020</f>
        <v/>
      </c>
      <c r="K1020" s="516">
        <f>734000+52000</f>
        <v/>
      </c>
      <c r="L1020" s="516" t="n"/>
    </row>
    <row r="1021">
      <c r="B1021" s="1" t="n">
        <v>7</v>
      </c>
      <c r="C1021" s="24" t="n">
        <v>44743</v>
      </c>
      <c r="D1021" s="24" t="n">
        <v>44773</v>
      </c>
      <c r="E1021" s="25">
        <f>D1021-C1021+1</f>
        <v/>
      </c>
      <c r="F1021" s="319">
        <f>J1020</f>
        <v/>
      </c>
      <c r="G1021" s="319" t="n"/>
      <c r="H1021" s="319">
        <f>$D$1007/$D$1009*F1021</f>
        <v/>
      </c>
      <c r="I1021" s="319">
        <f>G1021-H1021</f>
        <v/>
      </c>
      <c r="J1021" s="319">
        <f>F1021-I1021</f>
        <v/>
      </c>
      <c r="K1021" s="516" t="n">
        <v>0</v>
      </c>
      <c r="L1021" s="516" t="n"/>
      <c r="M1021" s="237">
        <f>G1020+G1021-L1021</f>
        <v/>
      </c>
    </row>
    <row r="1022">
      <c r="B1022" s="1" t="n">
        <v>8</v>
      </c>
      <c r="C1022" s="24" t="n">
        <v>44774</v>
      </c>
      <c r="D1022" s="24" t="n">
        <v>44804</v>
      </c>
      <c r="E1022" s="25">
        <f>D1022-C1022+1</f>
        <v/>
      </c>
      <c r="F1022" s="319">
        <f>J1021</f>
        <v/>
      </c>
      <c r="G1022" s="319" t="n"/>
      <c r="H1022" s="319">
        <f>$D$1007/$D$1009*F1022</f>
        <v/>
      </c>
      <c r="I1022" s="319">
        <f>G1022-H1022</f>
        <v/>
      </c>
      <c r="J1022" s="319">
        <f>F1022-I1022</f>
        <v/>
      </c>
      <c r="K1022" s="516" t="n"/>
      <c r="L1022" s="516" t="n"/>
    </row>
    <row r="1023">
      <c r="B1023" s="1" t="n">
        <v>9</v>
      </c>
      <c r="C1023" s="24" t="n">
        <v>44805</v>
      </c>
      <c r="D1023" s="24" t="n">
        <v>44834</v>
      </c>
      <c r="E1023" s="25">
        <f>D1023-C1023+1</f>
        <v/>
      </c>
      <c r="F1023" s="319">
        <f>J1022</f>
        <v/>
      </c>
      <c r="G1023" s="319" t="n"/>
      <c r="H1023" s="319">
        <f>$D$1007/$D$1009*F1023</f>
        <v/>
      </c>
      <c r="I1023" s="319">
        <f>G1023-H1023</f>
        <v/>
      </c>
      <c r="J1023" s="319">
        <f>F1023-I1023</f>
        <v/>
      </c>
      <c r="K1023" s="516" t="n"/>
      <c r="L1023" s="516" t="n"/>
    </row>
    <row r="1024">
      <c r="B1024" s="1" t="n">
        <v>10</v>
      </c>
      <c r="C1024" s="24" t="n">
        <v>44835</v>
      </c>
      <c r="D1024" s="24" t="n">
        <v>44865</v>
      </c>
      <c r="E1024" s="25">
        <f>D1024-C1024+1</f>
        <v/>
      </c>
      <c r="F1024" s="319">
        <f>J1023</f>
        <v/>
      </c>
      <c r="G1024" s="319" t="n"/>
      <c r="H1024" s="319">
        <f>$D$1007/$D$1009*F1024</f>
        <v/>
      </c>
      <c r="I1024" s="319">
        <f>G1024-H1024</f>
        <v/>
      </c>
      <c r="J1024" s="319">
        <f>F1024-I1024</f>
        <v/>
      </c>
      <c r="K1024" s="516" t="n"/>
      <c r="L1024" s="516" t="n"/>
    </row>
    <row r="1025">
      <c r="B1025" s="1" t="n">
        <v>11</v>
      </c>
      <c r="C1025" s="24" t="n">
        <v>44866</v>
      </c>
      <c r="D1025" s="24" t="n">
        <v>44895</v>
      </c>
      <c r="E1025" s="25">
        <f>D1025-C1025+1</f>
        <v/>
      </c>
      <c r="F1025" s="319">
        <f>J1024</f>
        <v/>
      </c>
      <c r="G1025" s="319" t="n"/>
      <c r="H1025" s="319">
        <f>$D$1007/$D$1009*F1025</f>
        <v/>
      </c>
      <c r="I1025" s="319">
        <f>G1025-H1025</f>
        <v/>
      </c>
      <c r="J1025" s="319">
        <f>F1025-I1025</f>
        <v/>
      </c>
      <c r="K1025" s="516" t="n"/>
      <c r="L1025" s="516" t="n"/>
    </row>
    <row r="1026">
      <c r="B1026" s="1" t="n">
        <v>12</v>
      </c>
      <c r="C1026" s="24" t="n">
        <v>44896</v>
      </c>
      <c r="D1026" s="24" t="n">
        <v>44926</v>
      </c>
      <c r="E1026" s="25">
        <f>D1026-C1026+1</f>
        <v/>
      </c>
      <c r="F1026" s="319">
        <f>J1025</f>
        <v/>
      </c>
      <c r="G1026" s="319" t="n"/>
      <c r="H1026" s="319">
        <f>$D$1007/$D$1009*F1026</f>
        <v/>
      </c>
      <c r="I1026" s="319">
        <f>G1026-H1026</f>
        <v/>
      </c>
      <c r="J1026" s="319">
        <f>F1026-I1026</f>
        <v/>
      </c>
      <c r="K1026" s="516" t="n"/>
      <c r="L1026" s="516" t="n"/>
    </row>
    <row r="1027">
      <c r="B1027" s="1" t="n">
        <v>13</v>
      </c>
      <c r="C1027" s="24" t="n">
        <v>44927</v>
      </c>
      <c r="D1027" s="24" t="n">
        <v>44957</v>
      </c>
      <c r="E1027" s="25">
        <f>D1027-C1027+1</f>
        <v/>
      </c>
      <c r="F1027" s="319">
        <f>J1026</f>
        <v/>
      </c>
      <c r="G1027" s="319" t="n"/>
      <c r="H1027" s="319">
        <f>$D$1007/$D$1009*F1027</f>
        <v/>
      </c>
      <c r="I1027" s="319">
        <f>G1027-H1027</f>
        <v/>
      </c>
      <c r="J1027" s="319">
        <f>F1027-I1027</f>
        <v/>
      </c>
      <c r="K1027" s="516" t="n"/>
    </row>
    <row r="1028">
      <c r="B1028" s="1" t="n">
        <v>14</v>
      </c>
      <c r="C1028" s="24" t="n">
        <v>44958</v>
      </c>
      <c r="D1028" s="24" t="n">
        <v>44985</v>
      </c>
      <c r="E1028" s="25">
        <f>D1028-C1028+1</f>
        <v/>
      </c>
      <c r="F1028" s="319">
        <f>J1027</f>
        <v/>
      </c>
      <c r="G1028" s="319" t="n"/>
      <c r="H1028" s="319">
        <f>$D$1007/$D$1009*F1028</f>
        <v/>
      </c>
      <c r="I1028" s="319">
        <f>G1028-H1028</f>
        <v/>
      </c>
      <c r="J1028" s="319">
        <f>F1028-I1028</f>
        <v/>
      </c>
      <c r="K1028" s="516" t="n"/>
      <c r="L1028" s="516" t="n"/>
    </row>
    <row r="1029">
      <c r="B1029" s="1" t="n">
        <v>15</v>
      </c>
      <c r="C1029" s="24" t="n">
        <v>44986</v>
      </c>
      <c r="D1029" s="24" t="n">
        <v>45016</v>
      </c>
      <c r="E1029" s="25">
        <f>D1029-C1029+1</f>
        <v/>
      </c>
      <c r="F1029" s="319">
        <f>J1028</f>
        <v/>
      </c>
      <c r="G1029" s="319">
        <f>-PMT($D$1007/$D$1009,11,$F$1029,,0)</f>
        <v/>
      </c>
      <c r="H1029" s="319">
        <f>$D$1007/$D$1009*F1029</f>
        <v/>
      </c>
      <c r="I1029" s="319">
        <f>G1029-H1029</f>
        <v/>
      </c>
      <c r="J1029" s="319">
        <f>F1029-I1029</f>
        <v/>
      </c>
      <c r="K1029" s="516" t="n"/>
      <c r="L1029" s="516">
        <f>G1029-K1020</f>
        <v/>
      </c>
    </row>
    <row r="1030">
      <c r="B1030" s="1" t="n">
        <v>16</v>
      </c>
      <c r="C1030" s="24" t="n">
        <v>45017</v>
      </c>
      <c r="D1030" s="24" t="n">
        <v>45046</v>
      </c>
      <c r="E1030" s="25">
        <f>D1030-C1030+1</f>
        <v/>
      </c>
      <c r="F1030" s="319">
        <f>J1029</f>
        <v/>
      </c>
      <c r="G1030" s="319">
        <f>-PMT($D$1007/$D$1009,11,$F$1029,,0)</f>
        <v/>
      </c>
      <c r="H1030" s="319">
        <f>$D$1007/$D$1009*F1030</f>
        <v/>
      </c>
      <c r="I1030" s="319">
        <f>G1030-H1030</f>
        <v/>
      </c>
      <c r="J1030" s="319">
        <f>F1030-I1030</f>
        <v/>
      </c>
      <c r="K1030" s="516" t="n"/>
      <c r="L1030" s="516">
        <f>L1029+G1030</f>
        <v/>
      </c>
    </row>
    <row r="1031">
      <c r="B1031" s="1" t="n">
        <v>17</v>
      </c>
      <c r="C1031" s="24" t="n">
        <v>45047</v>
      </c>
      <c r="D1031" s="24" t="n">
        <v>45077</v>
      </c>
      <c r="E1031" s="25">
        <f>D1031-C1031+1</f>
        <v/>
      </c>
      <c r="F1031" s="319">
        <f>J1030</f>
        <v/>
      </c>
      <c r="G1031" s="319">
        <f>-PMT($D$1007/$D$1009,11,$F$1029,,0)</f>
        <v/>
      </c>
      <c r="H1031" s="319">
        <f>$D$1007/$D$1009*F1031</f>
        <v/>
      </c>
      <c r="I1031" s="319">
        <f>G1031-H1031</f>
        <v/>
      </c>
      <c r="J1031" s="319">
        <f>F1031-I1031</f>
        <v/>
      </c>
      <c r="K1031" s="516" t="n"/>
      <c r="L1031" s="519">
        <f>L1030+G1031</f>
        <v/>
      </c>
    </row>
    <row r="1032">
      <c r="B1032" s="1" t="n">
        <v>18</v>
      </c>
      <c r="C1032" s="24" t="n">
        <v>45078</v>
      </c>
      <c r="D1032" s="24" t="n">
        <v>45107</v>
      </c>
      <c r="E1032" s="25">
        <f>D1032-C1032+1</f>
        <v/>
      </c>
      <c r="F1032" s="319">
        <f>J1031</f>
        <v/>
      </c>
      <c r="G1032" s="319">
        <f>-PMT($D$1007/$D$1009,11,$F$1029,,0)</f>
        <v/>
      </c>
      <c r="H1032" s="319">
        <f>$D$1007/$D$1009*F1032</f>
        <v/>
      </c>
      <c r="I1032" s="319">
        <f>G1032-H1032</f>
        <v/>
      </c>
      <c r="J1032" s="319">
        <f>F1032-I1032</f>
        <v/>
      </c>
      <c r="K1032" s="516" t="n"/>
      <c r="L1032" s="519">
        <f>L1031+G1032</f>
        <v/>
      </c>
    </row>
    <row r="1033">
      <c r="B1033" s="1" t="n">
        <v>19</v>
      </c>
      <c r="C1033" s="24" t="n">
        <v>45108</v>
      </c>
      <c r="D1033" s="24" t="n">
        <v>45138</v>
      </c>
      <c r="E1033" s="25">
        <f>D1033-C1033+1</f>
        <v/>
      </c>
      <c r="F1033" s="319">
        <f>J1032</f>
        <v/>
      </c>
      <c r="G1033" s="319">
        <f>-PMT($D$1007/$D$1009,11,$F$1029,,0)</f>
        <v/>
      </c>
      <c r="H1033" s="319">
        <f>$D$1007/$D$1009*F1033</f>
        <v/>
      </c>
      <c r="I1033" s="319">
        <f>G1033-H1033</f>
        <v/>
      </c>
      <c r="J1033" s="319">
        <f>F1033-I1033</f>
        <v/>
      </c>
      <c r="K1033" s="516" t="n"/>
      <c r="L1033" s="519">
        <f>L1032+G1033</f>
        <v/>
      </c>
    </row>
    <row r="1034">
      <c r="B1034" s="1" t="n">
        <v>20</v>
      </c>
      <c r="C1034" s="24" t="n">
        <v>45139</v>
      </c>
      <c r="D1034" s="24" t="n">
        <v>45169</v>
      </c>
      <c r="E1034" s="25">
        <f>D1034-C1034+1</f>
        <v/>
      </c>
      <c r="F1034" s="319">
        <f>J1033</f>
        <v/>
      </c>
      <c r="G1034" s="319">
        <f>-PMT($D$1007/$D$1009,11,$F$1029,,0)</f>
        <v/>
      </c>
      <c r="H1034" s="319">
        <f>$D$1007/$D$1009*F1034</f>
        <v/>
      </c>
      <c r="I1034" s="319">
        <f>G1034-H1034</f>
        <v/>
      </c>
      <c r="J1034" s="319">
        <f>F1034-I1034</f>
        <v/>
      </c>
      <c r="K1034" s="516" t="n"/>
      <c r="L1034" s="516">
        <f>L1033+G1034</f>
        <v/>
      </c>
    </row>
    <row r="1035">
      <c r="B1035" s="1" t="n">
        <v>21</v>
      </c>
      <c r="C1035" s="24" t="n">
        <v>45170</v>
      </c>
      <c r="D1035" s="24" t="n">
        <v>45199</v>
      </c>
      <c r="E1035" s="25">
        <f>D1035-C1035+1</f>
        <v/>
      </c>
      <c r="F1035" s="319">
        <f>J1034</f>
        <v/>
      </c>
      <c r="G1035" s="319">
        <f>-PMT($D$1007/$D$1009,11,$F$1029,,0)</f>
        <v/>
      </c>
      <c r="H1035" s="319">
        <f>$D$1007/$D$1009*F1035</f>
        <v/>
      </c>
      <c r="I1035" s="319">
        <f>G1035-H1035</f>
        <v/>
      </c>
      <c r="J1035" s="319">
        <f>F1035-I1035</f>
        <v/>
      </c>
      <c r="K1035" s="516" t="n"/>
      <c r="L1035" s="516">
        <f>L1034+G1035</f>
        <v/>
      </c>
    </row>
    <row r="1036">
      <c r="B1036" s="1" t="n">
        <v>22</v>
      </c>
      <c r="C1036" s="24" t="n">
        <v>45200</v>
      </c>
      <c r="D1036" s="24" t="n">
        <v>45230</v>
      </c>
      <c r="E1036" s="25">
        <f>D1036-C1036+1</f>
        <v/>
      </c>
      <c r="F1036" s="319">
        <f>J1035</f>
        <v/>
      </c>
      <c r="G1036" s="319">
        <f>-PMT($D$1007/$D$1009,11,$F$1029,,0)</f>
        <v/>
      </c>
      <c r="H1036" s="319">
        <f>$D$1007/$D$1009*F1036</f>
        <v/>
      </c>
      <c r="I1036" s="319">
        <f>G1036-H1036</f>
        <v/>
      </c>
      <c r="J1036" s="319">
        <f>F1036-I1036</f>
        <v/>
      </c>
      <c r="K1036" s="516" t="n"/>
      <c r="L1036" s="516">
        <f>L1035+G1036</f>
        <v/>
      </c>
    </row>
    <row r="1037">
      <c r="B1037" s="1" t="n">
        <v>23</v>
      </c>
      <c r="C1037" s="24" t="n">
        <v>45231</v>
      </c>
      <c r="D1037" s="24" t="n">
        <v>45260</v>
      </c>
      <c r="E1037" s="25">
        <f>D1037-C1037+1</f>
        <v/>
      </c>
      <c r="F1037" s="319">
        <f>J1036</f>
        <v/>
      </c>
      <c r="G1037" s="319">
        <f>-PMT($D$1007/$D$1009,11,$F$1029,,0)</f>
        <v/>
      </c>
      <c r="H1037" s="319">
        <f>$D$1007/$D$1009*F1037</f>
        <v/>
      </c>
      <c r="I1037" s="319">
        <f>G1037-H1037</f>
        <v/>
      </c>
      <c r="J1037" s="319">
        <f>F1037-I1037</f>
        <v/>
      </c>
      <c r="K1037" s="516" t="n"/>
      <c r="L1037" s="516">
        <f>L1036+G1037</f>
        <v/>
      </c>
    </row>
    <row r="1038">
      <c r="B1038" s="1" t="n">
        <v>24</v>
      </c>
      <c r="C1038" s="24" t="n">
        <v>45261</v>
      </c>
      <c r="D1038" s="24" t="n">
        <v>45291</v>
      </c>
      <c r="E1038" s="25">
        <f>D1038-C1038+1</f>
        <v/>
      </c>
      <c r="F1038" s="319">
        <f>J1037</f>
        <v/>
      </c>
      <c r="G1038" s="319">
        <f>-PMT($D$1007/$D$1009,11,$F$1029,,0)</f>
        <v/>
      </c>
      <c r="H1038" s="319">
        <f>$D$1007/$D$1009*F1038</f>
        <v/>
      </c>
      <c r="I1038" s="319">
        <f>G1038-H1038</f>
        <v/>
      </c>
      <c r="J1038" s="319">
        <f>F1038-I1038</f>
        <v/>
      </c>
      <c r="K1038" s="516" t="n"/>
      <c r="L1038" s="516">
        <f>L1037+G1038</f>
        <v/>
      </c>
    </row>
    <row r="1039">
      <c r="B1039" s="1" t="n">
        <v>25</v>
      </c>
      <c r="C1039" s="24" t="n">
        <v>45292</v>
      </c>
      <c r="D1039" s="24" t="n">
        <v>45322</v>
      </c>
      <c r="E1039" s="25">
        <f>D1039-C1039+1</f>
        <v/>
      </c>
      <c r="F1039" s="319">
        <f>J1038</f>
        <v/>
      </c>
      <c r="G1039" s="319">
        <f>-PMT($D$1007/$D$1009,11,$F$1029,,0)</f>
        <v/>
      </c>
      <c r="H1039" s="319">
        <f>$D$1007/$D$1009*F1039</f>
        <v/>
      </c>
      <c r="I1039" s="319">
        <f>G1039-H1039</f>
        <v/>
      </c>
      <c r="J1039" s="319">
        <f>F1039-I1039</f>
        <v/>
      </c>
      <c r="K1039" s="520" t="n">
        <v>16429271.44223421</v>
      </c>
      <c r="L1039" s="524">
        <f>L1038+G1039</f>
        <v/>
      </c>
    </row>
    <row r="1040" ht="14.25" customHeight="1">
      <c r="B1040" s="1" t="n"/>
      <c r="C1040" s="1" t="n"/>
      <c r="D1040" s="1" t="n"/>
      <c r="E1040" s="30">
        <f>SUM(E1015:E1039)</f>
        <v/>
      </c>
      <c r="F1040" s="319" t="n"/>
      <c r="G1040" s="319" t="n"/>
      <c r="H1040" s="319" t="n"/>
      <c r="I1040" s="319" t="n"/>
      <c r="J1040" s="319" t="n"/>
      <c r="K1040" s="1" t="n"/>
      <c r="L1040" s="1" t="n"/>
    </row>
    <row r="1044">
      <c r="B1044" s="1" t="n"/>
      <c r="C1044" s="9" t="inlineStr">
        <is>
          <t>Maluso Cooperative Union</t>
        </is>
      </c>
      <c r="D1044" s="319" t="n"/>
      <c r="E1044" s="319" t="n"/>
      <c r="F1044" s="319" t="n"/>
      <c r="G1044" s="319" t="n"/>
      <c r="H1044" s="319" t="n"/>
      <c r="I1044" s="319" t="n"/>
      <c r="J1044" s="319" t="n"/>
      <c r="K1044" s="319" t="n"/>
      <c r="L1044" s="319" t="n"/>
      <c r="R1044" s="514" t="inlineStr">
        <is>
          <t>E-Banker account (Dupleix)</t>
        </is>
      </c>
      <c r="S1044" s="495">
        <f>IFERROR(INDEX('Blocks'!$I$2:$I$101,MATCH(18,'Blocks'!$A$2:$A$101,0)),"")</f>
        <v/>
      </c>
    </row>
    <row r="1045">
      <c r="B1045" s="1" t="n"/>
      <c r="C1045" s="1" t="n"/>
      <c r="D1045" s="319" t="n"/>
      <c r="E1045" s="319" t="n"/>
      <c r="F1045" s="319" t="n"/>
      <c r="G1045" s="319" t="n"/>
      <c r="H1045" s="319" t="n"/>
      <c r="I1045" s="319" t="n"/>
      <c r="J1045" s="319" t="n"/>
      <c r="K1045" s="319" t="n"/>
      <c r="L1045" s="319" t="n"/>
      <c r="R1045" s="514" t="inlineStr">
        <is>
          <t>Facility (Loan Book)</t>
        </is>
      </c>
      <c r="S1045" s="495">
        <f>IFERROR(INDEX('Blocks'!$H$2:$H$101,MATCH(18,'Blocks'!$A$2:$A$101,0)),"")</f>
        <v/>
      </c>
    </row>
    <row r="1046">
      <c r="B1046" s="1" t="n"/>
      <c r="C1046" s="10" t="inlineStr">
        <is>
          <t>Principal (MK)</t>
        </is>
      </c>
      <c r="D1046" s="11" t="n">
        <v>11511500</v>
      </c>
      <c r="E1046" s="319" t="n"/>
      <c r="F1046" s="319" t="n"/>
      <c r="G1046" s="319" t="n"/>
      <c r="H1046" s="319">
        <f>D1046*D1047*9/D1051</f>
        <v/>
      </c>
      <c r="I1046" s="319" t="inlineStr">
        <is>
          <t>DEC</t>
        </is>
      </c>
      <c r="J1046" s="319" t="n"/>
      <c r="K1046" s="319" t="n"/>
      <c r="L1046" s="319" t="n"/>
      <c r="R1046" s="514" t="inlineStr">
        <is>
          <t>Take-on posting 31 Jul 2024</t>
        </is>
      </c>
      <c r="S1046" s="496">
        <f>IFERROR(INDEX('E-Banker master'!$N$2:$N$186,MATCH(S1044,'E-Banker master'!$A$2:$A$186,0)),"")</f>
        <v/>
      </c>
    </row>
    <row r="1047">
      <c r="B1047" s="1" t="n"/>
      <c r="C1047" s="13" t="inlineStr">
        <is>
          <t>Rate</t>
        </is>
      </c>
      <c r="D1047" s="14" t="n">
        <v>0.1</v>
      </c>
      <c r="E1047" s="257" t="n"/>
      <c r="F1047" s="319" t="n"/>
      <c r="G1047" s="319" t="n"/>
      <c r="H1047" s="319" t="n"/>
      <c r="I1047" s="319" t="n"/>
      <c r="J1047" s="319" t="n"/>
      <c r="K1047" s="319" t="n"/>
      <c r="L1047" s="319" t="n"/>
      <c r="R1047" s="514" t="inlineStr">
        <is>
          <t>E-Banker balance 31 Oct 2024</t>
        </is>
      </c>
      <c r="S1047" s="496">
        <f>IFERROR(INDEX('E-Banker master'!$P$2:$P$186,MATCH(S1044,'E-Banker master'!$A$2:$A$186,0)),"")</f>
        <v/>
      </c>
    </row>
    <row r="1048">
      <c r="B1048" s="1" t="n"/>
      <c r="C1048" s="13" t="inlineStr">
        <is>
          <t>n</t>
        </is>
      </c>
      <c r="D1048" s="16" t="n">
        <v>2</v>
      </c>
      <c r="E1048" s="1" t="n"/>
      <c r="F1048" s="319" t="n"/>
      <c r="G1048" s="319" t="n"/>
      <c r="H1048" s="319" t="n"/>
      <c r="I1048" s="319" t="n"/>
      <c r="J1048" s="319" t="n"/>
      <c r="K1048" s="1" t="n"/>
      <c r="L1048" s="1" t="n"/>
    </row>
    <row r="1049">
      <c r="B1049" s="1" t="n"/>
      <c r="C1049" s="13" t="inlineStr">
        <is>
          <t>Per</t>
        </is>
      </c>
      <c r="D1049" s="16" t="n">
        <v>12</v>
      </c>
      <c r="E1049" s="1" t="n"/>
      <c r="F1049" s="319" t="n"/>
      <c r="G1049" s="319" t="n"/>
      <c r="H1049" s="319" t="n"/>
      <c r="I1049" s="319" t="n"/>
      <c r="J1049" s="319" t="n"/>
      <c r="K1049" s="1" t="n"/>
      <c r="L1049" s="1" t="n"/>
    </row>
    <row r="1050">
      <c r="B1050" s="1" t="n"/>
      <c r="C1050" s="13" t="inlineStr">
        <is>
          <t>nPer</t>
        </is>
      </c>
      <c r="D1050" s="515">
        <f>D1048*D1049</f>
        <v/>
      </c>
      <c r="E1050" s="1" t="n"/>
      <c r="F1050" s="319" t="n"/>
      <c r="G1050" s="319" t="n"/>
      <c r="H1050" s="319" t="n"/>
      <c r="I1050" s="319" t="n"/>
      <c r="J1050" s="319" t="n"/>
      <c r="K1050" s="1" t="n"/>
      <c r="L1050" s="1" t="n"/>
    </row>
    <row r="1051">
      <c r="B1051" s="1" t="n"/>
      <c r="C1051" s="13" t="inlineStr">
        <is>
          <t>Days in a year</t>
        </is>
      </c>
      <c r="D1051" s="18" t="n">
        <v>365</v>
      </c>
      <c r="E1051" s="1" t="n"/>
      <c r="F1051" s="319" t="n"/>
      <c r="G1051" s="319" t="n"/>
      <c r="H1051" s="319" t="n"/>
      <c r="I1051" s="319" t="n"/>
      <c r="J1051" s="319" t="n"/>
      <c r="K1051" s="1" t="n"/>
      <c r="L1051" s="1" t="n"/>
    </row>
    <row r="1052">
      <c r="B1052" s="1" t="n"/>
      <c r="C1052" s="19" t="inlineStr">
        <is>
          <t>Pmt (MK)</t>
        </is>
      </c>
      <c r="D1052" s="20">
        <f>-PMT(D1047/D1049,D1050,D1046,0,0)</f>
        <v/>
      </c>
      <c r="E1052" s="319" t="n"/>
      <c r="F1052" s="319" t="n"/>
      <c r="G1052" s="319" t="n"/>
      <c r="H1052" s="319" t="n"/>
      <c r="I1052" s="319" t="n"/>
      <c r="J1052" s="319" t="n"/>
      <c r="K1052" s="1" t="n"/>
      <c r="L1052" s="1" t="n"/>
    </row>
    <row r="1053">
      <c r="B1053" s="1" t="n"/>
      <c r="C1053" s="1" t="n"/>
      <c r="D1053" s="319" t="n"/>
      <c r="E1053" s="319" t="n"/>
      <c r="F1053" s="319" t="n"/>
      <c r="G1053" s="319" t="n"/>
      <c r="H1053" s="319" t="n"/>
      <c r="I1053" s="319" t="n"/>
      <c r="J1053" s="319" t="n"/>
      <c r="K1053" s="1" t="n"/>
      <c r="L1053" s="1" t="n"/>
    </row>
    <row r="1054">
      <c r="B1054" s="1" t="n"/>
      <c r="C1054" s="21" t="inlineStr">
        <is>
          <t>Period Start</t>
        </is>
      </c>
      <c r="D1054" s="22" t="inlineStr">
        <is>
          <t>Period End</t>
        </is>
      </c>
      <c r="E1054" s="22" t="inlineStr">
        <is>
          <t>Days</t>
        </is>
      </c>
      <c r="F1054" s="294" t="inlineStr">
        <is>
          <t>Opening bal.</t>
        </is>
      </c>
      <c r="G1054" s="294" t="inlineStr">
        <is>
          <t>Pmt</t>
        </is>
      </c>
      <c r="H1054" s="294" t="inlineStr">
        <is>
          <t>Interest</t>
        </is>
      </c>
      <c r="I1054" s="294" t="inlineStr">
        <is>
          <t>Principal</t>
        </is>
      </c>
      <c r="J1054" s="294" t="inlineStr">
        <is>
          <t>Closing balance</t>
        </is>
      </c>
      <c r="K1054" s="23" t="inlineStr">
        <is>
          <t>Amount Repaid</t>
        </is>
      </c>
      <c r="L1054" s="23" t="inlineStr">
        <is>
          <t>Accumulated Arrears</t>
        </is>
      </c>
    </row>
    <row r="1055">
      <c r="B1055" s="1" t="n">
        <v>1</v>
      </c>
      <c r="C1055" s="24" t="n">
        <v>44562</v>
      </c>
      <c r="D1055" s="24" t="n">
        <v>44592</v>
      </c>
      <c r="E1055" s="25">
        <f>D1055-C1055+1</f>
        <v/>
      </c>
      <c r="F1055" s="319">
        <f>D1046</f>
        <v/>
      </c>
      <c r="G1055" s="319" t="n"/>
      <c r="H1055" s="319">
        <f>$D$1086/$D$1088*F1055</f>
        <v/>
      </c>
      <c r="I1055" s="319">
        <f>G1055-H1055</f>
        <v/>
      </c>
      <c r="J1055" s="319">
        <f>F1055-I1055</f>
        <v/>
      </c>
      <c r="K1055" s="516" t="n"/>
      <c r="L1055" s="516">
        <f>G1056</f>
        <v/>
      </c>
    </row>
    <row r="1056">
      <c r="B1056" s="1" t="n">
        <v>2</v>
      </c>
      <c r="C1056" s="24" t="n">
        <v>44593</v>
      </c>
      <c r="D1056" s="24" t="n">
        <v>44620</v>
      </c>
      <c r="E1056" s="25">
        <f>D1056-C1056+1</f>
        <v/>
      </c>
      <c r="F1056" s="319">
        <f>J1055</f>
        <v/>
      </c>
      <c r="G1056" s="319" t="n"/>
      <c r="H1056" s="319">
        <f>$D$1047/$D$1049*F1056</f>
        <v/>
      </c>
      <c r="I1056" s="319">
        <f>G1056-H1056</f>
        <v/>
      </c>
      <c r="J1056" s="319">
        <f>F1056-I1056</f>
        <v/>
      </c>
      <c r="K1056" s="516" t="n"/>
      <c r="L1056" s="516" t="n"/>
    </row>
    <row r="1057">
      <c r="B1057" s="1" t="n">
        <v>3</v>
      </c>
      <c r="C1057" s="24" t="n">
        <v>44621</v>
      </c>
      <c r="D1057" s="24" t="n">
        <v>44651</v>
      </c>
      <c r="E1057" s="25">
        <f>D1057-C1057+1</f>
        <v/>
      </c>
      <c r="F1057" s="319">
        <f>J1056</f>
        <v/>
      </c>
      <c r="G1057" s="319" t="n"/>
      <c r="H1057" s="319">
        <f>$D$1047/$D$1049*F1057</f>
        <v/>
      </c>
      <c r="I1057" s="319">
        <f>G1057-H1057</f>
        <v/>
      </c>
      <c r="J1057" s="319">
        <f>F1057-I1057</f>
        <v/>
      </c>
      <c r="K1057" s="516" t="n"/>
      <c r="L1057" s="516" t="n"/>
    </row>
    <row r="1058">
      <c r="B1058" s="1" t="n">
        <v>4</v>
      </c>
      <c r="C1058" s="24" t="n">
        <v>44652</v>
      </c>
      <c r="D1058" s="24" t="n">
        <v>44681</v>
      </c>
      <c r="E1058" s="25">
        <f>D1058-C1058+1</f>
        <v/>
      </c>
      <c r="F1058" s="319">
        <f>J1057</f>
        <v/>
      </c>
      <c r="G1058" s="319">
        <f>-PMT($D$1047/$D$1049,21,$F$1058,,0)</f>
        <v/>
      </c>
      <c r="H1058" s="319">
        <f>$D$1047/$D$1049*F1058</f>
        <v/>
      </c>
      <c r="I1058" s="319">
        <f>G1058-H1058</f>
        <v/>
      </c>
      <c r="J1058" s="319">
        <f>F1058-I1058</f>
        <v/>
      </c>
      <c r="K1058" s="516" t="n"/>
      <c r="L1058" s="516">
        <f>H1046+G1058-K1058</f>
        <v/>
      </c>
    </row>
    <row r="1059">
      <c r="B1059" s="1" t="n">
        <v>5</v>
      </c>
      <c r="C1059" s="24" t="n">
        <v>44682</v>
      </c>
      <c r="D1059" s="24" t="n">
        <v>44712</v>
      </c>
      <c r="E1059" s="25">
        <f>D1059-C1059+1</f>
        <v/>
      </c>
      <c r="F1059" s="319">
        <f>J1058</f>
        <v/>
      </c>
      <c r="G1059" s="319">
        <f>-PMT($D$1047/$D$1049,21,$F$1058,,0)</f>
        <v/>
      </c>
      <c r="H1059" s="319">
        <f>$D$1047/$D$1049*F1059</f>
        <v/>
      </c>
      <c r="I1059" s="319">
        <f>G1059-H1059</f>
        <v/>
      </c>
      <c r="J1059" s="319">
        <f>F1059-I1059</f>
        <v/>
      </c>
      <c r="K1059" s="516" t="n"/>
      <c r="L1059" s="516">
        <f>L1058+G1059-K1059</f>
        <v/>
      </c>
    </row>
    <row r="1060">
      <c r="B1060" s="1" t="n">
        <v>6</v>
      </c>
      <c r="C1060" s="24" t="n">
        <v>44713</v>
      </c>
      <c r="D1060" s="24" t="n">
        <v>44742</v>
      </c>
      <c r="E1060" s="25">
        <f>D1060-C1060+1</f>
        <v/>
      </c>
      <c r="F1060" s="319">
        <f>J1059</f>
        <v/>
      </c>
      <c r="G1060" s="319">
        <f>-PMT($D$1047/$D$1049,21,$F$1058,,0)</f>
        <v/>
      </c>
      <c r="H1060" s="319">
        <f>$D$1047/$D$1049*F1060</f>
        <v/>
      </c>
      <c r="I1060" s="319">
        <f>G1060-H1060</f>
        <v/>
      </c>
      <c r="J1060" s="319">
        <f>F1060-I1060</f>
        <v/>
      </c>
      <c r="K1060" s="516" t="n"/>
      <c r="L1060" s="516">
        <f>L1059+G1060-K1060</f>
        <v/>
      </c>
    </row>
    <row r="1061">
      <c r="B1061" s="1" t="n">
        <v>7</v>
      </c>
      <c r="C1061" s="24" t="n">
        <v>44743</v>
      </c>
      <c r="D1061" s="24" t="n">
        <v>44773</v>
      </c>
      <c r="E1061" s="25">
        <f>D1061-C1061+1</f>
        <v/>
      </c>
      <c r="F1061" s="319">
        <f>J1060</f>
        <v/>
      </c>
      <c r="G1061" s="319">
        <f>-PMT($D$1047/$D$1049,21,$F$1058,,0)</f>
        <v/>
      </c>
      <c r="H1061" s="319">
        <f>$D$1047/$D$1049*F1061</f>
        <v/>
      </c>
      <c r="I1061" s="319">
        <f>G1061-H1061</f>
        <v/>
      </c>
      <c r="J1061" s="319">
        <f>F1061-I1061</f>
        <v/>
      </c>
      <c r="K1061" s="516" t="n"/>
      <c r="L1061" s="516">
        <f>L1060+G1061-K1061</f>
        <v/>
      </c>
    </row>
    <row r="1062">
      <c r="B1062" s="1" t="n">
        <v>8</v>
      </c>
      <c r="C1062" s="24" t="n">
        <v>44774</v>
      </c>
      <c r="D1062" s="24" t="n">
        <v>44804</v>
      </c>
      <c r="E1062" s="25">
        <f>D1062-C1062+1</f>
        <v/>
      </c>
      <c r="F1062" s="319">
        <f>J1061</f>
        <v/>
      </c>
      <c r="G1062" s="319">
        <f>-PMT($D$1047/$D$1049,21,$F$1058,,0)</f>
        <v/>
      </c>
      <c r="H1062" s="319">
        <f>$D$1047/$D$1049*F1062</f>
        <v/>
      </c>
      <c r="I1062" s="319">
        <f>G1062-H1062</f>
        <v/>
      </c>
      <c r="J1062" s="319">
        <f>F1062-I1062</f>
        <v/>
      </c>
      <c r="K1062" s="516" t="n">
        <v>200000</v>
      </c>
      <c r="L1062" s="516">
        <f>L1061+G1062-K1062</f>
        <v/>
      </c>
    </row>
    <row r="1063">
      <c r="B1063" s="1" t="n">
        <v>9</v>
      </c>
      <c r="C1063" s="24" t="n">
        <v>44805</v>
      </c>
      <c r="D1063" s="24" t="n">
        <v>44834</v>
      </c>
      <c r="E1063" s="25">
        <f>D1063-C1063+1</f>
        <v/>
      </c>
      <c r="F1063" s="319">
        <f>J1062</f>
        <v/>
      </c>
      <c r="G1063" s="319">
        <f>-PMT($D$1047/$D$1049,21,$F$1058,,0)</f>
        <v/>
      </c>
      <c r="H1063" s="319">
        <f>$D$1047/$D$1049*F1063</f>
        <v/>
      </c>
      <c r="I1063" s="319">
        <f>G1063-H1063</f>
        <v/>
      </c>
      <c r="J1063" s="319">
        <f>F1063-I1063</f>
        <v/>
      </c>
      <c r="K1063" s="516" t="n">
        <v>700000</v>
      </c>
      <c r="L1063" s="516">
        <f>L1062+G1063-K1063</f>
        <v/>
      </c>
    </row>
    <row r="1064">
      <c r="B1064" s="1" t="n">
        <v>10</v>
      </c>
      <c r="C1064" s="24" t="n">
        <v>44835</v>
      </c>
      <c r="D1064" s="24" t="n">
        <v>44865</v>
      </c>
      <c r="E1064" s="25">
        <f>D1064-C1064+1</f>
        <v/>
      </c>
      <c r="F1064" s="319">
        <f>J1063</f>
        <v/>
      </c>
      <c r="G1064" s="319">
        <f>-PMT($D$1047/$D$1049,21,$F$1058,,0)</f>
        <v/>
      </c>
      <c r="H1064" s="319">
        <f>$D$1047/$D$1049*F1064</f>
        <v/>
      </c>
      <c r="I1064" s="319">
        <f>G1064-H1064</f>
        <v/>
      </c>
      <c r="J1064" s="319">
        <f>F1064-I1064</f>
        <v/>
      </c>
      <c r="K1064" s="516" t="n"/>
      <c r="L1064" s="516">
        <f>L1063+G1064-K1064</f>
        <v/>
      </c>
    </row>
    <row r="1065">
      <c r="B1065" s="1" t="n">
        <v>11</v>
      </c>
      <c r="C1065" s="24" t="n">
        <v>44866</v>
      </c>
      <c r="D1065" s="24" t="n">
        <v>44895</v>
      </c>
      <c r="E1065" s="25">
        <f>D1065-C1065+1</f>
        <v/>
      </c>
      <c r="F1065" s="319">
        <f>J1064</f>
        <v/>
      </c>
      <c r="G1065" s="319">
        <f>-PMT($D$1047/$D$1049,21,$F$1058,,0)</f>
        <v/>
      </c>
      <c r="H1065" s="319">
        <f>$D$1047/$D$1049*F1065</f>
        <v/>
      </c>
      <c r="I1065" s="319">
        <f>G1065-H1065</f>
        <v/>
      </c>
      <c r="J1065" s="319">
        <f>F1065-I1065</f>
        <v/>
      </c>
      <c r="K1065" s="516" t="n"/>
      <c r="L1065" s="516">
        <f>L1064+G1065-K1065</f>
        <v/>
      </c>
    </row>
    <row r="1066">
      <c r="B1066" s="1" t="n">
        <v>12</v>
      </c>
      <c r="C1066" s="24" t="n">
        <v>44896</v>
      </c>
      <c r="D1066" s="24" t="n">
        <v>44926</v>
      </c>
      <c r="E1066" s="25">
        <f>D1066-C1066+1</f>
        <v/>
      </c>
      <c r="F1066" s="319">
        <f>J1065</f>
        <v/>
      </c>
      <c r="G1066" s="319">
        <f>-PMT($D$1047/$D$1049,21,$F$1058,,0)</f>
        <v/>
      </c>
      <c r="H1066" s="319">
        <f>$D$1047/$D$1049*F1066</f>
        <v/>
      </c>
      <c r="I1066" s="319">
        <f>G1066-H1066</f>
        <v/>
      </c>
      <c r="J1066" s="319">
        <f>F1066-I1066</f>
        <v/>
      </c>
      <c r="K1066" s="516" t="n"/>
      <c r="L1066" s="516">
        <f>L1065+G1066-K1066</f>
        <v/>
      </c>
    </row>
    <row r="1067">
      <c r="B1067" s="1" t="n">
        <v>13</v>
      </c>
      <c r="C1067" s="24" t="n">
        <v>44927</v>
      </c>
      <c r="D1067" s="24" t="n">
        <v>44957</v>
      </c>
      <c r="E1067" s="25">
        <f>D1067-C1067+1</f>
        <v/>
      </c>
      <c r="F1067" s="319">
        <f>J1066</f>
        <v/>
      </c>
      <c r="G1067" s="319">
        <f>-PMT($D$1047/$D$1049,21,$F$1058,,0)</f>
        <v/>
      </c>
      <c r="H1067" s="319">
        <f>$D$1047/$D$1049*F1067</f>
        <v/>
      </c>
      <c r="I1067" s="319">
        <f>G1067-H1067</f>
        <v/>
      </c>
      <c r="J1067" s="319">
        <f>F1067-I1067</f>
        <v/>
      </c>
      <c r="K1067" s="516" t="n"/>
      <c r="L1067" s="516">
        <f>L1066+G1067-K1067</f>
        <v/>
      </c>
    </row>
    <row r="1068">
      <c r="B1068" s="1" t="n">
        <v>14</v>
      </c>
      <c r="C1068" s="24" t="n">
        <v>44958</v>
      </c>
      <c r="D1068" s="24" t="n">
        <v>44985</v>
      </c>
      <c r="E1068" s="25">
        <f>D1068-C1068+1</f>
        <v/>
      </c>
      <c r="F1068" s="319">
        <f>J1067</f>
        <v/>
      </c>
      <c r="G1068" s="319">
        <f>-PMT($D$1047/$D$1049,21,$F$1058,,0)</f>
        <v/>
      </c>
      <c r="H1068" s="319">
        <f>$D$1047/$D$1049*F1068</f>
        <v/>
      </c>
      <c r="I1068" s="319">
        <f>G1068-H1068</f>
        <v/>
      </c>
      <c r="J1068" s="319">
        <f>F1068-I1068</f>
        <v/>
      </c>
      <c r="K1068" s="516" t="n"/>
      <c r="L1068" s="516">
        <f>L1067+G1068-K1068</f>
        <v/>
      </c>
    </row>
    <row r="1069">
      <c r="B1069" s="1" t="n">
        <v>15</v>
      </c>
      <c r="C1069" s="24" t="n">
        <v>44986</v>
      </c>
      <c r="D1069" s="24" t="n">
        <v>45016</v>
      </c>
      <c r="E1069" s="25">
        <f>D1069-C1069+1</f>
        <v/>
      </c>
      <c r="F1069" s="319">
        <f>J1068</f>
        <v/>
      </c>
      <c r="G1069" s="319">
        <f>-PMT($D$1047/$D$1049,21,$F$1058,,0)</f>
        <v/>
      </c>
      <c r="H1069" s="319">
        <f>$D$1047/$D$1049*F1069</f>
        <v/>
      </c>
      <c r="I1069" s="319">
        <f>G1069-H1069</f>
        <v/>
      </c>
      <c r="J1069" s="319">
        <f>F1069-I1069</f>
        <v/>
      </c>
      <c r="K1069" s="516" t="n"/>
      <c r="L1069" s="516">
        <f>L1068+G1069-K1069</f>
        <v/>
      </c>
    </row>
    <row r="1070">
      <c r="B1070" s="1" t="n">
        <v>16</v>
      </c>
      <c r="C1070" s="24" t="n">
        <v>45017</v>
      </c>
      <c r="D1070" s="24" t="n">
        <v>45046</v>
      </c>
      <c r="E1070" s="25">
        <f>D1070-C1070+1</f>
        <v/>
      </c>
      <c r="F1070" s="319">
        <f>J1069</f>
        <v/>
      </c>
      <c r="G1070" s="319">
        <f>-PMT($D$1047/$D$1049,21,$F$1058,,0)</f>
        <v/>
      </c>
      <c r="H1070" s="319">
        <f>$D$1047/$D$1049*F1070</f>
        <v/>
      </c>
      <c r="I1070" s="319">
        <f>G1070-H1070</f>
        <v/>
      </c>
      <c r="J1070" s="319">
        <f>F1070-I1070</f>
        <v/>
      </c>
      <c r="K1070" s="516" t="n"/>
      <c r="L1070" s="516">
        <f>L1069+G1070-K1070</f>
        <v/>
      </c>
    </row>
    <row r="1071">
      <c r="B1071" s="1" t="n">
        <v>17</v>
      </c>
      <c r="C1071" s="24" t="n">
        <v>45047</v>
      </c>
      <c r="D1071" s="24" t="n">
        <v>45077</v>
      </c>
      <c r="E1071" s="25">
        <f>D1071-C1071+1</f>
        <v/>
      </c>
      <c r="F1071" s="319">
        <f>J1070</f>
        <v/>
      </c>
      <c r="G1071" s="319">
        <f>-PMT($D$1047/$D$1049,21,$F$1058,,0)</f>
        <v/>
      </c>
      <c r="H1071" s="319">
        <f>$D$1047/$D$1049*F1071</f>
        <v/>
      </c>
      <c r="I1071" s="319">
        <f>G1071-H1071</f>
        <v/>
      </c>
      <c r="J1071" s="319">
        <f>F1071-I1071</f>
        <v/>
      </c>
      <c r="K1071" s="516" t="n"/>
      <c r="L1071" s="516">
        <f>L1070+G1071-K1071</f>
        <v/>
      </c>
    </row>
    <row r="1072">
      <c r="B1072" s="1" t="n">
        <v>18</v>
      </c>
      <c r="C1072" s="24" t="n">
        <v>45078</v>
      </c>
      <c r="D1072" s="24" t="n">
        <v>45107</v>
      </c>
      <c r="E1072" s="25">
        <f>D1072-C1072+1</f>
        <v/>
      </c>
      <c r="F1072" s="319">
        <f>J1071</f>
        <v/>
      </c>
      <c r="G1072" s="319">
        <f>-PMT($D$1047/$D$1049,21,$F$1058,,0)</f>
        <v/>
      </c>
      <c r="H1072" s="319">
        <f>$D$1047/$D$1049*F1072</f>
        <v/>
      </c>
      <c r="I1072" s="319">
        <f>G1072-H1072</f>
        <v/>
      </c>
      <c r="J1072" s="319">
        <f>F1072-I1072</f>
        <v/>
      </c>
      <c r="K1072" s="516" t="n"/>
      <c r="L1072" s="519">
        <f>L1071+G1072-K1072</f>
        <v/>
      </c>
    </row>
    <row r="1073">
      <c r="B1073" s="1" t="n">
        <v>19</v>
      </c>
      <c r="C1073" s="24" t="n">
        <v>45108</v>
      </c>
      <c r="D1073" s="24" t="n">
        <v>45138</v>
      </c>
      <c r="E1073" s="25">
        <f>D1073-C1073+1</f>
        <v/>
      </c>
      <c r="F1073" s="319">
        <f>J1072</f>
        <v/>
      </c>
      <c r="G1073" s="319">
        <f>-PMT($D$1047/$D$1049,21,$F$1058,,0)</f>
        <v/>
      </c>
      <c r="H1073" s="319">
        <f>$D$1047/$D$1049*F1073</f>
        <v/>
      </c>
      <c r="I1073" s="319">
        <f>G1073-H1073</f>
        <v/>
      </c>
      <c r="J1073" s="319">
        <f>F1073-I1073</f>
        <v/>
      </c>
      <c r="K1073" s="516" t="n"/>
      <c r="L1073" s="519">
        <f>L1072+G1073-K1073</f>
        <v/>
      </c>
    </row>
    <row r="1074">
      <c r="B1074" s="1" t="n">
        <v>20</v>
      </c>
      <c r="C1074" s="24" t="n">
        <v>45139</v>
      </c>
      <c r="D1074" s="24" t="n">
        <v>45169</v>
      </c>
      <c r="E1074" s="25">
        <f>D1074-C1074+1</f>
        <v/>
      </c>
      <c r="F1074" s="319">
        <f>J1073</f>
        <v/>
      </c>
      <c r="G1074" s="319">
        <f>-PMT($D$1047/$D$1049,21,$F$1058,,0)</f>
        <v/>
      </c>
      <c r="H1074" s="319">
        <f>$D$1047/$D$1049*F1074</f>
        <v/>
      </c>
      <c r="I1074" s="319">
        <f>G1074-H1074</f>
        <v/>
      </c>
      <c r="J1074" s="319">
        <f>F1074-I1074</f>
        <v/>
      </c>
      <c r="K1074" s="516" t="n"/>
      <c r="L1074" s="516">
        <f>L1073+G1074-K1074</f>
        <v/>
      </c>
    </row>
    <row r="1075">
      <c r="B1075" s="1" t="n">
        <v>21</v>
      </c>
      <c r="C1075" s="24" t="n">
        <v>45170</v>
      </c>
      <c r="D1075" s="24" t="n">
        <v>45199</v>
      </c>
      <c r="E1075" s="25">
        <f>D1075-C1075+1</f>
        <v/>
      </c>
      <c r="F1075" s="319">
        <f>J1074</f>
        <v/>
      </c>
      <c r="G1075" s="319">
        <f>-PMT($D$1047/$D$1049,21,$F$1058,,0)</f>
        <v/>
      </c>
      <c r="H1075" s="319">
        <f>$D$1047/$D$1049*F1075</f>
        <v/>
      </c>
      <c r="I1075" s="319">
        <f>G1075-H1075</f>
        <v/>
      </c>
      <c r="J1075" s="319">
        <f>F1075-I1075</f>
        <v/>
      </c>
      <c r="K1075" s="516" t="n"/>
      <c r="L1075" s="516">
        <f>L1074+G1075-K1075</f>
        <v/>
      </c>
    </row>
    <row r="1076">
      <c r="B1076" s="1" t="n">
        <v>22</v>
      </c>
      <c r="C1076" s="24" t="n">
        <v>45200</v>
      </c>
      <c r="D1076" s="24" t="n">
        <v>45230</v>
      </c>
      <c r="E1076" s="25">
        <f>D1076-C1076+1</f>
        <v/>
      </c>
      <c r="F1076" s="319">
        <f>J1075</f>
        <v/>
      </c>
      <c r="G1076" s="319">
        <f>-PMT($D$1047/$D$1049,21,$F$1058,,0)</f>
        <v/>
      </c>
      <c r="H1076" s="319">
        <f>$D$1047/$D$1049*F1076</f>
        <v/>
      </c>
      <c r="I1076" s="319">
        <f>G1076-H1076</f>
        <v/>
      </c>
      <c r="J1076" s="319">
        <f>F1076-I1076</f>
        <v/>
      </c>
      <c r="K1076" s="516" t="n"/>
      <c r="L1076" s="516">
        <f>L1075+G1076-K1076</f>
        <v/>
      </c>
    </row>
    <row r="1077">
      <c r="B1077" s="1" t="n">
        <v>23</v>
      </c>
      <c r="C1077" s="24" t="n">
        <v>45231</v>
      </c>
      <c r="D1077" s="24" t="n">
        <v>45260</v>
      </c>
      <c r="E1077" s="25">
        <f>D1077-C1077+1</f>
        <v/>
      </c>
      <c r="F1077" s="319">
        <f>J1076</f>
        <v/>
      </c>
      <c r="G1077" s="319">
        <f>-PMT($D$1047/$D$1049,21,$F$1058,,0)</f>
        <v/>
      </c>
      <c r="H1077" s="319">
        <f>$D$1047/$D$1049*F1077</f>
        <v/>
      </c>
      <c r="I1077" s="319">
        <f>G1077-H1077</f>
        <v/>
      </c>
      <c r="J1077" s="319">
        <f>F1077-I1077</f>
        <v/>
      </c>
      <c r="K1077" s="516" t="n"/>
      <c r="L1077" s="516">
        <f>L1076+G1077-K1077</f>
        <v/>
      </c>
    </row>
    <row r="1078">
      <c r="B1078" s="1" t="n">
        <v>24</v>
      </c>
      <c r="C1078" s="24" t="n">
        <v>45261</v>
      </c>
      <c r="D1078" s="24" t="n">
        <v>45291</v>
      </c>
      <c r="E1078" s="25">
        <f>D1078-C1078+1</f>
        <v/>
      </c>
      <c r="F1078" s="319">
        <f>J1077</f>
        <v/>
      </c>
      <c r="G1078" s="319">
        <f>-PMT($D$1047/$D$1049,21,$F$1058,,0)</f>
        <v/>
      </c>
      <c r="H1078" s="319">
        <f>$D$1047/$D$1049*F1078</f>
        <v/>
      </c>
      <c r="I1078" s="319">
        <f>G1078-H1078</f>
        <v/>
      </c>
      <c r="J1078" s="319">
        <f>F1078-I1078</f>
        <v/>
      </c>
      <c r="K1078" s="516" t="n"/>
      <c r="L1078" s="524">
        <f>L1077+G1078-K1078</f>
        <v/>
      </c>
    </row>
    <row r="1079">
      <c r="B1079" s="1" t="n"/>
      <c r="C1079" s="24" t="n"/>
      <c r="D1079" s="24" t="n"/>
      <c r="E1079" s="25" t="n"/>
      <c r="F1079" s="319" t="n"/>
      <c r="G1079" s="319" t="n"/>
      <c r="H1079" s="319" t="n"/>
      <c r="I1079" s="319" t="n"/>
      <c r="J1079" s="319" t="n"/>
      <c r="K1079" s="516" t="n"/>
      <c r="L1079" s="516" t="n"/>
    </row>
    <row r="1080" ht="14.25" customHeight="1">
      <c r="B1080" s="1" t="n"/>
      <c r="C1080" s="1" t="n"/>
      <c r="D1080" s="1" t="n"/>
      <c r="E1080" s="30">
        <f>SUM(E1055:E1078)</f>
        <v/>
      </c>
      <c r="F1080" s="319" t="n"/>
      <c r="G1080" s="319" t="n"/>
      <c r="H1080" s="319" t="n"/>
      <c r="I1080" s="319" t="n"/>
      <c r="J1080" s="319" t="n"/>
      <c r="K1080" s="1" t="n"/>
      <c r="L1080" s="1" t="n"/>
    </row>
    <row r="1083">
      <c r="B1083" s="1" t="n"/>
      <c r="C1083" s="9" t="inlineStr">
        <is>
          <t>Muddy Boots</t>
        </is>
      </c>
      <c r="D1083" s="319" t="n"/>
      <c r="E1083" s="319" t="n"/>
      <c r="F1083" s="319" t="n"/>
      <c r="G1083" s="319" t="n"/>
      <c r="H1083" s="319" t="n"/>
      <c r="I1083" s="319" t="n"/>
      <c r="J1083" s="319" t="n"/>
      <c r="K1083" s="319" t="n"/>
      <c r="L1083" s="319" t="n"/>
      <c r="R1083" s="514" t="inlineStr">
        <is>
          <t>E-Banker account (Dupleix)</t>
        </is>
      </c>
      <c r="S1083" s="495">
        <f>IFERROR(INDEX('Blocks'!$I$2:$I$101,MATCH(19,'Blocks'!$A$2:$A$101,0)),"")</f>
        <v/>
      </c>
    </row>
    <row r="1084">
      <c r="B1084" s="1" t="n"/>
      <c r="C1084" s="1" t="n"/>
      <c r="D1084" s="319" t="n"/>
      <c r="E1084" s="319" t="n"/>
      <c r="F1084" s="319" t="n"/>
      <c r="G1084" s="319" t="n"/>
      <c r="H1084" s="319" t="n"/>
      <c r="I1084" s="319" t="n"/>
      <c r="J1084" s="319" t="n"/>
      <c r="K1084" s="319" t="n"/>
      <c r="L1084" s="319" t="n"/>
      <c r="R1084" s="514" t="inlineStr">
        <is>
          <t>Facility (Loan Book)</t>
        </is>
      </c>
      <c r="S1084" s="495">
        <f>IFERROR(INDEX('Blocks'!$H$2:$H$101,MATCH(19,'Blocks'!$A$2:$A$101,0)),"")</f>
        <v/>
      </c>
    </row>
    <row r="1085">
      <c r="B1085" s="1" t="n"/>
      <c r="C1085" s="10" t="inlineStr">
        <is>
          <t>Principal (MK)</t>
        </is>
      </c>
      <c r="D1085" s="11" t="n">
        <v>13000000</v>
      </c>
      <c r="E1085" s="319" t="n"/>
      <c r="F1085" s="319" t="n"/>
      <c r="G1085" s="319" t="n"/>
      <c r="H1085" s="319" t="n"/>
      <c r="I1085" s="319" t="n"/>
      <c r="J1085" s="319" t="n"/>
      <c r="K1085" s="319" t="n"/>
      <c r="L1085" s="319" t="n"/>
      <c r="R1085" s="514" t="inlineStr">
        <is>
          <t>Take-on posting 31 Jul 2024</t>
        </is>
      </c>
      <c r="S1085" s="496">
        <f>IFERROR(INDEX('E-Banker master'!$N$2:$N$186,MATCH(S1083,'E-Banker master'!$A$2:$A$186,0)),"")</f>
        <v/>
      </c>
    </row>
    <row r="1086">
      <c r="B1086" s="1" t="n"/>
      <c r="C1086" s="13" t="inlineStr">
        <is>
          <t>Rate</t>
        </is>
      </c>
      <c r="D1086" s="14" t="n">
        <v>0.1</v>
      </c>
      <c r="E1086" s="257" t="n"/>
      <c r="F1086" s="319" t="n"/>
      <c r="G1086" s="319" t="n"/>
      <c r="H1086" s="319" t="n"/>
      <c r="I1086" s="319" t="n"/>
      <c r="J1086" s="319" t="n"/>
      <c r="K1086" s="319" t="n"/>
      <c r="L1086" s="319" t="n"/>
      <c r="R1086" s="514" t="inlineStr">
        <is>
          <t>E-Banker balance 31 Oct 2024</t>
        </is>
      </c>
      <c r="S1086" s="496">
        <f>IFERROR(INDEX('E-Banker master'!$P$2:$P$186,MATCH(S1083,'E-Banker master'!$A$2:$A$186,0)),"")</f>
        <v/>
      </c>
    </row>
    <row r="1087">
      <c r="B1087" s="1" t="n"/>
      <c r="C1087" s="13" t="inlineStr">
        <is>
          <t>n</t>
        </is>
      </c>
      <c r="D1087" s="16" t="n">
        <v>2</v>
      </c>
      <c r="E1087" s="1" t="n"/>
      <c r="F1087" s="319" t="n"/>
      <c r="G1087" s="319" t="n"/>
      <c r="H1087" s="319" t="n"/>
      <c r="I1087" s="319" t="n"/>
      <c r="J1087" s="319" t="n"/>
      <c r="K1087" s="1" t="n"/>
      <c r="L1087" s="1" t="n"/>
    </row>
    <row r="1088">
      <c r="B1088" s="1" t="n"/>
      <c r="C1088" s="13" t="inlineStr">
        <is>
          <t>Per</t>
        </is>
      </c>
      <c r="D1088" s="16" t="n">
        <v>12</v>
      </c>
      <c r="E1088" s="1" t="n"/>
      <c r="F1088" s="319" t="n"/>
      <c r="G1088" s="319" t="n"/>
      <c r="H1088" s="319" t="n"/>
      <c r="I1088" s="319" t="n"/>
      <c r="J1088" s="319" t="n"/>
      <c r="K1088" s="1" t="n"/>
      <c r="L1088" s="1" t="n"/>
    </row>
    <row r="1089">
      <c r="B1089" s="1" t="n"/>
      <c r="C1089" s="13" t="inlineStr">
        <is>
          <t>nPer</t>
        </is>
      </c>
      <c r="D1089" s="515">
        <f>D1087*D1088</f>
        <v/>
      </c>
      <c r="E1089" s="1" t="n"/>
      <c r="F1089" s="319" t="n"/>
      <c r="G1089" s="319" t="n"/>
      <c r="H1089" s="319" t="n"/>
      <c r="I1089" s="319" t="n"/>
      <c r="J1089" s="319" t="n"/>
      <c r="K1089" s="1" t="n"/>
      <c r="L1089" s="1" t="n"/>
    </row>
    <row r="1090">
      <c r="B1090" s="1" t="n"/>
      <c r="C1090" s="13" t="inlineStr">
        <is>
          <t>Days in a year</t>
        </is>
      </c>
      <c r="D1090" s="18" t="n">
        <v>365</v>
      </c>
      <c r="E1090" s="1" t="n"/>
      <c r="F1090" s="319" t="n"/>
      <c r="G1090" s="319" t="n"/>
      <c r="H1090" s="319" t="n"/>
      <c r="I1090" s="319" t="n"/>
      <c r="J1090" s="319" t="n"/>
      <c r="K1090" s="1" t="n"/>
      <c r="L1090" s="1" t="n"/>
    </row>
    <row r="1091">
      <c r="B1091" s="1" t="n"/>
      <c r="C1091" s="19" t="inlineStr">
        <is>
          <t>Pmt (MK)</t>
        </is>
      </c>
      <c r="D1091" s="20">
        <f>-PMT(D1086/D1088,D1089,D1085,0,0)</f>
        <v/>
      </c>
      <c r="E1091" s="319" t="n"/>
      <c r="F1091" s="319" t="n"/>
      <c r="G1091" s="319" t="n"/>
      <c r="H1091" s="319" t="n"/>
      <c r="I1091" s="319" t="n"/>
      <c r="J1091" s="319" t="n"/>
      <c r="K1091" s="1" t="n"/>
      <c r="L1091" s="1" t="n"/>
    </row>
    <row r="1092">
      <c r="B1092" s="1" t="n"/>
      <c r="C1092" s="1" t="n"/>
      <c r="D1092" s="319" t="n"/>
      <c r="E1092" s="319" t="n"/>
      <c r="F1092" s="319" t="n"/>
      <c r="G1092" s="319" t="n"/>
      <c r="H1092" s="319" t="n"/>
      <c r="I1092" s="319" t="n"/>
      <c r="J1092" s="319" t="n"/>
      <c r="K1092" s="1" t="n"/>
      <c r="L1092" s="1" t="n"/>
    </row>
    <row r="1093">
      <c r="B1093" s="1" t="n"/>
      <c r="C1093" s="21" t="inlineStr">
        <is>
          <t>Period Start</t>
        </is>
      </c>
      <c r="D1093" s="22" t="inlineStr">
        <is>
          <t>Period End</t>
        </is>
      </c>
      <c r="E1093" s="22" t="inlineStr">
        <is>
          <t>Days</t>
        </is>
      </c>
      <c r="F1093" s="294" t="inlineStr">
        <is>
          <t>Opening bal.</t>
        </is>
      </c>
      <c r="G1093" s="294" t="inlineStr">
        <is>
          <t>Pmt</t>
        </is>
      </c>
      <c r="H1093" s="294" t="inlineStr">
        <is>
          <t>Interest</t>
        </is>
      </c>
      <c r="I1093" s="294" t="inlineStr">
        <is>
          <t>Principal</t>
        </is>
      </c>
      <c r="J1093" s="294" t="inlineStr">
        <is>
          <t>Closing balance</t>
        </is>
      </c>
      <c r="K1093" s="23" t="inlineStr">
        <is>
          <t>Amount Repaid</t>
        </is>
      </c>
      <c r="L1093" s="23" t="inlineStr">
        <is>
          <t>Accumulated Arrears</t>
        </is>
      </c>
    </row>
    <row r="1094">
      <c r="B1094" s="1" t="n">
        <v>1</v>
      </c>
      <c r="C1094" s="24" t="n">
        <v>44593</v>
      </c>
      <c r="D1094" s="24" t="n">
        <v>44620</v>
      </c>
      <c r="E1094" s="25">
        <f>D1094-C1094+1</f>
        <v/>
      </c>
      <c r="F1094" s="319">
        <f>D1085</f>
        <v/>
      </c>
      <c r="G1094" s="319">
        <f>-PMT($D$1086/$D$1088,24,$F$1094,,0)</f>
        <v/>
      </c>
      <c r="H1094" s="319">
        <f>$D$1086/$D$1088*F1094</f>
        <v/>
      </c>
      <c r="I1094" s="319">
        <f>G1094-H1094</f>
        <v/>
      </c>
      <c r="J1094" s="319">
        <f>F1094-I1094</f>
        <v/>
      </c>
      <c r="K1094" s="516" t="n"/>
      <c r="L1094" s="516" t="n"/>
    </row>
    <row r="1095">
      <c r="B1095" s="1" t="n">
        <v>2</v>
      </c>
      <c r="C1095" s="24" t="n">
        <v>44621</v>
      </c>
      <c r="D1095" s="24" t="n">
        <v>44651</v>
      </c>
      <c r="E1095" s="25">
        <f>D1095-C1095+1</f>
        <v/>
      </c>
      <c r="F1095" s="319">
        <f>J1094</f>
        <v/>
      </c>
      <c r="G1095" s="319">
        <f>-PMT($D$1086/$D$1088,24,$F$1094,,0)</f>
        <v/>
      </c>
      <c r="H1095" s="319">
        <f>$D$1086/$D$1088*F1095</f>
        <v/>
      </c>
      <c r="I1095" s="319">
        <f>G1095-H1095</f>
        <v/>
      </c>
      <c r="J1095" s="319">
        <f>F1095-I1095</f>
        <v/>
      </c>
      <c r="K1095" s="516" t="n"/>
      <c r="L1095" s="516" t="n"/>
    </row>
    <row r="1096">
      <c r="B1096" s="1" t="n">
        <v>3</v>
      </c>
      <c r="C1096" s="24" t="n">
        <v>44652</v>
      </c>
      <c r="D1096" s="24" t="n">
        <v>44681</v>
      </c>
      <c r="E1096" s="25">
        <f>D1096-C1096+1</f>
        <v/>
      </c>
      <c r="F1096" s="319">
        <f>J1095</f>
        <v/>
      </c>
      <c r="G1096" s="319">
        <f>-PMT($D$1086/$D$1088,24,$F$1094,,0)</f>
        <v/>
      </c>
      <c r="H1096" s="319">
        <f>$D$1086/$D$1088*F1096</f>
        <v/>
      </c>
      <c r="I1096" s="319">
        <f>G1096-H1096</f>
        <v/>
      </c>
      <c r="J1096" s="319">
        <f>F1096-I1096</f>
        <v/>
      </c>
      <c r="K1096" s="516" t="n"/>
      <c r="L1096" s="516" t="n"/>
    </row>
    <row r="1097">
      <c r="B1097" s="1" t="n">
        <v>4</v>
      </c>
      <c r="C1097" s="24" t="n">
        <v>44682</v>
      </c>
      <c r="D1097" s="24" t="n">
        <v>44712</v>
      </c>
      <c r="E1097" s="25">
        <f>D1097-C1097+1</f>
        <v/>
      </c>
      <c r="F1097" s="319">
        <f>J1096</f>
        <v/>
      </c>
      <c r="G1097" s="319">
        <f>-PMT($D$1086/$D$1088,24,$F$1094,,0)</f>
        <v/>
      </c>
      <c r="H1097" s="319">
        <f>$D$1086/$D$1088*F1097</f>
        <v/>
      </c>
      <c r="I1097" s="319">
        <f>G1097-H1097</f>
        <v/>
      </c>
      <c r="J1097" s="319">
        <f>F1097-I1097</f>
        <v/>
      </c>
      <c r="K1097" s="516" t="n"/>
      <c r="L1097" s="516" t="n"/>
    </row>
    <row r="1098">
      <c r="B1098" s="1" t="n">
        <v>5</v>
      </c>
      <c r="C1098" s="24" t="n">
        <v>44713</v>
      </c>
      <c r="D1098" s="24" t="n">
        <v>44742</v>
      </c>
      <c r="E1098" s="25">
        <f>D1098-C1098+1</f>
        <v/>
      </c>
      <c r="F1098" s="319">
        <f>J1097</f>
        <v/>
      </c>
      <c r="G1098" s="319">
        <f>-PMT($D$1086/$D$1088,24,$F$1094,,0)</f>
        <v/>
      </c>
      <c r="H1098" s="319">
        <f>$D$1086/$D$1088*F1098</f>
        <v/>
      </c>
      <c r="I1098" s="319">
        <f>G1098-H1098</f>
        <v/>
      </c>
      <c r="J1098" s="319">
        <f>F1098-I1098</f>
        <v/>
      </c>
      <c r="K1098" s="516" t="n"/>
      <c r="L1098" s="516" t="n"/>
    </row>
    <row r="1099">
      <c r="B1099" s="1" t="n">
        <v>6</v>
      </c>
      <c r="C1099" s="24" t="n">
        <v>44743</v>
      </c>
      <c r="D1099" s="24" t="n">
        <v>44773</v>
      </c>
      <c r="E1099" s="25">
        <f>D1099-C1099+1</f>
        <v/>
      </c>
      <c r="F1099" s="319">
        <f>J1098</f>
        <v/>
      </c>
      <c r="G1099" s="319">
        <f>-PMT($D$1086/$D$1088,24,$F$1094,,0)</f>
        <v/>
      </c>
      <c r="H1099" s="319">
        <f>$D$1086/$D$1088*F1099</f>
        <v/>
      </c>
      <c r="I1099" s="319">
        <f>G1099-H1099</f>
        <v/>
      </c>
      <c r="J1099" s="319">
        <f>F1099-I1099</f>
        <v/>
      </c>
      <c r="K1099" s="516" t="n"/>
      <c r="L1099" s="516" t="n"/>
    </row>
    <row r="1100">
      <c r="B1100" s="1" t="n">
        <v>7</v>
      </c>
      <c r="C1100" s="24" t="n">
        <v>44774</v>
      </c>
      <c r="D1100" s="24" t="n">
        <v>44804</v>
      </c>
      <c r="E1100" s="25">
        <f>D1100-C1100+1</f>
        <v/>
      </c>
      <c r="F1100" s="319">
        <f>J1099</f>
        <v/>
      </c>
      <c r="G1100" s="319">
        <f>-PMT($D$1086/$D$1088,24,$F$1094,,0)</f>
        <v/>
      </c>
      <c r="H1100" s="319">
        <f>$D$1086/$D$1088*F1100</f>
        <v/>
      </c>
      <c r="I1100" s="319">
        <f>G1100-H1100</f>
        <v/>
      </c>
      <c r="J1100" s="319">
        <f>F1100-I1100</f>
        <v/>
      </c>
      <c r="K1100" s="516" t="n"/>
      <c r="L1100" s="516" t="n"/>
    </row>
    <row r="1101">
      <c r="B1101" s="1" t="n">
        <v>8</v>
      </c>
      <c r="C1101" s="24" t="n">
        <v>44805</v>
      </c>
      <c r="D1101" s="24" t="n">
        <v>44834</v>
      </c>
      <c r="E1101" s="25">
        <f>D1101-C1101+1</f>
        <v/>
      </c>
      <c r="F1101" s="319">
        <f>J1100</f>
        <v/>
      </c>
      <c r="G1101" s="319">
        <f>-PMT($D$1086/$D$1088,24,$F$1094,,0)</f>
        <v/>
      </c>
      <c r="H1101" s="319">
        <f>$D$1086/$D$1088*F1101</f>
        <v/>
      </c>
      <c r="I1101" s="319">
        <f>G1101-H1101</f>
        <v/>
      </c>
      <c r="J1101" s="319">
        <f>F1101-I1101</f>
        <v/>
      </c>
      <c r="K1101" s="516" t="n"/>
      <c r="L1101" s="519" t="n"/>
    </row>
    <row r="1102">
      <c r="B1102" s="1" t="n">
        <v>9</v>
      </c>
      <c r="C1102" s="24" t="n">
        <v>44835</v>
      </c>
      <c r="D1102" s="24" t="n">
        <v>44865</v>
      </c>
      <c r="E1102" s="25">
        <f>D1102-C1102+1</f>
        <v/>
      </c>
      <c r="F1102" s="319">
        <f>J1101</f>
        <v/>
      </c>
      <c r="G1102" s="319">
        <f>-PMT($D$1086/$D$1088,24,$F$1094,,0)</f>
        <v/>
      </c>
      <c r="H1102" s="319">
        <f>$D$1086/$D$1088*F1102</f>
        <v/>
      </c>
      <c r="I1102" s="319">
        <f>G1102-H1102</f>
        <v/>
      </c>
      <c r="J1102" s="319">
        <f>F1102-I1102</f>
        <v/>
      </c>
      <c r="K1102" s="516" t="n"/>
      <c r="L1102" s="516" t="n"/>
    </row>
    <row r="1103">
      <c r="B1103" s="1" t="n">
        <v>10</v>
      </c>
      <c r="C1103" s="24" t="n">
        <v>44866</v>
      </c>
      <c r="D1103" s="24" t="n">
        <v>44895</v>
      </c>
      <c r="E1103" s="25">
        <f>D1103-C1103+1</f>
        <v/>
      </c>
      <c r="F1103" s="319">
        <f>J1102</f>
        <v/>
      </c>
      <c r="G1103" s="319">
        <f>-PMT($D$1086/$D$1088,24,$F$1094,,0)</f>
        <v/>
      </c>
      <c r="H1103" s="319">
        <f>$D$1086/$D$1088*F1103</f>
        <v/>
      </c>
      <c r="I1103" s="319">
        <f>G1103-H1103</f>
        <v/>
      </c>
      <c r="J1103" s="319">
        <f>F1103-I1103</f>
        <v/>
      </c>
      <c r="K1103" s="516" t="n"/>
      <c r="L1103" s="516" t="n"/>
    </row>
    <row r="1104">
      <c r="B1104" s="1" t="n">
        <v>11</v>
      </c>
      <c r="C1104" s="24" t="n">
        <v>44896</v>
      </c>
      <c r="D1104" s="24" t="n">
        <v>44926</v>
      </c>
      <c r="E1104" s="25">
        <f>D1104-C1104+1</f>
        <v/>
      </c>
      <c r="F1104" s="319">
        <f>J1103</f>
        <v/>
      </c>
      <c r="G1104" s="319">
        <f>-PMT($D$1086/$D$1088,24,$F$1094,,0)</f>
        <v/>
      </c>
      <c r="H1104" s="319">
        <f>$D$1086/$D$1088*F1104</f>
        <v/>
      </c>
      <c r="I1104" s="319">
        <f>G1104-H1104</f>
        <v/>
      </c>
      <c r="J1104" s="319">
        <f>F1104-I1104</f>
        <v/>
      </c>
      <c r="K1104" s="516" t="n"/>
      <c r="L1104" s="519" t="n"/>
    </row>
    <row r="1105">
      <c r="B1105" s="1" t="n">
        <v>12</v>
      </c>
      <c r="C1105" s="24" t="n">
        <v>44927</v>
      </c>
      <c r="D1105" s="24" t="n">
        <v>44957</v>
      </c>
      <c r="E1105" s="25">
        <f>D1105-C1105+1</f>
        <v/>
      </c>
      <c r="F1105" s="319">
        <f>J1104</f>
        <v/>
      </c>
      <c r="G1105" s="319">
        <f>-PMT($D$1086/$D$1088,24,$F$1094,,0)</f>
        <v/>
      </c>
      <c r="H1105" s="319">
        <f>$D$1086/$D$1088*F1105</f>
        <v/>
      </c>
      <c r="I1105" s="319">
        <f>G1105-H1105</f>
        <v/>
      </c>
      <c r="J1105" s="319">
        <f>F1105-I1105</f>
        <v/>
      </c>
      <c r="K1105" s="516" t="n">
        <v>7200000</v>
      </c>
      <c r="L1105" s="516">
        <f>SUM(G1094:G1105)-K1105</f>
        <v/>
      </c>
    </row>
    <row r="1106">
      <c r="B1106" s="1" t="n">
        <v>13</v>
      </c>
      <c r="C1106" s="24" t="n">
        <v>44958</v>
      </c>
      <c r="D1106" s="24" t="n">
        <v>44985</v>
      </c>
      <c r="E1106" s="25">
        <f>D1106-C1106+1</f>
        <v/>
      </c>
      <c r="F1106" s="319">
        <f>J1105</f>
        <v/>
      </c>
      <c r="G1106" s="319">
        <f>-PMT($D$1086/$D$1088,24,$F$1094,,0)</f>
        <v/>
      </c>
      <c r="H1106" s="319">
        <f>$D$1086/$D$1088*F1106</f>
        <v/>
      </c>
      <c r="I1106" s="319">
        <f>G1106-H1106</f>
        <v/>
      </c>
      <c r="J1106" s="319">
        <f>F1106-I1106</f>
        <v/>
      </c>
      <c r="K1106" s="516" t="n"/>
      <c r="L1106" s="516" t="n"/>
    </row>
    <row r="1107">
      <c r="B1107" s="1" t="n">
        <v>14</v>
      </c>
      <c r="C1107" s="24" t="n">
        <v>44986</v>
      </c>
      <c r="D1107" s="24" t="n">
        <v>45016</v>
      </c>
      <c r="E1107" s="25">
        <f>D1107-C1107+1</f>
        <v/>
      </c>
      <c r="F1107" s="319">
        <f>J1106</f>
        <v/>
      </c>
      <c r="G1107" s="319">
        <f>-PMT($D$1086/$D$1088,24,$F$1094,,0)</f>
        <v/>
      </c>
      <c r="H1107" s="319">
        <f>$D$1086/$D$1088*F1107</f>
        <v/>
      </c>
      <c r="I1107" s="319">
        <f>G1107-H1107</f>
        <v/>
      </c>
      <c r="J1107" s="319">
        <f>F1107-I1107</f>
        <v/>
      </c>
      <c r="K1107" s="516" t="n"/>
      <c r="L1107" s="516" t="n"/>
    </row>
    <row r="1108">
      <c r="B1108" s="1" t="n">
        <v>15</v>
      </c>
      <c r="C1108" s="24" t="n">
        <v>45017</v>
      </c>
      <c r="D1108" s="24" t="n">
        <v>45046</v>
      </c>
      <c r="E1108" s="25">
        <f>D1108-C1108+1</f>
        <v/>
      </c>
      <c r="F1108" s="319">
        <f>J1107</f>
        <v/>
      </c>
      <c r="G1108" s="319">
        <f>-PMT($D$1086/$D$1088,24,$F$1094,,0)</f>
        <v/>
      </c>
      <c r="H1108" s="319">
        <f>$D$1086/$D$1088*F1108</f>
        <v/>
      </c>
      <c r="I1108" s="319">
        <f>G1108-H1108</f>
        <v/>
      </c>
      <c r="J1108" s="319">
        <f>F1108-I1108</f>
        <v/>
      </c>
      <c r="K1108" s="516" t="n"/>
      <c r="L1108" s="516" t="n"/>
    </row>
    <row r="1109">
      <c r="B1109" s="1" t="n">
        <v>16</v>
      </c>
      <c r="C1109" s="24" t="n">
        <v>45047</v>
      </c>
      <c r="D1109" s="24" t="n">
        <v>45077</v>
      </c>
      <c r="E1109" s="25">
        <f>D1109-C1109+1</f>
        <v/>
      </c>
      <c r="F1109" s="319">
        <f>J1108</f>
        <v/>
      </c>
      <c r="G1109" s="319">
        <f>-PMT($D$1086/$D$1088,24,$F$1094,,0)</f>
        <v/>
      </c>
      <c r="H1109" s="319">
        <f>$D$1086/$D$1088*F1109</f>
        <v/>
      </c>
      <c r="I1109" s="319">
        <f>G1109-H1109</f>
        <v/>
      </c>
      <c r="J1109" s="319">
        <f>F1109-I1109</f>
        <v/>
      </c>
      <c r="K1109" s="516" t="n"/>
      <c r="L1109" s="516" t="n"/>
    </row>
    <row r="1110">
      <c r="B1110" s="1" t="n">
        <v>17</v>
      </c>
      <c r="C1110" s="24" t="n">
        <v>45078</v>
      </c>
      <c r="D1110" s="24" t="n">
        <v>45107</v>
      </c>
      <c r="E1110" s="25">
        <f>D1110-C1110+1</f>
        <v/>
      </c>
      <c r="F1110" s="319">
        <f>J1109</f>
        <v/>
      </c>
      <c r="G1110" s="319">
        <f>-PMT($D$1086/$D$1088,24,$F$1094,,0)</f>
        <v/>
      </c>
      <c r="H1110" s="319">
        <f>$D$1086/$D$1088*F1110</f>
        <v/>
      </c>
      <c r="I1110" s="319">
        <f>G1110-H1110</f>
        <v/>
      </c>
      <c r="J1110" s="319">
        <f>F1110-I1110</f>
        <v/>
      </c>
      <c r="K1110" s="516" t="n"/>
      <c r="L1110" s="516" t="n"/>
    </row>
    <row r="1111">
      <c r="B1111" s="1" t="n">
        <v>18</v>
      </c>
      <c r="C1111" s="24" t="n">
        <v>45108</v>
      </c>
      <c r="D1111" s="24" t="n">
        <v>45138</v>
      </c>
      <c r="E1111" s="25">
        <f>D1111-C1111+1</f>
        <v/>
      </c>
      <c r="F1111" s="319">
        <f>J1110</f>
        <v/>
      </c>
      <c r="G1111" s="319">
        <f>-PMT($D$1086/$D$1088,24,$F$1094,,0)</f>
        <v/>
      </c>
      <c r="H1111" s="319">
        <f>$D$1086/$D$1088*F1111</f>
        <v/>
      </c>
      <c r="I1111" s="319">
        <f>G1111-H1111</f>
        <v/>
      </c>
      <c r="J1111" s="319">
        <f>F1111-I1111</f>
        <v/>
      </c>
      <c r="K1111" s="516" t="n"/>
      <c r="L1111" s="516" t="n"/>
    </row>
    <row r="1112">
      <c r="B1112" s="1" t="n">
        <v>19</v>
      </c>
      <c r="C1112" s="24" t="n">
        <v>45139</v>
      </c>
      <c r="D1112" s="24" t="n">
        <v>45169</v>
      </c>
      <c r="E1112" s="25">
        <f>D1112-C1112+1</f>
        <v/>
      </c>
      <c r="F1112" s="319">
        <f>J1111</f>
        <v/>
      </c>
      <c r="G1112" s="319">
        <f>-PMT($D$1086/$D$1088,24,$F$1094,,0)</f>
        <v/>
      </c>
      <c r="H1112" s="319">
        <f>$D$1086/$D$1088*F1112</f>
        <v/>
      </c>
      <c r="I1112" s="319">
        <f>G1112-H1112</f>
        <v/>
      </c>
      <c r="J1112" s="319">
        <f>F1112-I1112</f>
        <v/>
      </c>
      <c r="K1112" s="516" t="n">
        <v>7094527.17</v>
      </c>
      <c r="L1112" s="516" t="n"/>
    </row>
    <row r="1113">
      <c r="B1113" s="1" t="n">
        <v>20</v>
      </c>
      <c r="C1113" s="24" t="n">
        <v>45170</v>
      </c>
      <c r="D1113" s="24" t="n">
        <v>45199</v>
      </c>
      <c r="E1113" s="25">
        <f>D1113-C1113+1</f>
        <v/>
      </c>
      <c r="F1113" s="319">
        <f>J1112</f>
        <v/>
      </c>
      <c r="G1113" s="319">
        <f>-PMT($D$1086/$D$1088,24,$F$1094,,0)</f>
        <v/>
      </c>
      <c r="H1113" s="319">
        <f>$D$1086/$D$1088*F1113</f>
        <v/>
      </c>
      <c r="I1113" s="319">
        <f>G1113-H1113</f>
        <v/>
      </c>
      <c r="J1113" s="319">
        <f>F1113-I1113</f>
        <v/>
      </c>
      <c r="K1113" s="516" t="n"/>
      <c r="L1113" s="516" t="n"/>
    </row>
    <row r="1114">
      <c r="B1114" s="1" t="n">
        <v>21</v>
      </c>
      <c r="C1114" s="24" t="n">
        <v>45200</v>
      </c>
      <c r="D1114" s="24" t="n">
        <v>45230</v>
      </c>
      <c r="E1114" s="25">
        <f>D1114-C1114+1</f>
        <v/>
      </c>
      <c r="F1114" s="319">
        <f>J1113</f>
        <v/>
      </c>
      <c r="G1114" s="319">
        <f>-PMT($D$1086/$D$1088,24,$F$1094,,0)</f>
        <v/>
      </c>
      <c r="H1114" s="319">
        <f>$D$1086/$D$1088*F1114</f>
        <v/>
      </c>
      <c r="I1114" s="319">
        <f>G1114-H1114</f>
        <v/>
      </c>
      <c r="J1114" s="319">
        <f>F1114-I1114</f>
        <v/>
      </c>
      <c r="K1114" s="516" t="n"/>
      <c r="L1114" s="516" t="n"/>
    </row>
    <row r="1115">
      <c r="B1115" s="1" t="n">
        <v>22</v>
      </c>
      <c r="C1115" s="24" t="n">
        <v>45231</v>
      </c>
      <c r="D1115" s="24" t="n">
        <v>45260</v>
      </c>
      <c r="E1115" s="25">
        <f>D1115-C1115+1</f>
        <v/>
      </c>
      <c r="F1115" s="319">
        <f>J1114</f>
        <v/>
      </c>
      <c r="G1115" s="319">
        <f>-PMT($D$1086/$D$1088,24,$F$1094,,0)</f>
        <v/>
      </c>
      <c r="H1115" s="319">
        <f>$D$1086/$D$1088*F1115</f>
        <v/>
      </c>
      <c r="I1115" s="319">
        <f>G1115-H1115</f>
        <v/>
      </c>
      <c r="J1115" s="319">
        <f>F1115-I1115</f>
        <v/>
      </c>
      <c r="K1115" s="516" t="n"/>
      <c r="L1115" s="516" t="n"/>
    </row>
    <row r="1116">
      <c r="B1116" s="1" t="n">
        <v>23</v>
      </c>
      <c r="C1116" s="24" t="n">
        <v>45261</v>
      </c>
      <c r="D1116" s="24" t="n">
        <v>45291</v>
      </c>
      <c r="E1116" s="25">
        <f>D1116-C1116+1</f>
        <v/>
      </c>
      <c r="F1116" s="319">
        <f>J1115</f>
        <v/>
      </c>
      <c r="G1116" s="319">
        <f>-PMT($D$1086/$D$1088,24,$F$1094,,0)</f>
        <v/>
      </c>
      <c r="H1116" s="319">
        <f>$D$1086/$D$1088*F1116</f>
        <v/>
      </c>
      <c r="I1116" s="319">
        <f>G1116-H1116</f>
        <v/>
      </c>
      <c r="J1116" s="319">
        <f>F1116-I1116</f>
        <v/>
      </c>
      <c r="K1116" s="516" t="n"/>
      <c r="L1116" s="516" t="n"/>
    </row>
    <row r="1117">
      <c r="B1117" s="1" t="n">
        <v>24</v>
      </c>
      <c r="C1117" s="24" t="n">
        <v>45292</v>
      </c>
      <c r="D1117" s="24" t="n">
        <v>45322</v>
      </c>
      <c r="E1117" s="25">
        <f>D1117-C1117+1</f>
        <v/>
      </c>
      <c r="F1117" s="319">
        <f>J1116</f>
        <v/>
      </c>
      <c r="G1117" s="319">
        <f>-PMT($D$1086/$D$1088,24,$F$1094,,0)</f>
        <v/>
      </c>
      <c r="H1117" s="319">
        <f>$D$1086/$D$1088*F1117</f>
        <v/>
      </c>
      <c r="I1117" s="319">
        <f>G1117-H1117</f>
        <v/>
      </c>
      <c r="J1117" s="319">
        <f>F1117-I1117</f>
        <v/>
      </c>
      <c r="K1117" s="520" t="inlineStr">
        <is>
          <t>DUE ON 31 JAN 24</t>
        </is>
      </c>
      <c r="L1117" s="516" t="inlineStr">
        <is>
          <t>FULLY REPAID</t>
        </is>
      </c>
    </row>
    <row r="1118">
      <c r="B1118" s="1" t="n"/>
      <c r="C1118" s="24" t="n"/>
      <c r="D1118" s="24" t="n"/>
      <c r="E1118" s="25" t="n"/>
      <c r="F1118" s="319" t="n"/>
      <c r="G1118" s="319" t="n"/>
      <c r="H1118" s="319" t="n"/>
      <c r="I1118" s="319" t="n"/>
      <c r="J1118" s="319" t="n"/>
      <c r="K1118" s="516" t="n"/>
      <c r="L1118" s="516" t="n"/>
    </row>
    <row r="1119" ht="14.25" customHeight="1">
      <c r="B1119" s="1" t="n"/>
      <c r="C1119" s="1" t="n"/>
      <c r="D1119" s="1" t="n"/>
      <c r="E1119" s="30">
        <f>SUM(E1094:E1118)</f>
        <v/>
      </c>
      <c r="F1119" s="319" t="n"/>
      <c r="G1119" s="319" t="n"/>
      <c r="H1119" s="319" t="n"/>
      <c r="I1119" s="319" t="n"/>
      <c r="J1119" s="319" t="n"/>
      <c r="K1119" s="1" t="n"/>
      <c r="L1119" s="1" t="n"/>
    </row>
    <row r="1124">
      <c r="B1124" s="1" t="n"/>
      <c r="C1124" s="9" t="inlineStr">
        <is>
          <t>Zanzi Entertainment</t>
        </is>
      </c>
      <c r="D1124" s="319" t="n"/>
      <c r="E1124" s="319" t="n"/>
      <c r="F1124" s="319" t="n"/>
      <c r="G1124" s="319" t="n"/>
      <c r="H1124" s="319" t="n"/>
      <c r="I1124" s="319" t="n"/>
      <c r="J1124" s="319" t="n"/>
      <c r="K1124" s="319" t="n"/>
      <c r="L1124" s="319" t="n"/>
      <c r="R1124" s="514" t="inlineStr">
        <is>
          <t>E-Banker account (Dupleix)</t>
        </is>
      </c>
      <c r="S1124" s="495">
        <f>IFERROR(INDEX('Blocks'!$I$2:$I$101,MATCH(20,'Blocks'!$A$2:$A$101,0)),"")</f>
        <v/>
      </c>
    </row>
    <row r="1125">
      <c r="B1125" s="1" t="n"/>
      <c r="C1125" s="1" t="n"/>
      <c r="D1125" s="319" t="n"/>
      <c r="E1125" s="319" t="n"/>
      <c r="F1125" s="319" t="n"/>
      <c r="G1125" s="319" t="n"/>
      <c r="H1125" s="319" t="n"/>
      <c r="I1125" s="319" t="n"/>
      <c r="J1125" s="319" t="n"/>
      <c r="K1125" s="319" t="n"/>
      <c r="L1125" s="319" t="n"/>
      <c r="R1125" s="514" t="inlineStr">
        <is>
          <t>Facility (Loan Book)</t>
        </is>
      </c>
      <c r="S1125" s="495">
        <f>IFERROR(INDEX('Blocks'!$H$2:$H$101,MATCH(20,'Blocks'!$A$2:$A$101,0)),"")</f>
        <v/>
      </c>
    </row>
    <row r="1126">
      <c r="B1126" s="1" t="n"/>
      <c r="C1126" s="10" t="inlineStr">
        <is>
          <t>Principal (MK)</t>
        </is>
      </c>
      <c r="D1126" s="11" t="n">
        <v>24000000</v>
      </c>
      <c r="E1126" s="319" t="n"/>
      <c r="F1126" s="319" t="n"/>
      <c r="G1126" s="319" t="n"/>
      <c r="H1126" s="319" t="n"/>
      <c r="I1126" s="319" t="n"/>
      <c r="J1126" s="319" t="n"/>
      <c r="K1126" s="319" t="n"/>
      <c r="L1126" s="319" t="n"/>
      <c r="R1126" s="514" t="inlineStr">
        <is>
          <t>Take-on posting 31 Jul 2024</t>
        </is>
      </c>
      <c r="S1126" s="496">
        <f>IFERROR(INDEX('E-Banker master'!$N$2:$N$186,MATCH(S1124,'E-Banker master'!$A$2:$A$186,0)),"")</f>
        <v/>
      </c>
    </row>
    <row r="1127">
      <c r="B1127" s="1" t="n"/>
      <c r="C1127" s="13" t="inlineStr">
        <is>
          <t>Rate</t>
        </is>
      </c>
      <c r="D1127" s="14" t="n">
        <v>0.1</v>
      </c>
      <c r="E1127" s="257" t="n"/>
      <c r="F1127" s="319" t="n"/>
      <c r="G1127" s="319" t="n"/>
      <c r="H1127" s="319" t="n"/>
      <c r="I1127" s="319" t="n"/>
      <c r="J1127" s="319" t="n"/>
      <c r="K1127" s="319" t="n"/>
      <c r="L1127" s="319" t="n"/>
      <c r="R1127" s="514" t="inlineStr">
        <is>
          <t>E-Banker balance 31 Oct 2024</t>
        </is>
      </c>
      <c r="S1127" s="496">
        <f>IFERROR(INDEX('E-Banker master'!$P$2:$P$186,MATCH(S1124,'E-Banker master'!$A$2:$A$186,0)),"")</f>
        <v/>
      </c>
    </row>
    <row r="1128">
      <c r="B1128" s="1" t="n"/>
      <c r="C1128" s="13" t="inlineStr">
        <is>
          <t>n</t>
        </is>
      </c>
      <c r="D1128" s="16" t="n">
        <v>2</v>
      </c>
      <c r="E1128" s="1" t="n"/>
      <c r="F1128" s="319" t="n"/>
      <c r="G1128" s="319" t="n"/>
      <c r="H1128" s="319" t="n"/>
      <c r="I1128" s="319" t="n"/>
      <c r="J1128" s="319" t="n"/>
      <c r="K1128" s="1" t="n"/>
      <c r="L1128" s="1" t="n"/>
    </row>
    <row r="1129">
      <c r="B1129" s="1" t="n"/>
      <c r="C1129" s="13" t="inlineStr">
        <is>
          <t>Per</t>
        </is>
      </c>
      <c r="D1129" s="16" t="n">
        <v>12</v>
      </c>
      <c r="E1129" s="1" t="n"/>
      <c r="F1129" s="319" t="n"/>
      <c r="G1129" s="319" t="n"/>
      <c r="H1129" s="319" t="n"/>
      <c r="I1129" s="319" t="n"/>
      <c r="J1129" s="319" t="n"/>
      <c r="K1129" s="1" t="n"/>
      <c r="L1129" s="1" t="n"/>
    </row>
    <row r="1130">
      <c r="B1130" s="1" t="n"/>
      <c r="C1130" s="13" t="inlineStr">
        <is>
          <t>nPer</t>
        </is>
      </c>
      <c r="D1130" s="515">
        <f>D1128*D1129</f>
        <v/>
      </c>
      <c r="E1130" s="1" t="n"/>
      <c r="F1130" s="319" t="n"/>
      <c r="G1130" s="319" t="n"/>
      <c r="H1130" s="319" t="n"/>
      <c r="I1130" s="319" t="n"/>
      <c r="J1130" s="319" t="n"/>
      <c r="K1130" s="1" t="n"/>
      <c r="L1130" s="1" t="n"/>
    </row>
    <row r="1131">
      <c r="B1131" s="1" t="n"/>
      <c r="C1131" s="13" t="inlineStr">
        <is>
          <t>Days in a year</t>
        </is>
      </c>
      <c r="D1131" s="18" t="n">
        <v>365</v>
      </c>
      <c r="E1131" s="1" t="n"/>
      <c r="F1131" s="319" t="n"/>
      <c r="G1131" s="319" t="n"/>
      <c r="H1131" s="319" t="n"/>
      <c r="I1131" s="319" t="n"/>
      <c r="J1131" s="319" t="n"/>
      <c r="K1131" s="1" t="n"/>
      <c r="L1131" s="1" t="n"/>
    </row>
    <row r="1132">
      <c r="B1132" s="1" t="n"/>
      <c r="C1132" s="19" t="inlineStr">
        <is>
          <t>Pmt (MK)</t>
        </is>
      </c>
      <c r="D1132" s="20">
        <f>-PMT(D1127/D1129,D1130,D1126,0,0)</f>
        <v/>
      </c>
      <c r="E1132" s="319" t="n"/>
      <c r="F1132" s="319" t="n"/>
      <c r="G1132" s="319" t="n"/>
      <c r="H1132" s="319" t="n"/>
      <c r="I1132" s="319" t="n"/>
      <c r="J1132" s="319" t="n"/>
      <c r="K1132" s="1" t="n"/>
      <c r="L1132" s="1" t="n"/>
    </row>
    <row r="1133">
      <c r="B1133" s="1" t="n"/>
      <c r="C1133" s="1" t="n"/>
      <c r="D1133" s="319" t="n"/>
      <c r="E1133" s="319" t="n"/>
      <c r="F1133" s="319" t="n"/>
      <c r="G1133" s="319" t="n"/>
      <c r="H1133" s="319" t="n"/>
      <c r="I1133" s="319" t="n"/>
      <c r="J1133" s="319" t="n"/>
      <c r="K1133" s="1" t="n"/>
      <c r="L1133" s="1" t="n"/>
    </row>
    <row r="1134">
      <c r="B1134" s="1" t="n"/>
      <c r="C1134" s="21" t="inlineStr">
        <is>
          <t>Period Start</t>
        </is>
      </c>
      <c r="D1134" s="22" t="inlineStr">
        <is>
          <t>Period End</t>
        </is>
      </c>
      <c r="E1134" s="22" t="inlineStr">
        <is>
          <t>Days</t>
        </is>
      </c>
      <c r="F1134" s="294" t="inlineStr">
        <is>
          <t>Opening bal.</t>
        </is>
      </c>
      <c r="G1134" s="294" t="inlineStr">
        <is>
          <t>Pmt</t>
        </is>
      </c>
      <c r="H1134" s="294" t="inlineStr">
        <is>
          <t>Interest</t>
        </is>
      </c>
      <c r="I1134" s="294" t="inlineStr">
        <is>
          <t>Principal</t>
        </is>
      </c>
      <c r="J1134" s="294" t="inlineStr">
        <is>
          <t>Closing balance</t>
        </is>
      </c>
      <c r="K1134" s="23" t="inlineStr">
        <is>
          <t>Amount Repaid</t>
        </is>
      </c>
      <c r="L1134" s="23" t="inlineStr">
        <is>
          <t>Accumulated Arrears</t>
        </is>
      </c>
    </row>
    <row r="1135">
      <c r="B1135" s="1" t="n">
        <v>0</v>
      </c>
      <c r="C1135" s="24" t="n">
        <v>44603</v>
      </c>
      <c r="D1135" s="24" t="n">
        <v>44620</v>
      </c>
      <c r="E1135" s="25">
        <f>D1135-C1135+1</f>
        <v/>
      </c>
      <c r="F1135" s="319">
        <f>D1126</f>
        <v/>
      </c>
      <c r="G1135" s="319" t="n"/>
      <c r="H1135" s="319">
        <f>D1126*D1127*E1135/D1131</f>
        <v/>
      </c>
      <c r="I1135" s="319">
        <f>G1135-H1135</f>
        <v/>
      </c>
      <c r="J1135" s="319">
        <f>F1135-I1135</f>
        <v/>
      </c>
      <c r="K1135" s="516" t="n"/>
      <c r="L1135" s="516" t="n"/>
    </row>
    <row r="1136">
      <c r="B1136" s="1" t="n">
        <v>1</v>
      </c>
      <c r="C1136" s="24" t="n">
        <v>44621</v>
      </c>
      <c r="D1136" s="24" t="n">
        <v>44651</v>
      </c>
      <c r="E1136" s="25">
        <f>D1136-C1136+1</f>
        <v/>
      </c>
      <c r="F1136" s="319">
        <f>J1135</f>
        <v/>
      </c>
      <c r="G1136" s="319" t="n"/>
      <c r="H1136" s="319">
        <f>$D$1127/$D$1129*F1136</f>
        <v/>
      </c>
      <c r="I1136" s="319">
        <f>G1136-H1136</f>
        <v/>
      </c>
      <c r="J1136" s="319">
        <f>F1136-I1136</f>
        <v/>
      </c>
      <c r="K1136" s="516" t="n"/>
      <c r="L1136" s="516" t="n"/>
    </row>
    <row r="1137">
      <c r="B1137" s="1" t="n">
        <v>2</v>
      </c>
      <c r="C1137" s="24" t="n">
        <v>44652</v>
      </c>
      <c r="D1137" s="24" t="n">
        <v>44681</v>
      </c>
      <c r="E1137" s="25">
        <f>D1137-C1137+1</f>
        <v/>
      </c>
      <c r="F1137" s="319">
        <f>J1136</f>
        <v/>
      </c>
      <c r="G1137" s="319" t="n"/>
      <c r="H1137" s="319">
        <f>$D$1127/$D$1129*F1137</f>
        <v/>
      </c>
      <c r="I1137" s="319">
        <f>G1137-H1137</f>
        <v/>
      </c>
      <c r="J1137" s="319">
        <f>F1137-I1137</f>
        <v/>
      </c>
      <c r="K1137" s="516" t="n"/>
      <c r="L1137" s="516" t="n"/>
    </row>
    <row r="1138">
      <c r="B1138" s="1" t="n">
        <v>3</v>
      </c>
      <c r="C1138" s="24" t="n">
        <v>44682</v>
      </c>
      <c r="D1138" s="24" t="n">
        <v>44712</v>
      </c>
      <c r="E1138" s="25">
        <f>D1138-C1138+1</f>
        <v/>
      </c>
      <c r="F1138" s="319">
        <f>J1137</f>
        <v/>
      </c>
      <c r="G1138" s="319" t="n"/>
      <c r="H1138" s="319">
        <f>$D$1127/$D$1129*F1138</f>
        <v/>
      </c>
      <c r="I1138" s="319">
        <f>G1138-H1138</f>
        <v/>
      </c>
      <c r="J1138" s="319">
        <f>F1138-I1138</f>
        <v/>
      </c>
    </row>
    <row r="1139">
      <c r="B1139" s="1" t="n">
        <v>4</v>
      </c>
      <c r="C1139" s="24" t="n">
        <v>44713</v>
      </c>
      <c r="D1139" s="24" t="n">
        <v>44742</v>
      </c>
      <c r="E1139" s="25">
        <f>D1139-C1139+1</f>
        <v/>
      </c>
      <c r="F1139" s="319">
        <f>J1138</f>
        <v/>
      </c>
      <c r="G1139" s="319">
        <f>-PMT($D$1127/$D$1129,21,$F$1139,,0)</f>
        <v/>
      </c>
      <c r="H1139" s="319">
        <f>$D$1127/$D$1129*F1139</f>
        <v/>
      </c>
      <c r="I1139" s="319">
        <f>G1139-H1139</f>
        <v/>
      </c>
      <c r="J1139" s="319">
        <f>F1139-I1139</f>
        <v/>
      </c>
      <c r="K1139" s="516" t="n">
        <v>1288362.98</v>
      </c>
      <c r="L1139" s="516">
        <f>G1139-K1139</f>
        <v/>
      </c>
    </row>
    <row r="1140">
      <c r="B1140" s="1" t="n">
        <v>5</v>
      </c>
      <c r="C1140" s="24" t="n">
        <v>44743</v>
      </c>
      <c r="D1140" s="24" t="n">
        <v>44773</v>
      </c>
      <c r="E1140" s="25">
        <f>D1140-C1140+1</f>
        <v/>
      </c>
      <c r="F1140" s="319">
        <f>J1139</f>
        <v/>
      </c>
      <c r="G1140" s="319">
        <f>-PMT($D$1127/$D$1129,21,$F$1139,,0)</f>
        <v/>
      </c>
      <c r="H1140" s="319">
        <f>$D$1127/$D$1129*F1140</f>
        <v/>
      </c>
      <c r="I1140" s="319">
        <f>G1140-H1140</f>
        <v/>
      </c>
      <c r="J1140" s="319">
        <f>F1140-I1140</f>
        <v/>
      </c>
      <c r="K1140" s="516" t="n">
        <v>1288362.98</v>
      </c>
      <c r="L1140" s="516">
        <f>G1140-K1140</f>
        <v/>
      </c>
    </row>
    <row r="1141">
      <c r="B1141" s="1" t="n">
        <v>6</v>
      </c>
      <c r="C1141" s="24" t="n">
        <v>44774</v>
      </c>
      <c r="D1141" s="24" t="n">
        <v>44804</v>
      </c>
      <c r="E1141" s="25">
        <f>D1141-C1141+1</f>
        <v/>
      </c>
      <c r="F1141" s="319">
        <f>J1140</f>
        <v/>
      </c>
      <c r="G1141" s="319">
        <f>-PMT($D$1127/$D$1129,21,$F$1139,,0)</f>
        <v/>
      </c>
      <c r="H1141" s="319">
        <f>$D$1127/$D$1129*F1141</f>
        <v/>
      </c>
      <c r="I1141" s="319">
        <f>G1141-H1141</f>
        <v/>
      </c>
      <c r="J1141" s="319">
        <f>F1141-I1141</f>
        <v/>
      </c>
      <c r="K1141" s="516" t="n">
        <v>1288364.98</v>
      </c>
      <c r="L1141" s="516">
        <f>G1141-K1141</f>
        <v/>
      </c>
    </row>
    <row r="1142">
      <c r="B1142" s="1" t="n">
        <v>7</v>
      </c>
      <c r="C1142" s="24" t="n">
        <v>44805</v>
      </c>
      <c r="D1142" s="24" t="n">
        <v>44834</v>
      </c>
      <c r="E1142" s="25">
        <f>D1142-C1142+1</f>
        <v/>
      </c>
      <c r="F1142" s="319">
        <f>J1141</f>
        <v/>
      </c>
      <c r="G1142" s="319">
        <f>-PMT($D$1127/$D$1129,21,$F$1139,,0)</f>
        <v/>
      </c>
      <c r="H1142" s="319">
        <f>$D$1127/$D$1129*F1142</f>
        <v/>
      </c>
      <c r="I1142" s="319">
        <f>G1142-H1142</f>
        <v/>
      </c>
      <c r="J1142" s="319">
        <f>F1142-I1142</f>
        <v/>
      </c>
      <c r="K1142" s="516" t="n">
        <v>1289000</v>
      </c>
      <c r="L1142" s="516">
        <f>G1142-K1142</f>
        <v/>
      </c>
    </row>
    <row r="1143">
      <c r="B1143" s="1" t="n">
        <v>8</v>
      </c>
      <c r="C1143" s="24" t="n">
        <v>44835</v>
      </c>
      <c r="D1143" s="24" t="n">
        <v>44865</v>
      </c>
      <c r="E1143" s="25">
        <f>D1143-C1143+1</f>
        <v/>
      </c>
      <c r="F1143" s="319">
        <f>J1142</f>
        <v/>
      </c>
      <c r="G1143" s="319">
        <f>-PMT($D$1127/$D$1129,21,$F$1139,,0)</f>
        <v/>
      </c>
      <c r="H1143" s="319">
        <f>$D$1127/$D$1129*F1143</f>
        <v/>
      </c>
      <c r="I1143" s="319">
        <f>G1143-H1143</f>
        <v/>
      </c>
      <c r="J1143" s="319">
        <f>F1143-I1143</f>
        <v/>
      </c>
      <c r="K1143" s="516" t="n">
        <v>1289000</v>
      </c>
      <c r="L1143" s="516">
        <f>G1143-K1143</f>
        <v/>
      </c>
    </row>
    <row r="1144">
      <c r="B1144" s="1" t="n">
        <v>9</v>
      </c>
      <c r="C1144" s="24" t="n">
        <v>44866</v>
      </c>
      <c r="D1144" s="24" t="n">
        <v>44895</v>
      </c>
      <c r="E1144" s="25">
        <f>D1144-C1144+1</f>
        <v/>
      </c>
      <c r="F1144" s="319">
        <f>J1143</f>
        <v/>
      </c>
      <c r="G1144" s="319">
        <f>-PMT($D$1127/$D$1129,21,$F$1139,,0)</f>
        <v/>
      </c>
      <c r="H1144" s="319">
        <f>$D$1127/$D$1129*F1144</f>
        <v/>
      </c>
      <c r="I1144" s="319">
        <f>G1144-H1144</f>
        <v/>
      </c>
      <c r="J1144" s="319">
        <f>F1144-I1144</f>
        <v/>
      </c>
      <c r="K1144" s="516" t="n">
        <v>1289000</v>
      </c>
      <c r="L1144" s="516">
        <f>L1143+G1144-K1144</f>
        <v/>
      </c>
    </row>
    <row r="1145">
      <c r="B1145" s="1" t="n">
        <v>10</v>
      </c>
      <c r="C1145" s="24" t="n">
        <v>44896</v>
      </c>
      <c r="D1145" s="24" t="n">
        <v>44926</v>
      </c>
      <c r="E1145" s="25">
        <f>D1145-C1145+1</f>
        <v/>
      </c>
      <c r="F1145" s="319">
        <f>J1144</f>
        <v/>
      </c>
      <c r="G1145" s="319">
        <f>-PMT($D$1127/$D$1129,21,$F$1139,,0)</f>
        <v/>
      </c>
      <c r="H1145" s="319">
        <f>$D$1127/$D$1129*F1145</f>
        <v/>
      </c>
      <c r="I1145" s="319">
        <f>G1145-H1145</f>
        <v/>
      </c>
      <c r="J1145" s="319">
        <f>F1145-I1145</f>
        <v/>
      </c>
      <c r="K1145" s="516" t="n"/>
      <c r="L1145" s="516">
        <f>L1144+G1145-K1145</f>
        <v/>
      </c>
    </row>
    <row r="1146">
      <c r="B1146" s="1" t="n">
        <v>11</v>
      </c>
      <c r="C1146" s="24" t="n">
        <v>44927</v>
      </c>
      <c r="D1146" s="24" t="n">
        <v>44957</v>
      </c>
      <c r="E1146" s="25">
        <f>D1146-C1146+1</f>
        <v/>
      </c>
      <c r="F1146" s="319">
        <f>J1145</f>
        <v/>
      </c>
      <c r="G1146" s="319">
        <f>-PMT($D$1127/$D$1129,21,$F$1139,,0)</f>
        <v/>
      </c>
      <c r="H1146" s="319">
        <f>$D$1127/$D$1129*F1146</f>
        <v/>
      </c>
      <c r="I1146" s="319">
        <f>G1146-H1146</f>
        <v/>
      </c>
      <c r="J1146" s="319">
        <f>F1146-I1146</f>
        <v/>
      </c>
      <c r="K1146" s="516" t="n">
        <v>1300000</v>
      </c>
      <c r="L1146" s="516">
        <f>L1145+G1146-K1146</f>
        <v/>
      </c>
    </row>
    <row r="1147">
      <c r="B1147" s="1" t="n">
        <v>12</v>
      </c>
      <c r="C1147" s="24" t="n">
        <v>44958</v>
      </c>
      <c r="D1147" s="24" t="n">
        <v>44985</v>
      </c>
      <c r="E1147" s="25">
        <f>D1147-C1147+1</f>
        <v/>
      </c>
      <c r="F1147" s="319">
        <f>J1146</f>
        <v/>
      </c>
      <c r="G1147" s="319">
        <f>-PMT($D$1127/$D$1129,21,$F$1139,,0)</f>
        <v/>
      </c>
      <c r="H1147" s="319">
        <f>$D$1127/$D$1129*F1147</f>
        <v/>
      </c>
      <c r="I1147" s="319">
        <f>G1147-H1147</f>
        <v/>
      </c>
      <c r="J1147" s="319">
        <f>F1147-I1147</f>
        <v/>
      </c>
      <c r="K1147" s="516">
        <f>17032000+185653.47</f>
        <v/>
      </c>
      <c r="L1147" s="516" t="inlineStr">
        <is>
          <t>FULLY REPAID</t>
        </is>
      </c>
    </row>
    <row r="1148">
      <c r="B1148" s="1" t="n">
        <v>13</v>
      </c>
      <c r="C1148" s="24" t="n">
        <v>44986</v>
      </c>
      <c r="D1148" s="24" t="n">
        <v>45016</v>
      </c>
      <c r="E1148" s="25">
        <f>D1148-C1148+1</f>
        <v/>
      </c>
      <c r="F1148" s="319">
        <f>J1147</f>
        <v/>
      </c>
      <c r="G1148" s="319">
        <f>-PMT($D$1127/$D$1129,21,$F$1139,,0)</f>
        <v/>
      </c>
      <c r="H1148" s="319">
        <f>$D$1127/$D$1129*F1148</f>
        <v/>
      </c>
      <c r="I1148" s="319">
        <f>G1148-H1148</f>
        <v/>
      </c>
      <c r="J1148" s="319">
        <f>F1148-I1148</f>
        <v/>
      </c>
      <c r="K1148" s="516" t="n"/>
      <c r="L1148" s="516" t="n"/>
    </row>
    <row r="1149">
      <c r="B1149" s="1" t="n">
        <v>14</v>
      </c>
      <c r="C1149" s="24" t="n">
        <v>45017</v>
      </c>
      <c r="D1149" s="24" t="n">
        <v>45046</v>
      </c>
      <c r="E1149" s="25">
        <f>D1149-C1149+1</f>
        <v/>
      </c>
      <c r="F1149" s="319">
        <f>J1148</f>
        <v/>
      </c>
      <c r="G1149" s="319">
        <f>-PMT($D$1127/$D$1129,21,$F$1139,,0)</f>
        <v/>
      </c>
      <c r="H1149" s="319">
        <f>$D$1127/$D$1129*F1149</f>
        <v/>
      </c>
      <c r="I1149" s="319">
        <f>G1149-H1149</f>
        <v/>
      </c>
      <c r="J1149" s="319">
        <f>F1149-I1149</f>
        <v/>
      </c>
      <c r="K1149" s="516" t="n"/>
      <c r="L1149" s="516" t="n"/>
    </row>
    <row r="1150">
      <c r="B1150" s="1" t="n">
        <v>15</v>
      </c>
      <c r="C1150" s="24" t="n">
        <v>45047</v>
      </c>
      <c r="D1150" s="24" t="n">
        <v>45077</v>
      </c>
      <c r="E1150" s="25">
        <f>D1150-C1150+1</f>
        <v/>
      </c>
      <c r="F1150" s="319">
        <f>J1149</f>
        <v/>
      </c>
      <c r="G1150" s="319">
        <f>-PMT($D$1127/$D$1129,21,$F$1139,,0)</f>
        <v/>
      </c>
      <c r="H1150" s="319">
        <f>$D$1127/$D$1129*F1150</f>
        <v/>
      </c>
      <c r="I1150" s="319">
        <f>G1150-H1150</f>
        <v/>
      </c>
      <c r="J1150" s="319">
        <f>F1150-I1150</f>
        <v/>
      </c>
      <c r="K1150" s="516" t="n"/>
      <c r="L1150" s="516" t="n"/>
    </row>
    <row r="1151">
      <c r="B1151" s="1" t="n">
        <v>16</v>
      </c>
      <c r="C1151" s="24" t="n">
        <v>45078</v>
      </c>
      <c r="D1151" s="24" t="n">
        <v>45107</v>
      </c>
      <c r="E1151" s="25">
        <f>D1151-C1151+1</f>
        <v/>
      </c>
      <c r="F1151" s="319">
        <f>J1150</f>
        <v/>
      </c>
      <c r="G1151" s="319">
        <f>-PMT($D$1127/$D$1129,21,$F$1139,,0)</f>
        <v/>
      </c>
      <c r="H1151" s="319">
        <f>$D$1127/$D$1129*F1151</f>
        <v/>
      </c>
      <c r="I1151" s="319">
        <f>G1151-H1151</f>
        <v/>
      </c>
      <c r="J1151" s="319">
        <f>F1151-I1151</f>
        <v/>
      </c>
      <c r="K1151" s="516" t="n"/>
      <c r="L1151" s="516" t="n"/>
    </row>
    <row r="1152">
      <c r="B1152" s="1" t="n">
        <v>17</v>
      </c>
      <c r="C1152" s="24" t="n">
        <v>45108</v>
      </c>
      <c r="D1152" s="24" t="n">
        <v>45138</v>
      </c>
      <c r="E1152" s="25">
        <f>D1152-C1152+1</f>
        <v/>
      </c>
      <c r="F1152" s="319">
        <f>J1151</f>
        <v/>
      </c>
      <c r="G1152" s="319">
        <f>-PMT($D$1127/$D$1129,21,$F$1139,,0)</f>
        <v/>
      </c>
      <c r="H1152" s="319">
        <f>$D$1127/$D$1129*F1152</f>
        <v/>
      </c>
      <c r="I1152" s="319">
        <f>G1152-H1152</f>
        <v/>
      </c>
      <c r="J1152" s="319">
        <f>F1152-I1152</f>
        <v/>
      </c>
      <c r="K1152" s="516" t="n"/>
      <c r="L1152" s="516" t="n"/>
    </row>
    <row r="1153">
      <c r="B1153" s="1" t="n">
        <v>18</v>
      </c>
      <c r="C1153" s="24" t="n">
        <v>45139</v>
      </c>
      <c r="D1153" s="24" t="n">
        <v>45169</v>
      </c>
      <c r="E1153" s="25">
        <f>D1153-C1153+1</f>
        <v/>
      </c>
      <c r="F1153" s="319">
        <f>J1152</f>
        <v/>
      </c>
      <c r="G1153" s="319">
        <f>-PMT($D$1127/$D$1129,21,$F$1139,,0)</f>
        <v/>
      </c>
      <c r="H1153" s="319">
        <f>$D$1127/$D$1129*F1153</f>
        <v/>
      </c>
      <c r="I1153" s="319">
        <f>G1153-H1153</f>
        <v/>
      </c>
      <c r="J1153" s="319">
        <f>F1153-I1153</f>
        <v/>
      </c>
      <c r="K1153" s="516" t="n"/>
      <c r="L1153" s="516" t="n"/>
    </row>
    <row r="1154">
      <c r="B1154" s="1" t="n">
        <v>19</v>
      </c>
      <c r="C1154" s="24" t="n">
        <v>45170</v>
      </c>
      <c r="D1154" s="24" t="n">
        <v>45199</v>
      </c>
      <c r="E1154" s="25">
        <f>D1154-C1154+1</f>
        <v/>
      </c>
      <c r="F1154" s="319">
        <f>J1153</f>
        <v/>
      </c>
      <c r="G1154" s="319">
        <f>-PMT($D$1127/$D$1129,21,$F$1139,,0)</f>
        <v/>
      </c>
      <c r="H1154" s="319">
        <f>$D$1127/$D$1129*F1154</f>
        <v/>
      </c>
      <c r="I1154" s="319">
        <f>G1154-H1154</f>
        <v/>
      </c>
      <c r="J1154" s="319">
        <f>F1154-I1154</f>
        <v/>
      </c>
      <c r="K1154" s="516" t="n"/>
      <c r="L1154" s="516" t="n"/>
    </row>
    <row r="1155">
      <c r="B1155" s="1" t="n">
        <v>20</v>
      </c>
      <c r="C1155" s="24" t="n">
        <v>45200</v>
      </c>
      <c r="D1155" s="24" t="n">
        <v>45230</v>
      </c>
      <c r="E1155" s="25">
        <f>D1155-C1155+1</f>
        <v/>
      </c>
      <c r="F1155" s="319">
        <f>J1154</f>
        <v/>
      </c>
      <c r="G1155" s="319">
        <f>-PMT($D$1127/$D$1129,21,$F$1139,,0)</f>
        <v/>
      </c>
      <c r="H1155" s="319">
        <f>$D$1127/$D$1129*F1155</f>
        <v/>
      </c>
      <c r="I1155" s="319">
        <f>G1155-H1155</f>
        <v/>
      </c>
      <c r="J1155" s="319">
        <f>F1155-I1155</f>
        <v/>
      </c>
      <c r="K1155" s="516" t="n"/>
      <c r="L1155" s="516" t="n"/>
    </row>
    <row r="1156">
      <c r="B1156" s="1" t="n">
        <v>21</v>
      </c>
      <c r="C1156" s="24" t="n">
        <v>45231</v>
      </c>
      <c r="D1156" s="24" t="n">
        <v>45260</v>
      </c>
      <c r="E1156" s="25">
        <f>D1156-C1156+1</f>
        <v/>
      </c>
      <c r="F1156" s="319">
        <f>J1155</f>
        <v/>
      </c>
      <c r="G1156" s="319">
        <f>-PMT($D$1127/$D$1129,21,$F$1139,,0)</f>
        <v/>
      </c>
      <c r="H1156" s="319">
        <f>$D$1127/$D$1129*F1156</f>
        <v/>
      </c>
      <c r="I1156" s="319">
        <f>G1156-H1156</f>
        <v/>
      </c>
      <c r="J1156" s="319">
        <f>F1156-I1156</f>
        <v/>
      </c>
      <c r="K1156" s="516" t="n"/>
      <c r="L1156" s="516" t="n"/>
    </row>
    <row r="1157">
      <c r="B1157" s="1" t="n">
        <v>22</v>
      </c>
      <c r="C1157" s="24" t="n">
        <v>45261</v>
      </c>
      <c r="D1157" s="24" t="n">
        <v>45291</v>
      </c>
      <c r="E1157" s="25">
        <f>D1157-C1157+1</f>
        <v/>
      </c>
      <c r="F1157" s="319">
        <f>J1156</f>
        <v/>
      </c>
      <c r="G1157" s="319">
        <f>-PMT($D$1127/$D$1129,21,$F$1139,,0)</f>
        <v/>
      </c>
      <c r="H1157" s="319">
        <f>$D$1127/$D$1129*F1157</f>
        <v/>
      </c>
      <c r="I1157" s="319">
        <f>G1157-H1157</f>
        <v/>
      </c>
      <c r="J1157" s="319">
        <f>F1157-I1157</f>
        <v/>
      </c>
      <c r="K1157" s="516" t="n"/>
      <c r="L1157" s="516" t="n"/>
    </row>
    <row r="1158">
      <c r="B1158" s="1" t="n">
        <v>23</v>
      </c>
      <c r="C1158" s="24" t="n">
        <v>45292</v>
      </c>
      <c r="D1158" s="24" t="n">
        <v>45322</v>
      </c>
      <c r="E1158" s="25">
        <f>D1158-C1158+1</f>
        <v/>
      </c>
      <c r="F1158" s="319">
        <f>J1157</f>
        <v/>
      </c>
      <c r="G1158" s="319">
        <f>-PMT($D$1127/$D$1129,21,$F$1139,,0)</f>
        <v/>
      </c>
      <c r="H1158" s="319">
        <f>$D$1127/$D$1129*F1158</f>
        <v/>
      </c>
      <c r="I1158" s="319">
        <f>G1158-H1158</f>
        <v/>
      </c>
      <c r="J1158" s="319">
        <f>F1158-I1158</f>
        <v/>
      </c>
      <c r="K1158" s="516" t="n"/>
      <c r="L1158" s="516" t="n"/>
    </row>
    <row r="1159">
      <c r="B1159" s="1" t="n">
        <v>24</v>
      </c>
      <c r="C1159" s="24" t="n">
        <v>45323</v>
      </c>
      <c r="D1159" s="24" t="n">
        <v>45350</v>
      </c>
      <c r="E1159" s="25">
        <f>D1159-C1159+1</f>
        <v/>
      </c>
      <c r="F1159" s="319">
        <f>J1158</f>
        <v/>
      </c>
      <c r="G1159" s="319">
        <f>-PMT($D$1127/$D$1129,21,$F$1139,,0)</f>
        <v/>
      </c>
      <c r="H1159" s="319">
        <f>$D$1127/$D$1129*F1159</f>
        <v/>
      </c>
      <c r="I1159" s="319">
        <f>G1159-H1159</f>
        <v/>
      </c>
      <c r="J1159" s="319">
        <f>F1159-I1159</f>
        <v/>
      </c>
      <c r="K1159" s="516" t="n"/>
      <c r="L1159" s="516" t="n"/>
    </row>
    <row r="1160" ht="14.25" customHeight="1">
      <c r="B1160" s="1" t="n"/>
      <c r="C1160" s="1" t="n"/>
      <c r="D1160" s="1" t="n"/>
      <c r="E1160" s="30">
        <f>SUM(E1135:E1159)</f>
        <v/>
      </c>
      <c r="F1160" s="319" t="n"/>
      <c r="G1160" s="319" t="n"/>
      <c r="H1160" s="319" t="n"/>
      <c r="I1160" s="319" t="n"/>
      <c r="J1160" s="319" t="n"/>
      <c r="K1160" s="1" t="n"/>
      <c r="L1160" s="1" t="n"/>
    </row>
    <row r="1164">
      <c r="B1164" s="1" t="n"/>
      <c r="C1164" s="9" t="inlineStr">
        <is>
          <t>Kayola Processors</t>
        </is>
      </c>
      <c r="D1164" s="319" t="n"/>
      <c r="E1164" s="319" t="n"/>
      <c r="F1164" s="319" t="n"/>
      <c r="G1164" s="319" t="n"/>
      <c r="H1164" s="319" t="n"/>
      <c r="I1164" s="319" t="n"/>
      <c r="J1164" s="319" t="n"/>
      <c r="K1164" s="319" t="n"/>
      <c r="L1164" s="319" t="n"/>
      <c r="R1164" s="514" t="inlineStr">
        <is>
          <t>E-Banker account (Dupleix)</t>
        </is>
      </c>
      <c r="S1164" s="495">
        <f>IFERROR(INDEX('Blocks'!$I$2:$I$101,MATCH(21,'Blocks'!$A$2:$A$101,0)),"")</f>
        <v/>
      </c>
    </row>
    <row r="1165">
      <c r="B1165" s="1" t="n"/>
      <c r="C1165" s="1" t="n"/>
      <c r="D1165" s="319" t="n"/>
      <c r="E1165" s="319" t="n"/>
      <c r="F1165" s="319" t="n"/>
      <c r="G1165" s="319" t="n"/>
      <c r="H1165" s="319" t="n"/>
      <c r="I1165" s="319" t="n"/>
      <c r="J1165" s="319" t="n"/>
      <c r="K1165" s="319" t="n"/>
      <c r="L1165" s="319" t="n"/>
      <c r="R1165" s="514" t="inlineStr">
        <is>
          <t>Facility (Loan Book)</t>
        </is>
      </c>
      <c r="S1165" s="495">
        <f>IFERROR(INDEX('Blocks'!$H$2:$H$101,MATCH(21,'Blocks'!$A$2:$A$101,0)),"")</f>
        <v/>
      </c>
    </row>
    <row r="1166">
      <c r="B1166" s="1" t="n"/>
      <c r="C1166" s="10" t="inlineStr">
        <is>
          <t>Principal (MK)</t>
        </is>
      </c>
      <c r="D1166" s="11" t="n">
        <v>20400000</v>
      </c>
      <c r="E1166" s="319" t="n"/>
      <c r="F1166" s="319" t="n"/>
      <c r="G1166" s="319" t="n"/>
      <c r="H1166" s="319" t="n"/>
      <c r="I1166" s="319" t="n"/>
      <c r="J1166" s="319" t="n"/>
      <c r="K1166" s="319" t="n"/>
      <c r="L1166" s="319" t="n"/>
      <c r="R1166" s="514" t="inlineStr">
        <is>
          <t>Take-on posting 31 Jul 2024</t>
        </is>
      </c>
      <c r="S1166" s="496">
        <f>IFERROR(INDEX('E-Banker master'!$N$2:$N$186,MATCH(S1164,'E-Banker master'!$A$2:$A$186,0)),"")</f>
        <v/>
      </c>
    </row>
    <row r="1167">
      <c r="B1167" s="1" t="n"/>
      <c r="C1167" s="13" t="inlineStr">
        <is>
          <t>Rate</t>
        </is>
      </c>
      <c r="D1167" s="14" t="n">
        <v>0.1</v>
      </c>
      <c r="E1167" s="257" t="n"/>
      <c r="F1167" s="319" t="n"/>
      <c r="G1167" s="319" t="n"/>
      <c r="H1167" s="319" t="n"/>
      <c r="I1167" s="319" t="n"/>
      <c r="J1167" s="319" t="n"/>
      <c r="K1167" s="319" t="n"/>
      <c r="L1167" s="319" t="n"/>
      <c r="R1167" s="514" t="inlineStr">
        <is>
          <t>E-Banker balance 31 Oct 2024</t>
        </is>
      </c>
      <c r="S1167" s="496">
        <f>IFERROR(INDEX('E-Banker master'!$P$2:$P$186,MATCH(S1164,'E-Banker master'!$A$2:$A$186,0)),"")</f>
        <v/>
      </c>
    </row>
    <row r="1168">
      <c r="B1168" s="1" t="n"/>
      <c r="C1168" s="13" t="inlineStr">
        <is>
          <t>n</t>
        </is>
      </c>
      <c r="D1168" s="16" t="n">
        <v>2</v>
      </c>
      <c r="E1168" s="1" t="n"/>
      <c r="F1168" s="319" t="n"/>
      <c r="G1168" s="319" t="n"/>
      <c r="H1168" s="319" t="n"/>
      <c r="I1168" s="319" t="n"/>
      <c r="J1168" s="319" t="n"/>
      <c r="K1168" s="1" t="n"/>
      <c r="L1168" s="1" t="n"/>
    </row>
    <row r="1169">
      <c r="B1169" s="1" t="n"/>
      <c r="C1169" s="13" t="inlineStr">
        <is>
          <t>Per</t>
        </is>
      </c>
      <c r="D1169" s="16" t="n">
        <v>12</v>
      </c>
      <c r="E1169" s="1" t="n"/>
      <c r="F1169" s="319" t="n"/>
      <c r="G1169" s="319" t="n"/>
      <c r="H1169" s="319" t="n"/>
      <c r="I1169" s="319" t="n"/>
      <c r="J1169" s="319" t="n"/>
      <c r="K1169" s="1" t="n"/>
      <c r="L1169" s="1" t="n"/>
    </row>
    <row r="1170">
      <c r="B1170" s="1" t="n"/>
      <c r="C1170" s="13" t="inlineStr">
        <is>
          <t>nPer</t>
        </is>
      </c>
      <c r="D1170" s="515">
        <f>D1168*D1169</f>
        <v/>
      </c>
      <c r="E1170" s="1" t="n"/>
      <c r="F1170" s="319" t="n"/>
      <c r="G1170" s="319" t="n"/>
      <c r="H1170" s="319" t="n"/>
      <c r="I1170" s="319" t="n"/>
      <c r="J1170" s="319" t="n"/>
      <c r="K1170" s="1" t="n"/>
      <c r="L1170" s="1" t="n"/>
    </row>
    <row r="1171">
      <c r="B1171" s="1" t="n"/>
      <c r="C1171" s="13" t="inlineStr">
        <is>
          <t>Days in a year</t>
        </is>
      </c>
      <c r="D1171" s="18" t="n">
        <v>365</v>
      </c>
      <c r="E1171" s="1" t="n"/>
      <c r="F1171" s="319" t="n"/>
      <c r="G1171" s="319" t="n"/>
      <c r="H1171" s="319" t="n"/>
      <c r="I1171" s="319" t="n"/>
      <c r="J1171" s="319" t="n"/>
      <c r="K1171" s="1" t="n"/>
      <c r="L1171" s="1" t="n"/>
    </row>
    <row r="1172">
      <c r="B1172" s="1" t="n"/>
      <c r="C1172" s="19" t="inlineStr">
        <is>
          <t>Pmt (MK)</t>
        </is>
      </c>
      <c r="D1172" s="20">
        <f>-PMT(D1167/D1169,D1170,D1166,0,0)</f>
        <v/>
      </c>
      <c r="E1172" s="319" t="n"/>
      <c r="F1172" s="319" t="n"/>
      <c r="G1172" s="319" t="n"/>
      <c r="H1172" s="319" t="n"/>
      <c r="I1172" s="319" t="n"/>
      <c r="J1172" s="319" t="n"/>
      <c r="K1172" s="1" t="n"/>
      <c r="L1172" s="1" t="n"/>
    </row>
    <row r="1173">
      <c r="B1173" s="1" t="n"/>
      <c r="C1173" s="1" t="n"/>
      <c r="D1173" s="319" t="n"/>
      <c r="E1173" s="319" t="n"/>
      <c r="F1173" s="319" t="n"/>
      <c r="G1173" s="319" t="n"/>
      <c r="H1173" s="319" t="n"/>
      <c r="I1173" s="319" t="n"/>
      <c r="J1173" s="319" t="n"/>
      <c r="K1173" s="1" t="n"/>
      <c r="L1173" s="1" t="n"/>
    </row>
    <row r="1174">
      <c r="B1174" s="1" t="n"/>
      <c r="C1174" s="21" t="inlineStr">
        <is>
          <t>Period Start</t>
        </is>
      </c>
      <c r="D1174" s="22" t="inlineStr">
        <is>
          <t>Period End</t>
        </is>
      </c>
      <c r="E1174" s="22" t="inlineStr">
        <is>
          <t>Days</t>
        </is>
      </c>
      <c r="F1174" s="294" t="inlineStr">
        <is>
          <t>Opening bal.</t>
        </is>
      </c>
      <c r="G1174" s="294" t="inlineStr">
        <is>
          <t>Pmt</t>
        </is>
      </c>
      <c r="H1174" s="294" t="inlineStr">
        <is>
          <t>Interest</t>
        </is>
      </c>
      <c r="I1174" s="294" t="inlineStr">
        <is>
          <t>Principal</t>
        </is>
      </c>
      <c r="J1174" s="294" t="inlineStr">
        <is>
          <t>Closing balance</t>
        </is>
      </c>
      <c r="K1174" s="23" t="inlineStr">
        <is>
          <t>Amount Repaid</t>
        </is>
      </c>
      <c r="L1174" s="23" t="inlineStr">
        <is>
          <t>Accumulated Arrears</t>
        </is>
      </c>
    </row>
    <row r="1175">
      <c r="B1175" s="1" t="n">
        <v>0</v>
      </c>
      <c r="C1175" s="24" t="n">
        <v>44609</v>
      </c>
      <c r="D1175" s="24" t="n">
        <v>44620</v>
      </c>
      <c r="E1175" s="25">
        <f>D1175-C1175+1</f>
        <v/>
      </c>
      <c r="F1175" s="319">
        <f>D1166</f>
        <v/>
      </c>
      <c r="G1175" s="319" t="n"/>
      <c r="H1175" s="319">
        <f>F1175*E1175*D1167/D1171</f>
        <v/>
      </c>
      <c r="I1175" s="319">
        <f>G1175-H1175</f>
        <v/>
      </c>
      <c r="J1175" s="319">
        <f>F1175-I1175</f>
        <v/>
      </c>
      <c r="K1175" s="516" t="n"/>
      <c r="L1175" s="516" t="n"/>
    </row>
    <row r="1176">
      <c r="B1176" s="1" t="n">
        <v>1</v>
      </c>
      <c r="C1176" s="24" t="n">
        <v>44621</v>
      </c>
      <c r="D1176" s="24" t="n">
        <v>44651</v>
      </c>
      <c r="E1176" s="25">
        <f>D1176-C1176+1</f>
        <v/>
      </c>
      <c r="F1176" s="319">
        <f>J1175</f>
        <v/>
      </c>
      <c r="G1176" s="319" t="n"/>
      <c r="H1176" s="319">
        <f>$D$1167/$D$1169*F1176</f>
        <v/>
      </c>
      <c r="I1176" s="319">
        <f>G1176-H1176</f>
        <v/>
      </c>
      <c r="J1176" s="319">
        <f>F1176-I1176</f>
        <v/>
      </c>
      <c r="K1176" s="516" t="n"/>
      <c r="L1176" s="516" t="n"/>
    </row>
    <row r="1177">
      <c r="B1177" s="1" t="n">
        <v>2</v>
      </c>
      <c r="C1177" s="24" t="n">
        <v>44652</v>
      </c>
      <c r="D1177" s="24" t="n">
        <v>44681</v>
      </c>
      <c r="E1177" s="25">
        <f>D1177-C1177+1</f>
        <v/>
      </c>
      <c r="F1177" s="319">
        <f>J1176</f>
        <v/>
      </c>
      <c r="G1177" s="319" t="n"/>
      <c r="H1177" s="319">
        <f>$D$1167/$D$1169*F1177</f>
        <v/>
      </c>
      <c r="I1177" s="319">
        <f>G1177-H1177</f>
        <v/>
      </c>
      <c r="J1177" s="319">
        <f>F1177-I1177</f>
        <v/>
      </c>
      <c r="K1177" s="516" t="n"/>
      <c r="L1177" s="516" t="n"/>
    </row>
    <row r="1178">
      <c r="B1178" s="1" t="n">
        <v>3</v>
      </c>
      <c r="C1178" s="24" t="n">
        <v>44682</v>
      </c>
      <c r="D1178" s="24" t="n">
        <v>44712</v>
      </c>
      <c r="E1178" s="25">
        <f>D1178-C1178+1</f>
        <v/>
      </c>
      <c r="F1178" s="319">
        <f>J1177</f>
        <v/>
      </c>
      <c r="G1178" s="319" t="n"/>
      <c r="H1178" s="319">
        <f>$D$1167/$D$1169*F1178</f>
        <v/>
      </c>
      <c r="I1178" s="319">
        <f>G1178-H1178</f>
        <v/>
      </c>
      <c r="J1178" s="319">
        <f>F1178-I1178</f>
        <v/>
      </c>
      <c r="K1178" s="516" t="n">
        <v>1093316.44</v>
      </c>
      <c r="L1178" s="7" t="n">
        <v>0</v>
      </c>
    </row>
    <row r="1179">
      <c r="B1179" s="1" t="n">
        <v>4</v>
      </c>
      <c r="C1179" s="24" t="n">
        <v>44713</v>
      </c>
      <c r="D1179" s="24" t="n">
        <v>44742</v>
      </c>
      <c r="E1179" s="25">
        <f>D1179-C1179+1</f>
        <v/>
      </c>
      <c r="F1179" s="319">
        <f>J1178</f>
        <v/>
      </c>
      <c r="G1179" s="319">
        <f>-PMT($D$1167/$D$1169,21,$F$1179,,0)</f>
        <v/>
      </c>
      <c r="H1179" s="319">
        <f>$D$1167/$D$1169*F1179</f>
        <v/>
      </c>
      <c r="I1179" s="319">
        <f>G1179-H1179</f>
        <v/>
      </c>
      <c r="J1179" s="319">
        <f>F1179-I1179</f>
        <v/>
      </c>
      <c r="K1179" s="516" t="n">
        <v>1093316.44</v>
      </c>
      <c r="L1179" s="516">
        <f>G1179-K1178</f>
        <v/>
      </c>
    </row>
    <row r="1180">
      <c r="B1180" s="1" t="n">
        <v>5</v>
      </c>
      <c r="C1180" s="24" t="n">
        <v>44743</v>
      </c>
      <c r="D1180" s="24" t="n">
        <v>44773</v>
      </c>
      <c r="E1180" s="25">
        <f>D1180-C1180+1</f>
        <v/>
      </c>
      <c r="F1180" s="319">
        <f>J1179</f>
        <v/>
      </c>
      <c r="G1180" s="319">
        <f>-PMT($D$1167/$D$1169,21,$F$1179,,0)</f>
        <v/>
      </c>
      <c r="H1180" s="319">
        <f>$D$1167/$D$1169*F1180</f>
        <v/>
      </c>
      <c r="I1180" s="319">
        <f>G1180-H1180</f>
        <v/>
      </c>
      <c r="J1180" s="319">
        <f>F1180-I1180</f>
        <v/>
      </c>
      <c r="K1180" s="516" t="n">
        <v>1093316</v>
      </c>
      <c r="L1180" s="516">
        <f>G1180-K1179</f>
        <v/>
      </c>
    </row>
    <row r="1181">
      <c r="B1181" s="1" t="n">
        <v>6</v>
      </c>
      <c r="C1181" s="24" t="n">
        <v>44774</v>
      </c>
      <c r="D1181" s="24" t="n">
        <v>44804</v>
      </c>
      <c r="E1181" s="25">
        <f>D1181-C1181+1</f>
        <v/>
      </c>
      <c r="F1181" s="319">
        <f>J1180</f>
        <v/>
      </c>
      <c r="G1181" s="319">
        <f>-PMT($D$1167/$D$1169,21,$F$1179,,0)</f>
        <v/>
      </c>
      <c r="H1181" s="319">
        <f>$D$1167/$D$1169*F1181</f>
        <v/>
      </c>
      <c r="I1181" s="319">
        <f>G1181-H1181</f>
        <v/>
      </c>
      <c r="J1181" s="319">
        <f>F1181-I1181</f>
        <v/>
      </c>
      <c r="K1181" s="516" t="n">
        <v>1093316</v>
      </c>
      <c r="L1181" s="516">
        <f>G1181-K1180</f>
        <v/>
      </c>
    </row>
    <row r="1182">
      <c r="B1182" s="1" t="n">
        <v>7</v>
      </c>
      <c r="C1182" s="24" t="n">
        <v>44805</v>
      </c>
      <c r="D1182" s="24" t="n">
        <v>44834</v>
      </c>
      <c r="E1182" s="25">
        <f>D1182-C1182+1</f>
        <v/>
      </c>
      <c r="F1182" s="319">
        <f>J1181</f>
        <v/>
      </c>
      <c r="G1182" s="319">
        <f>-PMT($D$1167/$D$1169,21,$F$1179,,0)</f>
        <v/>
      </c>
      <c r="H1182" s="319">
        <f>$D$1167/$D$1169*F1182</f>
        <v/>
      </c>
      <c r="I1182" s="319">
        <f>G1182-H1182</f>
        <v/>
      </c>
      <c r="J1182" s="319">
        <f>F1182-I1182</f>
        <v/>
      </c>
      <c r="K1182" s="516" t="n">
        <v>1093317</v>
      </c>
      <c r="L1182" s="519">
        <f>G1182-K1181</f>
        <v/>
      </c>
    </row>
    <row r="1183">
      <c r="B1183" s="1" t="n">
        <v>8</v>
      </c>
      <c r="C1183" s="24" t="n">
        <v>44835</v>
      </c>
      <c r="D1183" s="24" t="n">
        <v>44865</v>
      </c>
      <c r="E1183" s="25">
        <f>D1183-C1183+1</f>
        <v/>
      </c>
      <c r="F1183" s="319">
        <f>J1182</f>
        <v/>
      </c>
      <c r="G1183" s="319">
        <f>-PMT($D$1167/$D$1169,21,$F$1179,,0)</f>
        <v/>
      </c>
      <c r="H1183" s="319">
        <f>$D$1167/$D$1169*F1183</f>
        <v/>
      </c>
      <c r="I1183" s="319">
        <f>G1183-H1183</f>
        <v/>
      </c>
      <c r="J1183" s="319">
        <f>F1183-I1183</f>
        <v/>
      </c>
      <c r="K1183" s="516" t="n"/>
      <c r="L1183" s="516">
        <f>G1183-K1182</f>
        <v/>
      </c>
    </row>
    <row r="1184">
      <c r="B1184" s="1" t="n">
        <v>9</v>
      </c>
      <c r="C1184" s="24" t="n">
        <v>44866</v>
      </c>
      <c r="D1184" s="24" t="n">
        <v>44895</v>
      </c>
      <c r="E1184" s="25">
        <f>D1184-C1184+1</f>
        <v/>
      </c>
      <c r="F1184" s="319">
        <f>J1183</f>
        <v/>
      </c>
      <c r="G1184" s="319">
        <f>-PMT($D$1167/$D$1169,21,$F$1179,,0)</f>
        <v/>
      </c>
      <c r="H1184" s="319">
        <f>$D$1167/$D$1169*F1184</f>
        <v/>
      </c>
      <c r="I1184" s="319">
        <f>G1184-H1184</f>
        <v/>
      </c>
      <c r="J1184" s="319">
        <f>F1184-I1184</f>
        <v/>
      </c>
      <c r="K1184" s="516">
        <f>500000+200000+200000</f>
        <v/>
      </c>
      <c r="L1184" s="516">
        <f>G1184-K1184</f>
        <v/>
      </c>
    </row>
    <row r="1185">
      <c r="B1185" s="1" t="n">
        <v>10</v>
      </c>
      <c r="C1185" s="24" t="n">
        <v>44896</v>
      </c>
      <c r="D1185" s="24" t="n">
        <v>44926</v>
      </c>
      <c r="E1185" s="25">
        <f>D1185-C1185+1</f>
        <v/>
      </c>
      <c r="F1185" s="319">
        <f>J1184</f>
        <v/>
      </c>
      <c r="G1185" s="319">
        <f>-PMT($D$1167/$D$1169,21,$F$1179,,0)</f>
        <v/>
      </c>
      <c r="H1185" s="319">
        <f>$D$1167/$D$1169*F1185</f>
        <v/>
      </c>
      <c r="I1185" s="319">
        <f>G1185-H1185</f>
        <v/>
      </c>
      <c r="J1185" s="319">
        <f>F1185-I1185</f>
        <v/>
      </c>
      <c r="K1185" s="516" t="n"/>
      <c r="L1185" s="516">
        <f>L1184+G1185-K1185</f>
        <v/>
      </c>
    </row>
    <row r="1186">
      <c r="B1186" s="1" t="n">
        <v>11</v>
      </c>
      <c r="C1186" s="24" t="n">
        <v>44927</v>
      </c>
      <c r="D1186" s="24" t="n">
        <v>44957</v>
      </c>
      <c r="E1186" s="25">
        <f>D1186-C1186+1</f>
        <v/>
      </c>
      <c r="F1186" s="319">
        <f>J1185</f>
        <v/>
      </c>
      <c r="G1186" s="319">
        <f>-PMT($D$1167/$D$1169,21,$F$1179,,0)</f>
        <v/>
      </c>
      <c r="H1186" s="319">
        <f>$D$1167/$D$1169*F1186</f>
        <v/>
      </c>
      <c r="I1186" s="319">
        <f>G1186-H1186</f>
        <v/>
      </c>
      <c r="J1186" s="319">
        <f>F1186-I1186</f>
        <v/>
      </c>
      <c r="K1186" s="516">
        <f>500000+200000+200000</f>
        <v/>
      </c>
      <c r="L1186" s="516">
        <f>L1185+G1186-K1186</f>
        <v/>
      </c>
    </row>
    <row r="1187">
      <c r="B1187" s="1" t="n">
        <v>12</v>
      </c>
      <c r="C1187" s="24" t="n">
        <v>44958</v>
      </c>
      <c r="D1187" s="24" t="n">
        <v>44985</v>
      </c>
      <c r="E1187" s="25">
        <f>D1187-C1187+1</f>
        <v/>
      </c>
      <c r="F1187" s="319">
        <f>J1186</f>
        <v/>
      </c>
      <c r="G1187" s="319">
        <f>-PMT($D$1167/$D$1169,21,$F$1179,,0)</f>
        <v/>
      </c>
      <c r="H1187" s="319">
        <f>$D$1167/$D$1169*F1187</f>
        <v/>
      </c>
      <c r="I1187" s="319">
        <f>G1187-H1187</f>
        <v/>
      </c>
      <c r="J1187" s="319">
        <f>F1187-I1187</f>
        <v/>
      </c>
      <c r="K1187" s="516" t="n">
        <v>200000</v>
      </c>
      <c r="L1187" s="516">
        <f>L1186+G1187-K1187</f>
        <v/>
      </c>
    </row>
    <row r="1188">
      <c r="B1188" s="1" t="n">
        <v>13</v>
      </c>
      <c r="C1188" s="24" t="n">
        <v>44986</v>
      </c>
      <c r="D1188" s="24" t="n">
        <v>45016</v>
      </c>
      <c r="E1188" s="25">
        <f>D1188-C1188+1</f>
        <v/>
      </c>
      <c r="F1188" s="319">
        <f>J1187</f>
        <v/>
      </c>
      <c r="G1188" s="319">
        <f>-PMT($D$1167/$D$1169,21,$F$1179,,0)</f>
        <v/>
      </c>
      <c r="H1188" s="319">
        <f>$D$1167/$D$1169*F1188</f>
        <v/>
      </c>
      <c r="I1188" s="319">
        <f>G1188-H1188</f>
        <v/>
      </c>
      <c r="J1188" s="319">
        <f>F1188-I1188</f>
        <v/>
      </c>
      <c r="K1188" s="516" t="n">
        <v>0</v>
      </c>
      <c r="L1188" s="516">
        <f>L1187+G1188-K1188</f>
        <v/>
      </c>
    </row>
    <row r="1189">
      <c r="B1189" s="1" t="n">
        <v>14</v>
      </c>
      <c r="C1189" s="24" t="n">
        <v>45017</v>
      </c>
      <c r="D1189" s="24" t="n">
        <v>45046</v>
      </c>
      <c r="E1189" s="25">
        <f>D1189-C1189+1</f>
        <v/>
      </c>
      <c r="F1189" s="319">
        <f>J1188</f>
        <v/>
      </c>
      <c r="G1189" s="319">
        <f>-PMT($D$1167/$D$1169,21,$F$1179,,0)</f>
        <v/>
      </c>
      <c r="H1189" s="319">
        <f>$D$1167/$D$1169*F1189</f>
        <v/>
      </c>
      <c r="I1189" s="319">
        <f>G1189-H1189</f>
        <v/>
      </c>
      <c r="J1189" s="319">
        <f>F1189-I1189</f>
        <v/>
      </c>
      <c r="K1189" s="516" t="n"/>
      <c r="L1189" s="516">
        <f>L1188+G1189-K1189</f>
        <v/>
      </c>
    </row>
    <row r="1190">
      <c r="B1190" s="1" t="n">
        <v>15</v>
      </c>
      <c r="C1190" s="24" t="n">
        <v>45047</v>
      </c>
      <c r="D1190" s="24" t="n">
        <v>45077</v>
      </c>
      <c r="E1190" s="25">
        <f>D1190-C1190+1</f>
        <v/>
      </c>
      <c r="F1190" s="319">
        <f>J1189</f>
        <v/>
      </c>
      <c r="G1190" s="319">
        <f>-PMT($D$1167/$D$1169,21,$F$1179,,0)</f>
        <v/>
      </c>
      <c r="H1190" s="319">
        <f>$D$1167/$D$1169*F1190</f>
        <v/>
      </c>
      <c r="I1190" s="319">
        <f>G1190-H1190</f>
        <v/>
      </c>
      <c r="J1190" s="319">
        <f>F1190-I1190</f>
        <v/>
      </c>
      <c r="K1190" s="516" t="n"/>
      <c r="L1190" s="516">
        <f>L1189+G1190-K1190</f>
        <v/>
      </c>
    </row>
    <row r="1191">
      <c r="B1191" s="1" t="n">
        <v>16</v>
      </c>
      <c r="C1191" s="24" t="n">
        <v>45078</v>
      </c>
      <c r="D1191" s="24" t="n">
        <v>45107</v>
      </c>
      <c r="E1191" s="25">
        <f>D1191-C1191+1</f>
        <v/>
      </c>
      <c r="F1191" s="319">
        <f>J1190</f>
        <v/>
      </c>
      <c r="G1191" s="319">
        <f>-PMT($D$1167/$D$1169,21,$F$1179,,0)</f>
        <v/>
      </c>
      <c r="H1191" s="319">
        <f>$D$1167/$D$1169*F1191</f>
        <v/>
      </c>
      <c r="I1191" s="319">
        <f>G1191-H1191</f>
        <v/>
      </c>
      <c r="J1191" s="319">
        <f>F1191-I1191</f>
        <v/>
      </c>
      <c r="K1191" s="516" t="n"/>
      <c r="L1191" s="519">
        <f>L1190+G1191-K1191</f>
        <v/>
      </c>
    </row>
    <row r="1192">
      <c r="B1192" s="1" t="n">
        <v>17</v>
      </c>
      <c r="C1192" s="24" t="n">
        <v>45108</v>
      </c>
      <c r="D1192" s="24" t="n">
        <v>45138</v>
      </c>
      <c r="E1192" s="25">
        <f>D1192-C1192+1</f>
        <v/>
      </c>
      <c r="F1192" s="319">
        <f>J1191</f>
        <v/>
      </c>
      <c r="G1192" s="319">
        <f>-PMT($D$1167/$D$1169,21,$F$1179,,0)</f>
        <v/>
      </c>
      <c r="H1192" s="319">
        <f>$D$1167/$D$1169*F1192</f>
        <v/>
      </c>
      <c r="I1192" s="319">
        <f>G1192-H1192</f>
        <v/>
      </c>
      <c r="J1192" s="319">
        <f>F1192-I1192</f>
        <v/>
      </c>
      <c r="K1192" s="516" t="n"/>
      <c r="L1192" s="519">
        <f>L1191+G1192-K1192</f>
        <v/>
      </c>
    </row>
    <row r="1193">
      <c r="B1193" s="1" t="n">
        <v>18</v>
      </c>
      <c r="C1193" s="24" t="n">
        <v>45139</v>
      </c>
      <c r="D1193" s="24" t="n">
        <v>45169</v>
      </c>
      <c r="E1193" s="25">
        <f>D1193-C1193+1</f>
        <v/>
      </c>
      <c r="F1193" s="319">
        <f>J1192</f>
        <v/>
      </c>
      <c r="G1193" s="319">
        <f>-PMT($D$1167/$D$1169,21,$F$1179,,0)</f>
        <v/>
      </c>
      <c r="H1193" s="319">
        <f>$D$1167/$D$1169*F1193</f>
        <v/>
      </c>
      <c r="I1193" s="319">
        <f>G1193-H1193</f>
        <v/>
      </c>
      <c r="J1193" s="319">
        <f>F1193-I1193</f>
        <v/>
      </c>
      <c r="K1193" s="516" t="n"/>
      <c r="L1193" s="516">
        <f>L1192+G1193-K1193</f>
        <v/>
      </c>
    </row>
    <row r="1194">
      <c r="B1194" s="1" t="n">
        <v>19</v>
      </c>
      <c r="C1194" s="24" t="n">
        <v>45170</v>
      </c>
      <c r="D1194" s="24" t="n">
        <v>45199</v>
      </c>
      <c r="E1194" s="25">
        <f>D1194-C1194+1</f>
        <v/>
      </c>
      <c r="F1194" s="319">
        <f>J1193</f>
        <v/>
      </c>
      <c r="G1194" s="319">
        <f>-PMT($D$1167/$D$1169,21,$F$1179,,0)</f>
        <v/>
      </c>
      <c r="H1194" s="319">
        <f>$D$1167/$D$1169*F1194</f>
        <v/>
      </c>
      <c r="I1194" s="319">
        <f>G1194-H1194</f>
        <v/>
      </c>
      <c r="J1194" s="319">
        <f>F1194-I1194</f>
        <v/>
      </c>
      <c r="K1194" s="516" t="n">
        <v>150000</v>
      </c>
      <c r="L1194" s="516">
        <f>L1193+G1194-K1194</f>
        <v/>
      </c>
    </row>
    <row r="1195">
      <c r="B1195" s="1" t="n">
        <v>20</v>
      </c>
      <c r="C1195" s="24" t="n">
        <v>45200</v>
      </c>
      <c r="D1195" s="24" t="n">
        <v>45230</v>
      </c>
      <c r="E1195" s="25">
        <f>D1195-C1195+1</f>
        <v/>
      </c>
      <c r="F1195" s="319">
        <f>J1194</f>
        <v/>
      </c>
      <c r="G1195" s="319">
        <f>-PMT($D$1167/$D$1169,21,$F$1179,,0)</f>
        <v/>
      </c>
      <c r="H1195" s="319">
        <f>$D$1167/$D$1169*F1195</f>
        <v/>
      </c>
      <c r="I1195" s="319">
        <f>G1195-H1195</f>
        <v/>
      </c>
      <c r="J1195" s="319">
        <f>F1195-I1195</f>
        <v/>
      </c>
      <c r="K1195" s="516" t="n"/>
      <c r="L1195" s="516">
        <f>L1194+G1195-K1195</f>
        <v/>
      </c>
    </row>
    <row r="1196">
      <c r="B1196" s="1" t="n">
        <v>21</v>
      </c>
      <c r="C1196" s="24" t="n">
        <v>45231</v>
      </c>
      <c r="D1196" s="24" t="n">
        <v>45260</v>
      </c>
      <c r="E1196" s="25">
        <f>D1196-C1196+1</f>
        <v/>
      </c>
      <c r="F1196" s="319">
        <f>J1195</f>
        <v/>
      </c>
      <c r="G1196" s="319">
        <f>-PMT($D$1167/$D$1169,21,$F$1179,,0)</f>
        <v/>
      </c>
      <c r="H1196" s="319">
        <f>$D$1167/$D$1169*F1196</f>
        <v/>
      </c>
      <c r="I1196" s="319">
        <f>G1196-H1196</f>
        <v/>
      </c>
      <c r="J1196" s="319">
        <f>F1196-I1196</f>
        <v/>
      </c>
      <c r="K1196" s="516" t="n"/>
      <c r="L1196" s="516">
        <f>L1195+G1196-K1196</f>
        <v/>
      </c>
    </row>
    <row r="1197">
      <c r="B1197" s="1" t="n">
        <v>22</v>
      </c>
      <c r="C1197" s="24" t="n">
        <v>45261</v>
      </c>
      <c r="D1197" s="24" t="n">
        <v>45291</v>
      </c>
      <c r="E1197" s="25">
        <f>D1197-C1197+1</f>
        <v/>
      </c>
      <c r="F1197" s="319">
        <f>J1196</f>
        <v/>
      </c>
      <c r="G1197" s="319">
        <f>-PMT($D$1167/$D$1169,21,$F$1179,,0)</f>
        <v/>
      </c>
      <c r="H1197" s="319">
        <f>$D$1167/$D$1169*F1197</f>
        <v/>
      </c>
      <c r="I1197" s="319">
        <f>G1197-H1197</f>
        <v/>
      </c>
      <c r="J1197" s="319">
        <f>F1197-I1197</f>
        <v/>
      </c>
      <c r="K1197" s="516" t="n">
        <v>800000</v>
      </c>
      <c r="L1197" s="516">
        <f>L1196+G1197-K1197</f>
        <v/>
      </c>
    </row>
    <row r="1198">
      <c r="B1198" s="1" t="n">
        <v>23</v>
      </c>
      <c r="C1198" s="24" t="n">
        <v>45292</v>
      </c>
      <c r="D1198" s="24" t="n">
        <v>45322</v>
      </c>
      <c r="E1198" s="25">
        <f>D1198-C1198+1</f>
        <v/>
      </c>
      <c r="F1198" s="319">
        <f>J1197</f>
        <v/>
      </c>
      <c r="G1198" s="319">
        <f>-PMT($D$1167/$D$1169,21,$F$1179,,0)</f>
        <v/>
      </c>
      <c r="H1198" s="319">
        <f>$D$1167/$D$1169*F1198</f>
        <v/>
      </c>
      <c r="I1198" s="319">
        <f>G1198-H1198</f>
        <v/>
      </c>
      <c r="J1198" s="319">
        <f>F1198-I1198</f>
        <v/>
      </c>
      <c r="K1198" s="516" t="n"/>
      <c r="L1198" s="516">
        <f>L1197+G1198-K1198</f>
        <v/>
      </c>
    </row>
    <row r="1199">
      <c r="B1199" s="1" t="n">
        <v>24</v>
      </c>
      <c r="C1199" s="24" t="n">
        <v>45323</v>
      </c>
      <c r="D1199" s="24" t="n">
        <v>45350</v>
      </c>
      <c r="E1199" s="25">
        <f>D1199-C1199+1</f>
        <v/>
      </c>
      <c r="F1199" s="319">
        <f>J1198</f>
        <v/>
      </c>
      <c r="G1199" s="319">
        <f>-PMT($D$1167/$D$1169,21,$F$1179,,0)</f>
        <v/>
      </c>
      <c r="H1199" s="319">
        <f>$D$1167/$D$1169*F1199</f>
        <v/>
      </c>
      <c r="I1199" s="319">
        <f>G1199-H1199</f>
        <v/>
      </c>
      <c r="J1199" s="319">
        <f>F1199-I1199</f>
        <v/>
      </c>
      <c r="K1199" s="516" t="n">
        <v>2000000</v>
      </c>
      <c r="L1199" s="516">
        <f>L1198+G1199-K1199</f>
        <v/>
      </c>
    </row>
    <row r="1200" ht="14.25" customHeight="1">
      <c r="B1200" s="1" t="n">
        <v>25</v>
      </c>
      <c r="C1200" s="24" t="n">
        <v>45352</v>
      </c>
      <c r="D1200" s="24" t="n">
        <v>45382</v>
      </c>
      <c r="E1200" s="25">
        <f>D1200-C1200+1</f>
        <v/>
      </c>
      <c r="F1200" s="319">
        <f>L1199</f>
        <v/>
      </c>
      <c r="G1200" s="319" t="n"/>
      <c r="H1200" s="319">
        <f>$D$1167/$D$1169*F1200</f>
        <v/>
      </c>
      <c r="I1200" s="319">
        <f>G1200-H1200</f>
        <v/>
      </c>
      <c r="J1200" s="319">
        <f>F1200-I1200</f>
        <v/>
      </c>
      <c r="K1200" s="1" t="n"/>
      <c r="L1200" s="1" t="n"/>
    </row>
    <row r="1201" ht="14.25" customHeight="1">
      <c r="B1201" s="1" t="n">
        <v>26</v>
      </c>
      <c r="C1201" s="24" t="n">
        <v>45383</v>
      </c>
      <c r="D1201" s="24" t="n">
        <v>45412</v>
      </c>
      <c r="E1201" s="25">
        <f>D1201-C1201+1</f>
        <v/>
      </c>
      <c r="F1201" s="319">
        <f>J1200</f>
        <v/>
      </c>
      <c r="G1201" s="319">
        <f>-PMT($D$1167/$D$1169,11,$F$1201,,0)</f>
        <v/>
      </c>
      <c r="H1201" s="319">
        <f>$D$1167/$D$1169*F1201</f>
        <v/>
      </c>
      <c r="I1201" s="522">
        <f>G1201-H1201</f>
        <v/>
      </c>
      <c r="J1201" s="319">
        <f>F1201-I1201</f>
        <v/>
      </c>
      <c r="K1201" s="1" t="n"/>
      <c r="L1201" s="27">
        <f>G1201</f>
        <v/>
      </c>
    </row>
    <row r="1202" ht="14.25" customHeight="1">
      <c r="B1202" s="1" t="n">
        <v>27</v>
      </c>
      <c r="C1202" s="24" t="n">
        <v>45413</v>
      </c>
      <c r="D1202" s="24" t="n">
        <v>45443</v>
      </c>
      <c r="E1202" s="25">
        <f>D1202-C1202+1</f>
        <v/>
      </c>
      <c r="F1202" s="319">
        <f>J1201</f>
        <v/>
      </c>
      <c r="G1202" s="319">
        <f>-PMT($D$1167/$D$1169,11,$F$1201,,0)</f>
        <v/>
      </c>
      <c r="H1202" s="319">
        <f>$D$1167/$D$1169*F1202</f>
        <v/>
      </c>
      <c r="I1202" s="319">
        <f>G1202-H1202</f>
        <v/>
      </c>
      <c r="J1202" s="319">
        <f>F1202-I1202</f>
        <v/>
      </c>
      <c r="K1202" s="1" t="n"/>
      <c r="L1202" s="516">
        <f>L1201+G1202-K1202</f>
        <v/>
      </c>
    </row>
    <row r="1203" ht="14.25" customHeight="1">
      <c r="B1203" s="1" t="n">
        <v>28</v>
      </c>
      <c r="C1203" s="24" t="n">
        <v>45444</v>
      </c>
      <c r="D1203" s="24" t="n">
        <v>45473</v>
      </c>
      <c r="E1203" s="25">
        <f>D1203-C1203+1</f>
        <v/>
      </c>
      <c r="F1203" s="319">
        <f>J1202</f>
        <v/>
      </c>
      <c r="G1203" s="319">
        <f>-PMT($D$1167/$D$1169,11,$F$1201,,0)</f>
        <v/>
      </c>
      <c r="H1203" s="319">
        <f>$D$1167/$D$1169*F1203</f>
        <v/>
      </c>
      <c r="I1203" s="319">
        <f>G1203-H1203</f>
        <v/>
      </c>
      <c r="J1203" s="319">
        <f>F1203-I1203</f>
        <v/>
      </c>
      <c r="K1203" s="1" t="n"/>
      <c r="L1203" s="516">
        <f>L1202+G1203-K1203</f>
        <v/>
      </c>
    </row>
    <row r="1204" ht="14.25" customHeight="1">
      <c r="B1204" s="1" t="n">
        <v>29</v>
      </c>
      <c r="C1204" s="24" t="n">
        <v>45474</v>
      </c>
      <c r="D1204" s="24" t="n">
        <v>45504</v>
      </c>
      <c r="E1204" s="25">
        <f>D1204-C1204+1</f>
        <v/>
      </c>
      <c r="F1204" s="319">
        <f>J1203</f>
        <v/>
      </c>
      <c r="G1204" s="319">
        <f>-PMT($D$1167/$D$1169,11,$F$1201,,0)</f>
        <v/>
      </c>
      <c r="H1204" s="319">
        <f>$D$1167/$D$1169*F1204</f>
        <v/>
      </c>
      <c r="I1204" s="319">
        <f>G1204-H1204</f>
        <v/>
      </c>
      <c r="J1204" s="319">
        <f>F1204-I1204</f>
        <v/>
      </c>
      <c r="K1204" s="319" t="n">
        <v>3000000</v>
      </c>
      <c r="L1204" s="516">
        <f>L1203+G1204-K1204</f>
        <v/>
      </c>
    </row>
    <row r="1205" ht="14.25" customHeight="1">
      <c r="B1205" s="1" t="n">
        <v>30</v>
      </c>
      <c r="C1205" s="24" t="n">
        <v>45505</v>
      </c>
      <c r="D1205" s="24" t="n">
        <v>45535</v>
      </c>
      <c r="E1205" s="25">
        <f>D1205-C1205+1</f>
        <v/>
      </c>
      <c r="F1205" s="319">
        <f>J1204</f>
        <v/>
      </c>
      <c r="G1205" s="319">
        <f>-PMT($D$1167/$D$1169,11,$F$1201,,0)</f>
        <v/>
      </c>
      <c r="H1205" s="319">
        <f>$D$1167/$D$1169*F1205</f>
        <v/>
      </c>
      <c r="I1205" s="319">
        <f>G1205-H1205</f>
        <v/>
      </c>
      <c r="J1205" s="319">
        <f>F1205-I1205</f>
        <v/>
      </c>
      <c r="K1205" s="1" t="n"/>
      <c r="L1205" s="516">
        <f>L1204+G1205-K1205</f>
        <v/>
      </c>
    </row>
    <row r="1206" ht="14.25" customHeight="1">
      <c r="B1206" s="1" t="n">
        <v>31</v>
      </c>
      <c r="C1206" s="24" t="n">
        <v>45536</v>
      </c>
      <c r="D1206" s="24" t="n">
        <v>45565</v>
      </c>
      <c r="E1206" s="25">
        <f>D1206-C1206+1</f>
        <v/>
      </c>
      <c r="F1206" s="319">
        <f>J1205</f>
        <v/>
      </c>
      <c r="G1206" s="319">
        <f>-PMT($D$1167/$D$1169,11,$F$1201,,0)</f>
        <v/>
      </c>
      <c r="H1206" s="319">
        <f>$D$1167/$D$1169*F1206</f>
        <v/>
      </c>
      <c r="I1206" s="319">
        <f>G1206-H1206</f>
        <v/>
      </c>
      <c r="J1206" s="319">
        <f>F1206-I1206</f>
        <v/>
      </c>
      <c r="K1206" s="1" t="n"/>
      <c r="L1206" s="516">
        <f>L1205+G1206-K1206</f>
        <v/>
      </c>
    </row>
    <row r="1207" ht="14.25" customHeight="1">
      <c r="B1207" s="1" t="n">
        <v>32</v>
      </c>
      <c r="C1207" s="24" t="n">
        <v>45566</v>
      </c>
      <c r="D1207" s="24" t="n">
        <v>45596</v>
      </c>
      <c r="E1207" s="25">
        <f>D1207-C1207+1</f>
        <v/>
      </c>
      <c r="F1207" s="319">
        <f>J1206</f>
        <v/>
      </c>
      <c r="G1207" s="319">
        <f>-PMT($D$1167/$D$1169,11,$F$1201,,0)</f>
        <v/>
      </c>
      <c r="H1207" s="319">
        <f>$D$1167/$D$1169*F1207</f>
        <v/>
      </c>
      <c r="I1207" s="319">
        <f>G1207-H1207</f>
        <v/>
      </c>
      <c r="J1207" s="319">
        <f>F1207-I1207</f>
        <v/>
      </c>
      <c r="K1207" s="297" t="n">
        <v>3296125</v>
      </c>
      <c r="L1207" s="523">
        <f>L1206+G1207-K1207</f>
        <v/>
      </c>
    </row>
    <row r="1208" ht="14.25" customHeight="1">
      <c r="B1208" s="1" t="n">
        <v>33</v>
      </c>
      <c r="C1208" s="24" t="n">
        <v>45597</v>
      </c>
      <c r="D1208" s="24" t="n">
        <v>45626</v>
      </c>
      <c r="E1208" s="25">
        <f>D1208-C1208+1</f>
        <v/>
      </c>
      <c r="F1208" s="319">
        <f>J1207</f>
        <v/>
      </c>
      <c r="G1208" s="319">
        <f>-PMT($D$1167/$D$1169,11,$F$1201,,0)</f>
        <v/>
      </c>
      <c r="H1208" s="319">
        <f>$D$1167/$D$1169*F1208</f>
        <v/>
      </c>
      <c r="I1208" s="319">
        <f>G1208-H1208</f>
        <v/>
      </c>
      <c r="J1208" s="319">
        <f>F1208-I1208</f>
        <v/>
      </c>
      <c r="K1208" s="1" t="n"/>
      <c r="L1208" s="1" t="n"/>
    </row>
    <row r="1209" ht="14.25" customHeight="1">
      <c r="B1209" s="1" t="n">
        <v>34</v>
      </c>
      <c r="C1209" s="24" t="n">
        <v>45627</v>
      </c>
      <c r="D1209" s="24" t="n">
        <v>45657</v>
      </c>
      <c r="E1209" s="25">
        <f>D1209-C1209+1</f>
        <v/>
      </c>
      <c r="F1209" s="319">
        <f>J1208</f>
        <v/>
      </c>
      <c r="G1209" s="319">
        <f>-PMT($D$1167/$D$1169,11,$F$1201,,0)</f>
        <v/>
      </c>
      <c r="H1209" s="319">
        <f>$D$1167/$D$1169*F1209</f>
        <v/>
      </c>
      <c r="I1209" s="319">
        <f>G1209-H1209</f>
        <v/>
      </c>
      <c r="J1209" s="319">
        <f>F1209-I1209</f>
        <v/>
      </c>
      <c r="K1209" s="1" t="n"/>
      <c r="L1209" s="1" t="n"/>
    </row>
    <row r="1210" ht="14.25" customHeight="1">
      <c r="B1210" s="1" t="n">
        <v>35</v>
      </c>
      <c r="C1210" s="24" t="n">
        <v>45658</v>
      </c>
      <c r="D1210" s="24" t="n">
        <v>45688</v>
      </c>
      <c r="E1210" s="25">
        <f>D1210-C1210+1</f>
        <v/>
      </c>
      <c r="F1210" s="319">
        <f>J1209</f>
        <v/>
      </c>
      <c r="G1210" s="319">
        <f>-PMT($D$1167/$D$1169,11,$F$1201,,0)</f>
        <v/>
      </c>
      <c r="H1210" s="319">
        <f>$D$1167/$D$1169*F1210</f>
        <v/>
      </c>
      <c r="I1210" s="319">
        <f>G1210-H1210</f>
        <v/>
      </c>
      <c r="J1210" s="319">
        <f>F1210-I1210</f>
        <v/>
      </c>
      <c r="K1210" s="1" t="n"/>
      <c r="L1210" s="1" t="n"/>
    </row>
    <row r="1211" ht="14.25" customHeight="1">
      <c r="B1211" s="1" t="n">
        <v>36</v>
      </c>
      <c r="C1211" s="24" t="n">
        <v>45689</v>
      </c>
      <c r="D1211" s="24" t="n">
        <v>45716</v>
      </c>
      <c r="E1211" s="25">
        <f>D1211-C1211+1</f>
        <v/>
      </c>
      <c r="F1211" s="319">
        <f>J1210</f>
        <v/>
      </c>
      <c r="G1211" s="319">
        <f>-PMT($D$1167/$D$1169,11,$F$1201,,0)</f>
        <v/>
      </c>
      <c r="H1211" s="319">
        <f>$D$1167/$D$1169*F1211</f>
        <v/>
      </c>
      <c r="I1211" s="319">
        <f>G1211-H1211</f>
        <v/>
      </c>
      <c r="J1211" s="319">
        <f>F1211-I1211</f>
        <v/>
      </c>
      <c r="K1211" s="1" t="n"/>
      <c r="L1211" s="1" t="n"/>
    </row>
    <row r="1212" ht="14.25" customHeight="1">
      <c r="B1212" s="1" t="n"/>
      <c r="C1212" s="24" t="n"/>
      <c r="D1212" s="24" t="n"/>
      <c r="E1212" s="25" t="n"/>
      <c r="F1212" s="319" t="n"/>
      <c r="G1212" s="319" t="n"/>
      <c r="H1212" s="319" t="n"/>
      <c r="I1212" s="319" t="n"/>
      <c r="J1212" s="319" t="n"/>
      <c r="K1212" s="1" t="n"/>
      <c r="L1212" s="1" t="n"/>
    </row>
    <row r="1213" ht="14.25" customHeight="1">
      <c r="B1213" s="1" t="n"/>
      <c r="C1213" s="1" t="n"/>
      <c r="D1213" s="1" t="n"/>
      <c r="E1213" s="2" t="n"/>
      <c r="F1213" s="319" t="n"/>
      <c r="G1213" s="319" t="n"/>
      <c r="H1213" s="319" t="n"/>
      <c r="I1213" s="319" t="n"/>
      <c r="J1213" s="319" t="n"/>
      <c r="K1213" s="1" t="n"/>
      <c r="L1213" s="1" t="n"/>
    </row>
    <row r="1214" ht="14.25" customHeight="1">
      <c r="B1214" s="1" t="n"/>
      <c r="C1214" s="1" t="n"/>
      <c r="D1214" s="1" t="n"/>
      <c r="E1214" s="2" t="n"/>
      <c r="F1214" s="319" t="n"/>
      <c r="G1214" s="319" t="n"/>
      <c r="H1214" s="319" t="n"/>
      <c r="I1214" s="319" t="n"/>
      <c r="J1214" s="319" t="n"/>
      <c r="K1214" s="1" t="n"/>
      <c r="L1214" s="1" t="n"/>
    </row>
    <row r="1215" ht="14.25" customHeight="1">
      <c r="B1215" s="1" t="n"/>
      <c r="C1215" s="1" t="n"/>
      <c r="D1215" s="1" t="n"/>
      <c r="E1215" s="2" t="n"/>
      <c r="F1215" s="319" t="n"/>
      <c r="G1215" s="319" t="n"/>
      <c r="H1215" s="319" t="n"/>
      <c r="I1215" s="319" t="n"/>
      <c r="J1215" s="319" t="n"/>
      <c r="K1215" s="1" t="n"/>
      <c r="L1215" s="1" t="n"/>
    </row>
    <row r="1216" ht="14.25" customHeight="1">
      <c r="B1216" s="1" t="n"/>
      <c r="C1216" s="1" t="n"/>
      <c r="D1216" s="1" t="n"/>
      <c r="E1216" s="2" t="n"/>
      <c r="F1216" s="319" t="n"/>
      <c r="G1216" s="319" t="n"/>
      <c r="H1216" s="319" t="n"/>
      <c r="I1216" s="319" t="n"/>
      <c r="J1216" s="319" t="n"/>
      <c r="K1216" s="1" t="n"/>
      <c r="L1216" s="1" t="n"/>
    </row>
    <row r="1217" ht="14.25" customHeight="1">
      <c r="B1217" s="1" t="n"/>
      <c r="C1217" s="1" t="n"/>
      <c r="D1217" s="1" t="n"/>
      <c r="E1217" s="2" t="n"/>
      <c r="F1217" s="319" t="n"/>
      <c r="G1217" s="319" t="n"/>
      <c r="H1217" s="319" t="n"/>
      <c r="I1217" s="319" t="n"/>
      <c r="J1217" s="319" t="n"/>
      <c r="K1217" s="1" t="n"/>
      <c r="L1217" s="1" t="n"/>
    </row>
    <row r="1218" ht="14.25" customHeight="1">
      <c r="B1218" s="1" t="n"/>
      <c r="C1218" s="1" t="n"/>
      <c r="D1218" s="1" t="n"/>
      <c r="E1218" s="2" t="n"/>
      <c r="F1218" s="319" t="n"/>
      <c r="G1218" s="319" t="n"/>
      <c r="H1218" s="319" t="n"/>
      <c r="I1218" s="319" t="n"/>
      <c r="J1218" s="319" t="n"/>
      <c r="K1218" s="1" t="n"/>
      <c r="L1218" s="1" t="n"/>
    </row>
    <row r="1219" ht="14.25" customHeight="1">
      <c r="B1219" s="1" t="n"/>
      <c r="C1219" s="1" t="n"/>
      <c r="D1219" s="1" t="n"/>
      <c r="E1219" s="2" t="n"/>
      <c r="F1219" s="319" t="n"/>
      <c r="G1219" s="319" t="n"/>
      <c r="H1219" s="319" t="n"/>
      <c r="I1219" s="319" t="n"/>
      <c r="J1219" s="319" t="n"/>
      <c r="K1219" s="1" t="n"/>
      <c r="L1219" s="1" t="n"/>
    </row>
    <row r="1220" ht="14.25" customHeight="1">
      <c r="B1220" s="1" t="n"/>
      <c r="C1220" s="1" t="n"/>
      <c r="D1220" s="1" t="n"/>
      <c r="E1220" s="2" t="n"/>
      <c r="F1220" s="319" t="n"/>
      <c r="G1220" s="319" t="n"/>
      <c r="H1220" s="319" t="n"/>
      <c r="I1220" s="319" t="n"/>
      <c r="J1220" s="319" t="n"/>
      <c r="K1220" s="1" t="n"/>
      <c r="L1220" s="1" t="n"/>
    </row>
    <row r="1221" ht="14.25" customHeight="1">
      <c r="B1221" s="1" t="n"/>
      <c r="C1221" s="1" t="n"/>
      <c r="D1221" s="1" t="n"/>
      <c r="E1221" s="2" t="n"/>
      <c r="F1221" s="319" t="n"/>
      <c r="G1221" s="319" t="n"/>
      <c r="H1221" s="319" t="n"/>
      <c r="I1221" s="319" t="n"/>
      <c r="J1221" s="319" t="n"/>
      <c r="K1221" s="1" t="n"/>
      <c r="L1221" s="1" t="n"/>
    </row>
    <row r="1222" ht="14.25" customHeight="1">
      <c r="B1222" s="1" t="n"/>
      <c r="C1222" s="1" t="n"/>
      <c r="D1222" s="1" t="n"/>
      <c r="E1222" s="2" t="n"/>
      <c r="F1222" s="319" t="n"/>
      <c r="G1222" s="319" t="n"/>
      <c r="H1222" s="319" t="n"/>
      <c r="I1222" s="319" t="n"/>
      <c r="J1222" s="319" t="n"/>
      <c r="K1222" s="1" t="n"/>
      <c r="L1222" s="1" t="n"/>
    </row>
    <row r="1223" ht="14.25" customHeight="1">
      <c r="B1223" s="1" t="n"/>
      <c r="C1223" s="1" t="n"/>
      <c r="D1223" s="1" t="n"/>
      <c r="E1223" s="2" t="n"/>
      <c r="F1223" s="319" t="n"/>
      <c r="G1223" s="319" t="n"/>
      <c r="H1223" s="319" t="n"/>
      <c r="I1223" s="319" t="n"/>
      <c r="J1223" s="319" t="n"/>
      <c r="K1223" s="1" t="n"/>
      <c r="L1223" s="1" t="n"/>
    </row>
    <row r="1224" ht="14.25" customHeight="1">
      <c r="B1224" s="1" t="n"/>
      <c r="C1224" s="1" t="n"/>
      <c r="D1224" s="1" t="n"/>
      <c r="E1224" s="2" t="n"/>
      <c r="F1224" s="319" t="n"/>
      <c r="G1224" s="319" t="n"/>
      <c r="H1224" s="319" t="n"/>
      <c r="I1224" s="319" t="n"/>
      <c r="J1224" s="319" t="n"/>
      <c r="K1224" s="1" t="n"/>
      <c r="L1224" s="1" t="n"/>
    </row>
    <row r="1225" ht="14.25" customHeight="1">
      <c r="B1225" s="1" t="n"/>
      <c r="C1225" s="1" t="n"/>
      <c r="D1225" s="1" t="n"/>
      <c r="E1225" s="2" t="n"/>
      <c r="F1225" s="319" t="n"/>
      <c r="G1225" s="319" t="n"/>
      <c r="H1225" s="319" t="n"/>
      <c r="I1225" s="319" t="n"/>
      <c r="J1225" s="319" t="n"/>
      <c r="K1225" s="1" t="n"/>
      <c r="L1225" s="1" t="n"/>
    </row>
    <row r="1226" ht="14.25" customHeight="1">
      <c r="B1226" s="1" t="n"/>
      <c r="C1226" s="1" t="n"/>
      <c r="D1226" s="1" t="n"/>
      <c r="E1226" s="2" t="n"/>
      <c r="F1226" s="319" t="n"/>
      <c r="G1226" s="319" t="n"/>
      <c r="H1226" s="319" t="n"/>
      <c r="I1226" s="319" t="n"/>
      <c r="J1226" s="319" t="n"/>
      <c r="K1226" s="1" t="n"/>
      <c r="L1226" s="1" t="n"/>
    </row>
    <row r="1227" ht="14.25" customHeight="1">
      <c r="B1227" s="1" t="n"/>
      <c r="C1227" s="1" t="n"/>
      <c r="D1227" s="1" t="n"/>
      <c r="E1227" s="2" t="n"/>
      <c r="F1227" s="319" t="n"/>
      <c r="G1227" s="319" t="n"/>
      <c r="H1227" s="319" t="n"/>
      <c r="I1227" s="319" t="n"/>
      <c r="J1227" s="319" t="n"/>
      <c r="K1227" s="1" t="n"/>
      <c r="L1227" s="1" t="n"/>
    </row>
    <row r="1228" ht="14.25" customHeight="1">
      <c r="B1228" s="1" t="n"/>
      <c r="C1228" s="1" t="n"/>
      <c r="D1228" s="1" t="n"/>
      <c r="E1228" s="2" t="n"/>
      <c r="F1228" s="319" t="n"/>
      <c r="G1228" s="319" t="n"/>
      <c r="H1228" s="319" t="n"/>
      <c r="I1228" s="319" t="n"/>
      <c r="J1228" s="319" t="n"/>
      <c r="K1228" s="1" t="n"/>
      <c r="L1228" s="1" t="n"/>
    </row>
    <row r="1229" ht="14.25" customHeight="1">
      <c r="B1229" s="1" t="n"/>
      <c r="C1229" s="1" t="n"/>
      <c r="D1229" s="1" t="n"/>
      <c r="E1229" s="2" t="n"/>
      <c r="F1229" s="319" t="n"/>
      <c r="G1229" s="319" t="n"/>
      <c r="H1229" s="319" t="n"/>
      <c r="I1229" s="319" t="n"/>
      <c r="J1229" s="319" t="n"/>
      <c r="K1229" s="1" t="n"/>
      <c r="L1229" s="1" t="n"/>
    </row>
    <row r="1230" ht="14.25" customHeight="1">
      <c r="B1230" s="1" t="n"/>
      <c r="C1230" s="1" t="n"/>
      <c r="D1230" s="1" t="n"/>
      <c r="E1230" s="2" t="n"/>
      <c r="F1230" s="319" t="n"/>
      <c r="G1230" s="319" t="n"/>
      <c r="H1230" s="319" t="n"/>
      <c r="I1230" s="319" t="n"/>
      <c r="J1230" s="319" t="n"/>
      <c r="K1230" s="1" t="n"/>
      <c r="L1230" s="1" t="n"/>
    </row>
    <row r="1231" ht="14.25" customHeight="1">
      <c r="B1231" s="1" t="n"/>
      <c r="C1231" s="1" t="n"/>
      <c r="D1231" s="1" t="n"/>
      <c r="E1231" s="2" t="n"/>
      <c r="F1231" s="319" t="n"/>
      <c r="G1231" s="319" t="n"/>
      <c r="H1231" s="319" t="n"/>
      <c r="I1231" s="319" t="n"/>
      <c r="J1231" s="319" t="n"/>
      <c r="K1231" s="1" t="n"/>
      <c r="L1231" s="1" t="n"/>
    </row>
    <row r="1232" ht="14.25" customHeight="1">
      <c r="B1232" s="1" t="n"/>
      <c r="C1232" s="1" t="n"/>
      <c r="D1232" s="1" t="n"/>
      <c r="E1232" s="2" t="n"/>
      <c r="F1232" s="319" t="n"/>
      <c r="G1232" s="319" t="n"/>
      <c r="H1232" s="319" t="n"/>
      <c r="I1232" s="319" t="n"/>
      <c r="J1232" s="319" t="n"/>
      <c r="K1232" s="1" t="n"/>
      <c r="L1232" s="1" t="n"/>
    </row>
    <row r="1233" ht="14.25" customHeight="1">
      <c r="B1233" s="1" t="n"/>
      <c r="C1233" s="1" t="n"/>
      <c r="D1233" s="1" t="n"/>
      <c r="E1233" s="2" t="n"/>
      <c r="F1233" s="319" t="n"/>
      <c r="G1233" s="319" t="n"/>
      <c r="H1233" s="319" t="n"/>
      <c r="I1233" s="319" t="n"/>
      <c r="J1233" s="319" t="n"/>
      <c r="K1233" s="1" t="n"/>
      <c r="L1233" s="1" t="n"/>
    </row>
    <row r="1237">
      <c r="B1237" s="1" t="n"/>
      <c r="C1237" s="9" t="inlineStr">
        <is>
          <t>Mwachisosa</t>
        </is>
      </c>
      <c r="D1237" s="319" t="n"/>
      <c r="E1237" s="319" t="n"/>
      <c r="F1237" s="319" t="n"/>
      <c r="G1237" s="319" t="n"/>
      <c r="H1237" s="319" t="n"/>
      <c r="I1237" s="319" t="n"/>
      <c r="J1237" s="319" t="n"/>
      <c r="K1237" s="319" t="n"/>
      <c r="L1237" s="319" t="n"/>
      <c r="R1237" s="514" t="inlineStr">
        <is>
          <t>E-Banker account (Dupleix)</t>
        </is>
      </c>
      <c r="S1237" s="495">
        <f>IFERROR(INDEX('Blocks'!$I$2:$I$101,MATCH(22,'Blocks'!$A$2:$A$101,0)),"")</f>
        <v/>
      </c>
    </row>
    <row r="1238">
      <c r="B1238" s="1" t="n"/>
      <c r="C1238" s="1" t="n"/>
      <c r="D1238" s="319" t="n"/>
      <c r="E1238" s="319" t="n"/>
      <c r="F1238" s="319" t="n"/>
      <c r="G1238" s="319" t="n"/>
      <c r="H1238" s="319" t="n"/>
      <c r="I1238" s="319" t="n"/>
      <c r="J1238" s="319" t="n"/>
      <c r="K1238" s="319" t="n"/>
      <c r="L1238" s="319" t="n"/>
      <c r="R1238" s="514" t="inlineStr">
        <is>
          <t>Facility (Loan Book)</t>
        </is>
      </c>
      <c r="S1238" s="495">
        <f>IFERROR(INDEX('Blocks'!$H$2:$H$101,MATCH(22,'Blocks'!$A$2:$A$101,0)),"")</f>
        <v/>
      </c>
    </row>
    <row r="1239">
      <c r="B1239" s="1" t="n"/>
      <c r="C1239" s="10" t="inlineStr">
        <is>
          <t>Principal (MK)</t>
        </is>
      </c>
      <c r="D1239" s="11" t="n">
        <v>12500000</v>
      </c>
      <c r="E1239" s="319" t="n"/>
      <c r="F1239" s="319" t="n"/>
      <c r="G1239" s="319" t="n"/>
      <c r="H1239" s="319" t="n"/>
      <c r="I1239" s="319" t="n"/>
      <c r="J1239" s="319" t="n"/>
      <c r="K1239" s="319" t="n"/>
      <c r="L1239" s="319" t="n"/>
      <c r="R1239" s="514" t="inlineStr">
        <is>
          <t>Take-on posting 31 Jul 2024</t>
        </is>
      </c>
      <c r="S1239" s="496">
        <f>IFERROR(INDEX('E-Banker master'!$N$2:$N$186,MATCH(S1237,'E-Banker master'!$A$2:$A$186,0)),"")</f>
        <v/>
      </c>
    </row>
    <row r="1240">
      <c r="B1240" s="1" t="n"/>
      <c r="C1240" s="13" t="inlineStr">
        <is>
          <t>Rate</t>
        </is>
      </c>
      <c r="D1240" s="14" t="n">
        <v>0.1</v>
      </c>
      <c r="E1240" s="257" t="n"/>
      <c r="F1240" s="319" t="n"/>
      <c r="G1240" s="319" t="n"/>
      <c r="H1240" s="319" t="n"/>
      <c r="I1240" s="319" t="n"/>
      <c r="J1240" s="319" t="n"/>
      <c r="K1240" s="319" t="n"/>
      <c r="L1240" s="319" t="n"/>
      <c r="R1240" s="514" t="inlineStr">
        <is>
          <t>E-Banker balance 31 Oct 2024</t>
        </is>
      </c>
      <c r="S1240" s="496">
        <f>IFERROR(INDEX('E-Banker master'!$P$2:$P$186,MATCH(S1237,'E-Banker master'!$A$2:$A$186,0)),"")</f>
        <v/>
      </c>
    </row>
    <row r="1241">
      <c r="B1241" s="1" t="n"/>
      <c r="C1241" s="13" t="inlineStr">
        <is>
          <t>n</t>
        </is>
      </c>
      <c r="D1241" s="16" t="n">
        <v>2</v>
      </c>
      <c r="E1241" s="1" t="n"/>
      <c r="F1241" s="319" t="n"/>
      <c r="G1241" s="319" t="n"/>
      <c r="H1241" s="319" t="n"/>
      <c r="I1241" s="319" t="n"/>
      <c r="J1241" s="319" t="n"/>
      <c r="K1241" s="1" t="n"/>
      <c r="L1241" s="1" t="n"/>
    </row>
    <row r="1242">
      <c r="B1242" s="1" t="n"/>
      <c r="C1242" s="13" t="inlineStr">
        <is>
          <t>Per</t>
        </is>
      </c>
      <c r="D1242" s="16" t="n">
        <v>12</v>
      </c>
      <c r="E1242" s="1" t="n"/>
      <c r="F1242" s="319" t="n"/>
      <c r="G1242" s="319" t="n"/>
      <c r="H1242" s="319" t="n"/>
      <c r="I1242" s="319" t="n"/>
      <c r="J1242" s="319" t="n"/>
      <c r="K1242" s="1" t="n"/>
      <c r="L1242" s="1" t="n"/>
    </row>
    <row r="1243">
      <c r="B1243" s="1" t="n"/>
      <c r="C1243" s="13" t="inlineStr">
        <is>
          <t>nPer</t>
        </is>
      </c>
      <c r="D1243" s="515">
        <f>D1241*D1242</f>
        <v/>
      </c>
      <c r="E1243" s="1" t="n"/>
      <c r="F1243" s="319" t="n"/>
      <c r="G1243" s="319" t="n"/>
      <c r="H1243" s="319" t="n"/>
      <c r="I1243" s="319" t="n"/>
      <c r="J1243" s="319" t="n"/>
      <c r="K1243" s="1" t="n"/>
      <c r="L1243" s="1" t="n"/>
    </row>
    <row r="1244">
      <c r="B1244" s="1" t="n"/>
      <c r="C1244" s="13" t="inlineStr">
        <is>
          <t>Days in a year</t>
        </is>
      </c>
      <c r="D1244" s="18" t="n">
        <v>365</v>
      </c>
      <c r="E1244" s="1" t="n"/>
      <c r="F1244" s="319" t="n"/>
      <c r="G1244" s="319" t="n"/>
      <c r="H1244" s="319" t="n"/>
      <c r="I1244" s="319" t="n"/>
      <c r="J1244" s="319" t="n"/>
      <c r="K1244" s="1" t="n"/>
      <c r="L1244" s="1" t="n"/>
    </row>
    <row r="1245">
      <c r="B1245" s="1" t="n"/>
      <c r="C1245" s="19" t="inlineStr">
        <is>
          <t>Pmt (MK)</t>
        </is>
      </c>
      <c r="D1245" s="20">
        <f>-PMT(D1240/D1242,D1243,D1239,0,0)</f>
        <v/>
      </c>
      <c r="E1245" s="319" t="n"/>
      <c r="F1245" s="319" t="n"/>
      <c r="G1245" s="319" t="n"/>
      <c r="H1245" s="319" t="n"/>
      <c r="I1245" s="319" t="n"/>
      <c r="J1245" s="319" t="n"/>
      <c r="K1245" s="1" t="n"/>
      <c r="L1245" s="1" t="n"/>
    </row>
    <row r="1246">
      <c r="B1246" s="1" t="n"/>
      <c r="C1246" s="1" t="n"/>
      <c r="D1246" s="319" t="n"/>
      <c r="E1246" s="319" t="n"/>
      <c r="F1246" s="319" t="n"/>
      <c r="G1246" s="319" t="n"/>
      <c r="H1246" s="319" t="n"/>
      <c r="I1246" s="319" t="n"/>
      <c r="J1246" s="319" t="n"/>
      <c r="K1246" s="1" t="n"/>
      <c r="L1246" s="1" t="n"/>
    </row>
    <row r="1247">
      <c r="B1247" s="1" t="n"/>
      <c r="C1247" s="21" t="inlineStr">
        <is>
          <t>Period Start</t>
        </is>
      </c>
      <c r="D1247" s="22" t="inlineStr">
        <is>
          <t>Period End</t>
        </is>
      </c>
      <c r="E1247" s="22" t="inlineStr">
        <is>
          <t>Days</t>
        </is>
      </c>
      <c r="F1247" s="294" t="inlineStr">
        <is>
          <t>Opening bal.</t>
        </is>
      </c>
      <c r="G1247" s="294" t="inlineStr">
        <is>
          <t>Pmt</t>
        </is>
      </c>
      <c r="H1247" s="294" t="inlineStr">
        <is>
          <t>Interest</t>
        </is>
      </c>
      <c r="I1247" s="294" t="inlineStr">
        <is>
          <t>Principal</t>
        </is>
      </c>
      <c r="J1247" s="294" t="inlineStr">
        <is>
          <t>Closing balance</t>
        </is>
      </c>
      <c r="K1247" s="23" t="inlineStr">
        <is>
          <t>Amount Repaid</t>
        </is>
      </c>
      <c r="L1247" s="23" t="inlineStr">
        <is>
          <t>Accumulated Arrears</t>
        </is>
      </c>
    </row>
    <row r="1248">
      <c r="B1248" s="1" t="n">
        <v>0</v>
      </c>
      <c r="C1248" s="24" t="n">
        <v>44644</v>
      </c>
      <c r="D1248" s="24" t="n">
        <v>44651</v>
      </c>
      <c r="E1248" s="25">
        <f>D1248-C1248+1</f>
        <v/>
      </c>
      <c r="F1248" s="319">
        <f>D1239</f>
        <v/>
      </c>
      <c r="G1248" s="319" t="n"/>
      <c r="H1248" s="319">
        <f>F1248*E1248*D1240/D1244</f>
        <v/>
      </c>
      <c r="I1248" s="319">
        <f>G1248-H1248</f>
        <v/>
      </c>
      <c r="J1248" s="319">
        <f>F1248-I1248</f>
        <v/>
      </c>
      <c r="K1248" s="516" t="n"/>
      <c r="L1248" s="516" t="n"/>
    </row>
    <row r="1249">
      <c r="B1249" s="1" t="n">
        <v>1</v>
      </c>
      <c r="C1249" s="24" t="n">
        <v>44652</v>
      </c>
      <c r="D1249" s="24" t="n">
        <v>44681</v>
      </c>
      <c r="E1249" s="25">
        <f>D1249-C1249+1</f>
        <v/>
      </c>
      <c r="F1249" s="319">
        <f>J1248</f>
        <v/>
      </c>
      <c r="G1249" s="319" t="n"/>
      <c r="H1249" s="319">
        <f>$D$1240/$D$1242*F1249</f>
        <v/>
      </c>
      <c r="I1249" s="319">
        <f>G1249-H1249</f>
        <v/>
      </c>
      <c r="J1249" s="319">
        <f>F1249-I1249</f>
        <v/>
      </c>
      <c r="K1249" s="516" t="n"/>
      <c r="L1249" s="516" t="n"/>
    </row>
    <row r="1250">
      <c r="B1250" s="1" t="n">
        <v>2</v>
      </c>
      <c r="C1250" s="24" t="n">
        <v>44682</v>
      </c>
      <c r="D1250" s="24" t="n">
        <v>44712</v>
      </c>
      <c r="E1250" s="25">
        <f>D1250-C1250+1</f>
        <v/>
      </c>
      <c r="F1250" s="319">
        <f>J1249</f>
        <v/>
      </c>
      <c r="G1250" s="319" t="n"/>
      <c r="H1250" s="319">
        <f>$D$1167/$D$1169*F1250</f>
        <v/>
      </c>
      <c r="I1250" s="319">
        <f>G1250-H1250</f>
        <v/>
      </c>
      <c r="J1250" s="319">
        <f>F1250-I1250</f>
        <v/>
      </c>
      <c r="K1250" s="516" t="n"/>
      <c r="L1250" s="516" t="n"/>
    </row>
    <row r="1251">
      <c r="B1251" s="1" t="n">
        <v>3</v>
      </c>
      <c r="C1251" s="24" t="n">
        <v>44713</v>
      </c>
      <c r="D1251" s="24" t="n">
        <v>44742</v>
      </c>
      <c r="E1251" s="25">
        <f>D1251-C1251+1</f>
        <v/>
      </c>
      <c r="F1251" s="319">
        <f>J1250</f>
        <v/>
      </c>
      <c r="G1251" s="319" t="n"/>
      <c r="H1251" s="319">
        <f>$D$1167/$D$1169*F1251</f>
        <v/>
      </c>
      <c r="I1251" s="319">
        <f>G1251-H1251</f>
        <v/>
      </c>
      <c r="J1251" s="319">
        <f>F1251-I1251</f>
        <v/>
      </c>
      <c r="K1251" s="237" t="n"/>
    </row>
    <row r="1252">
      <c r="B1252" s="1" t="n">
        <v>4</v>
      </c>
      <c r="C1252" s="24" t="n">
        <v>44743</v>
      </c>
      <c r="D1252" s="24" t="n">
        <v>44773</v>
      </c>
      <c r="E1252" s="25">
        <f>D1252-C1252+1</f>
        <v/>
      </c>
      <c r="F1252" s="319">
        <f>J1251</f>
        <v/>
      </c>
      <c r="G1252" s="319">
        <f>-PMT($D$1240/$D$1242,21,$F$1252,,0)</f>
        <v/>
      </c>
      <c r="H1252" s="319">
        <f>$D$1167/$D$1169*F1252</f>
        <v/>
      </c>
      <c r="I1252" s="319">
        <f>G1252-H1252</f>
        <v/>
      </c>
      <c r="J1252" s="319">
        <f>F1252-I1252</f>
        <v/>
      </c>
      <c r="K1252" s="516" t="n">
        <v>700000</v>
      </c>
      <c r="L1252" s="516">
        <f>G1252-K1252</f>
        <v/>
      </c>
    </row>
    <row r="1253">
      <c r="B1253" s="1" t="n">
        <v>5</v>
      </c>
      <c r="C1253" s="24" t="n">
        <v>44774</v>
      </c>
      <c r="D1253" s="24" t="n">
        <v>44804</v>
      </c>
      <c r="E1253" s="25">
        <f>D1253-C1253+1</f>
        <v/>
      </c>
      <c r="F1253" s="319">
        <f>J1252</f>
        <v/>
      </c>
      <c r="G1253" s="319">
        <f>-PMT($D$1240/$D$1242,21,$F$1252,,0)</f>
        <v/>
      </c>
      <c r="H1253" s="319">
        <f>$D$1167/$D$1169*F1253</f>
        <v/>
      </c>
      <c r="I1253" s="319">
        <f>G1253-H1253</f>
        <v/>
      </c>
      <c r="J1253" s="319">
        <f>F1253-I1253</f>
        <v/>
      </c>
      <c r="K1253" s="516" t="n">
        <v>0</v>
      </c>
      <c r="L1253" s="516">
        <f>L1252+G1253</f>
        <v/>
      </c>
    </row>
    <row r="1254">
      <c r="B1254" s="1" t="n">
        <v>6</v>
      </c>
      <c r="C1254" s="24" t="n">
        <v>44805</v>
      </c>
      <c r="D1254" s="24" t="n">
        <v>44834</v>
      </c>
      <c r="E1254" s="25">
        <f>D1254-C1254+1</f>
        <v/>
      </c>
      <c r="F1254" s="319">
        <f>J1253</f>
        <v/>
      </c>
      <c r="G1254" s="319">
        <f>-PMT($D$1240/$D$1242,21,$F$1252,,0)</f>
        <v/>
      </c>
      <c r="H1254" s="319">
        <f>$D$1167/$D$1169*F1254</f>
        <v/>
      </c>
      <c r="I1254" s="319">
        <f>G1254-H1254</f>
        <v/>
      </c>
      <c r="J1254" s="319">
        <f>F1254-I1254</f>
        <v/>
      </c>
      <c r="K1254" s="516" t="n">
        <v>0</v>
      </c>
      <c r="L1254" s="516">
        <f>L1253+G1254</f>
        <v/>
      </c>
    </row>
    <row r="1255">
      <c r="B1255" s="1" t="n">
        <v>7</v>
      </c>
      <c r="C1255" s="24" t="n">
        <v>44835</v>
      </c>
      <c r="D1255" s="24" t="n">
        <v>44865</v>
      </c>
      <c r="E1255" s="25">
        <f>D1255-C1255+1</f>
        <v/>
      </c>
      <c r="F1255" s="319">
        <f>J1254</f>
        <v/>
      </c>
      <c r="G1255" s="319">
        <f>-PMT($D$1240/$D$1242,21,$F$1252,,0)</f>
        <v/>
      </c>
      <c r="H1255" s="319">
        <f>$D$1167/$D$1169*F1255</f>
        <v/>
      </c>
      <c r="I1255" s="319">
        <f>G1255-H1255</f>
        <v/>
      </c>
      <c r="J1255" s="319">
        <f>F1255-I1255</f>
        <v/>
      </c>
      <c r="K1255" s="516" t="n"/>
      <c r="L1255" s="516">
        <f>L1254+G1255</f>
        <v/>
      </c>
    </row>
    <row r="1256">
      <c r="B1256" s="1" t="n">
        <v>8</v>
      </c>
      <c r="C1256" s="24" t="n">
        <v>44866</v>
      </c>
      <c r="D1256" s="24" t="n">
        <v>44895</v>
      </c>
      <c r="E1256" s="25">
        <f>D1256-C1256+1</f>
        <v/>
      </c>
      <c r="F1256" s="319">
        <f>J1255</f>
        <v/>
      </c>
      <c r="G1256" s="319">
        <f>-PMT($D$1240/$D$1242,21,$F$1252,,0)</f>
        <v/>
      </c>
      <c r="H1256" s="319">
        <f>$D$1167/$D$1169*F1256</f>
        <v/>
      </c>
      <c r="I1256" s="319">
        <f>G1256-H1256</f>
        <v/>
      </c>
      <c r="J1256" s="319">
        <f>F1256-I1256</f>
        <v/>
      </c>
      <c r="K1256" s="516" t="n"/>
      <c r="L1256" s="516">
        <f>L1255+G1256</f>
        <v/>
      </c>
    </row>
    <row r="1257">
      <c r="B1257" s="1" t="n">
        <v>9</v>
      </c>
      <c r="C1257" s="24" t="n">
        <v>44896</v>
      </c>
      <c r="D1257" s="24" t="n">
        <v>44926</v>
      </c>
      <c r="E1257" s="25">
        <f>D1257-C1257+1</f>
        <v/>
      </c>
      <c r="F1257" s="319">
        <f>J1256</f>
        <v/>
      </c>
      <c r="G1257" s="319">
        <f>-PMT($D$1240/$D$1242,21,$F$1252,,0)</f>
        <v/>
      </c>
      <c r="H1257" s="319">
        <f>$D$1167/$D$1169*F1257</f>
        <v/>
      </c>
      <c r="I1257" s="319">
        <f>G1257-H1257</f>
        <v/>
      </c>
      <c r="J1257" s="319">
        <f>F1257-I1257</f>
        <v/>
      </c>
      <c r="K1257" s="516" t="n"/>
      <c r="L1257" s="516">
        <f>L1256+G1257</f>
        <v/>
      </c>
    </row>
    <row r="1258">
      <c r="B1258" s="1" t="n">
        <v>10</v>
      </c>
      <c r="C1258" s="24" t="n">
        <v>44927</v>
      </c>
      <c r="D1258" s="24" t="n">
        <v>44957</v>
      </c>
      <c r="E1258" s="25">
        <f>D1258-C1258+1</f>
        <v/>
      </c>
      <c r="F1258" s="319">
        <f>J1257</f>
        <v/>
      </c>
      <c r="G1258" s="319">
        <f>-PMT($D$1240/$D$1242,21,$F$1252,,0)</f>
        <v/>
      </c>
      <c r="H1258" s="319">
        <f>$D$1167/$D$1169*F1258</f>
        <v/>
      </c>
      <c r="I1258" s="319">
        <f>G1258-H1258</f>
        <v/>
      </c>
      <c r="J1258" s="319">
        <f>F1258-I1258</f>
        <v/>
      </c>
      <c r="K1258" s="516" t="n"/>
      <c r="L1258" s="516">
        <f>L1257+G1258</f>
        <v/>
      </c>
    </row>
    <row r="1259">
      <c r="B1259" s="1" t="n">
        <v>11</v>
      </c>
      <c r="C1259" s="24" t="n">
        <v>44958</v>
      </c>
      <c r="D1259" s="24" t="n">
        <v>44985</v>
      </c>
      <c r="E1259" s="25">
        <f>D1259-C1259+1</f>
        <v/>
      </c>
      <c r="F1259" s="319">
        <f>J1258</f>
        <v/>
      </c>
      <c r="G1259" s="319">
        <f>-PMT($D$1240/$D$1242,21,$F$1252,,0)</f>
        <v/>
      </c>
      <c r="H1259" s="319">
        <f>$D$1167/$D$1169*F1259</f>
        <v/>
      </c>
      <c r="I1259" s="319">
        <f>G1259-H1259</f>
        <v/>
      </c>
      <c r="J1259" s="319">
        <f>F1259-I1259</f>
        <v/>
      </c>
      <c r="K1259" s="516" t="n"/>
      <c r="L1259" s="516">
        <f>L1258+G1259</f>
        <v/>
      </c>
    </row>
    <row r="1260">
      <c r="B1260" s="1" t="n">
        <v>12</v>
      </c>
      <c r="C1260" s="24" t="n">
        <v>44986</v>
      </c>
      <c r="D1260" s="24" t="n">
        <v>45016</v>
      </c>
      <c r="E1260" s="25">
        <f>D1260-C1260+1</f>
        <v/>
      </c>
      <c r="F1260" s="319">
        <f>J1259</f>
        <v/>
      </c>
      <c r="G1260" s="319">
        <f>-PMT($D$1240/$D$1242,21,$F$1252,,0)</f>
        <v/>
      </c>
      <c r="H1260" s="319">
        <f>$D$1167/$D$1169*F1260</f>
        <v/>
      </c>
      <c r="I1260" s="319">
        <f>G1260-H1260</f>
        <v/>
      </c>
      <c r="J1260" s="319">
        <f>F1260-I1260</f>
        <v/>
      </c>
      <c r="K1260" s="516" t="n"/>
      <c r="L1260" s="516">
        <f>L1259+G1260</f>
        <v/>
      </c>
    </row>
    <row r="1261">
      <c r="B1261" s="1" t="n">
        <v>13</v>
      </c>
      <c r="C1261" s="24" t="n">
        <v>45017</v>
      </c>
      <c r="D1261" s="24" t="n">
        <v>45046</v>
      </c>
      <c r="E1261" s="25">
        <f>D1261-C1261+1</f>
        <v/>
      </c>
      <c r="F1261" s="319">
        <f>J1260</f>
        <v/>
      </c>
      <c r="G1261" s="319">
        <f>-PMT($D$1240/$D$1242,21,$F$1252,,0)</f>
        <v/>
      </c>
      <c r="H1261" s="319">
        <f>$D$1167/$D$1169*F1261</f>
        <v/>
      </c>
      <c r="I1261" s="319">
        <f>G1261-H1261</f>
        <v/>
      </c>
      <c r="J1261" s="319">
        <f>F1261-I1261</f>
        <v/>
      </c>
      <c r="K1261" s="516" t="n"/>
      <c r="L1261" s="516">
        <f>L1260+G1261</f>
        <v/>
      </c>
    </row>
    <row r="1262">
      <c r="B1262" s="1" t="n">
        <v>14</v>
      </c>
      <c r="C1262" s="24" t="n">
        <v>45047</v>
      </c>
      <c r="D1262" s="24" t="n">
        <v>45077</v>
      </c>
      <c r="E1262" s="25">
        <f>D1262-C1262+1</f>
        <v/>
      </c>
      <c r="F1262" s="319">
        <f>J1261</f>
        <v/>
      </c>
      <c r="G1262" s="319">
        <f>-PMT($D$1240/$D$1242,21,$F$1252,,0)</f>
        <v/>
      </c>
      <c r="H1262" s="319">
        <f>$D$1167/$D$1169*F1262</f>
        <v/>
      </c>
      <c r="I1262" s="319">
        <f>G1262-H1262</f>
        <v/>
      </c>
      <c r="J1262" s="319">
        <f>F1262-I1262</f>
        <v/>
      </c>
      <c r="K1262" s="516" t="n"/>
      <c r="L1262" s="516">
        <f>L1261+G1262</f>
        <v/>
      </c>
    </row>
    <row r="1263">
      <c r="B1263" s="1" t="n">
        <v>15</v>
      </c>
      <c r="C1263" s="24" t="n">
        <v>45078</v>
      </c>
      <c r="D1263" s="24" t="n">
        <v>45107</v>
      </c>
      <c r="E1263" s="25">
        <f>D1263-C1263+1</f>
        <v/>
      </c>
      <c r="F1263" s="319">
        <f>J1262</f>
        <v/>
      </c>
      <c r="G1263" s="319">
        <f>-PMT($D$1240/$D$1242,21,$F$1252,,0)</f>
        <v/>
      </c>
      <c r="H1263" s="319">
        <f>$D$1167/$D$1169*F1263</f>
        <v/>
      </c>
      <c r="I1263" s="319">
        <f>G1263-H1263</f>
        <v/>
      </c>
      <c r="J1263" s="319">
        <f>F1263-I1263</f>
        <v/>
      </c>
      <c r="K1263" s="516" t="n"/>
      <c r="L1263" s="519">
        <f>L1262+G1263</f>
        <v/>
      </c>
    </row>
    <row r="1264">
      <c r="B1264" s="1" t="n">
        <v>16</v>
      </c>
      <c r="C1264" s="24" t="n">
        <v>45108</v>
      </c>
      <c r="D1264" s="24" t="n">
        <v>45138</v>
      </c>
      <c r="E1264" s="25">
        <f>D1264-C1264+1</f>
        <v/>
      </c>
      <c r="F1264" s="319">
        <f>J1263</f>
        <v/>
      </c>
      <c r="G1264" s="319">
        <f>-PMT($D$1240/$D$1242,21,$F$1252,,0)</f>
        <v/>
      </c>
      <c r="H1264" s="319">
        <f>$D$1167/$D$1169*F1264</f>
        <v/>
      </c>
      <c r="I1264" s="319">
        <f>G1264-H1264</f>
        <v/>
      </c>
      <c r="J1264" s="319">
        <f>F1264-I1264</f>
        <v/>
      </c>
      <c r="K1264" s="516" t="n"/>
      <c r="L1264" s="519">
        <f>L1263+G1264</f>
        <v/>
      </c>
    </row>
    <row r="1265">
      <c r="B1265" s="1" t="n">
        <v>17</v>
      </c>
      <c r="C1265" s="24" t="n">
        <v>45139</v>
      </c>
      <c r="D1265" s="24" t="n">
        <v>45169</v>
      </c>
      <c r="E1265" s="25">
        <f>D1265-C1265+1</f>
        <v/>
      </c>
      <c r="F1265" s="319">
        <f>J1264</f>
        <v/>
      </c>
      <c r="G1265" s="319">
        <f>-PMT($D$1240/$D$1242,21,$F$1252,,0)</f>
        <v/>
      </c>
      <c r="H1265" s="319">
        <f>$D$1167/$D$1169*F1265</f>
        <v/>
      </c>
      <c r="I1265" s="319">
        <f>G1265-H1265</f>
        <v/>
      </c>
      <c r="J1265" s="319">
        <f>F1265-I1265</f>
        <v/>
      </c>
      <c r="K1265" s="516" t="n">
        <v>280000</v>
      </c>
      <c r="L1265" s="516">
        <f>L1264+G1265</f>
        <v/>
      </c>
    </row>
    <row r="1266">
      <c r="B1266" s="1" t="n">
        <v>18</v>
      </c>
      <c r="C1266" s="24" t="n">
        <v>45170</v>
      </c>
      <c r="D1266" s="24" t="n">
        <v>45199</v>
      </c>
      <c r="E1266" s="25">
        <f>D1266-C1266+1</f>
        <v/>
      </c>
      <c r="F1266" s="319">
        <f>J1265</f>
        <v/>
      </c>
      <c r="G1266" s="319">
        <f>-PMT($D$1240/$D$1242,21,$F$1252,,0)</f>
        <v/>
      </c>
      <c r="H1266" s="319">
        <f>$D$1167/$D$1169*F1266</f>
        <v/>
      </c>
      <c r="I1266" s="319">
        <f>G1266-H1266</f>
        <v/>
      </c>
      <c r="J1266" s="319">
        <f>F1266-I1266</f>
        <v/>
      </c>
      <c r="K1266" s="516" t="n"/>
      <c r="L1266" s="516">
        <f>L1265+G1266</f>
        <v/>
      </c>
    </row>
    <row r="1267">
      <c r="B1267" s="1" t="n">
        <v>19</v>
      </c>
      <c r="C1267" s="24" t="n">
        <v>45200</v>
      </c>
      <c r="D1267" s="24" t="n">
        <v>45230</v>
      </c>
      <c r="E1267" s="25">
        <f>D1267-C1267+1</f>
        <v/>
      </c>
      <c r="F1267" s="319">
        <f>J1266</f>
        <v/>
      </c>
      <c r="G1267" s="319">
        <f>-PMT($D$1240/$D$1242,21,$F$1252,,0)</f>
        <v/>
      </c>
      <c r="H1267" s="319">
        <f>$D$1167/$D$1169*F1267</f>
        <v/>
      </c>
      <c r="I1267" s="319">
        <f>G1267-H1267</f>
        <v/>
      </c>
      <c r="J1267" s="319">
        <f>F1267-I1267+L1267</f>
        <v/>
      </c>
      <c r="K1267" s="516" t="n"/>
      <c r="L1267" s="516">
        <f>L1266+G1267</f>
        <v/>
      </c>
    </row>
    <row r="1268">
      <c r="B1268" s="1" t="n">
        <v>20</v>
      </c>
      <c r="C1268" s="24" t="n">
        <v>45231</v>
      </c>
      <c r="D1268" s="24" t="n">
        <v>45260</v>
      </c>
      <c r="E1268" s="25">
        <f>D1268-C1268+1</f>
        <v/>
      </c>
      <c r="F1268" s="319">
        <f>J1267</f>
        <v/>
      </c>
      <c r="G1268" s="319">
        <f>-PMT($D$1240/$D$1242,17,$F$1268,,0)</f>
        <v/>
      </c>
      <c r="H1268" s="319">
        <f>$D$1167/$D$1169*F1268</f>
        <v/>
      </c>
      <c r="I1268" s="319">
        <f>G1268-H1268</f>
        <v/>
      </c>
      <c r="J1268" s="319">
        <f>F1268-I1268</f>
        <v/>
      </c>
      <c r="K1268" s="516" t="n"/>
      <c r="L1268" s="516">
        <f>L1267+G1268</f>
        <v/>
      </c>
    </row>
    <row r="1269">
      <c r="B1269" s="1" t="n">
        <v>21</v>
      </c>
      <c r="C1269" s="24" t="n">
        <v>45261</v>
      </c>
      <c r="D1269" s="24" t="n">
        <v>45291</v>
      </c>
      <c r="E1269" s="25">
        <f>D1269-C1269+1</f>
        <v/>
      </c>
      <c r="F1269" s="319">
        <f>J1268</f>
        <v/>
      </c>
      <c r="G1269" s="319">
        <f>-PMT($D$1240/$D$1242,17,$F$1268,,0)</f>
        <v/>
      </c>
      <c r="H1269" s="319">
        <f>$D$1167/$D$1169*F1269</f>
        <v/>
      </c>
      <c r="I1269" s="319">
        <f>G1269-H1269</f>
        <v/>
      </c>
      <c r="J1269" s="319">
        <f>F1269-I1269</f>
        <v/>
      </c>
      <c r="K1269" s="516" t="n">
        <v>2000000</v>
      </c>
      <c r="L1269" s="516">
        <f>G1269-K1269</f>
        <v/>
      </c>
    </row>
    <row r="1270">
      <c r="B1270" s="1" t="n">
        <v>22</v>
      </c>
      <c r="C1270" s="24" t="n">
        <v>45292</v>
      </c>
      <c r="D1270" s="24" t="n">
        <v>45322</v>
      </c>
      <c r="E1270" s="25">
        <f>D1270-C1270+1</f>
        <v/>
      </c>
      <c r="F1270" s="319">
        <f>J1269</f>
        <v/>
      </c>
      <c r="G1270" s="319">
        <f>-PMT($D$1240/$D$1242,17,$F$1268,,0)</f>
        <v/>
      </c>
      <c r="H1270" s="319">
        <f>$D$1167/$D$1169*F1270</f>
        <v/>
      </c>
      <c r="I1270" s="319">
        <f>G1270-H1270</f>
        <v/>
      </c>
      <c r="J1270" s="319">
        <f>F1270-I1270</f>
        <v/>
      </c>
      <c r="K1270" s="516" t="n">
        <v>700000</v>
      </c>
      <c r="L1270" s="516">
        <f>L1269+G1270-K1270</f>
        <v/>
      </c>
    </row>
    <row r="1271">
      <c r="B1271" s="1" t="n">
        <v>23</v>
      </c>
      <c r="C1271" s="24" t="n">
        <v>45323</v>
      </c>
      <c r="D1271" s="24" t="n">
        <v>45350</v>
      </c>
      <c r="E1271" s="25">
        <f>D1271-C1271+1</f>
        <v/>
      </c>
      <c r="F1271" s="319">
        <f>J1270</f>
        <v/>
      </c>
      <c r="G1271" s="319">
        <f>-PMT($D$1240/$D$1242,17,$F$1268,,0)</f>
        <v/>
      </c>
      <c r="H1271" s="319">
        <f>$D$1167/$D$1169*F1271</f>
        <v/>
      </c>
      <c r="I1271" s="319">
        <f>G1271-H1271</f>
        <v/>
      </c>
      <c r="J1271" s="319">
        <f>F1271-I1271</f>
        <v/>
      </c>
      <c r="K1271" s="516" t="n"/>
      <c r="L1271" s="516">
        <f>L1270+G1271-K1271</f>
        <v/>
      </c>
    </row>
    <row r="1272">
      <c r="B1272" s="1" t="n">
        <v>24</v>
      </c>
      <c r="C1272" s="24" t="n">
        <v>45352</v>
      </c>
      <c r="D1272" s="24" t="n">
        <v>45382</v>
      </c>
      <c r="E1272" s="25">
        <f>D1272-C1272+1</f>
        <v/>
      </c>
      <c r="F1272" s="319">
        <f>J1271</f>
        <v/>
      </c>
      <c r="G1272" s="319">
        <f>-PMT($D$1240/$D$1242,17,$F$1268,,0)</f>
        <v/>
      </c>
      <c r="H1272" s="319">
        <f>$D$1167/$D$1169*F1272</f>
        <v/>
      </c>
      <c r="I1272" s="319">
        <f>G1272-H1272</f>
        <v/>
      </c>
      <c r="J1272" s="319">
        <f>F1272-I1272</f>
        <v/>
      </c>
      <c r="K1272" s="516" t="n"/>
      <c r="L1272" s="516">
        <f>L1271+G1272-K1272</f>
        <v/>
      </c>
    </row>
    <row r="1273">
      <c r="B1273" s="1" t="n">
        <v>25</v>
      </c>
      <c r="C1273" s="24" t="n">
        <v>45383</v>
      </c>
      <c r="D1273" s="24" t="n">
        <v>45412</v>
      </c>
      <c r="E1273" s="25">
        <f>D1273-C1273+1</f>
        <v/>
      </c>
      <c r="F1273" s="319">
        <f>J1272</f>
        <v/>
      </c>
      <c r="G1273" s="319">
        <f>-PMT($D$1240/$D$1242,17,$F$1268,,0)</f>
        <v/>
      </c>
      <c r="H1273" s="319">
        <f>$D$1167/$D$1169*F1273</f>
        <v/>
      </c>
      <c r="I1273" s="319">
        <f>G1273-H1273</f>
        <v/>
      </c>
      <c r="J1273" s="319">
        <f>F1273-I1273</f>
        <v/>
      </c>
      <c r="K1273" s="516" t="n"/>
      <c r="L1273" s="516">
        <f>L1272+G1273-K1273</f>
        <v/>
      </c>
    </row>
    <row r="1274">
      <c r="B1274" s="1" t="n">
        <v>26</v>
      </c>
      <c r="C1274" s="24" t="n">
        <v>45413</v>
      </c>
      <c r="D1274" s="24" t="n">
        <v>45443</v>
      </c>
      <c r="E1274" s="25">
        <f>D1273-C1274+1</f>
        <v/>
      </c>
      <c r="F1274" s="319">
        <f>J1273</f>
        <v/>
      </c>
      <c r="G1274" s="319">
        <f>-PMT($D$1240/$D$1242,17,$F$1268,,0)</f>
        <v/>
      </c>
      <c r="H1274" s="319">
        <f>$D$1167/$D$1169*F1274</f>
        <v/>
      </c>
      <c r="I1274" s="319">
        <f>G1274-H1274</f>
        <v/>
      </c>
      <c r="J1274" s="319">
        <f>F1274-I1274</f>
        <v/>
      </c>
      <c r="K1274" s="516" t="n"/>
      <c r="L1274" s="516">
        <f>L1273+G1274-K1274</f>
        <v/>
      </c>
    </row>
    <row r="1275">
      <c r="B1275" s="1" t="n">
        <v>27</v>
      </c>
      <c r="C1275" s="24" t="n">
        <v>45444</v>
      </c>
      <c r="D1275" s="24" t="n">
        <v>45473</v>
      </c>
      <c r="E1275" s="25">
        <f>D1274-C1275+1</f>
        <v/>
      </c>
      <c r="F1275" s="319">
        <f>J1274</f>
        <v/>
      </c>
      <c r="G1275" s="319">
        <f>-PMT($D$1240/$D$1242,17,$F$1268,,0)</f>
        <v/>
      </c>
      <c r="H1275" s="319">
        <f>$D$1167/$D$1169*F1275</f>
        <v/>
      </c>
      <c r="I1275" s="319">
        <f>G1275-H1275</f>
        <v/>
      </c>
      <c r="J1275" s="319">
        <f>F1275-I1275</f>
        <v/>
      </c>
      <c r="K1275" s="516" t="n"/>
      <c r="L1275" s="516">
        <f>L1274+G1275-K1275</f>
        <v/>
      </c>
    </row>
    <row r="1276">
      <c r="B1276" s="1" t="n">
        <v>28</v>
      </c>
      <c r="C1276" s="24" t="n">
        <v>45474</v>
      </c>
      <c r="D1276" s="24" t="n">
        <v>45504</v>
      </c>
      <c r="E1276" s="25">
        <f>D1275-C1276+1</f>
        <v/>
      </c>
      <c r="F1276" s="319">
        <f>J1275</f>
        <v/>
      </c>
      <c r="G1276" s="319">
        <f>-PMT($D$1240/$D$1242,17,$F$1268,,0)</f>
        <v/>
      </c>
      <c r="H1276" s="319">
        <f>$D$1167/$D$1169*F1276</f>
        <v/>
      </c>
      <c r="I1276" s="319">
        <f>G1276-H1276</f>
        <v/>
      </c>
      <c r="J1276" s="319">
        <f>F1276-I1276</f>
        <v/>
      </c>
      <c r="K1276" s="516" t="n"/>
      <c r="L1276" s="516">
        <f>L1275+G1276-K1276</f>
        <v/>
      </c>
    </row>
    <row r="1277">
      <c r="B1277" s="1" t="n">
        <v>29</v>
      </c>
      <c r="C1277" s="24" t="n">
        <v>45505</v>
      </c>
      <c r="D1277" s="24" t="n">
        <v>45535</v>
      </c>
      <c r="E1277" s="25">
        <f>D1276-C1277+1</f>
        <v/>
      </c>
      <c r="F1277" s="319">
        <f>J1276</f>
        <v/>
      </c>
      <c r="G1277" s="319">
        <f>-PMT($D$1240/$D$1242,17,$F$1268,,0)</f>
        <v/>
      </c>
      <c r="H1277" s="319">
        <f>$D$1167/$D$1169*F1277</f>
        <v/>
      </c>
      <c r="I1277" s="319">
        <f>G1277-H1277</f>
        <v/>
      </c>
      <c r="J1277" s="319">
        <f>F1277-I1277</f>
        <v/>
      </c>
      <c r="K1277" s="516" t="n">
        <v>1000000</v>
      </c>
      <c r="L1277" s="516">
        <f>L1276+G1277-K1277</f>
        <v/>
      </c>
    </row>
    <row r="1278">
      <c r="B1278" s="1" t="n">
        <v>30</v>
      </c>
      <c r="C1278" s="24" t="n">
        <v>45536</v>
      </c>
      <c r="D1278" s="24" t="n">
        <v>45565</v>
      </c>
      <c r="E1278" s="25">
        <f>D1277-C1278+1</f>
        <v/>
      </c>
      <c r="F1278" s="319">
        <f>J1277</f>
        <v/>
      </c>
      <c r="G1278" s="319">
        <f>-PMT($D$1240/$D$1242,17,$F$1268,,0)</f>
        <v/>
      </c>
      <c r="H1278" s="319">
        <f>$D$1167/$D$1169*F1278</f>
        <v/>
      </c>
      <c r="I1278" s="319">
        <f>G1278-H1278</f>
        <v/>
      </c>
      <c r="J1278" s="319">
        <f>F1278-I1278</f>
        <v/>
      </c>
      <c r="K1278" s="516" t="n"/>
      <c r="L1278" s="516">
        <f>L1277+G1278-K1278</f>
        <v/>
      </c>
    </row>
    <row r="1279">
      <c r="B1279" s="1" t="n">
        <v>31</v>
      </c>
      <c r="C1279" s="24" t="n">
        <v>45566</v>
      </c>
      <c r="D1279" s="24" t="n">
        <v>45596</v>
      </c>
      <c r="E1279" s="25">
        <f>D1278-C1279+1</f>
        <v/>
      </c>
      <c r="F1279" s="319">
        <f>J1278</f>
        <v/>
      </c>
      <c r="G1279" s="319">
        <f>-PMT($D$1240/$D$1242,17,$F$1268,,0)</f>
        <v/>
      </c>
      <c r="H1279" s="319">
        <f>$D$1167/$D$1169*F1279</f>
        <v/>
      </c>
      <c r="I1279" s="319">
        <f>G1279-H1279</f>
        <v/>
      </c>
      <c r="J1279" s="319">
        <f>F1279-I1279</f>
        <v/>
      </c>
      <c r="K1279" s="516" t="n">
        <v>200000</v>
      </c>
      <c r="L1279" s="523">
        <f>L1278+G1279-K1279</f>
        <v/>
      </c>
    </row>
    <row r="1280">
      <c r="B1280" s="1" t="n">
        <v>32</v>
      </c>
      <c r="C1280" s="24" t="n">
        <v>45597</v>
      </c>
      <c r="D1280" s="24" t="n">
        <v>45626</v>
      </c>
      <c r="E1280" s="25">
        <f>D1279-C1280+1</f>
        <v/>
      </c>
      <c r="F1280" s="319">
        <f>J1279</f>
        <v/>
      </c>
      <c r="G1280" s="319">
        <f>-PMT($D$1240/$D$1242,17,$F$1268,,0)</f>
        <v/>
      </c>
      <c r="H1280" s="319">
        <f>$D$1167/$D$1169*F1280</f>
        <v/>
      </c>
      <c r="I1280" s="319">
        <f>G1280-H1280</f>
        <v/>
      </c>
      <c r="J1280" s="319">
        <f>F1280-I1280</f>
        <v/>
      </c>
      <c r="K1280" s="516" t="n"/>
      <c r="L1280" s="516" t="n"/>
    </row>
    <row r="1281">
      <c r="B1281" s="1" t="n">
        <v>33</v>
      </c>
      <c r="C1281" s="24" t="n">
        <v>45627</v>
      </c>
      <c r="D1281" s="24" t="n">
        <v>45657</v>
      </c>
      <c r="E1281" s="25">
        <f>D1280-C1281+1</f>
        <v/>
      </c>
      <c r="F1281" s="319">
        <f>J1280</f>
        <v/>
      </c>
      <c r="G1281" s="319">
        <f>-PMT($D$1240/$D$1242,17,$F$1268,,0)</f>
        <v/>
      </c>
      <c r="H1281" s="319">
        <f>$D$1167/$D$1169*F1281</f>
        <v/>
      </c>
      <c r="I1281" s="319">
        <f>G1281-H1281</f>
        <v/>
      </c>
      <c r="J1281" s="319">
        <f>F1281-I1281</f>
        <v/>
      </c>
      <c r="K1281" s="516" t="n"/>
      <c r="L1281" s="516" t="n"/>
    </row>
    <row r="1282">
      <c r="B1282" s="1" t="n">
        <v>34</v>
      </c>
      <c r="C1282" s="24" t="n">
        <v>45658</v>
      </c>
      <c r="D1282" s="24" t="n">
        <v>45688</v>
      </c>
      <c r="E1282" s="25">
        <f>D1281-C1282+1</f>
        <v/>
      </c>
      <c r="F1282" s="319">
        <f>J1281</f>
        <v/>
      </c>
      <c r="G1282" s="319">
        <f>-PMT($D$1240/$D$1242,17,$F$1268,,0)</f>
        <v/>
      </c>
      <c r="H1282" s="319">
        <f>$D$1167/$D$1169*F1282</f>
        <v/>
      </c>
      <c r="I1282" s="319">
        <f>G1282-H1282</f>
        <v/>
      </c>
      <c r="J1282" s="319">
        <f>F1282-I1282</f>
        <v/>
      </c>
      <c r="K1282" s="516" t="n"/>
      <c r="L1282" s="516" t="n"/>
    </row>
    <row r="1283">
      <c r="B1283" s="1" t="n">
        <v>35</v>
      </c>
      <c r="C1283" s="24" t="n">
        <v>45689</v>
      </c>
      <c r="D1283" s="24" t="n">
        <v>45716</v>
      </c>
      <c r="E1283" s="25">
        <f>D1282-C1283+1</f>
        <v/>
      </c>
      <c r="F1283" s="319">
        <f>J1282</f>
        <v/>
      </c>
      <c r="G1283" s="319">
        <f>-PMT($D$1240/$D$1242,17,$F$1268,,0)</f>
        <v/>
      </c>
      <c r="H1283" s="319">
        <f>$D$1167/$D$1169*F1283</f>
        <v/>
      </c>
      <c r="I1283" s="319">
        <f>G1283-H1283</f>
        <v/>
      </c>
      <c r="J1283" s="319">
        <f>F1283-I1283</f>
        <v/>
      </c>
      <c r="K1283" s="516" t="n"/>
      <c r="L1283" s="516" t="n"/>
    </row>
    <row r="1284">
      <c r="B1284" s="1" t="n">
        <v>36</v>
      </c>
      <c r="C1284" s="24" t="n">
        <v>45717</v>
      </c>
      <c r="D1284" s="24" t="n">
        <v>45747</v>
      </c>
      <c r="E1284" s="25">
        <f>D1283-C1284+1</f>
        <v/>
      </c>
      <c r="F1284" s="319">
        <f>J1283</f>
        <v/>
      </c>
      <c r="G1284" s="319">
        <f>-PMT($D$1240/$D$1242,17,$F$1268,,0)</f>
        <v/>
      </c>
      <c r="H1284" s="319">
        <f>$D$1167/$D$1169*F1284</f>
        <v/>
      </c>
      <c r="I1284" s="319">
        <f>G1284-H1284</f>
        <v/>
      </c>
      <c r="J1284" s="319">
        <f>F1284-I1284</f>
        <v/>
      </c>
      <c r="K1284" s="516" t="n"/>
      <c r="L1284" s="516" t="n"/>
    </row>
    <row r="1286" ht="14.25" customHeight="1">
      <c r="B1286" s="1" t="n"/>
      <c r="C1286" s="1" t="n"/>
      <c r="D1286" s="1" t="n"/>
      <c r="E1286" s="30">
        <f>SUM(E1248:E1272)</f>
        <v/>
      </c>
      <c r="F1286" s="319" t="n"/>
      <c r="G1286" s="319" t="n"/>
      <c r="H1286" s="319" t="n"/>
      <c r="I1286" s="319" t="n"/>
      <c r="J1286" s="319" t="n"/>
      <c r="K1286" s="1" t="n"/>
      <c r="L1286" s="1" t="n"/>
    </row>
    <row r="1289" hidden="1"/>
    <row r="1290" hidden="1" ht="15.75" customHeight="1"/>
    <row r="1291" hidden="1">
      <c r="B1291" s="1" t="n"/>
      <c r="C1291" s="9" t="inlineStr">
        <is>
          <t>Malawi Fertilizer Co</t>
        </is>
      </c>
      <c r="D1291" s="319" t="n"/>
      <c r="E1291" s="319" t="n"/>
      <c r="F1291" s="319" t="n"/>
      <c r="G1291" s="319" t="n"/>
      <c r="H1291" s="319" t="n"/>
      <c r="I1291" s="319" t="n"/>
      <c r="J1291" s="319" t="n"/>
      <c r="K1291" s="319" t="n"/>
      <c r="L1291" s="319" t="n"/>
    </row>
    <row r="1292" hidden="1">
      <c r="B1292" s="1" t="n"/>
      <c r="C1292" s="1" t="n"/>
      <c r="D1292" s="319" t="inlineStr">
        <is>
          <t>First drawdown</t>
        </is>
      </c>
      <c r="E1292" s="319" t="n"/>
      <c r="F1292" s="319" t="inlineStr">
        <is>
          <t>2nd draw down</t>
        </is>
      </c>
      <c r="G1292" s="319" t="n">
        <v>44866</v>
      </c>
      <c r="H1292" s="319" t="n">
        <v>45017</v>
      </c>
      <c r="I1292" s="319" t="n"/>
      <c r="J1292" s="319" t="n"/>
      <c r="K1292" s="319" t="n"/>
      <c r="L1292" s="319" t="n"/>
    </row>
    <row r="1293" hidden="1">
      <c r="B1293" s="1" t="n"/>
      <c r="C1293" s="10" t="inlineStr">
        <is>
          <t>Principal (USD)</t>
        </is>
      </c>
      <c r="D1293" s="11" t="n">
        <v>419543.1</v>
      </c>
      <c r="E1293" s="319" t="n"/>
      <c r="F1293" s="319" t="n">
        <v>123979.07</v>
      </c>
      <c r="G1293" s="319">
        <f>3.8%+8%</f>
        <v/>
      </c>
      <c r="H1293" s="319">
        <f>5.4%+8%</f>
        <v/>
      </c>
      <c r="I1293" s="319" t="n"/>
      <c r="J1293" s="319" t="n"/>
      <c r="K1293" s="319" t="n"/>
      <c r="L1293" s="319" t="n"/>
    </row>
    <row r="1294" hidden="1">
      <c r="B1294" s="1" t="n"/>
      <c r="C1294" s="13" t="inlineStr">
        <is>
          <t>Rate</t>
        </is>
      </c>
      <c r="D1294" s="14" t="n">
        <v>0.0936</v>
      </c>
      <c r="E1294" s="257" t="n"/>
      <c r="F1294" s="319" t="n"/>
      <c r="G1294" s="319" t="n"/>
      <c r="H1294" s="319" t="n"/>
      <c r="I1294" s="319" t="n"/>
      <c r="J1294" s="319" t="n"/>
      <c r="K1294" s="319" t="n"/>
      <c r="L1294" s="319" t="n"/>
    </row>
    <row r="1295" hidden="1">
      <c r="B1295" s="1" t="n"/>
      <c r="C1295" s="13" t="inlineStr">
        <is>
          <t>n</t>
        </is>
      </c>
      <c r="D1295" s="16" t="n">
        <v>6</v>
      </c>
      <c r="E1295" s="1" t="n"/>
      <c r="F1295" s="319" t="n"/>
      <c r="G1295" s="319" t="n"/>
      <c r="H1295" s="319" t="n"/>
      <c r="I1295" s="319" t="n"/>
      <c r="J1295" s="319" t="n"/>
      <c r="K1295" s="1" t="n"/>
      <c r="L1295" s="1" t="n"/>
    </row>
    <row r="1296" hidden="1">
      <c r="B1296" s="1" t="n"/>
      <c r="C1296" s="13" t="inlineStr">
        <is>
          <t>Per</t>
        </is>
      </c>
      <c r="D1296" s="16" t="n">
        <v>12</v>
      </c>
      <c r="E1296" s="1" t="n"/>
      <c r="F1296" s="319" t="n"/>
      <c r="G1296" s="319" t="n"/>
      <c r="H1296" s="319" t="n"/>
      <c r="I1296" s="319" t="n"/>
      <c r="J1296" s="319" t="n"/>
      <c r="K1296" s="1" t="n"/>
      <c r="L1296" s="1" t="n"/>
    </row>
    <row r="1297" hidden="1">
      <c r="B1297" s="1" t="n"/>
      <c r="C1297" s="13" t="inlineStr">
        <is>
          <t>nPer</t>
        </is>
      </c>
      <c r="D1297" s="515">
        <f>D1295*D1296</f>
        <v/>
      </c>
      <c r="E1297" s="1" t="n"/>
      <c r="F1297" s="319" t="n"/>
      <c r="G1297" s="319" t="n"/>
      <c r="H1297" s="319" t="n"/>
      <c r="I1297" s="319" t="n"/>
      <c r="J1297" s="319" t="n"/>
      <c r="K1297" s="1" t="n"/>
      <c r="L1297" s="1" t="n"/>
    </row>
    <row r="1298" hidden="1">
      <c r="B1298" s="1" t="n"/>
      <c r="C1298" s="13" t="inlineStr">
        <is>
          <t>Days in a year</t>
        </is>
      </c>
      <c r="D1298" s="18" t="n">
        <v>365</v>
      </c>
      <c r="E1298" s="1" t="n"/>
      <c r="F1298" s="319" t="n"/>
      <c r="G1298" s="319" t="n"/>
      <c r="H1298" s="319" t="n"/>
      <c r="I1298" s="319" t="n"/>
      <c r="J1298" s="319" t="n"/>
      <c r="K1298" s="1" t="n"/>
      <c r="L1298" s="1" t="n"/>
    </row>
    <row r="1299" hidden="1">
      <c r="B1299" s="1" t="n"/>
      <c r="C1299" s="19" t="inlineStr">
        <is>
          <t>Pmt (MK)</t>
        </is>
      </c>
      <c r="D1299" s="20">
        <f>-PMT(D1294/D1296,D1297,D1293,0,0)</f>
        <v/>
      </c>
      <c r="E1299" s="319" t="n"/>
      <c r="F1299" s="319" t="n"/>
      <c r="G1299" s="319" t="n"/>
      <c r="H1299" s="319" t="n"/>
      <c r="I1299" s="319" t="n"/>
      <c r="J1299" s="319" t="n"/>
      <c r="K1299" s="1" t="n"/>
      <c r="L1299" s="1" t="n"/>
    </row>
    <row r="1300" hidden="1">
      <c r="B1300" s="1" t="n"/>
      <c r="C1300" s="1" t="n"/>
      <c r="D1300" s="319" t="n"/>
      <c r="E1300" s="319" t="n"/>
      <c r="F1300" s="319" t="n"/>
      <c r="G1300" s="319" t="n"/>
      <c r="H1300" s="319" t="n"/>
      <c r="I1300" s="319" t="n"/>
      <c r="J1300" s="319" t="n"/>
      <c r="K1300" s="1" t="n"/>
      <c r="L1300" s="1" t="n"/>
    </row>
    <row r="1301" hidden="1">
      <c r="B1301" s="1" t="n"/>
      <c r="C1301" s="21" t="inlineStr">
        <is>
          <t>Period Start</t>
        </is>
      </c>
      <c r="D1301" s="22" t="inlineStr">
        <is>
          <t>Period End</t>
        </is>
      </c>
      <c r="E1301" s="22" t="inlineStr">
        <is>
          <t>Days</t>
        </is>
      </c>
      <c r="F1301" s="294" t="inlineStr">
        <is>
          <t>Opening bal.</t>
        </is>
      </c>
      <c r="G1301" s="294" t="inlineStr">
        <is>
          <t>Pmt</t>
        </is>
      </c>
      <c r="H1301" s="294" t="inlineStr">
        <is>
          <t>Interest</t>
        </is>
      </c>
      <c r="I1301" s="294" t="inlineStr">
        <is>
          <t>Principal</t>
        </is>
      </c>
      <c r="J1301" s="294" t="inlineStr">
        <is>
          <t>Closing balance</t>
        </is>
      </c>
      <c r="K1301" s="23" t="inlineStr">
        <is>
          <t>Amount Repaid</t>
        </is>
      </c>
      <c r="L1301" s="23" t="inlineStr">
        <is>
          <t>Accumulated Arrears</t>
        </is>
      </c>
    </row>
    <row r="1302" hidden="1">
      <c r="B1302" s="1" t="n">
        <v>0</v>
      </c>
      <c r="C1302" s="24" t="n">
        <v>44631</v>
      </c>
      <c r="D1302" s="24" t="n">
        <v>44651</v>
      </c>
      <c r="E1302" s="25">
        <f>D1302-C1302+1</f>
        <v/>
      </c>
      <c r="F1302" s="319">
        <f>D1293</f>
        <v/>
      </c>
      <c r="G1302" s="319" t="n"/>
      <c r="H1302" s="319">
        <f>F1302*E1302*D1294/D1298</f>
        <v/>
      </c>
      <c r="I1302" s="319">
        <f>G1302-H1302</f>
        <v/>
      </c>
      <c r="J1302" s="319">
        <f>F1302-I1302</f>
        <v/>
      </c>
      <c r="K1302" s="516" t="n"/>
      <c r="L1302" s="516" t="n"/>
    </row>
    <row r="1303" hidden="1">
      <c r="B1303" s="1" t="n">
        <v>1</v>
      </c>
      <c r="C1303" s="24" t="n">
        <v>44652</v>
      </c>
      <c r="D1303" s="24" t="n">
        <v>44681</v>
      </c>
      <c r="E1303" s="25">
        <f>D1303-C1303+1</f>
        <v/>
      </c>
      <c r="F1303" s="319">
        <f>J1302</f>
        <v/>
      </c>
      <c r="G1303" s="319" t="n"/>
      <c r="H1303" s="319">
        <f>$D$1294/$D$1296*F1303</f>
        <v/>
      </c>
      <c r="I1303" s="319">
        <f>G1303-H1303</f>
        <v/>
      </c>
      <c r="J1303" s="319">
        <f>F1303-I1303</f>
        <v/>
      </c>
      <c r="K1303" s="516" t="n"/>
      <c r="L1303" s="516" t="n"/>
    </row>
    <row r="1304" hidden="1">
      <c r="B1304" s="1" t="n">
        <v>2</v>
      </c>
      <c r="C1304" s="24" t="n">
        <v>44682</v>
      </c>
      <c r="D1304" s="24" t="n">
        <v>44712</v>
      </c>
      <c r="E1304" s="25">
        <f>D1304-C1304+1</f>
        <v/>
      </c>
      <c r="F1304" s="319">
        <f>J1303</f>
        <v/>
      </c>
      <c r="G1304" s="319" t="n"/>
      <c r="H1304" s="319">
        <f>$D$1294/$D$1296*F1304</f>
        <v/>
      </c>
      <c r="I1304" s="319">
        <f>G1304-H1304</f>
        <v/>
      </c>
      <c r="J1304" s="319">
        <f>F1304-I1304</f>
        <v/>
      </c>
      <c r="K1304" s="516" t="n"/>
      <c r="L1304" s="516" t="n"/>
    </row>
    <row r="1305" hidden="1">
      <c r="B1305" s="1" t="n">
        <v>3</v>
      </c>
      <c r="C1305" s="24" t="n">
        <v>44713</v>
      </c>
      <c r="D1305" s="24" t="n">
        <v>44742</v>
      </c>
      <c r="E1305" s="25">
        <f>D1305-C1305+1</f>
        <v/>
      </c>
      <c r="F1305" s="319">
        <f>J1304</f>
        <v/>
      </c>
      <c r="G1305" s="319" t="n"/>
      <c r="H1305" s="319">
        <f>$D$1294/$D$1296*F1305</f>
        <v/>
      </c>
      <c r="I1305" s="319">
        <f>G1305-H1305</f>
        <v/>
      </c>
      <c r="J1305" s="319">
        <f>F1305-I1305</f>
        <v/>
      </c>
    </row>
    <row r="1306" hidden="1">
      <c r="B1306" s="1" t="n">
        <v>4</v>
      </c>
      <c r="C1306" s="24" t="n">
        <v>44743</v>
      </c>
      <c r="D1306" s="24" t="n">
        <v>44773</v>
      </c>
      <c r="E1306" s="25">
        <f>D1306-C1306+1</f>
        <v/>
      </c>
      <c r="F1306" s="319">
        <f>J1305+F1293</f>
        <v/>
      </c>
      <c r="G1306" s="319" t="n"/>
      <c r="H1306" s="319">
        <f>$D$1294/$D$1296*F1306</f>
        <v/>
      </c>
      <c r="I1306" s="319">
        <f>G1306-H1306</f>
        <v/>
      </c>
      <c r="J1306" s="319">
        <f>F1306-I1306</f>
        <v/>
      </c>
      <c r="K1306" s="516" t="n"/>
      <c r="L1306" s="516" t="n"/>
    </row>
    <row r="1307" hidden="1">
      <c r="B1307" s="1" t="n">
        <v>5</v>
      </c>
      <c r="C1307" s="24" t="n">
        <v>44774</v>
      </c>
      <c r="D1307" s="24" t="n">
        <v>44804</v>
      </c>
      <c r="E1307" s="25">
        <f>D1307-C1307+1</f>
        <v/>
      </c>
      <c r="F1307" s="319">
        <f>J1306</f>
        <v/>
      </c>
      <c r="G1307" s="319" t="n"/>
      <c r="H1307" s="319">
        <f>$D$1294/$D$1296*F1307</f>
        <v/>
      </c>
      <c r="I1307" s="319">
        <f>G1307-H1307</f>
        <v/>
      </c>
      <c r="J1307" s="319">
        <f>F1307-I1307</f>
        <v/>
      </c>
      <c r="K1307" s="516" t="n"/>
      <c r="L1307" s="516" t="n"/>
    </row>
    <row r="1308" hidden="1">
      <c r="B1308" s="1" t="n">
        <v>6</v>
      </c>
      <c r="C1308" s="24" t="n">
        <v>44805</v>
      </c>
      <c r="D1308" s="24" t="n">
        <v>44834</v>
      </c>
      <c r="E1308" s="25">
        <f>D1308-C1308+1</f>
        <v/>
      </c>
      <c r="F1308" s="319">
        <f>J1307</f>
        <v/>
      </c>
      <c r="G1308" s="319" t="n"/>
      <c r="H1308" s="319">
        <f>$D$1294/$D$1296*F1308</f>
        <v/>
      </c>
      <c r="I1308" s="319">
        <f>G1308-H1308</f>
        <v/>
      </c>
      <c r="J1308" s="319">
        <f>F1308-I1308</f>
        <v/>
      </c>
      <c r="K1308" s="516" t="n"/>
      <c r="L1308" s="516" t="n"/>
    </row>
    <row r="1309" hidden="1">
      <c r="B1309" s="1" t="n">
        <v>7</v>
      </c>
      <c r="C1309" s="24" t="n">
        <v>44835</v>
      </c>
      <c r="D1309" s="24" t="n">
        <v>44865</v>
      </c>
      <c r="E1309" s="25">
        <f>D1309-C1309+1</f>
        <v/>
      </c>
      <c r="F1309" s="319">
        <f>J1308</f>
        <v/>
      </c>
      <c r="G1309" s="319" t="n"/>
      <c r="H1309" s="319">
        <f>$D$1294/$D$1296*F1309</f>
        <v/>
      </c>
      <c r="I1309" s="319">
        <f>G1309-H1309</f>
        <v/>
      </c>
      <c r="J1309" s="319">
        <f>F1309-I1309</f>
        <v/>
      </c>
      <c r="K1309" s="516" t="n"/>
      <c r="L1309" s="519" t="n"/>
    </row>
    <row r="1310" hidden="1">
      <c r="B1310" s="1" t="n">
        <v>8</v>
      </c>
      <c r="C1310" s="24" t="n">
        <v>44866</v>
      </c>
      <c r="D1310" s="24" t="n">
        <v>44895</v>
      </c>
      <c r="E1310" s="25">
        <f>D1310-C1310+1</f>
        <v/>
      </c>
      <c r="F1310" s="319">
        <f>J1309</f>
        <v/>
      </c>
      <c r="G1310" s="319" t="n"/>
      <c r="H1310" s="319">
        <f>$G$1293/$D$1296*F1310</f>
        <v/>
      </c>
      <c r="I1310" s="319">
        <f>G1310-H1310</f>
        <v/>
      </c>
      <c r="J1310" s="319">
        <f>F1310-I1310</f>
        <v/>
      </c>
      <c r="K1310" s="516" t="n"/>
      <c r="L1310" s="516" t="n"/>
    </row>
    <row r="1311" hidden="1">
      <c r="B1311" s="1" t="n">
        <v>9</v>
      </c>
      <c r="C1311" s="24" t="n">
        <v>44896</v>
      </c>
      <c r="D1311" s="24" t="n">
        <v>44926</v>
      </c>
      <c r="E1311" s="25">
        <f>D1311-C1311+1</f>
        <v/>
      </c>
      <c r="F1311" s="319">
        <f>J1310</f>
        <v/>
      </c>
      <c r="G1311" s="319" t="n"/>
      <c r="H1311" s="319">
        <f>$G$1293/$D$1296*F1311</f>
        <v/>
      </c>
      <c r="I1311" s="319">
        <f>G1311-H1311</f>
        <v/>
      </c>
      <c r="J1311" s="319">
        <f>F1311-I1311</f>
        <v/>
      </c>
      <c r="K1311" s="516" t="n"/>
      <c r="L1311" s="516" t="n"/>
    </row>
    <row r="1312" hidden="1">
      <c r="B1312" s="1" t="n">
        <v>10</v>
      </c>
      <c r="C1312" s="24" t="n">
        <v>44927</v>
      </c>
      <c r="D1312" s="24" t="n">
        <v>44957</v>
      </c>
      <c r="E1312" s="25">
        <f>D1312-C1312+1</f>
        <v/>
      </c>
      <c r="F1312" s="319">
        <f>J1311</f>
        <v/>
      </c>
      <c r="G1312" s="319" t="n"/>
      <c r="H1312" s="319">
        <f>$G$1293/$D$1296*F1312</f>
        <v/>
      </c>
      <c r="I1312" s="319">
        <f>G1312-H1312</f>
        <v/>
      </c>
      <c r="J1312" s="319">
        <f>F1312-I1312</f>
        <v/>
      </c>
      <c r="K1312" s="516" t="n"/>
      <c r="L1312" s="516">
        <f>G1312</f>
        <v/>
      </c>
    </row>
    <row r="1313" hidden="1">
      <c r="B1313" s="1" t="n">
        <v>11</v>
      </c>
      <c r="C1313" s="24" t="n">
        <v>44958</v>
      </c>
      <c r="D1313" s="24" t="n">
        <v>44985</v>
      </c>
      <c r="E1313" s="25">
        <f>D1313-C1313+1</f>
        <v/>
      </c>
      <c r="F1313" s="319">
        <f>J1312</f>
        <v/>
      </c>
      <c r="G1313" s="319" t="n"/>
      <c r="H1313" s="319">
        <f>$G$1293/$D$1296*F1313</f>
        <v/>
      </c>
      <c r="I1313" s="319">
        <f>G1313-H1313</f>
        <v/>
      </c>
      <c r="J1313" s="319">
        <f>F1313-I1313</f>
        <v/>
      </c>
      <c r="K1313" s="516" t="n"/>
      <c r="L1313" s="516">
        <f>G1313+G1312</f>
        <v/>
      </c>
    </row>
    <row r="1314" hidden="1">
      <c r="B1314" s="1" t="n">
        <v>12</v>
      </c>
      <c r="C1314" s="24" t="n">
        <v>44986</v>
      </c>
      <c r="D1314" s="24" t="n">
        <v>45016</v>
      </c>
      <c r="E1314" s="25">
        <f>D1314-C1314+1</f>
        <v/>
      </c>
      <c r="F1314" s="319">
        <f>J1313</f>
        <v/>
      </c>
      <c r="G1314" s="319" t="n"/>
      <c r="H1314" s="319">
        <f>$G$1293/$D$1296*F1314</f>
        <v/>
      </c>
      <c r="I1314" s="319">
        <f>G1314-H1314</f>
        <v/>
      </c>
      <c r="J1314" s="319">
        <f>F1314-I1314</f>
        <v/>
      </c>
      <c r="K1314" s="516" t="n"/>
      <c r="L1314" s="516">
        <f>G1314+L1313</f>
        <v/>
      </c>
    </row>
    <row r="1315" hidden="1">
      <c r="B1315" s="1" t="n">
        <v>13</v>
      </c>
      <c r="C1315" s="24" t="n">
        <v>45017</v>
      </c>
      <c r="D1315" s="24" t="n">
        <v>45046</v>
      </c>
      <c r="E1315" s="25">
        <f>D1315-C1315+1</f>
        <v/>
      </c>
      <c r="F1315" s="319">
        <f>J1314</f>
        <v/>
      </c>
      <c r="G1315" s="319" t="n"/>
      <c r="H1315" s="319">
        <f>$H$1293/$D$1296*F1315</f>
        <v/>
      </c>
      <c r="I1315" s="319">
        <f>G1315-H1315</f>
        <v/>
      </c>
      <c r="J1315" s="319">
        <f>F1315-I1315</f>
        <v/>
      </c>
      <c r="K1315" s="516" t="n"/>
      <c r="L1315" s="516">
        <f>G1315+L1314</f>
        <v/>
      </c>
    </row>
    <row r="1316" hidden="1">
      <c r="B1316" s="1" t="n">
        <v>14</v>
      </c>
      <c r="C1316" s="24" t="n">
        <v>45047</v>
      </c>
      <c r="D1316" s="24" t="n">
        <v>45077</v>
      </c>
      <c r="E1316" s="25">
        <f>D1316-C1316+1</f>
        <v/>
      </c>
      <c r="F1316" s="319">
        <f>J1315</f>
        <v/>
      </c>
      <c r="G1316" s="319" t="n"/>
      <c r="H1316" s="319">
        <f>$H$1293/$D$1296*F1316</f>
        <v/>
      </c>
      <c r="I1316" s="319">
        <f>G1316-H1316</f>
        <v/>
      </c>
      <c r="J1316" s="319">
        <f>F1316-I1316</f>
        <v/>
      </c>
      <c r="K1316" s="516" t="n"/>
      <c r="L1316" s="516">
        <f>G1316+L1315</f>
        <v/>
      </c>
    </row>
    <row r="1317" hidden="1">
      <c r="B1317" s="1" t="n">
        <v>15</v>
      </c>
      <c r="C1317" s="24" t="n">
        <v>45078</v>
      </c>
      <c r="D1317" s="24" t="n">
        <v>45107</v>
      </c>
      <c r="E1317" s="25">
        <f>D1317-C1317+1</f>
        <v/>
      </c>
      <c r="F1317" s="319">
        <f>J1316</f>
        <v/>
      </c>
      <c r="G1317" s="319" t="n"/>
      <c r="H1317" s="319">
        <f>$H$1293/$D$1296*F1317</f>
        <v/>
      </c>
      <c r="I1317" s="319">
        <f>G1317-H1317</f>
        <v/>
      </c>
      <c r="J1317" s="319">
        <f>F1317-I1317</f>
        <v/>
      </c>
      <c r="K1317" s="516" t="n"/>
      <c r="L1317" s="516">
        <f>G1317+L1316</f>
        <v/>
      </c>
      <c r="M1317" s="285">
        <f>J1317+L1317</f>
        <v/>
      </c>
    </row>
    <row r="1318" hidden="1">
      <c r="B1318" s="1" t="n">
        <v>16</v>
      </c>
      <c r="C1318" s="24" t="n">
        <v>45108</v>
      </c>
      <c r="D1318" s="24" t="n">
        <v>45138</v>
      </c>
      <c r="E1318" s="25">
        <f>D1318-C1318+1</f>
        <v/>
      </c>
      <c r="F1318" s="319">
        <f>J1317</f>
        <v/>
      </c>
      <c r="G1318" s="319">
        <f>-PMT($G$1293/$D$1296,63,$F$1312,,0)</f>
        <v/>
      </c>
      <c r="H1318" s="319">
        <f>$G$1293/$D$1296*F1318</f>
        <v/>
      </c>
      <c r="I1318" s="319">
        <f>G1318-H1318</f>
        <v/>
      </c>
      <c r="J1318" s="319">
        <f>F1318-I1318</f>
        <v/>
      </c>
      <c r="K1318" s="516" t="n"/>
      <c r="L1318" s="516" t="n"/>
    </row>
    <row r="1319" hidden="1">
      <c r="B1319" s="1" t="n">
        <v>17</v>
      </c>
      <c r="C1319" s="24" t="n">
        <v>45139</v>
      </c>
      <c r="D1319" s="24" t="n">
        <v>45169</v>
      </c>
      <c r="E1319" s="25">
        <f>D1319-C1319+1</f>
        <v/>
      </c>
      <c r="F1319" s="319">
        <f>J1318</f>
        <v/>
      </c>
      <c r="G1319" s="319">
        <f>-PMT($G$1293/$D$1296,63,$F$1312,,0)</f>
        <v/>
      </c>
      <c r="H1319" s="319">
        <f>$G$1293/$D$1296*F1319</f>
        <v/>
      </c>
      <c r="I1319" s="319">
        <f>G1319-H1319</f>
        <v/>
      </c>
      <c r="J1319" s="319">
        <f>F1319-I1319</f>
        <v/>
      </c>
      <c r="K1319" s="516" t="n"/>
      <c r="L1319" s="516" t="n"/>
      <c r="M1319" s="237" t="n"/>
    </row>
    <row r="1320" hidden="1">
      <c r="B1320" s="1" t="n">
        <v>18</v>
      </c>
      <c r="C1320" s="24" t="n">
        <v>45170</v>
      </c>
      <c r="D1320" s="24" t="n">
        <v>45199</v>
      </c>
      <c r="E1320" s="25">
        <f>D1320-C1320+1</f>
        <v/>
      </c>
      <c r="F1320" s="319">
        <f>J1319</f>
        <v/>
      </c>
      <c r="G1320" s="319">
        <f>-PMT($G$1293/$D$1296,63,$F$1312,,0)</f>
        <v/>
      </c>
      <c r="H1320" s="319">
        <f>$G$1293/$D$1296*F1320</f>
        <v/>
      </c>
      <c r="I1320" s="319">
        <f>G1320-H1320</f>
        <v/>
      </c>
      <c r="J1320" s="319">
        <f>F1320-I1320</f>
        <v/>
      </c>
      <c r="K1320" s="516" t="n"/>
      <c r="L1320" s="516" t="n"/>
    </row>
    <row r="1321" hidden="1">
      <c r="B1321" s="1" t="n">
        <v>19</v>
      </c>
      <c r="C1321" s="24" t="n">
        <v>45200</v>
      </c>
      <c r="D1321" s="24" t="n">
        <v>45230</v>
      </c>
      <c r="E1321" s="25">
        <f>D1321-C1321+1</f>
        <v/>
      </c>
      <c r="F1321" s="319">
        <f>J1320</f>
        <v/>
      </c>
      <c r="G1321" s="319">
        <f>-PMT($G$1293/$D$1296,63,$F$1312,,0)</f>
        <v/>
      </c>
      <c r="H1321" s="319">
        <f>$G$1293/$D$1296*F1321</f>
        <v/>
      </c>
      <c r="I1321" s="319">
        <f>G1321-H1321</f>
        <v/>
      </c>
      <c r="J1321" s="319">
        <f>F1321-I1321</f>
        <v/>
      </c>
      <c r="K1321" s="516" t="n"/>
      <c r="L1321" s="516" t="n"/>
    </row>
    <row r="1322" hidden="1">
      <c r="B1322" s="1" t="n">
        <v>20</v>
      </c>
      <c r="C1322" s="24" t="n">
        <v>45231</v>
      </c>
      <c r="D1322" s="24" t="n">
        <v>45260</v>
      </c>
      <c r="E1322" s="25">
        <f>D1322-C1322+1</f>
        <v/>
      </c>
      <c r="F1322" s="319">
        <f>J1321</f>
        <v/>
      </c>
      <c r="G1322" s="319">
        <f>-PMT($G$1293/$D$1296,63,$F$1312,,0)</f>
        <v/>
      </c>
      <c r="H1322" s="319">
        <f>$G$1293/$D$1296*F1322</f>
        <v/>
      </c>
      <c r="I1322" s="319">
        <f>G1322-H1322</f>
        <v/>
      </c>
      <c r="J1322" s="319">
        <f>F1322-I1322</f>
        <v/>
      </c>
      <c r="K1322" s="516" t="n"/>
      <c r="L1322" s="516" t="n"/>
    </row>
    <row r="1323" hidden="1">
      <c r="B1323" s="1" t="n">
        <v>21</v>
      </c>
      <c r="C1323" s="24" t="n">
        <v>45261</v>
      </c>
      <c r="D1323" s="24" t="n">
        <v>45291</v>
      </c>
      <c r="E1323" s="25">
        <f>D1323-C1323+1</f>
        <v/>
      </c>
      <c r="F1323" s="319">
        <f>J1322</f>
        <v/>
      </c>
      <c r="G1323" s="319">
        <f>-PMT($G$1293/$D$1296,63,$F$1312,,0)</f>
        <v/>
      </c>
      <c r="H1323" s="319">
        <f>$G$1293/$D$1296*F1323</f>
        <v/>
      </c>
      <c r="I1323" s="319">
        <f>G1323-H1323</f>
        <v/>
      </c>
      <c r="J1323" s="319">
        <f>F1323-I1323</f>
        <v/>
      </c>
      <c r="K1323" s="516" t="n"/>
      <c r="L1323" s="516" t="n"/>
    </row>
    <row r="1324" hidden="1">
      <c r="B1324" s="1" t="n">
        <v>22</v>
      </c>
      <c r="C1324" s="24" t="n">
        <v>45292</v>
      </c>
      <c r="D1324" s="24" t="n">
        <v>45322</v>
      </c>
      <c r="E1324" s="25">
        <f>D1324-C1324+1</f>
        <v/>
      </c>
      <c r="F1324" s="319">
        <f>J1323</f>
        <v/>
      </c>
      <c r="G1324" s="319">
        <f>-PMT($G$1293/$D$1296,63,$F$1312,,0)</f>
        <v/>
      </c>
      <c r="H1324" s="319">
        <f>$G$1293/$D$1296*F1324</f>
        <v/>
      </c>
      <c r="I1324" s="319">
        <f>G1324-H1324</f>
        <v/>
      </c>
      <c r="J1324" s="319">
        <f>F1324-I1324</f>
        <v/>
      </c>
      <c r="K1324" s="516" t="n"/>
      <c r="L1324" s="516" t="n"/>
    </row>
    <row r="1325" hidden="1">
      <c r="B1325" s="1" t="n">
        <v>23</v>
      </c>
      <c r="C1325" s="24" t="n">
        <v>45323</v>
      </c>
      <c r="D1325" s="24" t="n">
        <v>45350</v>
      </c>
      <c r="E1325" s="25">
        <f>D1325-C1325+1</f>
        <v/>
      </c>
      <c r="F1325" s="319">
        <f>J1324</f>
        <v/>
      </c>
      <c r="G1325" s="319">
        <f>-PMT($G$1293/$D$1296,63,$F$1312,,0)</f>
        <v/>
      </c>
      <c r="H1325" s="319">
        <f>$G$1293/$D$1296*F1325</f>
        <v/>
      </c>
      <c r="I1325" s="319">
        <f>G1325-H1325</f>
        <v/>
      </c>
      <c r="J1325" s="319">
        <f>F1325-I1325</f>
        <v/>
      </c>
      <c r="K1325" s="516" t="n"/>
      <c r="L1325" s="516" t="n"/>
    </row>
    <row r="1326" hidden="1">
      <c r="B1326" s="1" t="n">
        <v>24</v>
      </c>
      <c r="C1326" s="24" t="n">
        <v>45352</v>
      </c>
      <c r="D1326" s="24" t="n">
        <v>45382</v>
      </c>
      <c r="E1326" s="25">
        <f>D1326-C1326+1</f>
        <v/>
      </c>
      <c r="F1326" s="319">
        <f>J1325</f>
        <v/>
      </c>
      <c r="G1326" s="319">
        <f>-PMT($G$1293/$D$1296,63,$F$1312,,0)</f>
        <v/>
      </c>
      <c r="H1326" s="319">
        <f>$G$1293/$D$1296*F1326</f>
        <v/>
      </c>
      <c r="I1326" s="319">
        <f>G1326-H1326</f>
        <v/>
      </c>
      <c r="J1326" s="319">
        <f>F1326-I1326</f>
        <v/>
      </c>
      <c r="K1326" s="516" t="n"/>
      <c r="L1326" s="516" t="n"/>
    </row>
    <row r="1327" hidden="1">
      <c r="B1327" s="1" t="n">
        <v>25</v>
      </c>
      <c r="C1327" s="24" t="n">
        <v>45383</v>
      </c>
      <c r="D1327" s="24" t="n">
        <v>45412</v>
      </c>
      <c r="E1327" s="25">
        <f>D1327-C1327+1</f>
        <v/>
      </c>
      <c r="F1327" s="319">
        <f>J1326</f>
        <v/>
      </c>
      <c r="G1327" s="319">
        <f>-PMT($G$1293/$D$1296,63,$F$1312,,0)</f>
        <v/>
      </c>
      <c r="H1327" s="319">
        <f>$G$1293/$D$1296*F1327</f>
        <v/>
      </c>
      <c r="I1327" s="319">
        <f>G1327-H1327</f>
        <v/>
      </c>
      <c r="J1327" s="319">
        <f>F1327-I1327</f>
        <v/>
      </c>
      <c r="K1327" s="516" t="n"/>
      <c r="L1327" s="516" t="n"/>
    </row>
    <row r="1328" hidden="1">
      <c r="B1328" s="1" t="n">
        <v>26</v>
      </c>
      <c r="C1328" s="24" t="n">
        <v>45413</v>
      </c>
      <c r="D1328" s="24" t="n">
        <v>45443</v>
      </c>
      <c r="E1328" s="25">
        <f>D1328-C1328+1</f>
        <v/>
      </c>
      <c r="F1328" s="319">
        <f>J1327</f>
        <v/>
      </c>
      <c r="G1328" s="319">
        <f>-PMT($G$1293/$D$1296,63,$F$1312,,0)</f>
        <v/>
      </c>
      <c r="H1328" s="319">
        <f>$G$1293/$D$1296*F1328</f>
        <v/>
      </c>
      <c r="I1328" s="319">
        <f>G1328-H1328</f>
        <v/>
      </c>
      <c r="J1328" s="319">
        <f>F1328-I1328</f>
        <v/>
      </c>
      <c r="K1328" s="516" t="n"/>
      <c r="L1328" s="516" t="n"/>
    </row>
    <row r="1329" hidden="1">
      <c r="B1329" s="1" t="n">
        <v>27</v>
      </c>
      <c r="C1329" s="24" t="n">
        <v>45444</v>
      </c>
      <c r="D1329" s="24" t="n">
        <v>45473</v>
      </c>
      <c r="E1329" s="25">
        <f>D1329-C1329+1</f>
        <v/>
      </c>
      <c r="F1329" s="319">
        <f>J1328</f>
        <v/>
      </c>
      <c r="G1329" s="319">
        <f>-PMT($G$1293/$D$1296,63,$F$1312,,0)</f>
        <v/>
      </c>
      <c r="H1329" s="319">
        <f>$G$1293/$D$1296*F1329</f>
        <v/>
      </c>
      <c r="I1329" s="319">
        <f>G1329-H1329</f>
        <v/>
      </c>
      <c r="J1329" s="319">
        <f>F1329-I1329</f>
        <v/>
      </c>
      <c r="K1329" s="516" t="n"/>
      <c r="L1329" s="516" t="n"/>
    </row>
    <row r="1330" hidden="1">
      <c r="B1330" s="1" t="n">
        <v>28</v>
      </c>
      <c r="C1330" s="24" t="n">
        <v>45474</v>
      </c>
      <c r="D1330" s="24" t="n">
        <v>45504</v>
      </c>
      <c r="E1330" s="25">
        <f>D1330-C1330+1</f>
        <v/>
      </c>
      <c r="F1330" s="319">
        <f>J1329</f>
        <v/>
      </c>
      <c r="G1330" s="319">
        <f>-PMT($G$1293/$D$1296,63,$F$1312,,0)</f>
        <v/>
      </c>
      <c r="H1330" s="319">
        <f>$G$1293/$D$1296*F1330</f>
        <v/>
      </c>
      <c r="I1330" s="319">
        <f>G1330-H1330</f>
        <v/>
      </c>
      <c r="J1330" s="319">
        <f>F1330-I1330</f>
        <v/>
      </c>
      <c r="K1330" s="516" t="n"/>
      <c r="L1330" s="516" t="n"/>
    </row>
    <row r="1331" hidden="1">
      <c r="B1331" s="1" t="n">
        <v>29</v>
      </c>
      <c r="C1331" s="24" t="n">
        <v>45505</v>
      </c>
      <c r="D1331" s="24" t="n">
        <v>45535</v>
      </c>
      <c r="E1331" s="25">
        <f>D1331-C1331+1</f>
        <v/>
      </c>
      <c r="F1331" s="319">
        <f>J1330</f>
        <v/>
      </c>
      <c r="G1331" s="319">
        <f>-PMT($G$1293/$D$1296,63,$F$1312,,0)</f>
        <v/>
      </c>
      <c r="H1331" s="319">
        <f>$G$1293/$D$1296*F1331</f>
        <v/>
      </c>
      <c r="I1331" s="319">
        <f>G1331-H1331</f>
        <v/>
      </c>
      <c r="J1331" s="319">
        <f>F1331-I1331</f>
        <v/>
      </c>
      <c r="K1331" s="516" t="n"/>
      <c r="L1331" s="516" t="n"/>
    </row>
    <row r="1332" hidden="1">
      <c r="B1332" s="1" t="n">
        <v>30</v>
      </c>
      <c r="C1332" s="24" t="n">
        <v>45536</v>
      </c>
      <c r="D1332" s="24" t="n">
        <v>45565</v>
      </c>
      <c r="E1332" s="25">
        <f>D1332-C1332+1</f>
        <v/>
      </c>
      <c r="F1332" s="319">
        <f>J1331</f>
        <v/>
      </c>
      <c r="G1332" s="319">
        <f>-PMT($G$1293/$D$1296,63,$F$1312,,0)</f>
        <v/>
      </c>
      <c r="H1332" s="319">
        <f>$G$1293/$D$1296*F1332</f>
        <v/>
      </c>
      <c r="I1332" s="319">
        <f>G1332-H1332</f>
        <v/>
      </c>
      <c r="J1332" s="319">
        <f>F1332-I1332</f>
        <v/>
      </c>
      <c r="K1332" s="516" t="n"/>
      <c r="L1332" s="516" t="n"/>
    </row>
    <row r="1333" hidden="1">
      <c r="B1333" s="1" t="n">
        <v>31</v>
      </c>
      <c r="C1333" s="24" t="n">
        <v>45566</v>
      </c>
      <c r="D1333" s="24" t="n">
        <v>45596</v>
      </c>
      <c r="E1333" s="25">
        <f>D1333-C1333+1</f>
        <v/>
      </c>
      <c r="F1333" s="319">
        <f>J1332</f>
        <v/>
      </c>
      <c r="G1333" s="319">
        <f>-PMT($G$1293/$D$1296,63,$F$1312,,0)</f>
        <v/>
      </c>
      <c r="H1333" s="319">
        <f>$G$1293/$D$1296*F1333</f>
        <v/>
      </c>
      <c r="I1333" s="319">
        <f>G1333-H1333</f>
        <v/>
      </c>
      <c r="J1333" s="319">
        <f>F1333-I1333</f>
        <v/>
      </c>
      <c r="K1333" s="516" t="n"/>
      <c r="L1333" s="516" t="n"/>
    </row>
    <row r="1334" hidden="1">
      <c r="B1334" s="1" t="n">
        <v>32</v>
      </c>
      <c r="C1334" s="24" t="n">
        <v>45597</v>
      </c>
      <c r="D1334" s="24" t="n">
        <v>45626</v>
      </c>
      <c r="E1334" s="25">
        <f>D1334-C1334+1</f>
        <v/>
      </c>
      <c r="F1334" s="319">
        <f>J1333</f>
        <v/>
      </c>
      <c r="G1334" s="319">
        <f>-PMT($G$1293/$D$1296,63,$F$1312,,0)</f>
        <v/>
      </c>
      <c r="H1334" s="319">
        <f>$G$1293/$D$1296*F1334</f>
        <v/>
      </c>
      <c r="I1334" s="319">
        <f>G1334-H1334</f>
        <v/>
      </c>
      <c r="J1334" s="319">
        <f>F1334-I1334</f>
        <v/>
      </c>
      <c r="K1334" s="516" t="n"/>
      <c r="L1334" s="516" t="n"/>
    </row>
    <row r="1335" hidden="1">
      <c r="B1335" s="1" t="n">
        <v>33</v>
      </c>
      <c r="C1335" s="24" t="n">
        <v>45627</v>
      </c>
      <c r="D1335" s="24" t="n">
        <v>45657</v>
      </c>
      <c r="E1335" s="25">
        <f>D1335-C1335+1</f>
        <v/>
      </c>
      <c r="F1335" s="319">
        <f>J1334</f>
        <v/>
      </c>
      <c r="G1335" s="319">
        <f>-PMT($G$1293/$D$1296,63,$F$1312,,0)</f>
        <v/>
      </c>
      <c r="H1335" s="319">
        <f>$G$1293/$D$1296*F1335</f>
        <v/>
      </c>
      <c r="I1335" s="319">
        <f>G1335-H1335</f>
        <v/>
      </c>
      <c r="J1335" s="319">
        <f>F1335-I1335</f>
        <v/>
      </c>
      <c r="K1335" s="516" t="n"/>
      <c r="L1335" s="516" t="n"/>
    </row>
    <row r="1336" hidden="1">
      <c r="B1336" s="1" t="n">
        <v>34</v>
      </c>
      <c r="C1336" s="24" t="n">
        <v>45658</v>
      </c>
      <c r="D1336" s="24" t="n">
        <v>45688</v>
      </c>
      <c r="E1336" s="25">
        <f>D1336-C1336+1</f>
        <v/>
      </c>
      <c r="F1336" s="319">
        <f>J1335</f>
        <v/>
      </c>
      <c r="G1336" s="319">
        <f>-PMT($G$1293/$D$1296,63,$F$1312,,0)</f>
        <v/>
      </c>
      <c r="H1336" s="319">
        <f>$G$1293/$D$1296*F1336</f>
        <v/>
      </c>
      <c r="I1336" s="319">
        <f>G1336-H1336</f>
        <v/>
      </c>
      <c r="J1336" s="319">
        <f>F1336-I1336</f>
        <v/>
      </c>
      <c r="K1336" s="516" t="n"/>
      <c r="L1336" s="516" t="n"/>
    </row>
    <row r="1337" hidden="1">
      <c r="B1337" s="1" t="n">
        <v>35</v>
      </c>
      <c r="C1337" s="24" t="n">
        <v>45689</v>
      </c>
      <c r="D1337" s="24" t="n">
        <v>45716</v>
      </c>
      <c r="E1337" s="25">
        <f>D1337-C1337+1</f>
        <v/>
      </c>
      <c r="F1337" s="319">
        <f>J1336</f>
        <v/>
      </c>
      <c r="G1337" s="319">
        <f>-PMT($G$1293/$D$1296,63,$F$1312,,0)</f>
        <v/>
      </c>
      <c r="H1337" s="319">
        <f>$G$1293/$D$1296*F1337</f>
        <v/>
      </c>
      <c r="I1337" s="319">
        <f>G1337-H1337</f>
        <v/>
      </c>
      <c r="J1337" s="319">
        <f>F1337-I1337</f>
        <v/>
      </c>
      <c r="K1337" s="516" t="n"/>
      <c r="L1337" s="516" t="n"/>
    </row>
    <row r="1338" hidden="1">
      <c r="B1338" s="1" t="n">
        <v>36</v>
      </c>
      <c r="C1338" s="24" t="n">
        <v>45717</v>
      </c>
      <c r="D1338" s="24" t="n">
        <v>45747</v>
      </c>
      <c r="E1338" s="25">
        <f>D1338-C1338+1</f>
        <v/>
      </c>
      <c r="F1338" s="319">
        <f>J1337</f>
        <v/>
      </c>
      <c r="G1338" s="319">
        <f>-PMT($G$1293/$D$1296,63,$F$1312,,0)</f>
        <v/>
      </c>
      <c r="H1338" s="319">
        <f>$G$1293/$D$1296*F1338</f>
        <v/>
      </c>
      <c r="I1338" s="319">
        <f>G1338-H1338</f>
        <v/>
      </c>
      <c r="J1338" s="319">
        <f>F1338-I1338</f>
        <v/>
      </c>
      <c r="K1338" s="516" t="n"/>
      <c r="L1338" s="516" t="n"/>
    </row>
    <row r="1339" hidden="1">
      <c r="B1339" s="1" t="n">
        <v>37</v>
      </c>
      <c r="C1339" s="24" t="n">
        <v>45748</v>
      </c>
      <c r="D1339" s="24" t="n">
        <v>45777</v>
      </c>
      <c r="E1339" s="25">
        <f>D1339-C1339+1</f>
        <v/>
      </c>
      <c r="F1339" s="319">
        <f>J1338</f>
        <v/>
      </c>
      <c r="G1339" s="319">
        <f>-PMT($G$1293/$D$1296,63,$F$1312,,0)</f>
        <v/>
      </c>
      <c r="H1339" s="319">
        <f>$G$1293/$D$1296*F1339</f>
        <v/>
      </c>
      <c r="I1339" s="319">
        <f>G1339-H1339</f>
        <v/>
      </c>
      <c r="J1339" s="319">
        <f>F1339-I1339</f>
        <v/>
      </c>
      <c r="K1339" s="516" t="n"/>
      <c r="L1339" s="516" t="n"/>
    </row>
    <row r="1340" hidden="1">
      <c r="B1340" s="1" t="n">
        <v>38</v>
      </c>
      <c r="C1340" s="24" t="n">
        <v>45778</v>
      </c>
      <c r="D1340" s="24" t="n">
        <v>45808</v>
      </c>
      <c r="E1340" s="25">
        <f>D1340-C1340+1</f>
        <v/>
      </c>
      <c r="F1340" s="319">
        <f>J1339</f>
        <v/>
      </c>
      <c r="G1340" s="319">
        <f>-PMT($G$1293/$D$1296,63,$F$1312,,0)</f>
        <v/>
      </c>
      <c r="H1340" s="319">
        <f>$G$1293/$D$1296*F1340</f>
        <v/>
      </c>
      <c r="I1340" s="319">
        <f>G1340-H1340</f>
        <v/>
      </c>
      <c r="J1340" s="319">
        <f>F1340-I1340</f>
        <v/>
      </c>
      <c r="K1340" s="516" t="n"/>
      <c r="L1340" s="516" t="n"/>
    </row>
    <row r="1341" hidden="1">
      <c r="B1341" s="1" t="n">
        <v>39</v>
      </c>
      <c r="C1341" s="24" t="n">
        <v>45809</v>
      </c>
      <c r="D1341" s="24" t="n">
        <v>45838</v>
      </c>
      <c r="E1341" s="25">
        <f>D1341-C1341+1</f>
        <v/>
      </c>
      <c r="F1341" s="319">
        <f>J1340</f>
        <v/>
      </c>
      <c r="G1341" s="319">
        <f>-PMT($G$1293/$D$1296,63,$F$1312,,0)</f>
        <v/>
      </c>
      <c r="H1341" s="319">
        <f>$G$1293/$D$1296*F1341</f>
        <v/>
      </c>
      <c r="I1341" s="319">
        <f>G1341-H1341</f>
        <v/>
      </c>
      <c r="J1341" s="319">
        <f>F1341-I1341</f>
        <v/>
      </c>
      <c r="K1341" s="516" t="n"/>
      <c r="L1341" s="516" t="n"/>
    </row>
    <row r="1342" hidden="1">
      <c r="B1342" s="1" t="n">
        <v>40</v>
      </c>
      <c r="C1342" s="24" t="n">
        <v>45839</v>
      </c>
      <c r="D1342" s="24" t="n">
        <v>45869</v>
      </c>
      <c r="E1342" s="25">
        <f>D1342-C1342+1</f>
        <v/>
      </c>
      <c r="F1342" s="319">
        <f>J1341</f>
        <v/>
      </c>
      <c r="G1342" s="319">
        <f>-PMT($G$1293/$D$1296,63,$F$1312,,0)</f>
        <v/>
      </c>
      <c r="H1342" s="319">
        <f>$G$1293/$D$1296*F1342</f>
        <v/>
      </c>
      <c r="I1342" s="319">
        <f>G1342-H1342</f>
        <v/>
      </c>
      <c r="J1342" s="319">
        <f>F1342-I1342</f>
        <v/>
      </c>
      <c r="K1342" s="516" t="n"/>
      <c r="L1342" s="516" t="n"/>
    </row>
    <row r="1343" hidden="1">
      <c r="B1343" s="1" t="n">
        <v>41</v>
      </c>
      <c r="C1343" s="24" t="n">
        <v>45870</v>
      </c>
      <c r="D1343" s="24" t="n">
        <v>45900</v>
      </c>
      <c r="E1343" s="25">
        <f>D1343-C1343+1</f>
        <v/>
      </c>
      <c r="F1343" s="319">
        <f>J1342</f>
        <v/>
      </c>
      <c r="G1343" s="319">
        <f>-PMT($G$1293/$D$1296,63,$F$1312,,0)</f>
        <v/>
      </c>
      <c r="H1343" s="319">
        <f>$G$1293/$D$1296*F1343</f>
        <v/>
      </c>
      <c r="I1343" s="319">
        <f>G1343-H1343</f>
        <v/>
      </c>
      <c r="J1343" s="319">
        <f>F1343-I1343</f>
        <v/>
      </c>
      <c r="K1343" s="516" t="n"/>
      <c r="L1343" s="516" t="n"/>
    </row>
    <row r="1344" hidden="1">
      <c r="B1344" s="1" t="n">
        <v>42</v>
      </c>
      <c r="C1344" s="24" t="n">
        <v>45901</v>
      </c>
      <c r="D1344" s="24" t="n">
        <v>45930</v>
      </c>
      <c r="E1344" s="25">
        <f>D1344-C1344+1</f>
        <v/>
      </c>
      <c r="F1344" s="319">
        <f>J1343</f>
        <v/>
      </c>
      <c r="G1344" s="319">
        <f>-PMT($G$1293/$D$1296,63,$F$1312,,0)</f>
        <v/>
      </c>
      <c r="H1344" s="319">
        <f>$G$1293/$D$1296*F1344</f>
        <v/>
      </c>
      <c r="I1344" s="319">
        <f>G1344-H1344</f>
        <v/>
      </c>
      <c r="J1344" s="319">
        <f>F1344-I1344</f>
        <v/>
      </c>
      <c r="K1344" s="516" t="n"/>
      <c r="L1344" s="516" t="n"/>
    </row>
    <row r="1345" hidden="1">
      <c r="B1345" s="1" t="n">
        <v>43</v>
      </c>
      <c r="C1345" s="24" t="n">
        <v>45931</v>
      </c>
      <c r="D1345" s="24" t="n">
        <v>45961</v>
      </c>
      <c r="E1345" s="25">
        <f>D1345-C1345+1</f>
        <v/>
      </c>
      <c r="F1345" s="319">
        <f>J1344</f>
        <v/>
      </c>
      <c r="G1345" s="319">
        <f>-PMT($G$1293/$D$1296,63,$F$1312,,0)</f>
        <v/>
      </c>
      <c r="H1345" s="319">
        <f>$G$1293/$D$1296*F1345</f>
        <v/>
      </c>
      <c r="I1345" s="319">
        <f>G1345-H1345</f>
        <v/>
      </c>
      <c r="J1345" s="319">
        <f>F1345-I1345</f>
        <v/>
      </c>
      <c r="K1345" s="516" t="n"/>
      <c r="L1345" s="516" t="n"/>
    </row>
    <row r="1346" hidden="1">
      <c r="B1346" s="1" t="n">
        <v>44</v>
      </c>
      <c r="C1346" s="24" t="n">
        <v>45962</v>
      </c>
      <c r="D1346" s="24" t="n">
        <v>45991</v>
      </c>
      <c r="E1346" s="25">
        <f>D1346-C1346+1</f>
        <v/>
      </c>
      <c r="F1346" s="319">
        <f>J1345</f>
        <v/>
      </c>
      <c r="G1346" s="319">
        <f>-PMT($G$1293/$D$1296,63,$F$1312,,0)</f>
        <v/>
      </c>
      <c r="H1346" s="319">
        <f>$G$1293/$D$1296*F1346</f>
        <v/>
      </c>
      <c r="I1346" s="319">
        <f>G1346-H1346</f>
        <v/>
      </c>
      <c r="J1346" s="319">
        <f>F1346-I1346</f>
        <v/>
      </c>
      <c r="K1346" s="516" t="n"/>
      <c r="L1346" s="516" t="n"/>
    </row>
    <row r="1347" hidden="1">
      <c r="B1347" s="1" t="n">
        <v>45</v>
      </c>
      <c r="C1347" s="24" t="n">
        <v>45992</v>
      </c>
      <c r="D1347" s="24" t="n">
        <v>46022</v>
      </c>
      <c r="E1347" s="25">
        <f>D1347-C1347+1</f>
        <v/>
      </c>
      <c r="F1347" s="319">
        <f>J1346</f>
        <v/>
      </c>
      <c r="G1347" s="319">
        <f>-PMT($G$1293/$D$1296,63,$F$1312,,0)</f>
        <v/>
      </c>
      <c r="H1347" s="319">
        <f>$G$1293/$D$1296*F1347</f>
        <v/>
      </c>
      <c r="I1347" s="319">
        <f>G1347-H1347</f>
        <v/>
      </c>
      <c r="J1347" s="319">
        <f>F1347-I1347</f>
        <v/>
      </c>
      <c r="K1347" s="516" t="n"/>
      <c r="L1347" s="516" t="n"/>
    </row>
    <row r="1348" hidden="1">
      <c r="B1348" s="1" t="n">
        <v>46</v>
      </c>
      <c r="C1348" s="24" t="n">
        <v>46023</v>
      </c>
      <c r="D1348" s="24" t="n">
        <v>46053</v>
      </c>
      <c r="E1348" s="25">
        <f>D1348-C1348+1</f>
        <v/>
      </c>
      <c r="F1348" s="319">
        <f>J1347</f>
        <v/>
      </c>
      <c r="G1348" s="319">
        <f>-PMT($G$1293/$D$1296,63,$F$1312,,0)</f>
        <v/>
      </c>
      <c r="H1348" s="319">
        <f>$G$1293/$D$1296*F1348</f>
        <v/>
      </c>
      <c r="I1348" s="319">
        <f>G1348-H1348</f>
        <v/>
      </c>
      <c r="J1348" s="319">
        <f>F1348-I1348</f>
        <v/>
      </c>
      <c r="K1348" s="516" t="n"/>
      <c r="L1348" s="516" t="n"/>
    </row>
    <row r="1349" hidden="1">
      <c r="B1349" s="1" t="n">
        <v>47</v>
      </c>
      <c r="C1349" s="24" t="n">
        <v>46054</v>
      </c>
      <c r="D1349" s="24" t="n">
        <v>46081</v>
      </c>
      <c r="E1349" s="25">
        <f>D1349-C1349+1</f>
        <v/>
      </c>
      <c r="F1349" s="319">
        <f>J1348</f>
        <v/>
      </c>
      <c r="G1349" s="319">
        <f>-PMT($G$1293/$D$1296,63,$F$1312,,0)</f>
        <v/>
      </c>
      <c r="H1349" s="319">
        <f>$G$1293/$D$1296*F1349</f>
        <v/>
      </c>
      <c r="I1349" s="319">
        <f>G1349-H1349</f>
        <v/>
      </c>
      <c r="J1349" s="319">
        <f>F1349-I1349</f>
        <v/>
      </c>
      <c r="K1349" s="516" t="n"/>
      <c r="L1349" s="516" t="n"/>
    </row>
    <row r="1350" hidden="1">
      <c r="B1350" s="1" t="n">
        <v>48</v>
      </c>
      <c r="C1350" s="24" t="n">
        <v>46082</v>
      </c>
      <c r="D1350" s="24" t="n">
        <v>46112</v>
      </c>
      <c r="E1350" s="25">
        <f>D1350-C1350+1</f>
        <v/>
      </c>
      <c r="F1350" s="319">
        <f>J1349</f>
        <v/>
      </c>
      <c r="G1350" s="319">
        <f>-PMT($G$1293/$D$1296,63,$F$1312,,0)</f>
        <v/>
      </c>
      <c r="H1350" s="319">
        <f>$G$1293/$D$1296*F1350</f>
        <v/>
      </c>
      <c r="I1350" s="319">
        <f>G1350-H1350</f>
        <v/>
      </c>
      <c r="J1350" s="319">
        <f>F1350-I1350</f>
        <v/>
      </c>
      <c r="K1350" s="516" t="n"/>
      <c r="L1350" s="516" t="n"/>
    </row>
    <row r="1351" hidden="1">
      <c r="B1351" s="1" t="n">
        <v>49</v>
      </c>
      <c r="C1351" s="24" t="n">
        <v>46113</v>
      </c>
      <c r="D1351" s="24" t="n">
        <v>46142</v>
      </c>
      <c r="E1351" s="25">
        <f>D1351-C1351+1</f>
        <v/>
      </c>
      <c r="F1351" s="319">
        <f>J1350</f>
        <v/>
      </c>
      <c r="G1351" s="319">
        <f>-PMT($G$1293/$D$1296,63,$F$1312,,0)</f>
        <v/>
      </c>
      <c r="H1351" s="319">
        <f>$G$1293/$D$1296*F1351</f>
        <v/>
      </c>
      <c r="I1351" s="319">
        <f>G1351-H1351</f>
        <v/>
      </c>
      <c r="J1351" s="319">
        <f>F1351-I1351</f>
        <v/>
      </c>
      <c r="K1351" s="516" t="n"/>
      <c r="L1351" s="516" t="n"/>
    </row>
    <row r="1352" hidden="1">
      <c r="B1352" s="1" t="n">
        <v>50</v>
      </c>
      <c r="C1352" s="24" t="n">
        <v>46143</v>
      </c>
      <c r="D1352" s="24" t="n">
        <v>46173</v>
      </c>
      <c r="E1352" s="25">
        <f>D1352-C1352+1</f>
        <v/>
      </c>
      <c r="F1352" s="319">
        <f>J1351</f>
        <v/>
      </c>
      <c r="G1352" s="319">
        <f>-PMT($G$1293/$D$1296,63,$F$1312,,0)</f>
        <v/>
      </c>
      <c r="H1352" s="319">
        <f>$G$1293/$D$1296*F1352</f>
        <v/>
      </c>
      <c r="I1352" s="319">
        <f>G1352-H1352</f>
        <v/>
      </c>
      <c r="J1352" s="319">
        <f>F1352-I1352</f>
        <v/>
      </c>
      <c r="K1352" s="516" t="n"/>
      <c r="L1352" s="516" t="n"/>
    </row>
    <row r="1353" hidden="1">
      <c r="B1353" s="1" t="n">
        <v>51</v>
      </c>
      <c r="C1353" s="24" t="n">
        <v>46174</v>
      </c>
      <c r="D1353" s="24" t="n">
        <v>46203</v>
      </c>
      <c r="E1353" s="25">
        <f>D1353-C1353+1</f>
        <v/>
      </c>
      <c r="F1353" s="319">
        <f>J1352</f>
        <v/>
      </c>
      <c r="G1353" s="319">
        <f>-PMT($G$1293/$D$1296,63,$F$1312,,0)</f>
        <v/>
      </c>
      <c r="H1353" s="319">
        <f>$G$1293/$D$1296*F1353</f>
        <v/>
      </c>
      <c r="I1353" s="319">
        <f>G1353-H1353</f>
        <v/>
      </c>
      <c r="J1353" s="319">
        <f>F1353-I1353</f>
        <v/>
      </c>
      <c r="K1353" s="516" t="n"/>
      <c r="L1353" s="516" t="n"/>
    </row>
    <row r="1354" hidden="1">
      <c r="B1354" s="1" t="n">
        <v>52</v>
      </c>
      <c r="C1354" s="24" t="n">
        <v>46204</v>
      </c>
      <c r="D1354" s="24" t="n">
        <v>46234</v>
      </c>
      <c r="E1354" s="25">
        <f>D1354-C1354+1</f>
        <v/>
      </c>
      <c r="F1354" s="319">
        <f>J1353</f>
        <v/>
      </c>
      <c r="G1354" s="319">
        <f>-PMT($G$1293/$D$1296,63,$F$1312,,0)</f>
        <v/>
      </c>
      <c r="H1354" s="319">
        <f>$G$1293/$D$1296*F1354</f>
        <v/>
      </c>
      <c r="I1354" s="319">
        <f>G1354-H1354</f>
        <v/>
      </c>
      <c r="J1354" s="319">
        <f>F1354-I1354</f>
        <v/>
      </c>
      <c r="K1354" s="516" t="n"/>
      <c r="L1354" s="516" t="n"/>
    </row>
    <row r="1355" hidden="1">
      <c r="B1355" s="1" t="n">
        <v>53</v>
      </c>
      <c r="C1355" s="24" t="n">
        <v>46235</v>
      </c>
      <c r="D1355" s="24" t="n">
        <v>46265</v>
      </c>
      <c r="E1355" s="25">
        <f>D1355-C1355+1</f>
        <v/>
      </c>
      <c r="F1355" s="319">
        <f>J1354</f>
        <v/>
      </c>
      <c r="G1355" s="319">
        <f>-PMT($G$1293/$D$1296,63,$F$1312,,0)</f>
        <v/>
      </c>
      <c r="H1355" s="319">
        <f>$G$1293/$D$1296*F1355</f>
        <v/>
      </c>
      <c r="I1355" s="319">
        <f>G1355-H1355</f>
        <v/>
      </c>
      <c r="J1355" s="319">
        <f>F1355-I1355</f>
        <v/>
      </c>
      <c r="K1355" s="516" t="n"/>
      <c r="L1355" s="516" t="n"/>
    </row>
    <row r="1356" hidden="1">
      <c r="B1356" s="1" t="n">
        <v>54</v>
      </c>
      <c r="C1356" s="24" t="n">
        <v>46266</v>
      </c>
      <c r="D1356" s="24" t="n">
        <v>46295</v>
      </c>
      <c r="E1356" s="25">
        <f>D1356-C1356+1</f>
        <v/>
      </c>
      <c r="F1356" s="319">
        <f>J1355</f>
        <v/>
      </c>
      <c r="G1356" s="319">
        <f>-PMT($G$1293/$D$1296,63,$F$1312,,0)</f>
        <v/>
      </c>
      <c r="H1356" s="319">
        <f>$G$1293/$D$1296*F1356</f>
        <v/>
      </c>
      <c r="I1356" s="319">
        <f>G1356-H1356</f>
        <v/>
      </c>
      <c r="J1356" s="319">
        <f>F1356-I1356</f>
        <v/>
      </c>
      <c r="K1356" s="516" t="n"/>
      <c r="L1356" s="516" t="n"/>
    </row>
    <row r="1357" hidden="1">
      <c r="B1357" s="1" t="n">
        <v>55</v>
      </c>
      <c r="C1357" s="24" t="n">
        <v>46296</v>
      </c>
      <c r="D1357" s="24" t="n">
        <v>46326</v>
      </c>
      <c r="E1357" s="25">
        <f>D1357-C1357+1</f>
        <v/>
      </c>
      <c r="F1357" s="319">
        <f>J1356</f>
        <v/>
      </c>
      <c r="G1357" s="319">
        <f>-PMT($G$1293/$D$1296,63,$F$1312,,0)</f>
        <v/>
      </c>
      <c r="H1357" s="319">
        <f>$G$1293/$D$1296*F1357</f>
        <v/>
      </c>
      <c r="I1357" s="319">
        <f>G1357-H1357</f>
        <v/>
      </c>
      <c r="J1357" s="319">
        <f>F1357-I1357</f>
        <v/>
      </c>
      <c r="K1357" s="516" t="n"/>
      <c r="L1357" s="516" t="n"/>
    </row>
    <row r="1358" hidden="1">
      <c r="B1358" s="1" t="n">
        <v>56</v>
      </c>
      <c r="C1358" s="24" t="n">
        <v>46327</v>
      </c>
      <c r="D1358" s="24" t="n">
        <v>46356</v>
      </c>
      <c r="E1358" s="25">
        <f>D1358-C1358+1</f>
        <v/>
      </c>
      <c r="F1358" s="319">
        <f>J1357</f>
        <v/>
      </c>
      <c r="G1358" s="319">
        <f>-PMT($G$1293/$D$1296,63,$F$1312,,0)</f>
        <v/>
      </c>
      <c r="H1358" s="319">
        <f>$G$1293/$D$1296*F1358</f>
        <v/>
      </c>
      <c r="I1358" s="319">
        <f>G1358-H1358</f>
        <v/>
      </c>
      <c r="J1358" s="319">
        <f>F1358-I1358</f>
        <v/>
      </c>
      <c r="K1358" s="516" t="n"/>
      <c r="L1358" s="516" t="n"/>
    </row>
    <row r="1359" hidden="1">
      <c r="B1359" s="1" t="n">
        <v>57</v>
      </c>
      <c r="C1359" s="24" t="n">
        <v>46357</v>
      </c>
      <c r="D1359" s="24" t="n">
        <v>46387</v>
      </c>
      <c r="E1359" s="25">
        <f>D1359-C1359+1</f>
        <v/>
      </c>
      <c r="F1359" s="319">
        <f>J1358</f>
        <v/>
      </c>
      <c r="G1359" s="319">
        <f>-PMT($G$1293/$D$1296,63,$F$1312,,0)</f>
        <v/>
      </c>
      <c r="H1359" s="319">
        <f>$G$1293/$D$1296*F1359</f>
        <v/>
      </c>
      <c r="I1359" s="319">
        <f>G1359-H1359</f>
        <v/>
      </c>
      <c r="J1359" s="319">
        <f>F1359-I1359</f>
        <v/>
      </c>
      <c r="K1359" s="516" t="n"/>
      <c r="L1359" s="516" t="n"/>
    </row>
    <row r="1360" hidden="1">
      <c r="B1360" s="1" t="n">
        <v>58</v>
      </c>
      <c r="C1360" s="24" t="n">
        <v>46388</v>
      </c>
      <c r="D1360" s="24" t="n">
        <v>46418</v>
      </c>
      <c r="E1360" s="25">
        <f>D1360-C1360+1</f>
        <v/>
      </c>
      <c r="F1360" s="319">
        <f>J1359</f>
        <v/>
      </c>
      <c r="G1360" s="319">
        <f>-PMT($G$1293/$D$1296,63,$F$1312,,0)</f>
        <v/>
      </c>
      <c r="H1360" s="319">
        <f>$G$1293/$D$1296*F1360</f>
        <v/>
      </c>
      <c r="I1360" s="319">
        <f>G1360-H1360</f>
        <v/>
      </c>
      <c r="J1360" s="319">
        <f>F1360-I1360</f>
        <v/>
      </c>
      <c r="K1360" s="516" t="n"/>
      <c r="L1360" s="516" t="n"/>
    </row>
    <row r="1361" hidden="1">
      <c r="B1361" s="1" t="n">
        <v>59</v>
      </c>
      <c r="C1361" s="24" t="n">
        <v>46419</v>
      </c>
      <c r="D1361" s="24" t="n">
        <v>46446</v>
      </c>
      <c r="E1361" s="25">
        <f>D1361-C1361+1</f>
        <v/>
      </c>
      <c r="F1361" s="319">
        <f>J1360</f>
        <v/>
      </c>
      <c r="G1361" s="319">
        <f>-PMT($G$1293/$D$1296,63,$F$1312,,0)</f>
        <v/>
      </c>
      <c r="H1361" s="319">
        <f>$G$1293/$D$1296*F1361</f>
        <v/>
      </c>
      <c r="I1361" s="319">
        <f>G1361-H1361</f>
        <v/>
      </c>
      <c r="J1361" s="319">
        <f>F1361-I1361</f>
        <v/>
      </c>
      <c r="K1361" s="516" t="n"/>
      <c r="L1361" s="516" t="n"/>
    </row>
    <row r="1362" hidden="1">
      <c r="B1362" s="1" t="n">
        <v>60</v>
      </c>
      <c r="C1362" s="24" t="n">
        <v>46447</v>
      </c>
      <c r="D1362" s="24" t="n">
        <v>46477</v>
      </c>
      <c r="E1362" s="25">
        <f>D1362-C1362+1</f>
        <v/>
      </c>
      <c r="F1362" s="319">
        <f>J1361</f>
        <v/>
      </c>
      <c r="G1362" s="319">
        <f>-PMT($G$1293/$D$1296,63,$F$1312,,0)</f>
        <v/>
      </c>
      <c r="H1362" s="319">
        <f>$G$1293/$D$1296*F1362</f>
        <v/>
      </c>
      <c r="I1362" s="319">
        <f>G1362-H1362</f>
        <v/>
      </c>
      <c r="J1362" s="319">
        <f>F1362-I1362</f>
        <v/>
      </c>
      <c r="K1362" s="516" t="n"/>
      <c r="L1362" s="516" t="n"/>
    </row>
    <row r="1363" hidden="1">
      <c r="B1363" s="1" t="n">
        <v>61</v>
      </c>
      <c r="C1363" s="24" t="n">
        <v>46478</v>
      </c>
      <c r="D1363" s="24" t="n">
        <v>46507</v>
      </c>
      <c r="E1363" s="25">
        <f>D1363-C1363+1</f>
        <v/>
      </c>
      <c r="F1363" s="319">
        <f>J1362</f>
        <v/>
      </c>
      <c r="G1363" s="319">
        <f>-PMT($G$1293/$D$1296,63,$F$1312,,0)</f>
        <v/>
      </c>
      <c r="H1363" s="319">
        <f>$G$1293/$D$1296*F1363</f>
        <v/>
      </c>
      <c r="I1363" s="319">
        <f>G1363-H1363</f>
        <v/>
      </c>
      <c r="J1363" s="319">
        <f>F1363-I1363</f>
        <v/>
      </c>
      <c r="K1363" s="516" t="n"/>
      <c r="L1363" s="516" t="n"/>
    </row>
    <row r="1364" hidden="1">
      <c r="B1364" s="1" t="n">
        <v>62</v>
      </c>
      <c r="C1364" s="24" t="n">
        <v>46508</v>
      </c>
      <c r="D1364" s="24" t="n">
        <v>46538</v>
      </c>
      <c r="E1364" s="25">
        <f>D1364-C1364+1</f>
        <v/>
      </c>
      <c r="F1364" s="319">
        <f>J1363</f>
        <v/>
      </c>
      <c r="G1364" s="319">
        <f>-PMT($G$1293/$D$1296,63,$F$1312,,0)</f>
        <v/>
      </c>
      <c r="H1364" s="319">
        <f>$G$1293/$D$1296*F1364</f>
        <v/>
      </c>
      <c r="I1364" s="319">
        <f>G1364-H1364</f>
        <v/>
      </c>
      <c r="J1364" s="319">
        <f>F1364-I1364</f>
        <v/>
      </c>
      <c r="K1364" s="516" t="n"/>
      <c r="L1364" s="516" t="n"/>
    </row>
    <row r="1365" hidden="1">
      <c r="B1365" s="1" t="n">
        <v>63</v>
      </c>
      <c r="C1365" s="24" t="n">
        <v>46539</v>
      </c>
      <c r="D1365" s="24" t="n">
        <v>46568</v>
      </c>
      <c r="E1365" s="25">
        <f>D1365-C1365+1</f>
        <v/>
      </c>
      <c r="F1365" s="319">
        <f>J1364</f>
        <v/>
      </c>
      <c r="G1365" s="319">
        <f>-PMT($G$1293/$D$1296,63,$F$1312,,0)</f>
        <v/>
      </c>
      <c r="H1365" s="319">
        <f>$G$1293/$D$1296*F1365</f>
        <v/>
      </c>
      <c r="I1365" s="319">
        <f>G1365-H1365</f>
        <v/>
      </c>
      <c r="J1365" s="319">
        <f>F1365-I1365</f>
        <v/>
      </c>
      <c r="K1365" s="516" t="n"/>
      <c r="L1365" s="516" t="n"/>
    </row>
    <row r="1366" hidden="1">
      <c r="B1366" s="1" t="n">
        <v>64</v>
      </c>
      <c r="C1366" s="24" t="n">
        <v>46569</v>
      </c>
      <c r="D1366" s="24" t="n">
        <v>46599</v>
      </c>
      <c r="E1366" s="25">
        <f>D1366-C1366+1</f>
        <v/>
      </c>
      <c r="F1366" s="319">
        <f>J1365</f>
        <v/>
      </c>
      <c r="G1366" s="319">
        <f>-PMT($G$1293/$D$1296,63,$F$1312,,0)</f>
        <v/>
      </c>
      <c r="H1366" s="319">
        <f>$G$1293/$D$1296*F1366</f>
        <v/>
      </c>
      <c r="I1366" s="319">
        <f>G1366-H1366</f>
        <v/>
      </c>
      <c r="J1366" s="319">
        <f>F1366-I1366</f>
        <v/>
      </c>
      <c r="K1366" s="516" t="n"/>
      <c r="L1366" s="516" t="n"/>
    </row>
    <row r="1367" hidden="1">
      <c r="B1367" s="1" t="n">
        <v>65</v>
      </c>
      <c r="C1367" s="24" t="n">
        <v>46600</v>
      </c>
      <c r="D1367" s="24" t="n">
        <v>46630</v>
      </c>
      <c r="E1367" s="25">
        <f>D1367-C1367+1</f>
        <v/>
      </c>
      <c r="F1367" s="319">
        <f>J1366</f>
        <v/>
      </c>
      <c r="G1367" s="319">
        <f>-PMT($G$1293/$D$1296,63,$F$1312,,0)</f>
        <v/>
      </c>
      <c r="H1367" s="319">
        <f>$G$1293/$D$1296*F1367</f>
        <v/>
      </c>
      <c r="I1367" s="319">
        <f>G1367-H1367</f>
        <v/>
      </c>
      <c r="J1367" s="319">
        <f>F1367-I1367</f>
        <v/>
      </c>
      <c r="K1367" s="516" t="n"/>
      <c r="L1367" s="516" t="n"/>
    </row>
    <row r="1368" hidden="1">
      <c r="B1368" s="1" t="n">
        <v>66</v>
      </c>
      <c r="C1368" s="24" t="n">
        <v>46631</v>
      </c>
      <c r="D1368" s="24" t="n">
        <v>46660</v>
      </c>
      <c r="E1368" s="25">
        <f>D1368-C1368+1</f>
        <v/>
      </c>
      <c r="F1368" s="319">
        <f>J1367</f>
        <v/>
      </c>
      <c r="G1368" s="319">
        <f>-PMT($G$1293/$D$1296,63,$F$1312,,0)</f>
        <v/>
      </c>
      <c r="H1368" s="319">
        <f>$G$1293/$D$1296*F1368</f>
        <v/>
      </c>
      <c r="I1368" s="319">
        <f>G1368-H1368</f>
        <v/>
      </c>
      <c r="J1368" s="319">
        <f>F1368-I1368</f>
        <v/>
      </c>
      <c r="K1368" s="516" t="n"/>
      <c r="L1368" s="516" t="n"/>
    </row>
    <row r="1369" hidden="1">
      <c r="B1369" s="1" t="n">
        <v>67</v>
      </c>
      <c r="C1369" s="24" t="n">
        <v>46661</v>
      </c>
      <c r="D1369" s="24" t="n">
        <v>46691</v>
      </c>
      <c r="E1369" s="25">
        <f>D1369-C1369+1</f>
        <v/>
      </c>
      <c r="F1369" s="319">
        <f>J1368</f>
        <v/>
      </c>
      <c r="G1369" s="319">
        <f>-PMT($G$1293/$D$1296,63,$F$1312,,0)</f>
        <v/>
      </c>
      <c r="H1369" s="319">
        <f>$G$1293/$D$1296*F1369</f>
        <v/>
      </c>
      <c r="I1369" s="319">
        <f>G1369-H1369</f>
        <v/>
      </c>
      <c r="J1369" s="319">
        <f>F1369-I1369</f>
        <v/>
      </c>
      <c r="K1369" s="516" t="n"/>
      <c r="L1369" s="516" t="n"/>
    </row>
    <row r="1370" hidden="1">
      <c r="B1370" s="1" t="n">
        <v>68</v>
      </c>
      <c r="C1370" s="24" t="n">
        <v>46692</v>
      </c>
      <c r="D1370" s="24" t="n">
        <v>46721</v>
      </c>
      <c r="E1370" s="25">
        <f>D1370-C1370+1</f>
        <v/>
      </c>
      <c r="F1370" s="319">
        <f>J1369</f>
        <v/>
      </c>
      <c r="G1370" s="319">
        <f>-PMT($G$1293/$D$1296,63,$F$1312,,0)</f>
        <v/>
      </c>
      <c r="H1370" s="319">
        <f>$G$1293/$D$1296*F1370</f>
        <v/>
      </c>
      <c r="I1370" s="319">
        <f>G1370-H1370</f>
        <v/>
      </c>
      <c r="J1370" s="319">
        <f>F1370-I1370</f>
        <v/>
      </c>
      <c r="K1370" s="516" t="n"/>
      <c r="L1370" s="516" t="n"/>
    </row>
    <row r="1371" hidden="1">
      <c r="B1371" s="1" t="n">
        <v>69</v>
      </c>
      <c r="C1371" s="24" t="n">
        <v>46722</v>
      </c>
      <c r="D1371" s="24" t="n">
        <v>46752</v>
      </c>
      <c r="E1371" s="25">
        <f>D1371-C1371+1</f>
        <v/>
      </c>
      <c r="F1371" s="319">
        <f>J1370</f>
        <v/>
      </c>
      <c r="G1371" s="319">
        <f>-PMT($G$1293/$D$1296,63,$F$1312,,0)</f>
        <v/>
      </c>
      <c r="H1371" s="319">
        <f>$G$1293/$D$1296*F1371</f>
        <v/>
      </c>
      <c r="I1371" s="319">
        <f>G1371-H1371</f>
        <v/>
      </c>
      <c r="J1371" s="319">
        <f>F1371-I1371</f>
        <v/>
      </c>
      <c r="K1371" s="516" t="n"/>
      <c r="L1371" s="516" t="n"/>
    </row>
    <row r="1372" hidden="1">
      <c r="B1372" s="1" t="n">
        <v>70</v>
      </c>
      <c r="C1372" s="24" t="n">
        <v>46753</v>
      </c>
      <c r="D1372" s="24" t="n">
        <v>46783</v>
      </c>
      <c r="E1372" s="25">
        <f>D1372-C1372+1</f>
        <v/>
      </c>
      <c r="F1372" s="319">
        <f>J1371</f>
        <v/>
      </c>
      <c r="G1372" s="319">
        <f>-PMT($G$1293/$D$1296,63,$F$1312,,0)</f>
        <v/>
      </c>
      <c r="H1372" s="319">
        <f>$G$1293/$D$1296*F1372</f>
        <v/>
      </c>
      <c r="I1372" s="319">
        <f>G1372-H1372</f>
        <v/>
      </c>
      <c r="J1372" s="319">
        <f>F1372-I1372</f>
        <v/>
      </c>
      <c r="K1372" s="516" t="n"/>
      <c r="L1372" s="516" t="n"/>
    </row>
    <row r="1373" hidden="1">
      <c r="B1373" s="1" t="n">
        <v>71</v>
      </c>
      <c r="C1373" s="24" t="n">
        <v>46784</v>
      </c>
      <c r="D1373" s="24" t="n">
        <v>46812</v>
      </c>
      <c r="E1373" s="25">
        <f>D1373-C1373+1</f>
        <v/>
      </c>
      <c r="F1373" s="319">
        <f>J1372</f>
        <v/>
      </c>
      <c r="G1373" s="319">
        <f>-PMT($G$1293/$D$1296,63,$F$1312,,0)</f>
        <v/>
      </c>
      <c r="H1373" s="319">
        <f>$G$1293/$D$1296*F1373</f>
        <v/>
      </c>
      <c r="I1373" s="319">
        <f>G1373-H1373</f>
        <v/>
      </c>
      <c r="J1373" s="319">
        <f>F1373-I1373</f>
        <v/>
      </c>
      <c r="K1373" s="516" t="n"/>
      <c r="L1373" s="516" t="n"/>
    </row>
    <row r="1374" hidden="1">
      <c r="B1374" s="1" t="n">
        <v>72</v>
      </c>
      <c r="C1374" s="24" t="n">
        <v>46813</v>
      </c>
      <c r="D1374" s="24" t="n">
        <v>46843</v>
      </c>
      <c r="E1374" s="25">
        <f>D1374-C1374+1</f>
        <v/>
      </c>
      <c r="F1374" s="319">
        <f>J1373</f>
        <v/>
      </c>
      <c r="G1374" s="319">
        <f>-PMT($G$1293/$D$1296,63,$F$1312,,0)</f>
        <v/>
      </c>
      <c r="H1374" s="319">
        <f>$G$1293/$D$1296*F1374</f>
        <v/>
      </c>
      <c r="I1374" s="319">
        <f>G1374-H1374</f>
        <v/>
      </c>
      <c r="J1374" s="319">
        <f>F1374-I1374</f>
        <v/>
      </c>
      <c r="K1374" s="516" t="n"/>
      <c r="L1374" s="516" t="n"/>
    </row>
    <row r="1375" hidden="1">
      <c r="B1375" s="1" t="n"/>
      <c r="C1375" s="24" t="n"/>
      <c r="D1375" s="24" t="n"/>
      <c r="E1375" s="25" t="n"/>
      <c r="F1375" s="319" t="n"/>
      <c r="G1375" s="319" t="n"/>
      <c r="H1375" s="319" t="n"/>
      <c r="I1375" s="319" t="n"/>
      <c r="J1375" s="319" t="n"/>
      <c r="K1375" s="516" t="n"/>
      <c r="L1375" s="516" t="n"/>
    </row>
    <row r="1376" hidden="1">
      <c r="B1376" s="1" t="n"/>
      <c r="C1376" s="24" t="n"/>
      <c r="D1376" s="24" t="n"/>
      <c r="E1376" s="25" t="n"/>
      <c r="F1376" s="319" t="n"/>
      <c r="G1376" s="319" t="n"/>
      <c r="H1376" s="319" t="n"/>
      <c r="I1376" s="319" t="n"/>
      <c r="J1376" s="319" t="n"/>
      <c r="K1376" s="516" t="n"/>
      <c r="L1376" s="516" t="n"/>
    </row>
    <row r="1377" hidden="1" ht="14.25" customHeight="1">
      <c r="B1377" s="1" t="n"/>
      <c r="C1377" s="1" t="n"/>
      <c r="D1377" s="1" t="n"/>
      <c r="E1377" s="30">
        <f>SUM(E1302:E1326)</f>
        <v/>
      </c>
      <c r="F1377" s="319" t="n"/>
      <c r="G1377" s="319" t="n"/>
      <c r="H1377" s="319" t="n"/>
      <c r="I1377" s="319" t="n"/>
      <c r="J1377" s="319" t="n"/>
      <c r="K1377" s="1" t="n"/>
      <c r="L1377" s="1" t="n"/>
    </row>
    <row r="1378" hidden="1"/>
    <row r="1384">
      <c r="B1384" s="1" t="n"/>
      <c r="C1384" s="9" t="inlineStr">
        <is>
          <t>Natures Gift</t>
        </is>
      </c>
      <c r="D1384" s="319" t="n"/>
      <c r="E1384" s="319" t="n"/>
      <c r="F1384" s="319" t="n"/>
      <c r="G1384" s="319" t="n"/>
      <c r="H1384" s="319" t="n"/>
      <c r="I1384" s="319" t="n"/>
      <c r="J1384" s="319" t="n"/>
      <c r="K1384" s="319" t="n"/>
      <c r="L1384" s="319" t="n"/>
    </row>
    <row r="1385">
      <c r="B1385" s="1" t="n"/>
      <c r="C1385" s="1" t="n"/>
      <c r="D1385" s="319" t="n"/>
      <c r="E1385" s="319" t="n"/>
      <c r="F1385" s="319" t="n"/>
      <c r="G1385" s="319" t="n"/>
      <c r="H1385" s="319" t="n"/>
      <c r="I1385" s="319" t="n"/>
      <c r="J1385" s="319" t="n"/>
      <c r="K1385" s="319" t="n"/>
      <c r="L1385" s="319" t="n"/>
    </row>
    <row r="1386">
      <c r="B1386" s="1" t="n"/>
      <c r="C1386" s="10" t="inlineStr">
        <is>
          <t xml:space="preserve">Principal </t>
        </is>
      </c>
      <c r="D1386" s="11" t="n">
        <v>24600000</v>
      </c>
      <c r="E1386" s="319" t="n"/>
      <c r="F1386" s="319" t="n"/>
      <c r="G1386" s="319" t="n"/>
      <c r="H1386" s="319" t="n"/>
      <c r="I1386" s="319" t="n"/>
      <c r="J1386" s="319" t="n"/>
      <c r="K1386" s="319" t="n"/>
      <c r="L1386" s="319" t="n"/>
    </row>
    <row r="1387">
      <c r="B1387" s="1" t="n"/>
      <c r="C1387" s="13" t="inlineStr">
        <is>
          <t>Rate</t>
        </is>
      </c>
      <c r="D1387" s="14" t="n">
        <v>0.1</v>
      </c>
      <c r="E1387" s="257" t="n"/>
      <c r="F1387" s="319" t="n"/>
      <c r="G1387" s="319" t="n"/>
      <c r="H1387" s="319" t="n"/>
      <c r="I1387" s="319" t="n"/>
      <c r="J1387" s="319" t="n"/>
      <c r="K1387" s="319" t="n"/>
      <c r="L1387" s="319" t="n"/>
    </row>
    <row r="1388">
      <c r="B1388" s="1" t="n"/>
      <c r="C1388" s="13" t="inlineStr">
        <is>
          <t>n</t>
        </is>
      </c>
      <c r="D1388" s="16" t="n">
        <v>3</v>
      </c>
      <c r="E1388" s="1" t="n"/>
      <c r="F1388" s="319" t="n"/>
      <c r="G1388" s="319" t="n"/>
      <c r="H1388" s="319" t="n"/>
      <c r="I1388" s="319" t="n"/>
      <c r="J1388" s="319" t="n"/>
      <c r="K1388" s="1" t="n"/>
      <c r="L1388" s="1" t="n"/>
    </row>
    <row r="1389">
      <c r="B1389" s="1" t="n"/>
      <c r="C1389" s="13" t="inlineStr">
        <is>
          <t>Per</t>
        </is>
      </c>
      <c r="D1389" s="16" t="n">
        <v>12</v>
      </c>
      <c r="E1389" s="1" t="n"/>
      <c r="F1389" s="319" t="n"/>
      <c r="G1389" s="319" t="n"/>
      <c r="H1389" s="319" t="n"/>
      <c r="I1389" s="319" t="n"/>
      <c r="J1389" s="319" t="n"/>
      <c r="K1389" s="1" t="n"/>
      <c r="L1389" s="1" t="n"/>
    </row>
    <row r="1390">
      <c r="B1390" s="1" t="n"/>
      <c r="C1390" s="13" t="inlineStr">
        <is>
          <t>nPer</t>
        </is>
      </c>
      <c r="D1390" s="515">
        <f>D1388*D1389</f>
        <v/>
      </c>
      <c r="E1390" s="1" t="n"/>
      <c r="F1390" s="319" t="n"/>
      <c r="G1390" s="319" t="n"/>
      <c r="H1390" s="319" t="n"/>
      <c r="I1390" s="319" t="n"/>
      <c r="J1390" s="319" t="n"/>
      <c r="K1390" s="1" t="n"/>
      <c r="L1390" s="1" t="n"/>
    </row>
    <row r="1391">
      <c r="B1391" s="1" t="n"/>
      <c r="C1391" s="13" t="inlineStr">
        <is>
          <t>Days in a year</t>
        </is>
      </c>
      <c r="D1391" s="18" t="n">
        <v>365</v>
      </c>
      <c r="E1391" s="1" t="n"/>
      <c r="F1391" s="319" t="n"/>
      <c r="G1391" s="319" t="n"/>
      <c r="H1391" s="319" t="n"/>
      <c r="I1391" s="319" t="n"/>
      <c r="J1391" s="319" t="n"/>
      <c r="K1391" s="1" t="n"/>
      <c r="L1391" s="1" t="n"/>
    </row>
    <row r="1392">
      <c r="B1392" s="1" t="n"/>
      <c r="C1392" s="19" t="inlineStr">
        <is>
          <t>Pmt (MK)</t>
        </is>
      </c>
      <c r="D1392" s="20">
        <f>-PMT(D1387/D1389,D1390,D1386,0,0)</f>
        <v/>
      </c>
      <c r="E1392" s="319" t="n"/>
      <c r="F1392" s="319" t="n"/>
      <c r="G1392" s="319" t="n"/>
      <c r="H1392" s="319" t="n"/>
      <c r="I1392" s="319" t="n"/>
      <c r="J1392" s="319" t="n"/>
      <c r="K1392" s="1" t="n"/>
      <c r="L1392" s="1" t="n"/>
    </row>
    <row r="1393">
      <c r="B1393" s="1" t="n"/>
      <c r="C1393" s="1" t="n"/>
      <c r="D1393" s="319" t="n"/>
      <c r="E1393" s="319" t="n"/>
      <c r="F1393" s="319" t="n"/>
      <c r="G1393" s="319" t="n"/>
      <c r="H1393" s="319" t="n"/>
      <c r="I1393" s="319" t="n"/>
      <c r="J1393" s="319" t="n"/>
      <c r="K1393" s="1" t="n"/>
      <c r="L1393" s="1" t="n"/>
    </row>
    <row r="1394">
      <c r="B1394" s="1" t="n"/>
      <c r="C1394" s="21" t="inlineStr">
        <is>
          <t>Period Start</t>
        </is>
      </c>
      <c r="D1394" s="22" t="inlineStr">
        <is>
          <t>Period End</t>
        </is>
      </c>
      <c r="E1394" s="22" t="inlineStr">
        <is>
          <t>Days</t>
        </is>
      </c>
      <c r="F1394" s="294" t="inlineStr">
        <is>
          <t>Opening bal.</t>
        </is>
      </c>
      <c r="G1394" s="294" t="inlineStr">
        <is>
          <t>Pmt</t>
        </is>
      </c>
      <c r="H1394" s="294" t="inlineStr">
        <is>
          <t>Interest</t>
        </is>
      </c>
      <c r="I1394" s="294" t="inlineStr">
        <is>
          <t>Principal</t>
        </is>
      </c>
      <c r="J1394" s="294" t="inlineStr">
        <is>
          <t>Closing balance</t>
        </is>
      </c>
      <c r="K1394" s="23" t="inlineStr">
        <is>
          <t>Amount Repaid</t>
        </is>
      </c>
      <c r="L1394" s="23" t="inlineStr">
        <is>
          <t>Accumulated Arrears</t>
        </is>
      </c>
    </row>
    <row r="1395">
      <c r="B1395" s="1" t="n">
        <v>0</v>
      </c>
      <c r="C1395" s="24" t="n">
        <v>44673</v>
      </c>
      <c r="D1395" s="24" t="n">
        <v>44681</v>
      </c>
      <c r="E1395" s="25">
        <f>D1395-C1395+1</f>
        <v/>
      </c>
      <c r="F1395" s="319">
        <f>D1386</f>
        <v/>
      </c>
      <c r="G1395" s="319">
        <f>H1395</f>
        <v/>
      </c>
      <c r="H1395" s="319">
        <f>F1395*E1395*D1387/D1391</f>
        <v/>
      </c>
      <c r="I1395" s="319">
        <f>G1395-H1395</f>
        <v/>
      </c>
      <c r="J1395" s="319">
        <f>F1395-I1395</f>
        <v/>
      </c>
      <c r="K1395" s="516" t="n"/>
      <c r="L1395" s="516" t="n"/>
    </row>
    <row r="1396">
      <c r="B1396" s="1" t="n">
        <v>1</v>
      </c>
      <c r="C1396" s="24" t="n">
        <v>44682</v>
      </c>
      <c r="D1396" s="24" t="n">
        <v>44712</v>
      </c>
      <c r="E1396" s="25">
        <f>D1396-C1396+1</f>
        <v/>
      </c>
      <c r="F1396" s="319">
        <f>J1395</f>
        <v/>
      </c>
      <c r="G1396" s="319">
        <f>-PMT($D$1387/$D$1389,36,$F$1395,,0)</f>
        <v/>
      </c>
      <c r="H1396" s="319">
        <f>$D$1387/$D$1389*F1396</f>
        <v/>
      </c>
      <c r="I1396" s="319">
        <f>G1396-H1396</f>
        <v/>
      </c>
      <c r="J1396" s="319">
        <f>F1396-I1396</f>
        <v/>
      </c>
      <c r="K1396" s="516" t="n"/>
      <c r="L1396" s="516" t="n"/>
    </row>
    <row r="1397">
      <c r="B1397" s="1" t="n">
        <v>2</v>
      </c>
      <c r="C1397" s="24" t="n">
        <v>44713</v>
      </c>
      <c r="D1397" s="24" t="n">
        <v>44742</v>
      </c>
      <c r="E1397" s="25">
        <f>D1397-C1397+1</f>
        <v/>
      </c>
      <c r="F1397" s="319">
        <f>J1396</f>
        <v/>
      </c>
      <c r="G1397" s="319">
        <f>-PMT($D$1387/$D$1389,36,$F$1395,,0)</f>
        <v/>
      </c>
      <c r="H1397" s="319">
        <f>$D$1387/$D$1389*F1397</f>
        <v/>
      </c>
      <c r="I1397" s="319">
        <f>G1397-H1397</f>
        <v/>
      </c>
      <c r="J1397" s="319">
        <f>F1397-I1397</f>
        <v/>
      </c>
      <c r="K1397" s="516" t="n"/>
      <c r="L1397" s="516" t="n"/>
    </row>
    <row r="1398">
      <c r="B1398" s="1" t="n">
        <v>3</v>
      </c>
      <c r="C1398" s="24" t="n">
        <v>44743</v>
      </c>
      <c r="D1398" s="24" t="n">
        <v>44773</v>
      </c>
      <c r="E1398" s="25">
        <f>D1398-C1398+1</f>
        <v/>
      </c>
      <c r="F1398" s="319">
        <f>J1397</f>
        <v/>
      </c>
      <c r="G1398" s="319">
        <f>-PMT($D$1387/$D$1389,36,$F$1395,,0)</f>
        <v/>
      </c>
      <c r="H1398" s="319">
        <f>$D$1387/$D$1389*F1398</f>
        <v/>
      </c>
      <c r="I1398" s="319">
        <f>G1398-H1398</f>
        <v/>
      </c>
      <c r="J1398" s="319">
        <f>F1398-I1398</f>
        <v/>
      </c>
    </row>
    <row r="1399">
      <c r="B1399" s="1" t="n">
        <v>4</v>
      </c>
      <c r="C1399" s="24" t="n">
        <v>44774</v>
      </c>
      <c r="D1399" s="24" t="n">
        <v>44804</v>
      </c>
      <c r="E1399" s="25">
        <f>D1399-C1399+1</f>
        <v/>
      </c>
      <c r="F1399" s="319">
        <f>J1398</f>
        <v/>
      </c>
      <c r="G1399" s="319">
        <f>-PMT($D$1387/$D$1389,36,$F$1395,,0)</f>
        <v/>
      </c>
      <c r="H1399" s="319">
        <f>$D$1387/$D$1389*F1399</f>
        <v/>
      </c>
      <c r="I1399" s="319">
        <f>G1399-H1399</f>
        <v/>
      </c>
      <c r="J1399" s="319">
        <f>F1399-I1399</f>
        <v/>
      </c>
      <c r="K1399" s="516" t="n"/>
      <c r="L1399" s="516" t="n"/>
    </row>
    <row r="1400">
      <c r="B1400" s="1" t="n">
        <v>5</v>
      </c>
      <c r="C1400" s="24" t="n">
        <v>44805</v>
      </c>
      <c r="D1400" s="24" t="n">
        <v>44834</v>
      </c>
      <c r="E1400" s="25">
        <f>D1400-C1400+1</f>
        <v/>
      </c>
      <c r="F1400" s="319">
        <f>J1399</f>
        <v/>
      </c>
      <c r="G1400" s="319">
        <f>-PMT($D$1387/$D$1389,36,$F$1395,,0)</f>
        <v/>
      </c>
      <c r="H1400" s="319">
        <f>$D$1387/$D$1389*F1400</f>
        <v/>
      </c>
      <c r="I1400" s="319">
        <f>G1400-H1400</f>
        <v/>
      </c>
      <c r="J1400" s="319">
        <f>F1400-I1400</f>
        <v/>
      </c>
      <c r="K1400" s="516" t="n"/>
      <c r="L1400" s="516" t="n"/>
    </row>
    <row r="1401">
      <c r="B1401" s="1" t="n">
        <v>6</v>
      </c>
      <c r="C1401" s="24" t="n">
        <v>44835</v>
      </c>
      <c r="D1401" s="24" t="n">
        <v>44865</v>
      </c>
      <c r="E1401" s="25">
        <f>D1401-C1401+1</f>
        <v/>
      </c>
      <c r="F1401" s="319">
        <f>J1400</f>
        <v/>
      </c>
      <c r="G1401" s="319">
        <f>-PMT($D$1387/$D$1389,36,$F$1395,,0)</f>
        <v/>
      </c>
      <c r="H1401" s="319">
        <f>$D$1387/$D$1389*F1401</f>
        <v/>
      </c>
      <c r="I1401" s="319">
        <f>G1401-H1401</f>
        <v/>
      </c>
      <c r="J1401" s="319">
        <f>F1401-I1401</f>
        <v/>
      </c>
      <c r="K1401" s="516" t="n"/>
      <c r="L1401" s="516" t="n"/>
    </row>
    <row r="1402">
      <c r="B1402" s="1" t="n">
        <v>7</v>
      </c>
      <c r="C1402" s="24" t="n">
        <v>44866</v>
      </c>
      <c r="D1402" s="24" t="n">
        <v>44895</v>
      </c>
      <c r="E1402" s="25">
        <f>D1402-C1402+1</f>
        <v/>
      </c>
      <c r="F1402" s="319">
        <f>J1401</f>
        <v/>
      </c>
      <c r="G1402" s="319">
        <f>-PMT($D$1387/$D$1389,36,$F$1395,,0)</f>
        <v/>
      </c>
      <c r="H1402" s="319">
        <f>$D$1387/$D$1389*F1402</f>
        <v/>
      </c>
      <c r="I1402" s="319">
        <f>G1402-H1402</f>
        <v/>
      </c>
      <c r="J1402" s="319">
        <f>F1402-I1402</f>
        <v/>
      </c>
      <c r="K1402" s="516" t="n"/>
      <c r="L1402" s="519" t="n"/>
    </row>
    <row r="1403">
      <c r="B1403" s="1" t="n">
        <v>8</v>
      </c>
      <c r="C1403" s="24" t="n">
        <v>44896</v>
      </c>
      <c r="D1403" s="24" t="n">
        <v>44926</v>
      </c>
      <c r="E1403" s="25">
        <f>D1403-C1403+1</f>
        <v/>
      </c>
      <c r="F1403" s="319">
        <f>J1402</f>
        <v/>
      </c>
      <c r="G1403" s="319">
        <f>-PMT($D$1387/$D$1389,36,$F$1395,,0)</f>
        <v/>
      </c>
      <c r="H1403" s="319">
        <f>$D$1387/$D$1389*F1403</f>
        <v/>
      </c>
      <c r="I1403" s="319">
        <f>G1403-H1403</f>
        <v/>
      </c>
      <c r="J1403" s="319">
        <f>F1403-I1403</f>
        <v/>
      </c>
      <c r="K1403" s="516" t="n"/>
      <c r="L1403" s="516" t="n"/>
    </row>
    <row r="1404">
      <c r="B1404" s="1" t="n">
        <v>9</v>
      </c>
      <c r="C1404" s="24" t="n">
        <v>44927</v>
      </c>
      <c r="D1404" s="24" t="n">
        <v>44957</v>
      </c>
      <c r="E1404" s="25">
        <f>D1404-C1404+1</f>
        <v/>
      </c>
      <c r="F1404" s="319">
        <f>J1403</f>
        <v/>
      </c>
      <c r="G1404" s="319">
        <f>-PMT($D$1387/$D$1389,36,$F$1395,,0)</f>
        <v/>
      </c>
      <c r="H1404" s="319">
        <f>$D$1387/$D$1389*F1404</f>
        <v/>
      </c>
      <c r="I1404" s="319">
        <f>G1404-H1404</f>
        <v/>
      </c>
      <c r="J1404" s="319">
        <f>F1404-I1404</f>
        <v/>
      </c>
      <c r="K1404" s="516" t="n"/>
      <c r="L1404" s="516" t="n"/>
    </row>
    <row r="1405">
      <c r="B1405" s="1" t="n">
        <v>10</v>
      </c>
      <c r="C1405" s="24" t="n">
        <v>44958</v>
      </c>
      <c r="D1405" s="24" t="n">
        <v>44985</v>
      </c>
      <c r="E1405" s="25">
        <f>D1405-C1405+1</f>
        <v/>
      </c>
      <c r="F1405" s="319">
        <f>J1404</f>
        <v/>
      </c>
      <c r="G1405" s="319">
        <f>-PMT($D$1387/$D$1389,36,$F$1395,,0)</f>
        <v/>
      </c>
      <c r="H1405" s="319">
        <f>$D$1387/$D$1389*F1405</f>
        <v/>
      </c>
      <c r="I1405" s="319">
        <f>G1405-H1405</f>
        <v/>
      </c>
      <c r="J1405" s="319">
        <f>F1405-I1405</f>
        <v/>
      </c>
      <c r="K1405" s="516" t="n"/>
      <c r="L1405" s="519" t="n"/>
    </row>
    <row r="1406">
      <c r="B1406" s="1" t="n">
        <v>11</v>
      </c>
      <c r="C1406" s="24" t="n">
        <v>44986</v>
      </c>
      <c r="D1406" s="24" t="n">
        <v>45016</v>
      </c>
      <c r="E1406" s="25">
        <f>D1406-C1406+1</f>
        <v/>
      </c>
      <c r="F1406" s="319">
        <f>J1405</f>
        <v/>
      </c>
      <c r="G1406" s="319">
        <f>-PMT($D$1387/$D$1389,36,$F$1395,,0)</f>
        <v/>
      </c>
      <c r="H1406" s="319">
        <f>$D$1387/$D$1389*F1406</f>
        <v/>
      </c>
      <c r="I1406" s="319">
        <f>G1406-H1406</f>
        <v/>
      </c>
      <c r="J1406" s="319">
        <f>F1406-I1406</f>
        <v/>
      </c>
      <c r="K1406" s="516" t="n">
        <v>9585931</v>
      </c>
      <c r="L1406" s="516" t="n"/>
    </row>
    <row r="1407">
      <c r="B1407" s="1" t="n">
        <v>12</v>
      </c>
      <c r="C1407" s="24" t="n">
        <v>45017</v>
      </c>
      <c r="D1407" s="24" t="n">
        <v>45046</v>
      </c>
      <c r="E1407" s="25">
        <f>D1407-C1407+1</f>
        <v/>
      </c>
      <c r="F1407" s="319">
        <f>J1406</f>
        <v/>
      </c>
      <c r="G1407" s="319">
        <f>-PMT($D$1387/$D$1389,36,$F$1395,,0)</f>
        <v/>
      </c>
      <c r="H1407" s="319">
        <f>$D$1387/$D$1389*F1407</f>
        <v/>
      </c>
      <c r="I1407" s="319">
        <f>G1407-H1407</f>
        <v/>
      </c>
      <c r="J1407" s="319">
        <f>F1407-I1407</f>
        <v/>
      </c>
      <c r="K1407" s="530" t="n"/>
      <c r="L1407" s="516" t="n"/>
    </row>
    <row r="1408">
      <c r="B1408" s="1" t="n">
        <v>13</v>
      </c>
      <c r="C1408" s="24" t="n">
        <v>45047</v>
      </c>
      <c r="D1408" s="24" t="n">
        <v>45077</v>
      </c>
      <c r="E1408" s="25">
        <f>D1408-C1408+1</f>
        <v/>
      </c>
      <c r="F1408" s="319">
        <f>J1407</f>
        <v/>
      </c>
      <c r="G1408" s="319">
        <f>-PMT($D$1387/$D$1389,36,$F$1395,,0)</f>
        <v/>
      </c>
      <c r="H1408" s="319">
        <f>$D$1387/$D$1389*F1408</f>
        <v/>
      </c>
      <c r="I1408" s="319">
        <f>G1408-H1408</f>
        <v/>
      </c>
      <c r="J1408" s="319">
        <f>F1408-I1408</f>
        <v/>
      </c>
      <c r="K1408" s="516" t="n"/>
      <c r="L1408" s="516" t="n"/>
    </row>
    <row r="1409">
      <c r="B1409" s="1" t="n">
        <v>14</v>
      </c>
      <c r="C1409" s="24" t="n">
        <v>45078</v>
      </c>
      <c r="D1409" s="24" t="n">
        <v>45107</v>
      </c>
      <c r="E1409" s="25">
        <f>D1409-C1409+1</f>
        <v/>
      </c>
      <c r="F1409" s="319">
        <f>J1408</f>
        <v/>
      </c>
      <c r="G1409" s="319">
        <f>-PMT($D$1387/$D$1389,36,$F$1395,,0)</f>
        <v/>
      </c>
      <c r="H1409" s="319">
        <f>$D$1387/$D$1389*F1409</f>
        <v/>
      </c>
      <c r="I1409" s="319">
        <f>G1409-H1409</f>
        <v/>
      </c>
      <c r="J1409" s="319">
        <f>F1409-I1409</f>
        <v/>
      </c>
      <c r="K1409" s="516" t="n"/>
      <c r="L1409" s="516" t="n"/>
    </row>
    <row r="1410">
      <c r="B1410" s="1" t="n">
        <v>15</v>
      </c>
      <c r="C1410" s="24" t="n">
        <v>45108</v>
      </c>
      <c r="D1410" s="24" t="n">
        <v>45138</v>
      </c>
      <c r="E1410" s="25">
        <f>D1410-C1410+1</f>
        <v/>
      </c>
      <c r="F1410" s="319">
        <f>J1409</f>
        <v/>
      </c>
      <c r="G1410" s="319">
        <f>-PMT($D$1387/$D$1389,36,$F$1395,,0)</f>
        <v/>
      </c>
      <c r="H1410" s="319">
        <f>$D$1387/$D$1389*F1410</f>
        <v/>
      </c>
      <c r="I1410" s="319">
        <f>G1410-H1410</f>
        <v/>
      </c>
      <c r="J1410" s="319">
        <f>F1410-I1410</f>
        <v/>
      </c>
      <c r="K1410" s="516" t="n"/>
      <c r="L1410" s="516" t="n"/>
    </row>
    <row r="1411">
      <c r="B1411" s="1" t="n">
        <v>16</v>
      </c>
      <c r="C1411" s="24" t="n">
        <v>45139</v>
      </c>
      <c r="D1411" s="24" t="n">
        <v>45169</v>
      </c>
      <c r="E1411" s="25">
        <f>D1411-C1411+1</f>
        <v/>
      </c>
      <c r="F1411" s="319">
        <f>J1410</f>
        <v/>
      </c>
      <c r="G1411" s="319">
        <f>-PMT($D$1387/$D$1389,36,$F$1395,,0)</f>
        <v/>
      </c>
      <c r="H1411" s="319">
        <f>$D$1387/$D$1389*F1411</f>
        <v/>
      </c>
      <c r="I1411" s="319">
        <f>G1411-H1411</f>
        <v/>
      </c>
      <c r="J1411" s="319">
        <f>F1411-I1411</f>
        <v/>
      </c>
      <c r="K1411" s="516" t="n"/>
      <c r="L1411" s="516" t="n"/>
    </row>
    <row r="1412">
      <c r="B1412" s="1" t="n">
        <v>17</v>
      </c>
      <c r="C1412" s="24" t="n">
        <v>45170</v>
      </c>
      <c r="D1412" s="24" t="n">
        <v>45199</v>
      </c>
      <c r="E1412" s="25">
        <f>D1412-C1412+1</f>
        <v/>
      </c>
      <c r="F1412" s="319">
        <f>J1411</f>
        <v/>
      </c>
      <c r="G1412" s="319">
        <f>-PMT($D$1387/$D$1389,36,$F$1395,,0)</f>
        <v/>
      </c>
      <c r="H1412" s="319">
        <f>$D$1387/$D$1389*F1412</f>
        <v/>
      </c>
      <c r="I1412" s="319">
        <f>G1412-H1412</f>
        <v/>
      </c>
      <c r="J1412" s="319">
        <f>F1412-I1412</f>
        <v/>
      </c>
      <c r="K1412" s="516" t="n"/>
      <c r="L1412" s="516" t="n"/>
    </row>
    <row r="1413">
      <c r="B1413" s="1" t="n">
        <v>18</v>
      </c>
      <c r="C1413" s="24" t="n">
        <v>45200</v>
      </c>
      <c r="D1413" s="24" t="n">
        <v>45230</v>
      </c>
      <c r="E1413" s="25">
        <f>D1413-C1413+1</f>
        <v/>
      </c>
      <c r="F1413" s="319">
        <f>J1412</f>
        <v/>
      </c>
      <c r="G1413" s="319">
        <f>-PMT($D$1387/$D$1389,36,$F$1395,,0)</f>
        <v/>
      </c>
      <c r="H1413" s="319">
        <f>$D$1387/$D$1389*F1413</f>
        <v/>
      </c>
      <c r="I1413" s="319">
        <f>G1413-H1413</f>
        <v/>
      </c>
      <c r="J1413" s="319">
        <f>F1413-I1413</f>
        <v/>
      </c>
      <c r="K1413" s="516" t="n"/>
      <c r="L1413" s="516" t="n"/>
    </row>
    <row r="1414">
      <c r="B1414" s="1" t="n">
        <v>19</v>
      </c>
      <c r="C1414" s="24" t="n">
        <v>45231</v>
      </c>
      <c r="D1414" s="24" t="n">
        <v>45260</v>
      </c>
      <c r="E1414" s="25">
        <f>D1414-C1414+1</f>
        <v/>
      </c>
      <c r="F1414" s="319">
        <f>J1413</f>
        <v/>
      </c>
      <c r="G1414" s="319">
        <f>-PMT($D$1387/$D$1389,36,$F$1395,,0)</f>
        <v/>
      </c>
      <c r="H1414" s="319">
        <f>$D$1387/$D$1389*F1414</f>
        <v/>
      </c>
      <c r="I1414" s="319">
        <f>G1414-H1414</f>
        <v/>
      </c>
      <c r="J1414" s="319">
        <f>F1414-I1414</f>
        <v/>
      </c>
      <c r="K1414" s="516" t="n"/>
      <c r="L1414" s="516" t="n"/>
    </row>
    <row r="1415">
      <c r="B1415" s="1" t="n">
        <v>20</v>
      </c>
      <c r="C1415" s="24" t="n">
        <v>45261</v>
      </c>
      <c r="D1415" s="24" t="n">
        <v>45291</v>
      </c>
      <c r="E1415" s="25">
        <f>D1415-C1415+1</f>
        <v/>
      </c>
      <c r="F1415" s="319">
        <f>J1414</f>
        <v/>
      </c>
      <c r="G1415" s="319">
        <f>-PMT($D$1387/$D$1389,36,$F$1395,,0)</f>
        <v/>
      </c>
      <c r="H1415" s="319">
        <f>$D$1387/$D$1389*F1415</f>
        <v/>
      </c>
      <c r="I1415" s="319">
        <f>G1415-H1415</f>
        <v/>
      </c>
      <c r="J1415" s="319">
        <f>F1415-I1415</f>
        <v/>
      </c>
      <c r="K1415" s="516" t="n"/>
      <c r="L1415" s="516" t="n"/>
    </row>
    <row r="1416">
      <c r="B1416" s="1" t="n">
        <v>21</v>
      </c>
      <c r="C1416" s="24" t="n">
        <v>45292</v>
      </c>
      <c r="D1416" s="24" t="n">
        <v>45322</v>
      </c>
      <c r="E1416" s="25">
        <f>D1416-C1416+1</f>
        <v/>
      </c>
      <c r="F1416" s="319">
        <f>J1415</f>
        <v/>
      </c>
      <c r="G1416" s="319">
        <f>-PMT($D$1387/$D$1389,36,$F$1395,,0)</f>
        <v/>
      </c>
      <c r="H1416" s="319">
        <f>$D$1387/$D$1389*F1416</f>
        <v/>
      </c>
      <c r="I1416" s="319">
        <f>G1416-H1416</f>
        <v/>
      </c>
      <c r="J1416" s="319">
        <f>F1416-I1416</f>
        <v/>
      </c>
      <c r="K1416" s="516" t="n"/>
      <c r="L1416" s="516" t="n"/>
    </row>
    <row r="1417">
      <c r="B1417" s="1" t="n">
        <v>22</v>
      </c>
      <c r="C1417" s="24" t="n">
        <v>45323</v>
      </c>
      <c r="D1417" s="24" t="n">
        <v>45350</v>
      </c>
      <c r="E1417" s="25">
        <f>D1417-C1417+1</f>
        <v/>
      </c>
      <c r="F1417" s="319">
        <f>J1416</f>
        <v/>
      </c>
      <c r="G1417" s="319">
        <f>-PMT($D$1387/$D$1389,36,$F$1395,,0)</f>
        <v/>
      </c>
      <c r="H1417" s="319">
        <f>$D$1387/$D$1389*F1417</f>
        <v/>
      </c>
      <c r="I1417" s="319">
        <f>G1417-H1417</f>
        <v/>
      </c>
      <c r="J1417" s="319">
        <f>F1417-I1417</f>
        <v/>
      </c>
      <c r="K1417" s="516" t="n"/>
      <c r="L1417" s="516" t="n"/>
    </row>
    <row r="1418">
      <c r="B1418" s="1" t="n">
        <v>23</v>
      </c>
      <c r="C1418" s="24" t="n">
        <v>45352</v>
      </c>
      <c r="D1418" s="24" t="n">
        <v>45382</v>
      </c>
      <c r="E1418" s="25">
        <f>D1418-C1418+1</f>
        <v/>
      </c>
      <c r="F1418" s="319">
        <f>J1417</f>
        <v/>
      </c>
      <c r="G1418" s="319">
        <f>-PMT($D$1387/$D$1389,36,$F$1395,,0)</f>
        <v/>
      </c>
      <c r="H1418" s="319">
        <f>$D$1387/$D$1389*F1418</f>
        <v/>
      </c>
      <c r="I1418" s="319">
        <f>G1418-H1418</f>
        <v/>
      </c>
      <c r="J1418" s="319">
        <f>F1418-I1418</f>
        <v/>
      </c>
      <c r="K1418" s="516" t="n"/>
      <c r="L1418" s="516" t="n"/>
    </row>
    <row r="1419">
      <c r="B1419" s="1" t="n">
        <v>24</v>
      </c>
      <c r="C1419" s="24" t="n">
        <v>45383</v>
      </c>
      <c r="D1419" s="24" t="n">
        <v>45412</v>
      </c>
      <c r="E1419" s="25">
        <f>D1419-C1419+1</f>
        <v/>
      </c>
      <c r="F1419" s="319">
        <f>J1418</f>
        <v/>
      </c>
      <c r="G1419" s="319">
        <f>-PMT($D$1387/$D$1389,36,$F$1395,,0)</f>
        <v/>
      </c>
      <c r="H1419" s="319">
        <f>$D$1387/$D$1389*F1419</f>
        <v/>
      </c>
      <c r="I1419" s="319">
        <f>G1419-H1419</f>
        <v/>
      </c>
      <c r="J1419" s="319">
        <f>F1419-I1419</f>
        <v/>
      </c>
      <c r="K1419" s="516" t="n"/>
      <c r="L1419" s="516" t="n"/>
    </row>
    <row r="1420">
      <c r="B1420" s="1" t="n">
        <v>25</v>
      </c>
      <c r="C1420" s="24" t="n">
        <v>45413</v>
      </c>
      <c r="D1420" s="24" t="n">
        <v>45443</v>
      </c>
      <c r="E1420" s="25">
        <f>D1420-C1420+1</f>
        <v/>
      </c>
      <c r="F1420" s="319">
        <f>J1419</f>
        <v/>
      </c>
      <c r="G1420" s="319">
        <f>-PMT($D$1387/$D$1389,36,$F$1395,,0)</f>
        <v/>
      </c>
      <c r="H1420" s="319">
        <f>$D$1387/$D$1389*F1420</f>
        <v/>
      </c>
      <c r="I1420" s="319">
        <f>G1420-H1420</f>
        <v/>
      </c>
      <c r="J1420" s="319">
        <f>F1420-I1420</f>
        <v/>
      </c>
      <c r="K1420" s="516" t="n">
        <v>9525273.66</v>
      </c>
      <c r="L1420" s="516">
        <f>K1420-SUM(G1407:G1418)</f>
        <v/>
      </c>
    </row>
    <row r="1421">
      <c r="B1421" s="1" t="n">
        <v>26</v>
      </c>
      <c r="C1421" s="24" t="n">
        <v>45444</v>
      </c>
      <c r="D1421" s="24" t="n">
        <v>45473</v>
      </c>
      <c r="E1421" s="25">
        <f>D1421-C1421+1</f>
        <v/>
      </c>
      <c r="F1421" s="319">
        <f>J1420</f>
        <v/>
      </c>
      <c r="G1421" s="319">
        <f>-PMT($D$1387/$D$1389,36,$F$1395,,0)</f>
        <v/>
      </c>
      <c r="H1421" s="319">
        <f>$D$1387/$D$1389*F1421</f>
        <v/>
      </c>
      <c r="I1421" s="319">
        <f>G1421-H1421</f>
        <v/>
      </c>
      <c r="J1421" s="319">
        <f>F1421-I1421</f>
        <v/>
      </c>
      <c r="K1421" s="516" t="n"/>
      <c r="L1421" s="516" t="n"/>
    </row>
    <row r="1422">
      <c r="B1422" s="1" t="n">
        <v>27</v>
      </c>
      <c r="C1422" s="24" t="n">
        <v>45474</v>
      </c>
      <c r="D1422" s="24" t="n">
        <v>45504</v>
      </c>
      <c r="E1422" s="25">
        <f>D1422-C1422+1</f>
        <v/>
      </c>
      <c r="F1422" s="319">
        <f>J1421</f>
        <v/>
      </c>
      <c r="G1422" s="319">
        <f>-PMT($D$1387/$D$1389,36,$F$1395,,0)</f>
        <v/>
      </c>
      <c r="H1422" s="319">
        <f>$D$1387/$D$1389*F1422</f>
        <v/>
      </c>
      <c r="I1422" s="319">
        <f>G1422-H1422</f>
        <v/>
      </c>
      <c r="J1422" s="319">
        <f>F1422-I1422</f>
        <v/>
      </c>
      <c r="K1422" s="516" t="n"/>
      <c r="L1422" s="516" t="n"/>
    </row>
    <row r="1423">
      <c r="B1423" s="1" t="n">
        <v>28</v>
      </c>
      <c r="C1423" s="24" t="n">
        <v>45505</v>
      </c>
      <c r="D1423" s="24" t="n">
        <v>45535</v>
      </c>
      <c r="E1423" s="25">
        <f>D1423-C1423+1</f>
        <v/>
      </c>
      <c r="F1423" s="319">
        <f>J1422</f>
        <v/>
      </c>
      <c r="G1423" s="319">
        <f>-PMT($D$1387/$D$1389,36,$F$1395,,0)</f>
        <v/>
      </c>
      <c r="H1423" s="319">
        <f>$D$1387/$D$1389*F1423</f>
        <v/>
      </c>
      <c r="I1423" s="319">
        <f>G1423-H1423</f>
        <v/>
      </c>
      <c r="J1423" s="319">
        <f>F1423-I1423</f>
        <v/>
      </c>
      <c r="K1423" s="516" t="n"/>
      <c r="L1423" s="516" t="n"/>
    </row>
    <row r="1424">
      <c r="B1424" s="1" t="n">
        <v>29</v>
      </c>
      <c r="C1424" s="24" t="n">
        <v>45536</v>
      </c>
      <c r="D1424" s="24" t="n">
        <v>45565</v>
      </c>
      <c r="E1424" s="25">
        <f>D1424-C1424+1</f>
        <v/>
      </c>
      <c r="F1424" s="319">
        <f>J1423</f>
        <v/>
      </c>
      <c r="G1424" s="319">
        <f>-PMT($D$1387/$D$1389,36,$F$1395,,0)</f>
        <v/>
      </c>
      <c r="H1424" s="319">
        <f>$D$1387/$D$1389*F1424</f>
        <v/>
      </c>
      <c r="I1424" s="319">
        <f>G1424-H1424</f>
        <v/>
      </c>
      <c r="J1424" s="319">
        <f>F1424-I1424</f>
        <v/>
      </c>
      <c r="K1424" s="516" t="n"/>
      <c r="L1424" s="516" t="n"/>
    </row>
    <row r="1425">
      <c r="B1425" s="1" t="n">
        <v>30</v>
      </c>
      <c r="C1425" s="24" t="n">
        <v>45566</v>
      </c>
      <c r="D1425" s="24" t="n">
        <v>45596</v>
      </c>
      <c r="E1425" s="25">
        <f>D1425-C1425+1</f>
        <v/>
      </c>
      <c r="F1425" s="319">
        <f>J1424</f>
        <v/>
      </c>
      <c r="G1425" s="319">
        <f>-PMT($D$1387/$D$1389,36,$F$1395,,0)</f>
        <v/>
      </c>
      <c r="H1425" s="319">
        <f>$D$1387/$D$1389*F1425</f>
        <v/>
      </c>
      <c r="I1425" s="319">
        <f>G1425-H1425</f>
        <v/>
      </c>
      <c r="J1425" s="319">
        <f>F1425-I1425</f>
        <v/>
      </c>
      <c r="K1425" s="516" t="n"/>
      <c r="L1425" s="516" t="n"/>
    </row>
    <row r="1426">
      <c r="B1426" s="1" t="n">
        <v>31</v>
      </c>
      <c r="C1426" s="24" t="n">
        <v>45597</v>
      </c>
      <c r="D1426" s="24" t="n">
        <v>45626</v>
      </c>
      <c r="E1426" s="25">
        <f>D1426-C1426+1</f>
        <v/>
      </c>
      <c r="F1426" s="319">
        <f>J1425</f>
        <v/>
      </c>
      <c r="G1426" s="319">
        <f>-PMT($D$1387/$D$1389,36,$F$1395,,0)</f>
        <v/>
      </c>
      <c r="H1426" s="319">
        <f>$D$1387/$D$1389*F1426</f>
        <v/>
      </c>
      <c r="I1426" s="319">
        <f>G1426-H1426</f>
        <v/>
      </c>
      <c r="J1426" s="319">
        <f>F1426-I1426</f>
        <v/>
      </c>
      <c r="K1426" s="516" t="n"/>
      <c r="L1426" s="516" t="n"/>
    </row>
    <row r="1427">
      <c r="B1427" s="1" t="n">
        <v>32</v>
      </c>
      <c r="C1427" s="24" t="n">
        <v>45627</v>
      </c>
      <c r="D1427" s="24" t="n">
        <v>45657</v>
      </c>
      <c r="E1427" s="25">
        <f>D1427-C1427+1</f>
        <v/>
      </c>
      <c r="F1427" s="319">
        <f>J1426</f>
        <v/>
      </c>
      <c r="G1427" s="319">
        <f>-PMT($D$1387/$D$1389,36,$F$1395,,0)</f>
        <v/>
      </c>
      <c r="H1427" s="319">
        <f>$D$1387/$D$1389*F1427</f>
        <v/>
      </c>
      <c r="I1427" s="319">
        <f>G1427-H1427</f>
        <v/>
      </c>
      <c r="J1427" s="319">
        <f>F1427-I1427</f>
        <v/>
      </c>
      <c r="K1427" s="516" t="n"/>
      <c r="L1427" s="516" t="n"/>
    </row>
    <row r="1428">
      <c r="B1428" s="1" t="n">
        <v>33</v>
      </c>
      <c r="C1428" s="24" t="n">
        <v>45658</v>
      </c>
      <c r="D1428" s="24" t="n">
        <v>45688</v>
      </c>
      <c r="E1428" s="25">
        <f>D1428-C1428+1</f>
        <v/>
      </c>
      <c r="F1428" s="319">
        <f>J1427</f>
        <v/>
      </c>
      <c r="G1428" s="319">
        <f>-PMT($D$1387/$D$1389,36,$F$1395,,0)</f>
        <v/>
      </c>
      <c r="H1428" s="319">
        <f>$D$1387/$D$1389*F1428</f>
        <v/>
      </c>
      <c r="I1428" s="319">
        <f>G1428-H1428</f>
        <v/>
      </c>
      <c r="J1428" s="319">
        <f>F1428-I1428</f>
        <v/>
      </c>
      <c r="K1428" s="516" t="n"/>
      <c r="L1428" s="516" t="n"/>
    </row>
    <row r="1429">
      <c r="B1429" s="1" t="n">
        <v>34</v>
      </c>
      <c r="C1429" s="24" t="n">
        <v>45689</v>
      </c>
      <c r="D1429" s="24" t="n">
        <v>45716</v>
      </c>
      <c r="E1429" s="25">
        <f>D1429-C1429+1</f>
        <v/>
      </c>
      <c r="F1429" s="319">
        <f>J1428</f>
        <v/>
      </c>
      <c r="G1429" s="319">
        <f>-PMT($D$1387/$D$1389,36,$F$1395,,0)</f>
        <v/>
      </c>
      <c r="H1429" s="319">
        <f>$D$1387/$D$1389*F1429</f>
        <v/>
      </c>
      <c r="I1429" s="319">
        <f>G1429-H1429</f>
        <v/>
      </c>
      <c r="J1429" s="319">
        <f>F1429-I1429</f>
        <v/>
      </c>
      <c r="K1429" s="516" t="n"/>
      <c r="L1429" s="516" t="n"/>
    </row>
    <row r="1430">
      <c r="B1430" s="1" t="n">
        <v>35</v>
      </c>
      <c r="C1430" s="24" t="n">
        <v>45717</v>
      </c>
      <c r="D1430" s="24" t="n">
        <v>45747</v>
      </c>
      <c r="E1430" s="25">
        <f>D1430-C1430+1</f>
        <v/>
      </c>
      <c r="F1430" s="319">
        <f>J1429</f>
        <v/>
      </c>
      <c r="G1430" s="319">
        <f>-PMT($D$1387/$D$1389,36,$F$1395,,0)</f>
        <v/>
      </c>
      <c r="H1430" s="319">
        <f>$D$1387/$D$1389*F1430</f>
        <v/>
      </c>
      <c r="I1430" s="319">
        <f>G1430-H1430</f>
        <v/>
      </c>
      <c r="J1430" s="319">
        <f>F1430-I1430</f>
        <v/>
      </c>
      <c r="K1430" s="516" t="n"/>
      <c r="L1430" s="516" t="n"/>
    </row>
    <row r="1431">
      <c r="B1431" s="1" t="n">
        <v>36</v>
      </c>
      <c r="C1431" s="24" t="n">
        <v>45748</v>
      </c>
      <c r="D1431" s="24" t="n">
        <v>45777</v>
      </c>
      <c r="E1431" s="25">
        <f>D1431-C1431+1</f>
        <v/>
      </c>
      <c r="F1431" s="319">
        <f>J1430</f>
        <v/>
      </c>
      <c r="G1431" s="319">
        <f>-PMT($D$1387/$D$1389,36,$F$1395,,0)</f>
        <v/>
      </c>
      <c r="H1431" s="319">
        <f>$D$1387/$D$1389*F1431</f>
        <v/>
      </c>
      <c r="I1431" s="319">
        <f>G1431-H1431</f>
        <v/>
      </c>
      <c r="J1431" s="319">
        <f>F1431-I1431</f>
        <v/>
      </c>
      <c r="K1431" s="516" t="inlineStr">
        <is>
          <t>Next payment</t>
        </is>
      </c>
      <c r="L1431" s="516" t="n"/>
    </row>
    <row r="1432">
      <c r="B1432" s="1" t="n"/>
      <c r="C1432" s="24" t="n"/>
      <c r="D1432" s="24" t="n"/>
      <c r="E1432" s="25" t="n"/>
      <c r="F1432" s="319" t="n"/>
      <c r="G1432" s="319" t="n"/>
      <c r="H1432" s="319" t="n"/>
      <c r="I1432" s="319" t="n"/>
      <c r="J1432" s="319" t="n"/>
      <c r="K1432" s="516" t="n"/>
      <c r="L1432" s="516" t="n"/>
    </row>
    <row r="1433">
      <c r="B1433" s="1" t="n"/>
      <c r="C1433" s="24" t="n"/>
      <c r="D1433" s="24" t="n"/>
      <c r="E1433" s="25" t="n"/>
      <c r="F1433" s="319" t="n"/>
      <c r="G1433" s="319" t="n"/>
      <c r="H1433" s="319" t="n"/>
      <c r="I1433" s="319" t="n"/>
      <c r="J1433" s="319" t="n"/>
      <c r="K1433" s="516" t="n"/>
      <c r="L1433" s="516" t="n"/>
    </row>
    <row r="1434" ht="14.25" customHeight="1">
      <c r="B1434" s="1" t="n"/>
      <c r="C1434" s="1" t="n"/>
      <c r="D1434" s="1" t="n"/>
      <c r="E1434" s="30">
        <f>SUM(E1395:E1419)</f>
        <v/>
      </c>
      <c r="F1434" s="319" t="n"/>
      <c r="G1434" s="319" t="n"/>
      <c r="H1434" s="319" t="n"/>
      <c r="I1434" s="319" t="n"/>
      <c r="J1434" s="319" t="n"/>
      <c r="K1434" s="1" t="n"/>
      <c r="L1434" s="1" t="n"/>
    </row>
    <row r="1438">
      <c r="B1438" s="1" t="n"/>
      <c r="C1438" s="9" t="inlineStr">
        <is>
          <t>Allied Bricks</t>
        </is>
      </c>
      <c r="D1438" s="319" t="n"/>
      <c r="E1438" s="319" t="n"/>
      <c r="F1438" s="319" t="n"/>
      <c r="G1438" s="319" t="n"/>
      <c r="H1438" s="319" t="n"/>
      <c r="I1438" s="319" t="n"/>
      <c r="J1438" s="319" t="n"/>
      <c r="K1438" s="319" t="n"/>
      <c r="L1438" s="319" t="n"/>
      <c r="R1438" s="514" t="inlineStr">
        <is>
          <t>E-Banker account (Dupleix)</t>
        </is>
      </c>
      <c r="S1438" s="495">
        <f>IFERROR(INDEX('Blocks'!$I$2:$I$101,MATCH(23,'Blocks'!$A$2:$A$101,0)),"")</f>
        <v/>
      </c>
    </row>
    <row r="1439">
      <c r="B1439" s="1" t="n"/>
      <c r="C1439" s="1" t="n"/>
      <c r="D1439" s="319" t="n"/>
      <c r="E1439" s="319" t="n"/>
      <c r="F1439" s="319" t="n"/>
      <c r="G1439" s="319" t="n"/>
      <c r="H1439" s="319" t="n"/>
      <c r="I1439" s="319" t="n"/>
      <c r="J1439" s="319" t="n"/>
      <c r="K1439" s="319" t="n"/>
      <c r="L1439" s="319" t="n"/>
      <c r="R1439" s="514" t="inlineStr">
        <is>
          <t>Facility (Loan Book)</t>
        </is>
      </c>
      <c r="S1439" s="495">
        <f>IFERROR(INDEX('Blocks'!$H$2:$H$101,MATCH(23,'Blocks'!$A$2:$A$101,0)),"")</f>
        <v/>
      </c>
    </row>
    <row r="1440">
      <c r="B1440" s="1" t="n"/>
      <c r="C1440" s="10" t="inlineStr">
        <is>
          <t>Principal (MK)</t>
        </is>
      </c>
      <c r="D1440" s="11" t="n">
        <v>12000000</v>
      </c>
      <c r="E1440" s="319" t="n"/>
      <c r="F1440" s="319" t="n"/>
      <c r="G1440" s="319" t="n"/>
      <c r="H1440" s="319" t="n"/>
      <c r="I1440" s="319" t="n"/>
      <c r="J1440" s="319" t="n"/>
      <c r="K1440" s="319" t="n"/>
      <c r="L1440" s="319" t="n"/>
      <c r="R1440" s="514" t="inlineStr">
        <is>
          <t>Take-on posting 31 Jul 2024</t>
        </is>
      </c>
      <c r="S1440" s="496">
        <f>IFERROR(INDEX('E-Banker master'!$N$2:$N$186,MATCH(S1438,'E-Banker master'!$A$2:$A$186,0)),"")</f>
        <v/>
      </c>
    </row>
    <row r="1441">
      <c r="B1441" s="1" t="n"/>
      <c r="C1441" s="13" t="inlineStr">
        <is>
          <t>Rate</t>
        </is>
      </c>
      <c r="D1441" s="14" t="n">
        <v>0.1</v>
      </c>
      <c r="E1441" s="257" t="n"/>
      <c r="F1441" s="319" t="n"/>
      <c r="G1441" s="319" t="n"/>
      <c r="H1441" s="319" t="n"/>
      <c r="I1441" s="319" t="n"/>
      <c r="J1441" s="319" t="n"/>
      <c r="K1441" s="319" t="n"/>
      <c r="L1441" s="319" t="n"/>
      <c r="R1441" s="514" t="inlineStr">
        <is>
          <t>E-Banker balance 31 Oct 2024</t>
        </is>
      </c>
      <c r="S1441" s="496">
        <f>IFERROR(INDEX('E-Banker master'!$P$2:$P$186,MATCH(S1438,'E-Banker master'!$A$2:$A$186,0)),"")</f>
        <v/>
      </c>
    </row>
    <row r="1442">
      <c r="B1442" s="1" t="n"/>
      <c r="C1442" s="13" t="inlineStr">
        <is>
          <t>n</t>
        </is>
      </c>
      <c r="D1442" s="16" t="n">
        <v>2</v>
      </c>
      <c r="E1442" s="1" t="n"/>
      <c r="F1442" s="319" t="n"/>
      <c r="G1442" s="319" t="n"/>
      <c r="H1442" s="319" t="n"/>
      <c r="I1442" s="319" t="n"/>
      <c r="J1442" s="319" t="n"/>
      <c r="K1442" s="1" t="n"/>
      <c r="L1442" s="1" t="n"/>
    </row>
    <row r="1443">
      <c r="B1443" s="1" t="n"/>
      <c r="C1443" s="13" t="inlineStr">
        <is>
          <t>Per</t>
        </is>
      </c>
      <c r="D1443" s="16" t="n">
        <v>12</v>
      </c>
      <c r="E1443" s="1" t="n"/>
      <c r="F1443" s="319" t="n"/>
      <c r="G1443" s="319" t="n"/>
      <c r="H1443" s="319" t="n"/>
      <c r="I1443" s="319" t="n"/>
      <c r="J1443" s="319" t="n"/>
      <c r="K1443" s="1" t="n"/>
      <c r="L1443" s="1" t="n"/>
    </row>
    <row r="1444">
      <c r="B1444" s="1" t="n"/>
      <c r="C1444" s="13" t="inlineStr">
        <is>
          <t>nPer</t>
        </is>
      </c>
      <c r="D1444" s="515">
        <f>D1442*D1443</f>
        <v/>
      </c>
      <c r="E1444" s="1" t="n"/>
      <c r="F1444" s="319" t="n"/>
      <c r="G1444" s="319" t="n"/>
      <c r="H1444" s="319" t="n"/>
      <c r="I1444" s="319" t="n"/>
      <c r="J1444" s="319" t="n"/>
      <c r="K1444" s="1" t="n"/>
      <c r="L1444" s="1" t="n"/>
    </row>
    <row r="1445">
      <c r="B1445" s="1" t="n"/>
      <c r="C1445" s="13" t="inlineStr">
        <is>
          <t>Days in a year</t>
        </is>
      </c>
      <c r="D1445" s="18" t="n">
        <v>365</v>
      </c>
      <c r="E1445" s="1" t="n"/>
      <c r="F1445" s="319" t="n"/>
      <c r="G1445" s="319" t="n"/>
      <c r="H1445" s="319" t="n"/>
      <c r="I1445" s="319" t="n"/>
      <c r="J1445" s="319" t="n"/>
      <c r="K1445" s="1" t="n"/>
      <c r="L1445" s="1" t="n"/>
    </row>
    <row r="1446">
      <c r="B1446" s="1" t="n"/>
      <c r="C1446" s="19" t="inlineStr">
        <is>
          <t>Pmt (MK)</t>
        </is>
      </c>
      <c r="D1446" s="20">
        <f>-PMT(D1441/D1443,D1444,D1440,0,0)</f>
        <v/>
      </c>
      <c r="E1446" s="319" t="n"/>
      <c r="F1446" s="319" t="n"/>
      <c r="G1446" s="319" t="n"/>
      <c r="H1446" s="319" t="n"/>
      <c r="I1446" s="319" t="n"/>
      <c r="J1446" s="319" t="n"/>
      <c r="K1446" s="1" t="n"/>
      <c r="L1446" s="1" t="n"/>
    </row>
    <row r="1447">
      <c r="B1447" s="1" t="n"/>
      <c r="C1447" s="1" t="n"/>
      <c r="D1447" s="319" t="n"/>
      <c r="E1447" s="319" t="n"/>
      <c r="F1447" s="319" t="n"/>
      <c r="G1447" s="319" t="n"/>
      <c r="H1447" s="319" t="n"/>
      <c r="I1447" s="319" t="n"/>
      <c r="J1447" s="319" t="n"/>
      <c r="K1447" s="1" t="n"/>
      <c r="L1447" s="1" t="n"/>
    </row>
    <row r="1448">
      <c r="B1448" s="1" t="n"/>
      <c r="C1448" s="21" t="inlineStr">
        <is>
          <t>Period Start</t>
        </is>
      </c>
      <c r="D1448" s="22" t="inlineStr">
        <is>
          <t>Period End</t>
        </is>
      </c>
      <c r="E1448" s="22" t="inlineStr">
        <is>
          <t>Days</t>
        </is>
      </c>
      <c r="F1448" s="294" t="inlineStr">
        <is>
          <t>Opening bal.</t>
        </is>
      </c>
      <c r="G1448" s="294" t="inlineStr">
        <is>
          <t>Pmt</t>
        </is>
      </c>
      <c r="H1448" s="294" t="inlineStr">
        <is>
          <t>Interest</t>
        </is>
      </c>
      <c r="I1448" s="294" t="inlineStr">
        <is>
          <t>Principal</t>
        </is>
      </c>
      <c r="J1448" s="294" t="inlineStr">
        <is>
          <t>Closing balance</t>
        </is>
      </c>
      <c r="K1448" s="23" t="inlineStr">
        <is>
          <t>Amount Repaid</t>
        </is>
      </c>
      <c r="L1448" s="23" t="inlineStr">
        <is>
          <t>Accumulated Arrears</t>
        </is>
      </c>
    </row>
    <row r="1449">
      <c r="B1449" s="1" t="n">
        <v>1</v>
      </c>
      <c r="C1449" s="24" t="n">
        <v>44715</v>
      </c>
      <c r="D1449" s="24" t="n">
        <v>44742</v>
      </c>
      <c r="E1449" s="25">
        <f>D1449-C1449+1</f>
        <v/>
      </c>
      <c r="F1449" s="319">
        <f>D1440</f>
        <v/>
      </c>
      <c r="G1449" s="319" t="n"/>
      <c r="H1449" s="319">
        <f>$D$1441/$D$1443*F1449*28/30</f>
        <v/>
      </c>
      <c r="I1449" s="319">
        <f>G1449-H1449</f>
        <v/>
      </c>
      <c r="J1449" s="319">
        <f>F1449-I1449</f>
        <v/>
      </c>
      <c r="K1449" s="516" t="n"/>
      <c r="L1449" s="516" t="n"/>
      <c r="N1449" s="148" t="n"/>
    </row>
    <row r="1450">
      <c r="B1450" s="1" t="n">
        <v>2</v>
      </c>
      <c r="C1450" s="24" t="n">
        <v>44743</v>
      </c>
      <c r="D1450" s="24" t="n">
        <v>44773</v>
      </c>
      <c r="E1450" s="25">
        <f>D1450-C1450+1</f>
        <v/>
      </c>
      <c r="F1450" s="319">
        <f>J1449</f>
        <v/>
      </c>
      <c r="G1450" s="319" t="n"/>
      <c r="H1450" s="319">
        <f>$D$1441/$D$1443*F1450</f>
        <v/>
      </c>
      <c r="I1450" s="319">
        <f>G1450-H1450</f>
        <v/>
      </c>
      <c r="J1450" s="319">
        <f>F1450-I1450</f>
        <v/>
      </c>
      <c r="K1450" s="516" t="n"/>
      <c r="L1450" s="516" t="n"/>
      <c r="N1450" s="148" t="n"/>
    </row>
    <row r="1451">
      <c r="B1451" s="1" t="n">
        <v>3</v>
      </c>
      <c r="C1451" s="24" t="n">
        <v>44774</v>
      </c>
      <c r="D1451" s="24" t="n">
        <v>44804</v>
      </c>
      <c r="E1451" s="25">
        <f>D1451-C1451+1</f>
        <v/>
      </c>
      <c r="F1451" s="319">
        <f>J1450</f>
        <v/>
      </c>
      <c r="G1451" s="319" t="n"/>
      <c r="H1451" s="319">
        <f>$D$1441/$D$1443*F1451</f>
        <v/>
      </c>
      <c r="I1451" s="319">
        <f>G1451-H1451</f>
        <v/>
      </c>
      <c r="J1451" s="319">
        <f>F1451-I1451</f>
        <v/>
      </c>
      <c r="N1451" s="148" t="n"/>
    </row>
    <row r="1452">
      <c r="B1452" s="1" t="n">
        <v>4</v>
      </c>
      <c r="C1452" s="24" t="n">
        <v>44805</v>
      </c>
      <c r="D1452" s="24" t="n">
        <v>44834</v>
      </c>
      <c r="E1452" s="25">
        <f>D1452-C1452+1</f>
        <v/>
      </c>
      <c r="F1452" s="319">
        <f>J1451</f>
        <v/>
      </c>
      <c r="G1452" s="319">
        <f>-PMT($D$1441/$D$1443,21,$F$1452,,0)</f>
        <v/>
      </c>
      <c r="H1452" s="319">
        <f>$D$1441/$D$1443*F1452</f>
        <v/>
      </c>
      <c r="I1452" s="319">
        <f>G1452-H1452</f>
        <v/>
      </c>
      <c r="J1452" s="319">
        <f>F1452-I1452</f>
        <v/>
      </c>
      <c r="K1452" s="516" t="n"/>
      <c r="L1452" s="516">
        <f>G1452</f>
        <v/>
      </c>
      <c r="N1452" s="148" t="n"/>
    </row>
    <row r="1453">
      <c r="B1453" s="1" t="n">
        <v>5</v>
      </c>
      <c r="C1453" s="24" t="n">
        <v>44835</v>
      </c>
      <c r="D1453" s="24" t="n">
        <v>44865</v>
      </c>
      <c r="E1453" s="25">
        <f>D1453-C1453+1</f>
        <v/>
      </c>
      <c r="F1453" s="319">
        <f>J1452</f>
        <v/>
      </c>
      <c r="G1453" s="319">
        <f>-PMT($D$1441/$D$1443,21,$F$1452,,0)</f>
        <v/>
      </c>
      <c r="H1453" s="319">
        <f>$D$1441/$D$1443*F1453</f>
        <v/>
      </c>
      <c r="I1453" s="319">
        <f>G1453-H1453</f>
        <v/>
      </c>
      <c r="J1453" s="319">
        <f>F1453-I1453</f>
        <v/>
      </c>
      <c r="K1453" s="516" t="n"/>
      <c r="L1453" s="516">
        <f>L1452+G1453-K1453</f>
        <v/>
      </c>
      <c r="N1453" s="148" t="n"/>
    </row>
    <row r="1454">
      <c r="B1454" s="1" t="n">
        <v>6</v>
      </c>
      <c r="C1454" s="24" t="n">
        <v>44866</v>
      </c>
      <c r="D1454" s="24" t="n">
        <v>44895</v>
      </c>
      <c r="E1454" s="25">
        <f>D1454-C1454+1</f>
        <v/>
      </c>
      <c r="F1454" s="319">
        <f>J1453</f>
        <v/>
      </c>
      <c r="G1454" s="319">
        <f>-PMT($D$1441/$D$1443,21,$F$1452,,0)</f>
        <v/>
      </c>
      <c r="H1454" s="319">
        <f>$D$1441/$D$1443*F1454</f>
        <v/>
      </c>
      <c r="I1454" s="319">
        <f>G1454-H1454</f>
        <v/>
      </c>
      <c r="J1454" s="319">
        <f>F1454-I1454</f>
        <v/>
      </c>
      <c r="K1454" s="516" t="n"/>
      <c r="L1454" s="516">
        <f>L1453+G1454-K1454</f>
        <v/>
      </c>
      <c r="N1454" s="148" t="n"/>
    </row>
    <row r="1455">
      <c r="B1455" s="1" t="n">
        <v>7</v>
      </c>
      <c r="C1455" s="24" t="n">
        <v>44896</v>
      </c>
      <c r="D1455" s="24" t="n">
        <v>44926</v>
      </c>
      <c r="E1455" s="25">
        <f>D1455-C1455+1</f>
        <v/>
      </c>
      <c r="F1455" s="319">
        <f>J1454</f>
        <v/>
      </c>
      <c r="G1455" s="319">
        <f>-PMT($D$1441/$D$1443,21,$F$1452,,0)</f>
        <v/>
      </c>
      <c r="H1455" s="319">
        <f>$D$1441/$D$1443*F1455</f>
        <v/>
      </c>
      <c r="I1455" s="319">
        <f>G1455-H1455</f>
        <v/>
      </c>
      <c r="J1455" s="319">
        <f>F1455-I1455</f>
        <v/>
      </c>
      <c r="K1455" s="516" t="n"/>
      <c r="L1455" s="516">
        <f>L1454+G1455-K1455</f>
        <v/>
      </c>
      <c r="N1455" s="148" t="n"/>
    </row>
    <row r="1456">
      <c r="B1456" s="1" t="n">
        <v>8</v>
      </c>
      <c r="C1456" s="24" t="n">
        <v>44927</v>
      </c>
      <c r="D1456" s="24" t="n">
        <v>44957</v>
      </c>
      <c r="E1456" s="25">
        <f>D1456-C1456+1</f>
        <v/>
      </c>
      <c r="F1456" s="319">
        <f>J1455</f>
        <v/>
      </c>
      <c r="G1456" s="319">
        <f>-PMT($D$1441/$D$1443,21,$F$1452,,0)</f>
        <v/>
      </c>
      <c r="H1456" s="319">
        <f>$D$1441/$D$1443*F1456</f>
        <v/>
      </c>
      <c r="I1456" s="319">
        <f>G1456-H1456</f>
        <v/>
      </c>
      <c r="J1456" s="319">
        <f>F1456-I1456</f>
        <v/>
      </c>
      <c r="K1456" s="516" t="n">
        <v>600000</v>
      </c>
      <c r="L1456" s="516">
        <f>L1455+G1456-K1456</f>
        <v/>
      </c>
      <c r="N1456" s="148" t="n"/>
    </row>
    <row r="1457">
      <c r="B1457" s="1" t="n">
        <v>9</v>
      </c>
      <c r="C1457" s="24" t="n">
        <v>44958</v>
      </c>
      <c r="D1457" s="24" t="n">
        <v>44985</v>
      </c>
      <c r="E1457" s="25">
        <f>D1457-C1457+1</f>
        <v/>
      </c>
      <c r="F1457" s="319">
        <f>J1456</f>
        <v/>
      </c>
      <c r="G1457" s="319">
        <f>-PMT($D$1441/$D$1443,21,$F$1452,,0)</f>
        <v/>
      </c>
      <c r="H1457" s="319">
        <f>$D$1441/$D$1443*F1457</f>
        <v/>
      </c>
      <c r="I1457" s="319">
        <f>G1457-H1457</f>
        <v/>
      </c>
      <c r="J1457" s="319">
        <f>F1457-I1457</f>
        <v/>
      </c>
      <c r="K1457" s="516" t="n">
        <v>500000</v>
      </c>
      <c r="L1457" s="516">
        <f>L1456+G1457-K1457</f>
        <v/>
      </c>
      <c r="N1457" s="148" t="n"/>
    </row>
    <row r="1458">
      <c r="B1458" s="1" t="n">
        <v>10</v>
      </c>
      <c r="C1458" s="24" t="n">
        <v>44986</v>
      </c>
      <c r="D1458" s="24" t="n">
        <v>45016</v>
      </c>
      <c r="E1458" s="25">
        <f>D1458-C1458+1</f>
        <v/>
      </c>
      <c r="F1458" s="319">
        <f>J1457</f>
        <v/>
      </c>
      <c r="G1458" s="319">
        <f>-PMT($D$1441/$D$1443,21,$F$1452,,0)</f>
        <v/>
      </c>
      <c r="H1458" s="319">
        <f>$D$1441/$D$1443*F1458</f>
        <v/>
      </c>
      <c r="I1458" s="319">
        <f>G1458-H1458</f>
        <v/>
      </c>
      <c r="J1458" s="319">
        <f>F1458-I1458</f>
        <v/>
      </c>
      <c r="K1458" s="516" t="n">
        <v>0</v>
      </c>
      <c r="L1458" s="516">
        <f>L1457+G1458-K1458</f>
        <v/>
      </c>
      <c r="N1458" s="148" t="n"/>
    </row>
    <row r="1459">
      <c r="B1459" s="1" t="n">
        <v>11</v>
      </c>
      <c r="C1459" s="24" t="n">
        <v>45017</v>
      </c>
      <c r="D1459" s="24" t="n">
        <v>45046</v>
      </c>
      <c r="E1459" s="25">
        <f>D1459-C1459+1</f>
        <v/>
      </c>
      <c r="F1459" s="319">
        <f>J1458</f>
        <v/>
      </c>
      <c r="G1459" s="319">
        <f>-PMT($D$1441/$D$1443,21,$F$1452,,0)</f>
        <v/>
      </c>
      <c r="H1459" s="319">
        <f>$D$1441/$D$1443*F1459</f>
        <v/>
      </c>
      <c r="I1459" s="319">
        <f>G1459-H1459</f>
        <v/>
      </c>
      <c r="J1459" s="319">
        <f>F1459-I1459</f>
        <v/>
      </c>
      <c r="K1459" s="516" t="n"/>
      <c r="L1459" s="516">
        <f>L1458+G1459-K1459</f>
        <v/>
      </c>
      <c r="N1459" s="148" t="n"/>
    </row>
    <row r="1460">
      <c r="B1460" s="1" t="n">
        <v>12</v>
      </c>
      <c r="C1460" s="24" t="n">
        <v>45047</v>
      </c>
      <c r="D1460" s="24" t="n">
        <v>45077</v>
      </c>
      <c r="E1460" s="25">
        <f>D1460-C1460+1</f>
        <v/>
      </c>
      <c r="F1460" s="319">
        <f>J1459</f>
        <v/>
      </c>
      <c r="G1460" s="319">
        <f>-PMT($D$1441/$D$1443,21,$F$1452,,0)</f>
        <v/>
      </c>
      <c r="H1460" s="319">
        <f>$D$1441/$D$1443*F1460</f>
        <v/>
      </c>
      <c r="I1460" s="319">
        <f>G1460-H1460</f>
        <v/>
      </c>
      <c r="J1460" s="319">
        <f>F1460-I1460</f>
        <v/>
      </c>
      <c r="K1460" s="516" t="n"/>
      <c r="L1460" s="516">
        <f>L1459+G1460-K1460</f>
        <v/>
      </c>
      <c r="N1460" s="148" t="n"/>
    </row>
    <row r="1461">
      <c r="B1461" s="1" t="n">
        <v>13</v>
      </c>
      <c r="C1461" s="24" t="n">
        <v>45078</v>
      </c>
      <c r="D1461" s="24" t="n">
        <v>45107</v>
      </c>
      <c r="E1461" s="25">
        <f>D1461-C1461+1</f>
        <v/>
      </c>
      <c r="F1461" s="319">
        <f>J1460</f>
        <v/>
      </c>
      <c r="G1461" s="319">
        <f>-PMT($D$1441/$D$1443,21,$F$1452,,0)</f>
        <v/>
      </c>
      <c r="H1461" s="319">
        <f>$D$1441/$D$1443*F1461</f>
        <v/>
      </c>
      <c r="I1461" s="319">
        <f>G1461-H1461</f>
        <v/>
      </c>
      <c r="J1461" s="319">
        <f>F1461-I1461</f>
        <v/>
      </c>
      <c r="K1461" s="516">
        <f>1000000</f>
        <v/>
      </c>
      <c r="L1461" s="519">
        <f>L1460+G1461-K1461</f>
        <v/>
      </c>
      <c r="N1461" s="148" t="n"/>
    </row>
    <row r="1462">
      <c r="B1462" s="1" t="n">
        <v>14</v>
      </c>
      <c r="C1462" s="24" t="n">
        <v>45108</v>
      </c>
      <c r="D1462" s="24" t="n">
        <v>45138</v>
      </c>
      <c r="E1462" s="25">
        <f>D1462-C1462+1</f>
        <v/>
      </c>
      <c r="F1462" s="319">
        <f>J1461</f>
        <v/>
      </c>
      <c r="G1462" s="319">
        <f>-PMT($D$1441/$D$1443,21,$F$1452,,0)</f>
        <v/>
      </c>
      <c r="H1462" s="319">
        <f>$D$1441/$D$1443*F1462</f>
        <v/>
      </c>
      <c r="I1462" s="319">
        <f>G1462-H1462</f>
        <v/>
      </c>
      <c r="J1462" s="319">
        <f>F1462-I1462</f>
        <v/>
      </c>
      <c r="K1462" s="516" t="n"/>
      <c r="L1462" s="519">
        <f>L1461+G1462-K1462</f>
        <v/>
      </c>
      <c r="N1462" s="148" t="n"/>
    </row>
    <row r="1463">
      <c r="B1463" s="1" t="n">
        <v>15</v>
      </c>
      <c r="C1463" s="24" t="n">
        <v>45139</v>
      </c>
      <c r="D1463" s="24" t="n">
        <v>45169</v>
      </c>
      <c r="E1463" s="25">
        <f>D1463-C1463+1</f>
        <v/>
      </c>
      <c r="F1463" s="319">
        <f>J1462</f>
        <v/>
      </c>
      <c r="G1463" s="319">
        <f>-PMT($D$1441/$D$1443,21,$F$1452,,0)</f>
        <v/>
      </c>
      <c r="H1463" s="319">
        <f>$D$1441/$D$1443*F1463</f>
        <v/>
      </c>
      <c r="I1463" s="319">
        <f>G1463-H1463</f>
        <v/>
      </c>
      <c r="J1463" s="319">
        <f>F1463-I1463</f>
        <v/>
      </c>
      <c r="K1463" s="516" t="n"/>
      <c r="L1463" s="516">
        <f>L1462+G1463-K1463</f>
        <v/>
      </c>
      <c r="N1463" s="148" t="n"/>
    </row>
    <row r="1464">
      <c r="B1464" s="1" t="n">
        <v>16</v>
      </c>
      <c r="C1464" s="24" t="n">
        <v>45170</v>
      </c>
      <c r="D1464" s="24" t="n">
        <v>45199</v>
      </c>
      <c r="E1464" s="25">
        <f>D1464-C1464+1</f>
        <v/>
      </c>
      <c r="F1464" s="319">
        <f>J1463</f>
        <v/>
      </c>
      <c r="G1464" s="319">
        <f>-PMT($D$1441/$D$1443,21,$F$1452,,0)</f>
        <v/>
      </c>
      <c r="H1464" s="319">
        <f>$D$1441/$D$1443*F1464</f>
        <v/>
      </c>
      <c r="I1464" s="319">
        <f>G1464-H1464</f>
        <v/>
      </c>
      <c r="J1464" s="319">
        <f>F1464-I1464</f>
        <v/>
      </c>
      <c r="K1464" s="516">
        <f>300000+400000</f>
        <v/>
      </c>
      <c r="L1464" s="516">
        <f>L1463+G1464-K1464</f>
        <v/>
      </c>
      <c r="N1464" s="148" t="n"/>
    </row>
    <row r="1465">
      <c r="B1465" s="1" t="n">
        <v>17</v>
      </c>
      <c r="C1465" s="24" t="n">
        <v>45200</v>
      </c>
      <c r="D1465" s="24" t="n">
        <v>45230</v>
      </c>
      <c r="E1465" s="25">
        <f>D1465-C1465+1</f>
        <v/>
      </c>
      <c r="F1465" s="319">
        <f>J1464</f>
        <v/>
      </c>
      <c r="G1465" s="319">
        <f>-PMT($D$1441/$D$1443,21,$F$1452,,0)</f>
        <v/>
      </c>
      <c r="H1465" s="319">
        <f>$D$1441/$D$1443*F1465</f>
        <v/>
      </c>
      <c r="I1465" s="319">
        <f>G1465-H1465</f>
        <v/>
      </c>
      <c r="J1465" s="319">
        <f>F1465-I1465</f>
        <v/>
      </c>
      <c r="K1465" s="516" t="n"/>
      <c r="L1465" s="516">
        <f>L1464+G1465-K1465</f>
        <v/>
      </c>
      <c r="N1465" s="148" t="n"/>
    </row>
    <row r="1466">
      <c r="B1466" s="1" t="n">
        <v>18</v>
      </c>
      <c r="C1466" s="24" t="n">
        <v>45231</v>
      </c>
      <c r="D1466" s="24" t="n">
        <v>45260</v>
      </c>
      <c r="E1466" s="25">
        <f>D1466-C1466+1</f>
        <v/>
      </c>
      <c r="F1466" s="319">
        <f>J1465</f>
        <v/>
      </c>
      <c r="G1466" s="319">
        <f>-PMT($D$1441/$D$1443,21,$F$1452,,0)</f>
        <v/>
      </c>
      <c r="H1466" s="319">
        <f>$D$1441/$D$1443*F1466</f>
        <v/>
      </c>
      <c r="I1466" s="319">
        <f>G1466-H1466</f>
        <v/>
      </c>
      <c r="J1466" s="319">
        <f>F1466-I1466</f>
        <v/>
      </c>
      <c r="K1466" s="516" t="n"/>
      <c r="L1466" s="516">
        <f>L1465+G1466-K1466</f>
        <v/>
      </c>
      <c r="N1466" s="148" t="n"/>
    </row>
    <row r="1467">
      <c r="B1467" s="1" t="n">
        <v>19</v>
      </c>
      <c r="C1467" s="24" t="n">
        <v>45261</v>
      </c>
      <c r="D1467" s="24" t="n">
        <v>45291</v>
      </c>
      <c r="E1467" s="25">
        <f>D1467-C1467+1</f>
        <v/>
      </c>
      <c r="F1467" s="319">
        <f>J1466</f>
        <v/>
      </c>
      <c r="G1467" s="319">
        <f>-PMT($D$1441/$D$1443,21,$F$1452,,0)</f>
        <v/>
      </c>
      <c r="H1467" s="319">
        <f>$D$1441/$D$1443*F1467</f>
        <v/>
      </c>
      <c r="I1467" s="319">
        <f>G1467-H1467</f>
        <v/>
      </c>
      <c r="J1467" s="319">
        <f>F1467-I1467</f>
        <v/>
      </c>
      <c r="K1467" s="516" t="n">
        <v>700000</v>
      </c>
      <c r="L1467" s="516">
        <f>L1466+G1467-K1467</f>
        <v/>
      </c>
      <c r="N1467" s="148" t="n"/>
    </row>
    <row r="1468">
      <c r="B1468" s="1" t="n">
        <v>20</v>
      </c>
      <c r="C1468" s="24" t="n">
        <v>45292</v>
      </c>
      <c r="D1468" s="24" t="n">
        <v>45322</v>
      </c>
      <c r="E1468" s="25">
        <f>D1468-C1468+1</f>
        <v/>
      </c>
      <c r="F1468" s="319">
        <f>J1467</f>
        <v/>
      </c>
      <c r="G1468" s="319">
        <f>-PMT($D$1441/$D$1443,21,$F$1452,,0)</f>
        <v/>
      </c>
      <c r="H1468" s="319">
        <f>$D$1441/$D$1443*F1468</f>
        <v/>
      </c>
      <c r="I1468" s="319">
        <f>G1468-H1468</f>
        <v/>
      </c>
      <c r="J1468" s="319">
        <f>F1468-I1468</f>
        <v/>
      </c>
      <c r="K1468" s="516" t="n">
        <v>2000000</v>
      </c>
      <c r="L1468" s="516">
        <f>L1467+G1468-K1468</f>
        <v/>
      </c>
      <c r="N1468" s="148" t="n"/>
    </row>
    <row r="1469">
      <c r="B1469" s="1" t="n">
        <v>21</v>
      </c>
      <c r="C1469" s="24" t="n">
        <v>45323</v>
      </c>
      <c r="D1469" s="24" t="n">
        <v>45350</v>
      </c>
      <c r="E1469" s="25">
        <f>D1469-C1469+1</f>
        <v/>
      </c>
      <c r="F1469" s="319">
        <f>J1468</f>
        <v/>
      </c>
      <c r="G1469" s="319">
        <f>-PMT($D$1441/$D$1443,21,$F$1452,,0)</f>
        <v/>
      </c>
      <c r="H1469" s="319">
        <f>$D$1441/$D$1443*F1469</f>
        <v/>
      </c>
      <c r="I1469" s="319">
        <f>G1469-H1469</f>
        <v/>
      </c>
      <c r="J1469" s="319">
        <f>F1469-I1469</f>
        <v/>
      </c>
      <c r="K1469" s="516" t="n"/>
      <c r="L1469" s="516">
        <f>L1468+G1469-K1469</f>
        <v/>
      </c>
      <c r="N1469" s="148" t="n"/>
    </row>
    <row r="1470">
      <c r="B1470" s="1" t="n">
        <v>22</v>
      </c>
      <c r="C1470" s="24" t="n">
        <v>45352</v>
      </c>
      <c r="D1470" s="24" t="n">
        <v>45382</v>
      </c>
      <c r="E1470" s="25">
        <f>D1470-C1470+1</f>
        <v/>
      </c>
      <c r="F1470" s="319">
        <f>J1469</f>
        <v/>
      </c>
      <c r="G1470" s="319">
        <f>-PMT($D$1441/$D$1443,21,$F$1452,,0)</f>
        <v/>
      </c>
      <c r="H1470" s="319">
        <f>$D$1441/$D$1443*F1470</f>
        <v/>
      </c>
      <c r="I1470" s="319">
        <f>G1470-H1470</f>
        <v/>
      </c>
      <c r="J1470" s="319">
        <f>F1470-I1470</f>
        <v/>
      </c>
      <c r="K1470" s="516" t="n"/>
      <c r="L1470" s="516">
        <f>L1469+G1470-K1470</f>
        <v/>
      </c>
      <c r="N1470" s="148" t="n"/>
    </row>
    <row r="1471">
      <c r="B1471" s="1" t="n">
        <v>23</v>
      </c>
      <c r="C1471" s="24" t="n">
        <v>45383</v>
      </c>
      <c r="D1471" s="24" t="n">
        <v>45412</v>
      </c>
      <c r="E1471" s="25">
        <f>D1471-C1471+1</f>
        <v/>
      </c>
      <c r="F1471" s="319">
        <f>J1470</f>
        <v/>
      </c>
      <c r="G1471" s="319">
        <f>-PMT($D$1441/$D$1443,21,$F$1452,,0)</f>
        <v/>
      </c>
      <c r="H1471" s="319">
        <f>$D$1441/$D$1443*F1471</f>
        <v/>
      </c>
      <c r="I1471" s="319">
        <f>G1471-H1471</f>
        <v/>
      </c>
      <c r="J1471" s="319">
        <f>F1471-I1471</f>
        <v/>
      </c>
      <c r="K1471" s="516" t="n">
        <v>1200000</v>
      </c>
      <c r="L1471" s="516">
        <f>L1470+G1471-K1471</f>
        <v/>
      </c>
      <c r="N1471" s="148" t="n"/>
    </row>
    <row r="1472">
      <c r="B1472" s="1" t="n">
        <v>24</v>
      </c>
      <c r="C1472" s="24" t="n">
        <v>45413</v>
      </c>
      <c r="D1472" s="24" t="n">
        <v>45443</v>
      </c>
      <c r="E1472" s="25">
        <f>D1472-C1472+1</f>
        <v/>
      </c>
      <c r="F1472" s="319">
        <f>J1471+L1471</f>
        <v/>
      </c>
      <c r="G1472" s="522">
        <f>-PMT($D$1441/$D$1443,13,$F$1472,,0)</f>
        <v/>
      </c>
      <c r="H1472" s="319">
        <f>$D$1441/$D$1443*F1472</f>
        <v/>
      </c>
      <c r="I1472" s="319">
        <f>G1472-H1472</f>
        <v/>
      </c>
      <c r="J1472" s="319">
        <f>F1472-I1472</f>
        <v/>
      </c>
      <c r="K1472" s="516" t="n"/>
      <c r="L1472" s="531">
        <f>L1471+G1472-K1472</f>
        <v/>
      </c>
      <c r="N1472" s="148" t="n"/>
    </row>
    <row r="1473">
      <c r="B1473" s="1">
        <f>+B1472+1</f>
        <v/>
      </c>
      <c r="C1473" s="387" t="n">
        <v>45444</v>
      </c>
      <c r="D1473" s="387" t="n">
        <v>45473</v>
      </c>
      <c r="E1473" s="388" t="n">
        <v>30</v>
      </c>
      <c r="F1473" s="319">
        <f>J1472</f>
        <v/>
      </c>
      <c r="G1473" s="319">
        <f>-PMT($D$1441/$D$1443,13,$F$1472,,0)</f>
        <v/>
      </c>
      <c r="H1473" s="319">
        <f>$D$1441/$D$1443*F1473</f>
        <v/>
      </c>
      <c r="I1473" s="319">
        <f>G1473-H1473</f>
        <v/>
      </c>
      <c r="J1473" s="319">
        <f>F1473-I1473</f>
        <v/>
      </c>
      <c r="K1473" s="516" t="n"/>
      <c r="L1473" s="516">
        <f>+G1473-K1473</f>
        <v/>
      </c>
      <c r="N1473" s="148" t="n"/>
    </row>
    <row r="1474">
      <c r="B1474" s="1">
        <f>+B1473+1</f>
        <v/>
      </c>
      <c r="C1474" s="387" t="n">
        <v>45474</v>
      </c>
      <c r="D1474" s="387" t="n">
        <v>45504</v>
      </c>
      <c r="E1474" s="388" t="n">
        <v>31</v>
      </c>
      <c r="F1474" s="319">
        <f>J1473</f>
        <v/>
      </c>
      <c r="G1474" s="319">
        <f>-PMT($D$1441/$D$1443,13,$F$1472,,0)</f>
        <v/>
      </c>
      <c r="H1474" s="319">
        <f>$D$1441/$D$1443*F1474</f>
        <v/>
      </c>
      <c r="I1474" s="319">
        <f>G1474-H1474</f>
        <v/>
      </c>
      <c r="J1474" s="319">
        <f>F1474-I1474</f>
        <v/>
      </c>
      <c r="K1474" s="516" t="n">
        <v>2000000</v>
      </c>
      <c r="L1474" s="319">
        <f>+G1474-K1474</f>
        <v/>
      </c>
      <c r="N1474" s="148" t="n"/>
    </row>
    <row r="1475">
      <c r="B1475" s="1">
        <f>+B1474+1</f>
        <v/>
      </c>
      <c r="C1475" s="387" t="n">
        <v>45505</v>
      </c>
      <c r="D1475" s="387" t="n">
        <v>45535</v>
      </c>
      <c r="E1475" s="388" t="n">
        <v>31</v>
      </c>
      <c r="F1475" s="319">
        <f>J1474</f>
        <v/>
      </c>
      <c r="G1475" s="319">
        <f>-PMT($D$1441/$D$1443,13,$F$1472,,0)</f>
        <v/>
      </c>
      <c r="H1475" s="319">
        <f>$D$1441/$D$1443*F1475</f>
        <v/>
      </c>
      <c r="I1475" s="319">
        <f>G1475-H1475</f>
        <v/>
      </c>
      <c r="J1475" s="319">
        <f>F1475-I1475</f>
        <v/>
      </c>
      <c r="K1475" s="516" t="n"/>
      <c r="L1475" s="319">
        <f>+G1475-K1475+L1474</f>
        <v/>
      </c>
      <c r="N1475" s="148" t="n"/>
    </row>
    <row r="1476">
      <c r="B1476" s="1">
        <f>+B1475+1</f>
        <v/>
      </c>
      <c r="C1476" s="387" t="n">
        <v>45536</v>
      </c>
      <c r="D1476" s="387" t="n">
        <v>45565</v>
      </c>
      <c r="E1476" s="388" t="n">
        <v>30</v>
      </c>
      <c r="F1476" s="319">
        <f>J1475</f>
        <v/>
      </c>
      <c r="G1476" s="319">
        <f>-PMT($D$1441/$D$1443,13,$F$1472,,0)</f>
        <v/>
      </c>
      <c r="H1476" s="319">
        <f>$D$1441/$D$1443*F1476</f>
        <v/>
      </c>
      <c r="I1476" s="319">
        <f>G1476-H1476</f>
        <v/>
      </c>
      <c r="J1476" s="319">
        <f>F1476-I1476</f>
        <v/>
      </c>
      <c r="K1476" s="516">
        <f>4000000+600000+388417.47</f>
        <v/>
      </c>
      <c r="L1476" s="319">
        <f>+G1476-K1476+L1475</f>
        <v/>
      </c>
      <c r="N1476" s="148" t="n"/>
    </row>
    <row r="1477">
      <c r="B1477" s="1">
        <f>+B1476+1</f>
        <v/>
      </c>
      <c r="C1477" s="387" t="n">
        <v>45566</v>
      </c>
      <c r="D1477" s="387" t="n">
        <v>45596</v>
      </c>
      <c r="E1477" s="388" t="n">
        <v>31</v>
      </c>
      <c r="F1477" s="319">
        <f>J1476</f>
        <v/>
      </c>
      <c r="G1477" s="319">
        <f>-PMT($D$1441/$D$1443,13,$F$1472,,0)</f>
        <v/>
      </c>
      <c r="H1477" s="319">
        <f>$D$1441/$D$1443*F1477</f>
        <v/>
      </c>
      <c r="I1477" s="319">
        <f>G1477-H1477</f>
        <v/>
      </c>
      <c r="J1477" s="319">
        <f>F1477-I1477</f>
        <v/>
      </c>
      <c r="K1477" s="516" t="n"/>
      <c r="L1477" s="297">
        <f>+G1477-K1477+L1476</f>
        <v/>
      </c>
      <c r="N1477" s="148" t="n"/>
    </row>
    <row r="1478">
      <c r="B1478" s="1">
        <f>+B1477+1</f>
        <v/>
      </c>
      <c r="C1478" s="387" t="n">
        <v>45597</v>
      </c>
      <c r="D1478" s="387" t="n">
        <v>45626</v>
      </c>
      <c r="E1478" s="388" t="n">
        <v>30</v>
      </c>
      <c r="F1478" s="319">
        <f>J1477</f>
        <v/>
      </c>
      <c r="G1478" s="319">
        <f>-PMT($D$1441/$D$1443,13,$F$1472,,0)</f>
        <v/>
      </c>
      <c r="H1478" s="319">
        <f>$D$1441/$D$1443*F1478</f>
        <v/>
      </c>
      <c r="I1478" s="319">
        <f>G1478-H1478</f>
        <v/>
      </c>
      <c r="J1478" s="319">
        <f>F1478-I1478</f>
        <v/>
      </c>
      <c r="K1478" s="516" t="n"/>
      <c r="L1478" s="516" t="n"/>
      <c r="N1478" s="148" t="n"/>
    </row>
    <row r="1479">
      <c r="B1479" s="1">
        <f>+B1478+1</f>
        <v/>
      </c>
      <c r="C1479" s="387" t="n">
        <v>45627</v>
      </c>
      <c r="D1479" s="387" t="n">
        <v>45657</v>
      </c>
      <c r="E1479" s="388" t="n">
        <v>31</v>
      </c>
      <c r="F1479" s="319">
        <f>J1478</f>
        <v/>
      </c>
      <c r="G1479" s="319">
        <f>-PMT($D$1441/$D$1443,13,$F$1472,,0)</f>
        <v/>
      </c>
      <c r="H1479" s="319">
        <f>$D$1441/$D$1443*F1479</f>
        <v/>
      </c>
      <c r="I1479" s="319">
        <f>G1479-H1479</f>
        <v/>
      </c>
      <c r="J1479" s="319">
        <f>F1479-I1479</f>
        <v/>
      </c>
      <c r="K1479" s="516" t="n"/>
      <c r="L1479" s="516" t="n"/>
      <c r="N1479" s="148" t="n"/>
    </row>
    <row r="1480">
      <c r="B1480" s="1">
        <f>+B1479+1</f>
        <v/>
      </c>
      <c r="C1480" s="387" t="n">
        <v>45658</v>
      </c>
      <c r="D1480" s="387" t="n">
        <v>45688</v>
      </c>
      <c r="E1480" s="388" t="n">
        <v>31</v>
      </c>
      <c r="F1480" s="319">
        <f>J1479</f>
        <v/>
      </c>
      <c r="G1480" s="319">
        <f>-PMT($D$1441/$D$1443,13,$F$1472,,0)</f>
        <v/>
      </c>
      <c r="H1480" s="319">
        <f>$D$1441/$D$1443*F1480</f>
        <v/>
      </c>
      <c r="I1480" s="319">
        <f>G1480-H1480</f>
        <v/>
      </c>
      <c r="J1480" s="319">
        <f>F1480-I1480</f>
        <v/>
      </c>
      <c r="K1480" s="516" t="n"/>
      <c r="L1480" s="516" t="n"/>
      <c r="N1480" s="148" t="n"/>
    </row>
    <row r="1481">
      <c r="B1481" s="1">
        <f>+B1480+1</f>
        <v/>
      </c>
      <c r="C1481" s="387" t="n">
        <v>45689</v>
      </c>
      <c r="D1481" s="387" t="n">
        <v>45716</v>
      </c>
      <c r="E1481" s="388" t="n">
        <v>28</v>
      </c>
      <c r="F1481" s="319">
        <f>J1480</f>
        <v/>
      </c>
      <c r="G1481" s="319">
        <f>-PMT($D$1441/$D$1443,13,$F$1472,,0)</f>
        <v/>
      </c>
      <c r="H1481" s="319">
        <f>$D$1441/$D$1443*F1481</f>
        <v/>
      </c>
      <c r="I1481" s="319">
        <f>G1481-H1481</f>
        <v/>
      </c>
      <c r="J1481" s="319">
        <f>F1481-I1481</f>
        <v/>
      </c>
      <c r="K1481" s="516" t="n"/>
      <c r="L1481" s="516" t="n"/>
      <c r="N1481" s="148" t="n"/>
    </row>
    <row r="1482">
      <c r="B1482" s="1">
        <f>+B1481+1</f>
        <v/>
      </c>
      <c r="C1482" s="387" t="n">
        <v>45717</v>
      </c>
      <c r="D1482" s="387" t="n">
        <v>45747</v>
      </c>
      <c r="E1482" s="388" t="n">
        <v>31</v>
      </c>
      <c r="F1482" s="319">
        <f>J1481</f>
        <v/>
      </c>
      <c r="G1482" s="319">
        <f>-PMT($D$1441/$D$1443,13,$F$1472,,0)</f>
        <v/>
      </c>
      <c r="H1482" s="319">
        <f>$D$1441/$D$1443*F1482</f>
        <v/>
      </c>
      <c r="I1482" s="319">
        <f>G1482-H1482</f>
        <v/>
      </c>
      <c r="J1482" s="319">
        <f>F1482-I1482</f>
        <v/>
      </c>
      <c r="K1482" s="516" t="n"/>
      <c r="L1482" s="516" t="n"/>
      <c r="N1482" s="148" t="n"/>
    </row>
    <row r="1483">
      <c r="B1483" s="1">
        <f>+B1482+1</f>
        <v/>
      </c>
      <c r="C1483" s="387" t="n">
        <v>45748</v>
      </c>
      <c r="D1483" s="387" t="n">
        <v>45777</v>
      </c>
      <c r="E1483" s="388" t="n">
        <v>30</v>
      </c>
      <c r="F1483" s="319">
        <f>J1482</f>
        <v/>
      </c>
      <c r="G1483" s="319">
        <f>-PMT($D$1441/$D$1443,13,$F$1472,,0)</f>
        <v/>
      </c>
      <c r="H1483" s="319">
        <f>$D$1441/$D$1443*F1483</f>
        <v/>
      </c>
      <c r="I1483" s="319">
        <f>G1483-H1483</f>
        <v/>
      </c>
      <c r="J1483" s="319">
        <f>F1483-I1483</f>
        <v/>
      </c>
      <c r="K1483" s="516" t="n"/>
      <c r="L1483" s="516" t="n"/>
      <c r="N1483" s="148" t="n"/>
    </row>
    <row r="1484">
      <c r="B1484" s="1">
        <f>+B1483+1</f>
        <v/>
      </c>
      <c r="C1484" s="387" t="n">
        <v>45778</v>
      </c>
      <c r="D1484" s="387" t="n">
        <v>45808</v>
      </c>
      <c r="E1484" s="388" t="n">
        <v>31</v>
      </c>
      <c r="F1484" s="319">
        <f>J1483</f>
        <v/>
      </c>
      <c r="G1484" s="319">
        <f>-PMT($D$1441/$D$1443,13,$F$1472,,0)</f>
        <v/>
      </c>
      <c r="H1484" s="319">
        <f>$D$1441/$D$1443*F1484</f>
        <v/>
      </c>
      <c r="I1484" s="319">
        <f>G1484-H1484</f>
        <v/>
      </c>
      <c r="J1484" s="319">
        <f>F1484-I1484</f>
        <v/>
      </c>
      <c r="K1484" s="516" t="n"/>
      <c r="L1484" s="516" t="n"/>
      <c r="N1484" s="148" t="n"/>
    </row>
    <row r="1485">
      <c r="B1485" s="1" t="n"/>
      <c r="C1485" s="24" t="n"/>
      <c r="D1485" s="24" t="n"/>
      <c r="E1485" s="25" t="n"/>
      <c r="F1485" s="319" t="n"/>
      <c r="G1485" s="319" t="n"/>
      <c r="H1485" s="319" t="n"/>
      <c r="I1485" s="319" t="n"/>
      <c r="J1485" s="319" t="n"/>
      <c r="K1485" s="516" t="n"/>
      <c r="L1485" s="516" t="n"/>
    </row>
    <row r="1486">
      <c r="B1486" s="1" t="n"/>
      <c r="C1486" s="24" t="n"/>
      <c r="D1486" s="24" t="n"/>
      <c r="E1486" s="25" t="n"/>
      <c r="F1486" s="319" t="n"/>
      <c r="G1486" s="319" t="n"/>
      <c r="H1486" s="319" t="n"/>
      <c r="I1486" s="319" t="n"/>
      <c r="J1486" s="319" t="n"/>
      <c r="K1486" s="516" t="n"/>
      <c r="L1486" s="516" t="n"/>
    </row>
    <row r="1487">
      <c r="B1487" s="1" t="n"/>
      <c r="C1487" s="24" t="n"/>
      <c r="D1487" s="24" t="n"/>
      <c r="E1487" s="25" t="n"/>
      <c r="F1487" s="319" t="n"/>
      <c r="G1487" s="319" t="n"/>
      <c r="H1487" s="319" t="n"/>
      <c r="I1487" s="319" t="n"/>
      <c r="J1487" s="319" t="n"/>
      <c r="K1487" s="516" t="n"/>
      <c r="L1487" s="516" t="n"/>
    </row>
    <row r="1488">
      <c r="B1488" s="1" t="n"/>
      <c r="C1488" s="24" t="n"/>
      <c r="D1488" s="24" t="n"/>
      <c r="E1488" s="25" t="n"/>
      <c r="F1488" s="319" t="n"/>
      <c r="G1488" s="319" t="n"/>
      <c r="H1488" s="319" t="n"/>
      <c r="I1488" s="319" t="n"/>
      <c r="J1488" s="319" t="n"/>
      <c r="K1488" s="516" t="n"/>
      <c r="L1488" s="516" t="n"/>
    </row>
    <row r="1489">
      <c r="B1489" s="1" t="n"/>
      <c r="C1489" s="24" t="n"/>
      <c r="D1489" s="24" t="n"/>
      <c r="E1489" s="25" t="n"/>
      <c r="F1489" s="319" t="n"/>
      <c r="G1489" s="319" t="n"/>
      <c r="H1489" s="319" t="n"/>
      <c r="I1489" s="319" t="n"/>
      <c r="J1489" s="319" t="n"/>
      <c r="K1489" s="516" t="n"/>
      <c r="L1489" s="516" t="n"/>
    </row>
    <row r="1490">
      <c r="B1490" s="1" t="n"/>
      <c r="C1490" s="24" t="n"/>
      <c r="D1490" s="24" t="n"/>
      <c r="E1490" s="25" t="n"/>
      <c r="F1490" s="319" t="n"/>
      <c r="G1490" s="319" t="n"/>
      <c r="H1490" s="319" t="n"/>
      <c r="I1490" s="319" t="n"/>
      <c r="J1490" s="319" t="n"/>
      <c r="K1490" s="516" t="n"/>
      <c r="L1490" s="516" t="n"/>
    </row>
    <row r="1491">
      <c r="B1491" s="1" t="n"/>
      <c r="C1491" s="24" t="n"/>
      <c r="D1491" s="24" t="n"/>
      <c r="E1491" s="25" t="n"/>
      <c r="F1491" s="319" t="n"/>
      <c r="G1491" s="319" t="n"/>
      <c r="H1491" s="319" t="n"/>
      <c r="I1491" s="319" t="n"/>
      <c r="J1491" s="319" t="n"/>
      <c r="K1491" s="516" t="n"/>
      <c r="L1491" s="516" t="n"/>
    </row>
    <row r="1492">
      <c r="B1492" s="1" t="n"/>
      <c r="C1492" s="24" t="n"/>
      <c r="D1492" s="24" t="n"/>
      <c r="E1492" s="25" t="n"/>
      <c r="F1492" s="319" t="n"/>
      <c r="G1492" s="319" t="n"/>
      <c r="H1492" s="319" t="n"/>
      <c r="I1492" s="319" t="n"/>
      <c r="J1492" s="319" t="n"/>
      <c r="K1492" s="516" t="n"/>
      <c r="L1492" s="516" t="n"/>
    </row>
    <row r="1493">
      <c r="B1493" s="1" t="n"/>
      <c r="C1493" s="24" t="n"/>
      <c r="D1493" s="24" t="n"/>
      <c r="E1493" s="25" t="n"/>
      <c r="F1493" s="319" t="n"/>
      <c r="G1493" s="319" t="n"/>
      <c r="H1493" s="319" t="n"/>
      <c r="I1493" s="319" t="n"/>
      <c r="J1493" s="319" t="n"/>
      <c r="K1493" s="516" t="n"/>
      <c r="L1493" s="516" t="n"/>
    </row>
    <row r="1494">
      <c r="B1494" s="1" t="n"/>
      <c r="C1494" s="24" t="n"/>
      <c r="D1494" s="24" t="n"/>
      <c r="E1494" s="25" t="n"/>
      <c r="F1494" s="319" t="n"/>
      <c r="G1494" s="319" t="n"/>
      <c r="H1494" s="319" t="n"/>
      <c r="I1494" s="319" t="n"/>
      <c r="J1494" s="319" t="n"/>
      <c r="K1494" s="516" t="n"/>
      <c r="L1494" s="516" t="n"/>
    </row>
    <row r="1495">
      <c r="B1495" s="1" t="n"/>
      <c r="C1495" s="24" t="n"/>
      <c r="D1495" s="24" t="n"/>
      <c r="E1495" s="25" t="n"/>
      <c r="F1495" s="319" t="n"/>
      <c r="G1495" s="319" t="n"/>
      <c r="H1495" s="319" t="n"/>
      <c r="I1495" s="319" t="n"/>
      <c r="J1495" s="319" t="n"/>
      <c r="K1495" s="516" t="n"/>
      <c r="L1495" s="516" t="n"/>
    </row>
    <row r="1496">
      <c r="B1496" s="1" t="n"/>
      <c r="C1496" s="24" t="n"/>
      <c r="D1496" s="24" t="n"/>
      <c r="E1496" s="25" t="n"/>
      <c r="F1496" s="319" t="n"/>
      <c r="G1496" s="319" t="n"/>
      <c r="H1496" s="319" t="n"/>
      <c r="I1496" s="319" t="n"/>
      <c r="J1496" s="319" t="n"/>
      <c r="K1496" s="516" t="n"/>
      <c r="L1496" s="516" t="n"/>
    </row>
    <row r="1497">
      <c r="B1497" s="1" t="n"/>
      <c r="C1497" s="24" t="n"/>
      <c r="D1497" s="24" t="n"/>
      <c r="E1497" s="25" t="n"/>
      <c r="F1497" s="319" t="n"/>
      <c r="G1497" s="319" t="n"/>
      <c r="H1497" s="319" t="n"/>
      <c r="I1497" s="319" t="n"/>
      <c r="J1497" s="319" t="n"/>
      <c r="K1497" s="516" t="n"/>
      <c r="L1497" s="516" t="n"/>
    </row>
    <row r="1498">
      <c r="B1498" s="1" t="n"/>
      <c r="C1498" s="24" t="n"/>
      <c r="D1498" s="24" t="n"/>
      <c r="E1498" s="25" t="n"/>
      <c r="F1498" s="319" t="n"/>
      <c r="G1498" s="319" t="n"/>
      <c r="H1498" s="319" t="n"/>
      <c r="I1498" s="319" t="n"/>
      <c r="J1498" s="319" t="n"/>
      <c r="K1498" s="516" t="n"/>
      <c r="L1498" s="516" t="n"/>
    </row>
    <row r="1499" ht="14.25" customHeight="1">
      <c r="B1499" s="1" t="n"/>
      <c r="C1499" s="1" t="n"/>
      <c r="D1499" s="1" t="n"/>
      <c r="E1499" s="30">
        <f>SUM(E1449:E1472)</f>
        <v/>
      </c>
      <c r="F1499" s="319" t="n"/>
      <c r="G1499" s="319" t="n"/>
      <c r="H1499" s="319" t="n"/>
      <c r="I1499" s="319" t="n"/>
      <c r="J1499" s="319" t="n"/>
      <c r="K1499" s="1" t="n"/>
      <c r="L1499" s="1" t="n"/>
    </row>
    <row r="1504">
      <c r="B1504" s="1" t="n"/>
      <c r="C1504" s="9" t="inlineStr">
        <is>
          <t>Lapani Farms</t>
        </is>
      </c>
      <c r="D1504" s="319" t="n"/>
      <c r="E1504" s="319" t="n"/>
      <c r="F1504" s="319" t="n"/>
      <c r="G1504" s="319" t="n"/>
      <c r="H1504" s="319" t="n"/>
      <c r="I1504" s="319" t="n"/>
      <c r="J1504" s="319" t="n"/>
      <c r="K1504" s="319" t="n"/>
      <c r="L1504" s="319" t="n"/>
      <c r="R1504" s="514" t="inlineStr">
        <is>
          <t>E-Banker account (Dupleix)</t>
        </is>
      </c>
      <c r="S1504" s="495">
        <f>IFERROR(INDEX('Blocks'!$I$2:$I$101,MATCH(24,'Blocks'!$A$2:$A$101,0)),"")</f>
        <v/>
      </c>
    </row>
    <row r="1505">
      <c r="B1505" s="1" t="n"/>
      <c r="C1505" s="1" t="n"/>
      <c r="D1505" s="319" t="n"/>
      <c r="E1505" s="319" t="n"/>
      <c r="F1505" s="319" t="n"/>
      <c r="G1505" s="319" t="n"/>
      <c r="H1505" s="319" t="n"/>
      <c r="I1505" s="319" t="n"/>
      <c r="J1505" s="319" t="n"/>
      <c r="K1505" s="319" t="n"/>
      <c r="L1505" s="319" t="n"/>
      <c r="R1505" s="514" t="inlineStr">
        <is>
          <t>Facility (Loan Book)</t>
        </is>
      </c>
      <c r="S1505" s="495">
        <f>IFERROR(INDEX('Blocks'!$H$2:$H$101,MATCH(24,'Blocks'!$A$2:$A$101,0)),"")</f>
        <v/>
      </c>
    </row>
    <row r="1506">
      <c r="B1506" s="1" t="n"/>
      <c r="C1506" s="10" t="inlineStr">
        <is>
          <t>Principal (MK)</t>
        </is>
      </c>
      <c r="D1506" s="11" t="n">
        <v>10900000</v>
      </c>
      <c r="E1506" s="319" t="n"/>
      <c r="F1506" s="319" t="n"/>
      <c r="G1506" s="319" t="n"/>
      <c r="H1506" s="319" t="n"/>
      <c r="I1506" s="319" t="n"/>
      <c r="J1506" s="319" t="n"/>
      <c r="K1506" s="319" t="n"/>
      <c r="L1506" s="319" t="n"/>
      <c r="R1506" s="514" t="inlineStr">
        <is>
          <t>Take-on posting 31 Jul 2024</t>
        </is>
      </c>
      <c r="S1506" s="496">
        <f>IFERROR(INDEX('E-Banker master'!$N$2:$N$186,MATCH(S1504,'E-Banker master'!$A$2:$A$186,0)),"")</f>
        <v/>
      </c>
    </row>
    <row r="1507">
      <c r="B1507" s="1" t="n"/>
      <c r="C1507" s="13" t="inlineStr">
        <is>
          <t>Rate</t>
        </is>
      </c>
      <c r="D1507" s="14" t="n">
        <v>0.1</v>
      </c>
      <c r="E1507" s="257" t="n"/>
      <c r="F1507" s="319" t="n"/>
      <c r="G1507" s="319" t="n"/>
      <c r="H1507" s="319" t="n"/>
      <c r="I1507" s="319" t="n"/>
      <c r="J1507" s="319" t="n"/>
      <c r="K1507" s="319" t="n"/>
      <c r="L1507" s="319" t="n"/>
      <c r="R1507" s="514" t="inlineStr">
        <is>
          <t>E-Banker balance 31 Oct 2024</t>
        </is>
      </c>
      <c r="S1507" s="496">
        <f>IFERROR(INDEX('E-Banker master'!$P$2:$P$186,MATCH(S1504,'E-Banker master'!$A$2:$A$186,0)),"")</f>
        <v/>
      </c>
    </row>
    <row r="1508">
      <c r="B1508" s="1" t="n"/>
      <c r="C1508" s="13" t="inlineStr">
        <is>
          <t>n</t>
        </is>
      </c>
      <c r="D1508" s="16" t="n">
        <v>2</v>
      </c>
      <c r="E1508" s="1" t="n"/>
      <c r="F1508" s="319" t="n"/>
      <c r="G1508" s="319" t="n"/>
      <c r="H1508" s="319" t="n"/>
      <c r="I1508" s="319" t="n"/>
      <c r="J1508" s="319" t="n"/>
      <c r="K1508" s="1" t="n"/>
      <c r="L1508" s="1" t="n"/>
    </row>
    <row r="1509">
      <c r="B1509" s="1" t="n"/>
      <c r="C1509" s="13" t="inlineStr">
        <is>
          <t>Per</t>
        </is>
      </c>
      <c r="D1509" s="16" t="n">
        <v>12</v>
      </c>
      <c r="E1509" s="1" t="n"/>
      <c r="F1509" s="319" t="n"/>
      <c r="G1509" s="319" t="n"/>
      <c r="H1509" s="319" t="n"/>
      <c r="I1509" s="319" t="n"/>
      <c r="J1509" s="319" t="n"/>
      <c r="K1509" s="1" t="n"/>
      <c r="L1509" s="1" t="n"/>
    </row>
    <row r="1510">
      <c r="B1510" s="1" t="n"/>
      <c r="C1510" s="13" t="inlineStr">
        <is>
          <t>nPer</t>
        </is>
      </c>
      <c r="D1510" s="515">
        <f>D1508*D1509</f>
        <v/>
      </c>
      <c r="E1510" s="1" t="n"/>
      <c r="F1510" s="319" t="n"/>
      <c r="G1510" s="319" t="n"/>
      <c r="H1510" s="319" t="n"/>
      <c r="I1510" s="319" t="n"/>
      <c r="J1510" s="319" t="n"/>
      <c r="K1510" s="1" t="n"/>
      <c r="L1510" s="1" t="n"/>
    </row>
    <row r="1511">
      <c r="B1511" s="1" t="n"/>
      <c r="C1511" s="13" t="inlineStr">
        <is>
          <t>Days in a year</t>
        </is>
      </c>
      <c r="D1511" s="18" t="n">
        <v>365</v>
      </c>
      <c r="E1511" s="1" t="n"/>
      <c r="F1511" s="319" t="n"/>
      <c r="G1511" s="319" t="n"/>
      <c r="H1511" s="319" t="n"/>
      <c r="I1511" s="319" t="n"/>
      <c r="J1511" s="319" t="n"/>
      <c r="K1511" s="1" t="n"/>
      <c r="L1511" s="1" t="n"/>
    </row>
    <row r="1512">
      <c r="B1512" s="1" t="n"/>
      <c r="C1512" s="19" t="inlineStr">
        <is>
          <t>Pmt (MK)</t>
        </is>
      </c>
      <c r="D1512" s="20">
        <f>-PMT(D1507/D1509,D1510,D1506,0,0)</f>
        <v/>
      </c>
      <c r="E1512" s="319" t="n"/>
      <c r="F1512" s="319" t="n"/>
      <c r="G1512" s="319" t="n"/>
      <c r="H1512" s="319" t="n"/>
      <c r="I1512" s="319" t="n"/>
      <c r="J1512" s="319" t="n"/>
      <c r="K1512" s="1" t="n"/>
      <c r="L1512" s="1" t="n"/>
    </row>
    <row r="1513">
      <c r="B1513" s="1" t="n"/>
      <c r="C1513" s="1" t="n"/>
      <c r="D1513" s="319" t="n"/>
      <c r="E1513" s="319" t="n"/>
      <c r="F1513" s="319" t="n"/>
      <c r="G1513" s="319" t="n"/>
      <c r="H1513" s="319" t="n"/>
      <c r="I1513" s="319" t="n"/>
      <c r="J1513" s="319" t="n"/>
      <c r="K1513" s="1" t="n"/>
      <c r="L1513" s="1" t="n"/>
    </row>
    <row r="1514">
      <c r="B1514" s="1" t="n"/>
      <c r="C1514" s="21" t="inlineStr">
        <is>
          <t>Period Start</t>
        </is>
      </c>
      <c r="D1514" s="22" t="inlineStr">
        <is>
          <t>Period End</t>
        </is>
      </c>
      <c r="E1514" s="22" t="inlineStr">
        <is>
          <t>Days</t>
        </is>
      </c>
      <c r="F1514" s="294" t="inlineStr">
        <is>
          <t>Opening bal.</t>
        </is>
      </c>
      <c r="G1514" s="294" t="inlineStr">
        <is>
          <t>Pmt</t>
        </is>
      </c>
      <c r="H1514" s="294" t="inlineStr">
        <is>
          <t>Interest</t>
        </is>
      </c>
      <c r="I1514" s="294" t="inlineStr">
        <is>
          <t>Principal</t>
        </is>
      </c>
      <c r="J1514" s="294" t="inlineStr">
        <is>
          <t>Closing balance</t>
        </is>
      </c>
      <c r="K1514" s="23" t="inlineStr">
        <is>
          <t>Amount Repaid</t>
        </is>
      </c>
      <c r="L1514" s="23" t="inlineStr">
        <is>
          <t>Accumulated Arrears</t>
        </is>
      </c>
    </row>
    <row r="1515">
      <c r="B1515" s="1" t="n">
        <v>1</v>
      </c>
      <c r="C1515" s="24" t="n">
        <v>44715</v>
      </c>
      <c r="D1515" s="24" t="n">
        <v>44742</v>
      </c>
      <c r="E1515" s="25">
        <f>D1515-C1515+1</f>
        <v/>
      </c>
      <c r="F1515" s="319">
        <f>D1506</f>
        <v/>
      </c>
      <c r="G1515" s="319" t="n"/>
      <c r="H1515" s="319">
        <f>$D$1507/$D$1509*F1515*28/30</f>
        <v/>
      </c>
      <c r="I1515" s="319">
        <f>G1515-H1515</f>
        <v/>
      </c>
      <c r="J1515" s="319">
        <f>F1515-I1515</f>
        <v/>
      </c>
      <c r="K1515" s="516" t="n"/>
      <c r="L1515" s="516" t="n"/>
    </row>
    <row r="1516">
      <c r="B1516" s="1" t="n">
        <v>2</v>
      </c>
      <c r="C1516" s="24" t="n">
        <v>44743</v>
      </c>
      <c r="D1516" s="24" t="n">
        <v>44773</v>
      </c>
      <c r="E1516" s="25">
        <f>D1516-C1516+1</f>
        <v/>
      </c>
      <c r="F1516" s="319">
        <f>J1515</f>
        <v/>
      </c>
      <c r="G1516" s="319" t="n"/>
      <c r="H1516" s="319">
        <f>$D$1507/$D$1509*F1516</f>
        <v/>
      </c>
      <c r="I1516" s="319">
        <f>G1516-H1516</f>
        <v/>
      </c>
      <c r="J1516" s="319">
        <f>F1516-I1516</f>
        <v/>
      </c>
      <c r="K1516" s="516" t="n"/>
      <c r="L1516" s="516" t="n"/>
    </row>
    <row r="1517">
      <c r="B1517" s="1" t="n">
        <v>3</v>
      </c>
      <c r="C1517" s="24" t="n">
        <v>44774</v>
      </c>
      <c r="D1517" s="24" t="n">
        <v>44804</v>
      </c>
      <c r="E1517" s="25">
        <f>D1517-C1517+1</f>
        <v/>
      </c>
      <c r="F1517" s="319">
        <f>J1516</f>
        <v/>
      </c>
      <c r="G1517" s="319" t="n"/>
      <c r="H1517" s="319">
        <f>$D$1507/$D$1509*F1517</f>
        <v/>
      </c>
      <c r="I1517" s="319">
        <f>G1517-H1517</f>
        <v/>
      </c>
      <c r="J1517" s="319">
        <f>F1517-I1517</f>
        <v/>
      </c>
    </row>
    <row r="1518">
      <c r="B1518" s="1" t="n">
        <v>4</v>
      </c>
      <c r="C1518" s="24" t="n">
        <v>44805</v>
      </c>
      <c r="D1518" s="24" t="n">
        <v>44834</v>
      </c>
      <c r="E1518" s="25">
        <f>D1518-C1518+1</f>
        <v/>
      </c>
      <c r="F1518" s="319">
        <f>J1517</f>
        <v/>
      </c>
      <c r="G1518" s="319">
        <f>-PMT($D$1507/$D$1509,21,$F$1518,,0)</f>
        <v/>
      </c>
      <c r="H1518" s="319">
        <f>$D$1507/$D$1509*F1518</f>
        <v/>
      </c>
      <c r="I1518" s="319">
        <f>G1518-H1518</f>
        <v/>
      </c>
      <c r="J1518" s="319">
        <f>F1518-I1518</f>
        <v/>
      </c>
      <c r="K1518" s="516" t="n">
        <v>582300</v>
      </c>
      <c r="L1518" s="516">
        <f>G1518-K1518</f>
        <v/>
      </c>
    </row>
    <row r="1519">
      <c r="B1519" s="1" t="n">
        <v>5</v>
      </c>
      <c r="C1519" s="24" t="n">
        <v>44835</v>
      </c>
      <c r="D1519" s="24" t="n">
        <v>44865</v>
      </c>
      <c r="E1519" s="25">
        <f>D1519-C1519+1</f>
        <v/>
      </c>
      <c r="F1519" s="319">
        <f>J1518</f>
        <v/>
      </c>
      <c r="G1519" s="319">
        <f>-PMT($D$1507/$D$1509,21,$F$1518,,0)</f>
        <v/>
      </c>
      <c r="H1519" s="319">
        <f>$D$1507/$D$1509*F1519</f>
        <v/>
      </c>
      <c r="I1519" s="319">
        <f>G1519-H1519</f>
        <v/>
      </c>
      <c r="J1519" s="319">
        <f>F1519-I1519</f>
        <v/>
      </c>
      <c r="K1519" s="516" t="n">
        <v>0</v>
      </c>
      <c r="L1519" s="516">
        <f>G1519</f>
        <v/>
      </c>
    </row>
    <row r="1520">
      <c r="B1520" s="1" t="n">
        <v>6</v>
      </c>
      <c r="C1520" s="24" t="n">
        <v>44866</v>
      </c>
      <c r="D1520" s="24" t="n">
        <v>44895</v>
      </c>
      <c r="E1520" s="25">
        <f>D1520-C1520+1</f>
        <v/>
      </c>
      <c r="F1520" s="319">
        <f>J1519</f>
        <v/>
      </c>
      <c r="G1520" s="319">
        <f>-PMT($D$1507/$D$1509,21,$F$1518,,0)</f>
        <v/>
      </c>
      <c r="H1520" s="319">
        <f>$D$1507/$D$1509*F1520</f>
        <v/>
      </c>
      <c r="I1520" s="319">
        <f>G1520-H1520</f>
        <v/>
      </c>
      <c r="J1520" s="319">
        <f>F1520-I1520</f>
        <v/>
      </c>
      <c r="K1520" s="516" t="n">
        <v>0</v>
      </c>
      <c r="L1520" s="516">
        <f>L1519+G1520-K1520</f>
        <v/>
      </c>
    </row>
    <row r="1521">
      <c r="B1521" s="1" t="n">
        <v>7</v>
      </c>
      <c r="C1521" s="24" t="n">
        <v>44896</v>
      </c>
      <c r="D1521" s="24" t="n">
        <v>44926</v>
      </c>
      <c r="E1521" s="25">
        <f>D1521-C1521+1</f>
        <v/>
      </c>
      <c r="F1521" s="319">
        <f>J1520</f>
        <v/>
      </c>
      <c r="G1521" s="319">
        <f>-PMT($D$1507/$D$1509,21,$F$1518,,0)</f>
        <v/>
      </c>
      <c r="H1521" s="319">
        <f>$D$1507/$D$1509*F1521</f>
        <v/>
      </c>
      <c r="I1521" s="319">
        <f>G1521-H1521</f>
        <v/>
      </c>
      <c r="J1521" s="319">
        <f>F1521-I1521</f>
        <v/>
      </c>
      <c r="K1521" s="516" t="n">
        <v>1164600</v>
      </c>
      <c r="L1521" s="516">
        <f>L1520+G1521-K1521</f>
        <v/>
      </c>
    </row>
    <row r="1522">
      <c r="B1522" s="1" t="n">
        <v>8</v>
      </c>
      <c r="C1522" s="24" t="n">
        <v>44927</v>
      </c>
      <c r="D1522" s="24" t="n">
        <v>44957</v>
      </c>
      <c r="E1522" s="25">
        <f>D1522-C1522+1</f>
        <v/>
      </c>
      <c r="F1522" s="319">
        <f>J1521</f>
        <v/>
      </c>
      <c r="G1522" s="319">
        <f>-PMT($D$1507/$D$1509,21,$F$1518,,0)</f>
        <v/>
      </c>
      <c r="H1522" s="319">
        <f>$D$1507/$D$1509*F1522</f>
        <v/>
      </c>
      <c r="I1522" s="319">
        <f>G1522-H1522</f>
        <v/>
      </c>
      <c r="J1522" s="319">
        <f>F1522-I1522</f>
        <v/>
      </c>
      <c r="K1522" s="516" t="n">
        <v>0</v>
      </c>
      <c r="L1522" s="516">
        <f>L1521+G1522-K1522</f>
        <v/>
      </c>
    </row>
    <row r="1523">
      <c r="B1523" s="1" t="n">
        <v>9</v>
      </c>
      <c r="C1523" s="24" t="n">
        <v>44958</v>
      </c>
      <c r="D1523" s="24" t="n">
        <v>44985</v>
      </c>
      <c r="E1523" s="25">
        <f>D1523-C1523+1</f>
        <v/>
      </c>
      <c r="F1523" s="319">
        <f>J1522</f>
        <v/>
      </c>
      <c r="G1523" s="319">
        <f>-PMT($D$1507/$D$1509,21,$F$1518,,0)</f>
        <v/>
      </c>
      <c r="H1523" s="319">
        <f>$D$1507/$D$1509*F1523</f>
        <v/>
      </c>
      <c r="I1523" s="319">
        <f>G1523-H1523</f>
        <v/>
      </c>
      <c r="J1523" s="319">
        <f>F1523-I1523</f>
        <v/>
      </c>
      <c r="K1523" s="516" t="n"/>
      <c r="L1523" s="516">
        <f>L1522+G1523-K1523</f>
        <v/>
      </c>
    </row>
    <row r="1524">
      <c r="B1524" s="1" t="n">
        <v>10</v>
      </c>
      <c r="C1524" s="24" t="n">
        <v>44986</v>
      </c>
      <c r="D1524" s="24" t="n">
        <v>45016</v>
      </c>
      <c r="E1524" s="25">
        <f>D1524-C1524+1</f>
        <v/>
      </c>
      <c r="F1524" s="319">
        <f>J1523</f>
        <v/>
      </c>
      <c r="G1524" s="319">
        <f>-PMT($D$1507/$D$1509,21,$F$1518,,0)</f>
        <v/>
      </c>
      <c r="H1524" s="319">
        <f>$D$1507/$D$1509*F1524</f>
        <v/>
      </c>
      <c r="I1524" s="319">
        <f>G1524-H1524</f>
        <v/>
      </c>
      <c r="J1524" s="319">
        <f>F1524-I1524</f>
        <v/>
      </c>
      <c r="K1524" s="516" t="n"/>
      <c r="L1524" s="516">
        <f>L1523+G1524-K1524</f>
        <v/>
      </c>
    </row>
    <row r="1525">
      <c r="B1525" s="1" t="n">
        <v>11</v>
      </c>
      <c r="C1525" s="24" t="n">
        <v>45017</v>
      </c>
      <c r="D1525" s="24" t="n">
        <v>45046</v>
      </c>
      <c r="E1525" s="25">
        <f>D1525-C1525+1</f>
        <v/>
      </c>
      <c r="F1525" s="319">
        <f>J1524</f>
        <v/>
      </c>
      <c r="G1525" s="319">
        <f>-PMT($D$1507/$D$1509,21,$F$1518,,0)</f>
        <v/>
      </c>
      <c r="H1525" s="319">
        <f>$D$1507/$D$1509*F1525</f>
        <v/>
      </c>
      <c r="I1525" s="319">
        <f>G1525-H1525</f>
        <v/>
      </c>
      <c r="J1525" s="319">
        <f>F1525-I1525</f>
        <v/>
      </c>
      <c r="K1525" s="516" t="n"/>
      <c r="L1525" s="516">
        <f>L1524+G1525-K1525</f>
        <v/>
      </c>
    </row>
    <row r="1526">
      <c r="B1526" s="1" t="n">
        <v>12</v>
      </c>
      <c r="C1526" s="24" t="n">
        <v>45047</v>
      </c>
      <c r="D1526" s="24" t="n">
        <v>45077</v>
      </c>
      <c r="E1526" s="25">
        <f>D1526-C1526+1</f>
        <v/>
      </c>
      <c r="F1526" s="319">
        <f>J1525</f>
        <v/>
      </c>
      <c r="G1526" s="319">
        <f>-PMT($D$1507/$D$1509,21,$F$1518,,0)</f>
        <v/>
      </c>
      <c r="H1526" s="319">
        <f>$D$1507/$D$1509*F1526</f>
        <v/>
      </c>
      <c r="I1526" s="319">
        <f>G1526-H1526</f>
        <v/>
      </c>
      <c r="J1526" s="319">
        <f>F1526-I1526</f>
        <v/>
      </c>
      <c r="K1526" s="516" t="n"/>
      <c r="L1526" s="516">
        <f>L1525+G1526-K1526</f>
        <v/>
      </c>
    </row>
    <row r="1527">
      <c r="B1527" s="1" t="n">
        <v>13</v>
      </c>
      <c r="C1527" s="24" t="n">
        <v>45078</v>
      </c>
      <c r="D1527" s="24" t="n">
        <v>45107</v>
      </c>
      <c r="E1527" s="25">
        <f>D1527-C1527+1</f>
        <v/>
      </c>
      <c r="F1527" s="319">
        <f>J1526</f>
        <v/>
      </c>
      <c r="G1527" s="319">
        <f>-PMT($D$1507/$D$1509,21,$F$1518,,0)</f>
        <v/>
      </c>
      <c r="H1527" s="319">
        <f>$D$1507/$D$1509*F1527</f>
        <v/>
      </c>
      <c r="I1527" s="319">
        <f>G1527-H1527</f>
        <v/>
      </c>
      <c r="J1527" s="319">
        <f>F1527-I1527</f>
        <v/>
      </c>
      <c r="K1527" s="516" t="n"/>
      <c r="L1527" s="516">
        <f>L1526+G1527-K1527</f>
        <v/>
      </c>
    </row>
    <row r="1528">
      <c r="B1528" s="1" t="n">
        <v>14</v>
      </c>
      <c r="C1528" s="24" t="n">
        <v>45108</v>
      </c>
      <c r="D1528" s="24" t="n">
        <v>45138</v>
      </c>
      <c r="E1528" s="25">
        <f>D1528-C1528+1</f>
        <v/>
      </c>
      <c r="F1528" s="319">
        <f>J1527</f>
        <v/>
      </c>
      <c r="G1528" s="319">
        <f>-PMT($D$1507/$D$1509,21,$F$1518,,0)</f>
        <v/>
      </c>
      <c r="H1528" s="319">
        <f>$D$1507/$D$1509*F1528</f>
        <v/>
      </c>
      <c r="I1528" s="319">
        <f>G1528-H1528</f>
        <v/>
      </c>
      <c r="J1528" s="319">
        <f>F1528-I1528</f>
        <v/>
      </c>
      <c r="K1528" s="516" t="n"/>
      <c r="L1528" s="516">
        <f>L1527+G1528-K1528</f>
        <v/>
      </c>
    </row>
    <row r="1529">
      <c r="B1529" s="1" t="n">
        <v>15</v>
      </c>
      <c r="C1529" s="24" t="n">
        <v>45139</v>
      </c>
      <c r="D1529" s="24" t="n">
        <v>45169</v>
      </c>
      <c r="E1529" s="25">
        <f>D1529-C1529+1</f>
        <v/>
      </c>
      <c r="F1529" s="319">
        <f>J1528</f>
        <v/>
      </c>
      <c r="G1529" s="319">
        <f>-PMT($D$1507/$D$1509,21,$F$1518,,0)</f>
        <v/>
      </c>
      <c r="H1529" s="319">
        <f>$D$1507/$D$1509*F1529</f>
        <v/>
      </c>
      <c r="I1529" s="319">
        <f>G1529-H1529</f>
        <v/>
      </c>
      <c r="J1529" s="319">
        <f>F1529-I1529</f>
        <v/>
      </c>
      <c r="K1529" s="516" t="n"/>
      <c r="L1529" s="516">
        <f>L1528+G1529-K1529</f>
        <v/>
      </c>
    </row>
    <row r="1530">
      <c r="B1530" s="1" t="n">
        <v>16</v>
      </c>
      <c r="C1530" s="24" t="n">
        <v>45170</v>
      </c>
      <c r="D1530" s="24" t="n">
        <v>45199</v>
      </c>
      <c r="E1530" s="25">
        <f>D1530-C1530+1</f>
        <v/>
      </c>
      <c r="F1530" s="319">
        <f>J1529</f>
        <v/>
      </c>
      <c r="G1530" s="319">
        <f>-PMT($D$1507/$D$1509,21,$F$1518,,0)</f>
        <v/>
      </c>
      <c r="H1530" s="319">
        <f>$D$1507/$D$1509*F1530</f>
        <v/>
      </c>
      <c r="I1530" s="319">
        <f>G1530-H1530</f>
        <v/>
      </c>
      <c r="J1530" s="319">
        <f>F1530-I1530</f>
        <v/>
      </c>
      <c r="K1530" s="516" t="n"/>
      <c r="L1530" s="516">
        <f>L1529+G1530-K1530</f>
        <v/>
      </c>
    </row>
    <row r="1531">
      <c r="B1531" s="1" t="n">
        <v>17</v>
      </c>
      <c r="C1531" s="24" t="n">
        <v>45200</v>
      </c>
      <c r="D1531" s="24" t="n">
        <v>45230</v>
      </c>
      <c r="E1531" s="25">
        <f>D1531-C1531+1</f>
        <v/>
      </c>
      <c r="F1531" s="319">
        <f>J1530</f>
        <v/>
      </c>
      <c r="G1531" s="319">
        <f>-PMT($D$1507/$D$1509,21,$F$1518,,0)</f>
        <v/>
      </c>
      <c r="H1531" s="319">
        <f>$D$1507/$D$1509*F1531</f>
        <v/>
      </c>
      <c r="I1531" s="319">
        <f>G1531-H1531</f>
        <v/>
      </c>
      <c r="J1531" s="319">
        <f>F1531-I1531</f>
        <v/>
      </c>
      <c r="K1531" s="516" t="n">
        <v>6000000</v>
      </c>
      <c r="L1531" s="516">
        <f>L1530+G1531-K1531</f>
        <v/>
      </c>
    </row>
    <row r="1532">
      <c r="B1532" s="1" t="n">
        <v>18</v>
      </c>
      <c r="C1532" s="24" t="n">
        <v>45231</v>
      </c>
      <c r="D1532" s="24" t="n">
        <v>45260</v>
      </c>
      <c r="E1532" s="25">
        <f>D1532-C1532+1</f>
        <v/>
      </c>
      <c r="F1532" s="319">
        <f>J1531</f>
        <v/>
      </c>
      <c r="G1532" s="319">
        <f>-PMT($D$1507/$D$1509,21,$F$1518,,0)</f>
        <v/>
      </c>
      <c r="H1532" s="319">
        <f>$D$1507/$D$1509*F1532</f>
        <v/>
      </c>
      <c r="I1532" s="319">
        <f>G1532-H1532</f>
        <v/>
      </c>
      <c r="J1532" s="319">
        <f>F1532-I1532</f>
        <v/>
      </c>
      <c r="K1532" s="516" t="n">
        <v>401000</v>
      </c>
      <c r="L1532" s="516">
        <f>L1531+G1532-K1532</f>
        <v/>
      </c>
    </row>
    <row r="1533">
      <c r="B1533" s="1" t="n">
        <v>19</v>
      </c>
      <c r="C1533" s="24" t="n">
        <v>45261</v>
      </c>
      <c r="D1533" s="24" t="n">
        <v>45291</v>
      </c>
      <c r="E1533" s="25">
        <f>D1533-C1533+1</f>
        <v/>
      </c>
      <c r="F1533" s="319">
        <f>J1532</f>
        <v/>
      </c>
      <c r="G1533" s="319">
        <f>-PMT($D$1507/$D$1509,21,$F$1518,,0)</f>
        <v/>
      </c>
      <c r="H1533" s="319">
        <f>$D$1507/$D$1509*F1533</f>
        <v/>
      </c>
      <c r="I1533" s="319">
        <f>G1533-H1533</f>
        <v/>
      </c>
      <c r="J1533" s="319">
        <f>F1533-I1533</f>
        <v/>
      </c>
      <c r="K1533" s="516" t="n"/>
      <c r="L1533" s="516">
        <f>L1532+G1533-K1533</f>
        <v/>
      </c>
    </row>
    <row r="1534">
      <c r="B1534" s="1" t="n">
        <v>20</v>
      </c>
      <c r="C1534" s="24" t="n">
        <v>45292</v>
      </c>
      <c r="D1534" s="24" t="n">
        <v>45322</v>
      </c>
      <c r="E1534" s="25">
        <f>D1534-C1534+1</f>
        <v/>
      </c>
      <c r="F1534" s="319">
        <f>J1533</f>
        <v/>
      </c>
      <c r="G1534" s="319">
        <f>-PMT($D$1507/$D$1509,21,$F$1518,,0)</f>
        <v/>
      </c>
      <c r="H1534" s="319">
        <f>$D$1507/$D$1509*F1534</f>
        <v/>
      </c>
      <c r="I1534" s="319">
        <f>G1534-H1534</f>
        <v/>
      </c>
      <c r="J1534" s="319">
        <f>F1534-I1534</f>
        <v/>
      </c>
      <c r="K1534" s="516" t="n"/>
      <c r="L1534" s="516">
        <f>L1533+G1534-K1534</f>
        <v/>
      </c>
    </row>
    <row r="1535">
      <c r="B1535" s="1" t="n">
        <v>21</v>
      </c>
      <c r="C1535" s="24" t="n">
        <v>45323</v>
      </c>
      <c r="D1535" s="24" t="n">
        <v>45350</v>
      </c>
      <c r="E1535" s="25">
        <f>D1535-C1535+1</f>
        <v/>
      </c>
      <c r="F1535" s="319">
        <f>J1534</f>
        <v/>
      </c>
      <c r="G1535" s="319">
        <f>-PMT($D$1507/$D$1509,21,$F$1518,,0)</f>
        <v/>
      </c>
      <c r="H1535" s="319">
        <f>$D$1507/$D$1509*F1535</f>
        <v/>
      </c>
      <c r="I1535" s="319">
        <f>G1535-H1535</f>
        <v/>
      </c>
      <c r="J1535" s="319">
        <f>F1535-I1535</f>
        <v/>
      </c>
      <c r="K1535" s="516" t="n">
        <v>1750000</v>
      </c>
      <c r="L1535" s="516">
        <f>L1534+G1535-K1535</f>
        <v/>
      </c>
    </row>
    <row r="1536">
      <c r="B1536" s="1" t="n">
        <v>22</v>
      </c>
      <c r="C1536" s="24" t="n">
        <v>45352</v>
      </c>
      <c r="D1536" s="24" t="n">
        <v>45382</v>
      </c>
      <c r="E1536" s="25">
        <f>D1536-C1536+1</f>
        <v/>
      </c>
      <c r="F1536" s="319">
        <f>J1535</f>
        <v/>
      </c>
      <c r="G1536" s="319">
        <f>-PMT($D$1507/$D$1509,21,$F$1518,,0)</f>
        <v/>
      </c>
      <c r="H1536" s="319">
        <f>$D$1507/$D$1509*F1536</f>
        <v/>
      </c>
      <c r="I1536" s="319">
        <f>G1536-H1536</f>
        <v/>
      </c>
      <c r="J1536" s="319">
        <f>F1536-I1536</f>
        <v/>
      </c>
      <c r="K1536" s="516" t="n"/>
      <c r="L1536" s="516">
        <f>L1535+G1536-K1536</f>
        <v/>
      </c>
    </row>
    <row r="1537">
      <c r="B1537" s="1" t="n">
        <v>23</v>
      </c>
      <c r="C1537" s="24" t="n">
        <v>45383</v>
      </c>
      <c r="D1537" s="24" t="n">
        <v>45412</v>
      </c>
      <c r="E1537" s="25">
        <f>D1537-C1537+1</f>
        <v/>
      </c>
      <c r="F1537" s="319">
        <f>J1536</f>
        <v/>
      </c>
      <c r="G1537" s="319">
        <f>-PMT($D$1507/$D$1509,21,$F$1518,,0)</f>
        <v/>
      </c>
      <c r="H1537" s="319">
        <f>$D$1507/$D$1509*F1537</f>
        <v/>
      </c>
      <c r="I1537" s="319">
        <f>G1537-H1537</f>
        <v/>
      </c>
      <c r="J1537" s="319">
        <f>F1537-I1537</f>
        <v/>
      </c>
      <c r="K1537" s="516" t="n">
        <v>2200000</v>
      </c>
      <c r="L1537" s="516">
        <f>L1536+G1537-K1537</f>
        <v/>
      </c>
    </row>
    <row r="1538">
      <c r="B1538" s="1" t="n">
        <v>24</v>
      </c>
      <c r="C1538" s="24" t="n">
        <v>45413</v>
      </c>
      <c r="D1538" s="24" t="n">
        <v>45443</v>
      </c>
      <c r="E1538" s="25">
        <f>D1538-C1538+1</f>
        <v/>
      </c>
      <c r="F1538" s="319">
        <f>J1537</f>
        <v/>
      </c>
      <c r="G1538" s="319">
        <f>-PMT($D$1507/$D$1509,21,$F$1518,,0)</f>
        <v/>
      </c>
      <c r="H1538" s="319">
        <f>$D$1507/$D$1509*F1538</f>
        <v/>
      </c>
      <c r="I1538" s="319">
        <f>G1538-H1538</f>
        <v/>
      </c>
      <c r="J1538" s="319">
        <f>F1538-I1538</f>
        <v/>
      </c>
      <c r="K1538" s="516">
        <f>109500+8600</f>
        <v/>
      </c>
      <c r="L1538" s="520">
        <f>L1537+G1538-K1538</f>
        <v/>
      </c>
    </row>
    <row r="1539" ht="14.25" customHeight="1">
      <c r="B1539" s="1" t="n"/>
      <c r="C1539" s="1" t="n"/>
      <c r="D1539" s="1" t="n"/>
      <c r="E1539" s="30">
        <f>SUM(E1515:E1538)</f>
        <v/>
      </c>
      <c r="F1539" s="319" t="n"/>
      <c r="G1539" s="319" t="n"/>
      <c r="H1539" s="319" t="n"/>
      <c r="I1539" s="319" t="n"/>
      <c r="J1539" s="319" t="n"/>
      <c r="K1539" s="1" t="n"/>
      <c r="L1539" s="1" t="n"/>
    </row>
    <row r="1540">
      <c r="C1540" s="275" t="inlineStr">
        <is>
          <t>REPAYMENT PERIOD EXTENDED BY 5 MONTHS EXPIRING 31 OCTOBER 2024</t>
        </is>
      </c>
      <c r="D1540" s="275" t="n"/>
      <c r="E1540" s="275" t="n"/>
      <c r="F1540" s="298" t="n"/>
      <c r="G1540" s="298" t="n"/>
    </row>
    <row r="1542">
      <c r="L1542" s="237" t="n"/>
    </row>
    <row r="1544">
      <c r="B1544" s="1" t="n"/>
      <c r="C1544" s="9" t="inlineStr">
        <is>
          <t>Mawindo Enterprise</t>
        </is>
      </c>
      <c r="D1544" s="319" t="n"/>
      <c r="E1544" s="319" t="n"/>
      <c r="F1544" s="319" t="n"/>
      <c r="G1544" s="319" t="n"/>
      <c r="H1544" s="319" t="n"/>
      <c r="I1544" s="319" t="n"/>
      <c r="J1544" s="319" t="n"/>
      <c r="K1544" s="319" t="n"/>
      <c r="L1544" s="319" t="n"/>
      <c r="R1544" s="514" t="inlineStr">
        <is>
          <t>E-Banker account (Dupleix)</t>
        </is>
      </c>
      <c r="S1544" s="495">
        <f>IFERROR(INDEX('Blocks'!$I$2:$I$101,MATCH(25,'Blocks'!$A$2:$A$101,0)),"")</f>
        <v/>
      </c>
    </row>
    <row r="1545">
      <c r="B1545" s="1" t="n"/>
      <c r="C1545" s="1" t="n"/>
      <c r="D1545" s="319" t="n"/>
      <c r="E1545" s="319" t="n"/>
      <c r="F1545" s="319" t="n"/>
      <c r="G1545" s="319" t="n"/>
      <c r="H1545" s="319" t="n"/>
      <c r="I1545" s="319" t="n"/>
      <c r="J1545" s="319" t="n"/>
      <c r="K1545" s="319" t="n"/>
      <c r="L1545" s="319" t="n"/>
      <c r="R1545" s="514" t="inlineStr">
        <is>
          <t>Facility (Loan Book)</t>
        </is>
      </c>
      <c r="S1545" s="495">
        <f>IFERROR(INDEX('Blocks'!$H$2:$H$101,MATCH(25,'Blocks'!$A$2:$A$101,0)),"")</f>
        <v/>
      </c>
    </row>
    <row r="1546">
      <c r="B1546" s="1" t="n"/>
      <c r="C1546" s="10" t="inlineStr">
        <is>
          <t>Principal (MK)</t>
        </is>
      </c>
      <c r="D1546" s="11" t="n">
        <v>20000000</v>
      </c>
      <c r="E1546" s="319" t="n"/>
      <c r="F1546" s="319" t="n"/>
      <c r="G1546" s="319" t="n"/>
      <c r="H1546" s="319" t="n"/>
      <c r="I1546" s="319" t="n"/>
      <c r="J1546" s="319" t="n"/>
      <c r="K1546" s="319" t="n"/>
      <c r="L1546" s="319" t="n"/>
      <c r="R1546" s="514" t="inlineStr">
        <is>
          <t>Take-on posting 31 Jul 2024</t>
        </is>
      </c>
      <c r="S1546" s="496">
        <f>IFERROR(INDEX('E-Banker master'!$N$2:$N$186,MATCH(S1544,'E-Banker master'!$A$2:$A$186,0)),"")</f>
        <v/>
      </c>
    </row>
    <row r="1547">
      <c r="B1547" s="1" t="n"/>
      <c r="C1547" s="13" t="inlineStr">
        <is>
          <t>Rate</t>
        </is>
      </c>
      <c r="D1547" s="14" t="n">
        <v>0.1</v>
      </c>
      <c r="E1547" s="257" t="n"/>
      <c r="F1547" s="319" t="n"/>
      <c r="G1547" s="319" t="n"/>
      <c r="H1547" s="319" t="n"/>
      <c r="I1547" s="319" t="n"/>
      <c r="J1547" s="319" t="n"/>
      <c r="K1547" s="319" t="n"/>
      <c r="L1547" s="319" t="n"/>
      <c r="R1547" s="514" t="inlineStr">
        <is>
          <t>E-Banker balance 31 Oct 2024</t>
        </is>
      </c>
      <c r="S1547" s="496">
        <f>IFERROR(INDEX('E-Banker master'!$P$2:$P$186,MATCH(S1544,'E-Banker master'!$A$2:$A$186,0)),"")</f>
        <v/>
      </c>
    </row>
    <row r="1548">
      <c r="B1548" s="1" t="n"/>
      <c r="C1548" s="13" t="inlineStr">
        <is>
          <t>n</t>
        </is>
      </c>
      <c r="D1548" s="16" t="n">
        <v>2</v>
      </c>
      <c r="E1548" s="1" t="n"/>
      <c r="F1548" s="319" t="n"/>
      <c r="G1548" s="319" t="n"/>
      <c r="H1548" s="319" t="n"/>
      <c r="I1548" s="319" t="n"/>
      <c r="J1548" s="319" t="n"/>
      <c r="K1548" s="1" t="n"/>
      <c r="L1548" s="1" t="n"/>
    </row>
    <row r="1549">
      <c r="B1549" s="1" t="n"/>
      <c r="C1549" s="13" t="inlineStr">
        <is>
          <t>Per</t>
        </is>
      </c>
      <c r="D1549" s="16" t="n">
        <v>12</v>
      </c>
      <c r="E1549" s="1" t="n"/>
      <c r="F1549" s="319" t="n"/>
      <c r="G1549" s="319" t="n"/>
      <c r="H1549" s="319" t="n"/>
      <c r="I1549" s="319" t="n"/>
      <c r="J1549" s="319" t="n"/>
      <c r="K1549" s="1" t="n"/>
      <c r="L1549" s="1" t="n"/>
    </row>
    <row r="1550">
      <c r="B1550" s="1" t="n"/>
      <c r="C1550" s="13" t="inlineStr">
        <is>
          <t>nPer</t>
        </is>
      </c>
      <c r="D1550" s="515">
        <f>D1548*D1549</f>
        <v/>
      </c>
      <c r="E1550" s="1" t="n"/>
      <c r="F1550" s="319" t="n"/>
      <c r="G1550" s="319" t="n"/>
      <c r="H1550" s="319" t="n"/>
      <c r="I1550" s="319" t="n"/>
      <c r="J1550" s="319" t="n"/>
      <c r="K1550" s="1" t="n"/>
      <c r="L1550" s="1" t="n"/>
    </row>
    <row r="1551">
      <c r="B1551" s="1" t="n"/>
      <c r="C1551" s="13" t="inlineStr">
        <is>
          <t>Days in a year</t>
        </is>
      </c>
      <c r="D1551" s="18" t="n">
        <v>365</v>
      </c>
      <c r="E1551" s="1" t="n"/>
      <c r="F1551" s="319" t="n"/>
      <c r="G1551" s="319" t="n"/>
      <c r="H1551" s="319" t="n"/>
      <c r="I1551" s="319" t="n"/>
      <c r="J1551" s="319" t="n"/>
      <c r="K1551" s="1" t="n"/>
      <c r="L1551" s="1" t="n"/>
    </row>
    <row r="1552">
      <c r="B1552" s="1" t="n"/>
      <c r="C1552" s="19" t="inlineStr">
        <is>
          <t>Pmt (MK)</t>
        </is>
      </c>
      <c r="D1552" s="20">
        <f>-PMT(D1547/D1549,D1550,D1546,0,0)</f>
        <v/>
      </c>
      <c r="E1552" s="319" t="n"/>
      <c r="F1552" s="319" t="n"/>
      <c r="G1552" s="319" t="n"/>
      <c r="H1552" s="319" t="n"/>
      <c r="I1552" s="319" t="n"/>
      <c r="J1552" s="319" t="n"/>
      <c r="K1552" s="1" t="n"/>
      <c r="L1552" s="1" t="n"/>
    </row>
    <row r="1553">
      <c r="B1553" s="1" t="n"/>
      <c r="C1553" s="1" t="n"/>
      <c r="D1553" s="319" t="n"/>
      <c r="E1553" s="319" t="n"/>
      <c r="F1553" s="319" t="n"/>
      <c r="G1553" s="319" t="n"/>
      <c r="H1553" s="319" t="n"/>
      <c r="I1553" s="319" t="n"/>
      <c r="J1553" s="319" t="n"/>
      <c r="K1553" s="1" t="n"/>
      <c r="L1553" s="1" t="n"/>
    </row>
    <row r="1554">
      <c r="B1554" s="1" t="n"/>
      <c r="C1554" s="21" t="inlineStr">
        <is>
          <t>Period Start</t>
        </is>
      </c>
      <c r="D1554" s="22" t="inlineStr">
        <is>
          <t>Period End</t>
        </is>
      </c>
      <c r="E1554" s="22" t="inlineStr">
        <is>
          <t>Days</t>
        </is>
      </c>
      <c r="F1554" s="294" t="inlineStr">
        <is>
          <t>Opening bal.</t>
        </is>
      </c>
      <c r="G1554" s="294" t="inlineStr">
        <is>
          <t>Pmt</t>
        </is>
      </c>
      <c r="H1554" s="294" t="inlineStr">
        <is>
          <t>Interest</t>
        </is>
      </c>
      <c r="I1554" s="294" t="inlineStr">
        <is>
          <t>Principal</t>
        </is>
      </c>
      <c r="J1554" s="294" t="inlineStr">
        <is>
          <t>Closing balance</t>
        </is>
      </c>
      <c r="K1554" s="23" t="inlineStr">
        <is>
          <t>Amount Repaid</t>
        </is>
      </c>
      <c r="L1554" s="23" t="inlineStr">
        <is>
          <t>Accumulated Arrears</t>
        </is>
      </c>
    </row>
    <row r="1555">
      <c r="B1555" s="1" t="n">
        <v>1</v>
      </c>
      <c r="C1555" s="24" t="n">
        <v>44715</v>
      </c>
      <c r="D1555" s="24" t="n">
        <v>44742</v>
      </c>
      <c r="E1555" s="25">
        <f>D1555-C1555+1</f>
        <v/>
      </c>
      <c r="F1555" s="319">
        <f>D1546</f>
        <v/>
      </c>
      <c r="G1555" s="319" t="n"/>
      <c r="H1555" s="319">
        <f>$D$1547/$D$1549*F1555*28/30</f>
        <v/>
      </c>
      <c r="I1555" s="319">
        <f>G1555-H1555</f>
        <v/>
      </c>
      <c r="J1555" s="319">
        <f>F1555-I1555</f>
        <v/>
      </c>
      <c r="K1555" s="516" t="n"/>
      <c r="L1555" s="516" t="n"/>
    </row>
    <row r="1556">
      <c r="B1556" s="1" t="n">
        <v>2</v>
      </c>
      <c r="C1556" s="24" t="n">
        <v>44743</v>
      </c>
      <c r="D1556" s="24" t="n">
        <v>44773</v>
      </c>
      <c r="E1556" s="25">
        <f>D1556-C1556+1</f>
        <v/>
      </c>
      <c r="F1556" s="319">
        <f>J1555</f>
        <v/>
      </c>
      <c r="G1556" s="319" t="n"/>
      <c r="H1556" s="319">
        <f>$D$1547/$D$1549*F1556</f>
        <v/>
      </c>
      <c r="I1556" s="319">
        <f>G1556-H1556</f>
        <v/>
      </c>
      <c r="J1556" s="319">
        <f>F1556-I1556</f>
        <v/>
      </c>
      <c r="K1556" s="516" t="n"/>
      <c r="L1556" s="516" t="n"/>
    </row>
    <row r="1557">
      <c r="B1557" s="1" t="n">
        <v>3</v>
      </c>
      <c r="C1557" s="24" t="n">
        <v>44774</v>
      </c>
      <c r="D1557" s="24" t="n">
        <v>44804</v>
      </c>
      <c r="E1557" s="25">
        <f>D1557-C1557+1</f>
        <v/>
      </c>
      <c r="F1557" s="319">
        <f>J1556</f>
        <v/>
      </c>
      <c r="G1557" s="319" t="n"/>
      <c r="H1557" s="319">
        <f>$D$1547/$D$1549*F1557</f>
        <v/>
      </c>
      <c r="I1557" s="319">
        <f>G1557-H1557</f>
        <v/>
      </c>
      <c r="J1557" s="319">
        <f>F1557-I1557</f>
        <v/>
      </c>
      <c r="K1557" s="319" t="n">
        <v>1069000</v>
      </c>
    </row>
    <row r="1558">
      <c r="B1558" s="1" t="n">
        <v>4</v>
      </c>
      <c r="C1558" s="24" t="n">
        <v>44805</v>
      </c>
      <c r="D1558" s="24" t="n">
        <v>44834</v>
      </c>
      <c r="E1558" s="25">
        <f>D1558-C1558+1</f>
        <v/>
      </c>
      <c r="F1558" s="319">
        <f>J1557</f>
        <v/>
      </c>
      <c r="G1558" s="319">
        <f>-PMT($D$1547/$D$1549,21,$F$1558,,0)</f>
        <v/>
      </c>
      <c r="H1558" s="319">
        <f>$D$1547/$D$1549*F1558</f>
        <v/>
      </c>
      <c r="I1558" s="319">
        <f>G1558-H1558</f>
        <v/>
      </c>
      <c r="J1558" s="319">
        <f>F1558-I1558</f>
        <v/>
      </c>
      <c r="K1558" s="516" t="n">
        <v>1069000</v>
      </c>
      <c r="L1558" s="516" t="n"/>
    </row>
    <row r="1559">
      <c r="B1559" s="1" t="n">
        <v>5</v>
      </c>
      <c r="C1559" s="24" t="n">
        <v>44835</v>
      </c>
      <c r="D1559" s="24" t="n">
        <v>44865</v>
      </c>
      <c r="E1559" s="25">
        <f>D1559-C1559+1</f>
        <v/>
      </c>
      <c r="F1559" s="319">
        <f>J1558</f>
        <v/>
      </c>
      <c r="G1559" s="319">
        <f>-PMT($D$1547/$D$1549,21,$F$1558,,0)</f>
        <v/>
      </c>
      <c r="H1559" s="319">
        <f>$D$1547/$D$1549*F1559</f>
        <v/>
      </c>
      <c r="I1559" s="319">
        <f>G1559-H1559</f>
        <v/>
      </c>
      <c r="J1559" s="319">
        <f>F1559-I1559</f>
        <v/>
      </c>
      <c r="K1559" s="516" t="n">
        <v>1069000</v>
      </c>
      <c r="L1559" s="516" t="n"/>
    </row>
    <row r="1560">
      <c r="B1560" s="1" t="n">
        <v>6</v>
      </c>
      <c r="C1560" s="24" t="n">
        <v>44866</v>
      </c>
      <c r="D1560" s="24" t="n">
        <v>44895</v>
      </c>
      <c r="E1560" s="25">
        <f>D1560-C1560+1</f>
        <v/>
      </c>
      <c r="F1560" s="319">
        <f>J1559</f>
        <v/>
      </c>
      <c r="G1560" s="319">
        <f>-PMT($D$1547/$D$1549,21,$F$1558,,0)</f>
        <v/>
      </c>
      <c r="H1560" s="319">
        <f>$D$1547/$D$1549*F1560</f>
        <v/>
      </c>
      <c r="I1560" s="319">
        <f>G1560-H1560</f>
        <v/>
      </c>
      <c r="J1560" s="319">
        <f>F1560-I1560</f>
        <v/>
      </c>
      <c r="K1560" s="516" t="n">
        <v>1069000</v>
      </c>
      <c r="L1560" s="516" t="n"/>
    </row>
    <row r="1561">
      <c r="B1561" s="1" t="n">
        <v>7</v>
      </c>
      <c r="C1561" s="24" t="n">
        <v>44896</v>
      </c>
      <c r="D1561" s="24" t="n">
        <v>44926</v>
      </c>
      <c r="E1561" s="25">
        <f>D1561-C1561+1</f>
        <v/>
      </c>
      <c r="F1561" s="319">
        <f>J1560</f>
        <v/>
      </c>
      <c r="G1561" s="319">
        <f>-PMT($D$1547/$D$1549,21,$F$1558,,0)</f>
        <v/>
      </c>
      <c r="H1561" s="319">
        <f>$D$1547/$D$1549*F1561</f>
        <v/>
      </c>
      <c r="I1561" s="319">
        <f>G1561-H1561</f>
        <v/>
      </c>
      <c r="J1561" s="319">
        <f>F1561-I1561</f>
        <v/>
      </c>
      <c r="K1561" s="516" t="n">
        <v>1069000</v>
      </c>
      <c r="L1561" s="519" t="n"/>
    </row>
    <row r="1562">
      <c r="B1562" s="1" t="n">
        <v>8</v>
      </c>
      <c r="C1562" s="24" t="n">
        <v>44927</v>
      </c>
      <c r="D1562" s="24" t="n">
        <v>44957</v>
      </c>
      <c r="E1562" s="25">
        <f>D1562-C1562+1</f>
        <v/>
      </c>
      <c r="F1562" s="319">
        <f>J1561</f>
        <v/>
      </c>
      <c r="G1562" s="319">
        <f>-PMT($D$1547/$D$1549,21,$F$1558,,0)</f>
        <v/>
      </c>
      <c r="H1562" s="319">
        <f>$D$1547/$D$1549*F1562</f>
        <v/>
      </c>
      <c r="I1562" s="319">
        <f>G1562-H1562</f>
        <v/>
      </c>
      <c r="J1562" s="319">
        <f>F1562-I1562</f>
        <v/>
      </c>
      <c r="K1562" s="516" t="n">
        <v>1069000</v>
      </c>
      <c r="L1562" s="516" t="n"/>
    </row>
    <row r="1563">
      <c r="B1563" s="1" t="n">
        <v>9</v>
      </c>
      <c r="C1563" s="24" t="n">
        <v>44958</v>
      </c>
      <c r="D1563" s="24" t="n">
        <v>44985</v>
      </c>
      <c r="E1563" s="25">
        <f>D1563-C1563+1</f>
        <v/>
      </c>
      <c r="F1563" s="319">
        <f>J1562</f>
        <v/>
      </c>
      <c r="G1563" s="319">
        <f>-PMT($D$1547/$D$1549,21,$F$1558,,0)</f>
        <v/>
      </c>
      <c r="H1563" s="319">
        <f>$D$1547/$D$1549*F1563</f>
        <v/>
      </c>
      <c r="I1563" s="319">
        <f>G1563-H1563</f>
        <v/>
      </c>
      <c r="J1563" s="319">
        <f>F1563-I1563</f>
        <v/>
      </c>
      <c r="K1563" s="516" t="n">
        <v>1070000</v>
      </c>
      <c r="L1563" s="516" t="n"/>
    </row>
    <row r="1564">
      <c r="B1564" s="1" t="n">
        <v>10</v>
      </c>
      <c r="C1564" s="24" t="n">
        <v>44986</v>
      </c>
      <c r="D1564" s="24" t="n">
        <v>45016</v>
      </c>
      <c r="E1564" s="25">
        <f>D1564-C1564+1</f>
        <v/>
      </c>
      <c r="F1564" s="319">
        <f>J1563</f>
        <v/>
      </c>
      <c r="G1564" s="319">
        <f>-PMT($D$1547/$D$1549,21,$F$1558,,0)</f>
        <v/>
      </c>
      <c r="H1564" s="319">
        <f>$D$1547/$D$1549*F1564</f>
        <v/>
      </c>
      <c r="I1564" s="319">
        <f>G1564-H1564</f>
        <v/>
      </c>
      <c r="J1564" s="319">
        <f>F1564-I1564</f>
        <v/>
      </c>
      <c r="K1564" s="516" t="n">
        <v>1069000</v>
      </c>
      <c r="L1564" s="519" t="n"/>
    </row>
    <row r="1565">
      <c r="B1565" s="1" t="n">
        <v>11</v>
      </c>
      <c r="C1565" s="24" t="n">
        <v>45017</v>
      </c>
      <c r="D1565" s="24" t="n">
        <v>45046</v>
      </c>
      <c r="E1565" s="25">
        <f>D1565-C1565+1</f>
        <v/>
      </c>
      <c r="F1565" s="319">
        <f>J1564</f>
        <v/>
      </c>
      <c r="G1565" s="319">
        <f>-PMT($D$1547/$D$1549,21,$F$1558,,0)</f>
        <v/>
      </c>
      <c r="H1565" s="319">
        <f>$D$1547/$D$1549*F1565</f>
        <v/>
      </c>
      <c r="I1565" s="319">
        <f>G1565-H1565</f>
        <v/>
      </c>
      <c r="J1565" s="319">
        <f>F1565-I1565</f>
        <v/>
      </c>
      <c r="K1565" s="516" t="n">
        <v>1069000</v>
      </c>
      <c r="L1565" s="516" t="n"/>
    </row>
    <row r="1566">
      <c r="B1566" s="1" t="n">
        <v>12</v>
      </c>
      <c r="C1566" s="24" t="n">
        <v>45047</v>
      </c>
      <c r="D1566" s="24" t="n">
        <v>45077</v>
      </c>
      <c r="E1566" s="25">
        <f>D1566-C1566+1</f>
        <v/>
      </c>
      <c r="F1566" s="319">
        <f>J1565</f>
        <v/>
      </c>
      <c r="G1566" s="319">
        <f>-PMT($D$1547/$D$1549,21,$F$1558,,0)</f>
        <v/>
      </c>
      <c r="H1566" s="319">
        <f>$D$1547/$D$1549*F1566</f>
        <v/>
      </c>
      <c r="I1566" s="319">
        <f>G1566-H1566</f>
        <v/>
      </c>
      <c r="J1566" s="319">
        <f>F1566-I1566</f>
        <v/>
      </c>
      <c r="K1566" s="516">
        <f>1070000+1069000</f>
        <v/>
      </c>
      <c r="L1566" s="516" t="n"/>
    </row>
    <row r="1567">
      <c r="B1567" s="1" t="n">
        <v>13</v>
      </c>
      <c r="C1567" s="24" t="n">
        <v>45078</v>
      </c>
      <c r="D1567" s="24" t="n">
        <v>45107</v>
      </c>
      <c r="E1567" s="25">
        <f>D1567-C1567+1</f>
        <v/>
      </c>
      <c r="F1567" s="319">
        <f>J1566</f>
        <v/>
      </c>
      <c r="G1567" s="319">
        <f>-PMT($D$1547/$D$1549,21,$F$1558,,0)</f>
        <v/>
      </c>
      <c r="H1567" s="319">
        <f>$D$1547/$D$1549*F1567</f>
        <v/>
      </c>
      <c r="I1567" s="319">
        <f>G1567-H1567</f>
        <v/>
      </c>
      <c r="J1567" s="319">
        <f>F1567-I1567</f>
        <v/>
      </c>
      <c r="K1567" s="516" t="n"/>
      <c r="L1567" s="516" t="n"/>
    </row>
    <row r="1568">
      <c r="B1568" s="1" t="n">
        <v>14</v>
      </c>
      <c r="C1568" s="24" t="n">
        <v>45108</v>
      </c>
      <c r="D1568" s="24" t="n">
        <v>45138</v>
      </c>
      <c r="E1568" s="25">
        <f>D1568-C1568+1</f>
        <v/>
      </c>
      <c r="F1568" s="319">
        <f>J1567</f>
        <v/>
      </c>
      <c r="G1568" s="319">
        <f>-PMT($D$1547/$D$1549,21,$F$1558,,0)</f>
        <v/>
      </c>
      <c r="H1568" s="319">
        <f>$D$1547/$D$1549*F1568</f>
        <v/>
      </c>
      <c r="I1568" s="319">
        <f>G1568-H1568</f>
        <v/>
      </c>
      <c r="J1568" s="319">
        <f>F1568-I1568</f>
        <v/>
      </c>
      <c r="K1568" s="516" t="n">
        <v>1069000</v>
      </c>
      <c r="L1568" s="516" t="n"/>
    </row>
    <row r="1569">
      <c r="B1569" s="1" t="n">
        <v>15</v>
      </c>
      <c r="C1569" s="24" t="n">
        <v>45139</v>
      </c>
      <c r="D1569" s="24" t="n">
        <v>45169</v>
      </c>
      <c r="E1569" s="25">
        <f>D1569-C1569+1</f>
        <v/>
      </c>
      <c r="F1569" s="319">
        <f>J1568</f>
        <v/>
      </c>
      <c r="G1569" s="319">
        <f>-PMT($D$1547/$D$1549,21,$F$1558,,0)</f>
        <v/>
      </c>
      <c r="H1569" s="319">
        <f>$D$1547/$D$1549*F1569</f>
        <v/>
      </c>
      <c r="I1569" s="319">
        <f>G1569-H1569</f>
        <v/>
      </c>
      <c r="J1569" s="319">
        <f>F1569-I1569</f>
        <v/>
      </c>
      <c r="K1569" s="516">
        <f>1070000+1069000</f>
        <v/>
      </c>
      <c r="L1569" s="516" t="n"/>
    </row>
    <row r="1570">
      <c r="B1570" s="1" t="n">
        <v>16</v>
      </c>
      <c r="C1570" s="24" t="n">
        <v>45170</v>
      </c>
      <c r="D1570" s="24" t="n">
        <v>45199</v>
      </c>
      <c r="E1570" s="25">
        <f>D1570-C1570+1</f>
        <v/>
      </c>
      <c r="F1570" s="319">
        <f>J1569</f>
        <v/>
      </c>
      <c r="G1570" s="319">
        <f>-PMT($D$1547/$D$1549,21,$F$1558,,0)</f>
        <v/>
      </c>
      <c r="H1570" s="319">
        <f>$D$1547/$D$1549*F1570</f>
        <v/>
      </c>
      <c r="I1570" s="319">
        <f>G1570-H1570</f>
        <v/>
      </c>
      <c r="J1570" s="319">
        <f>F1570-I1570</f>
        <v/>
      </c>
      <c r="K1570" s="516" t="n">
        <v>-1462.61</v>
      </c>
      <c r="L1570" s="516" t="n"/>
    </row>
    <row r="1571">
      <c r="B1571" s="1" t="n">
        <v>17</v>
      </c>
      <c r="C1571" s="24" t="n">
        <v>45200</v>
      </c>
      <c r="D1571" s="24" t="n">
        <v>45230</v>
      </c>
      <c r="E1571" s="25">
        <f>D1571-C1571+1</f>
        <v/>
      </c>
      <c r="F1571" s="319">
        <f>J1570</f>
        <v/>
      </c>
      <c r="G1571" s="319">
        <f>-PMT($D$1547/$D$1549,21,$F$1558,,0)</f>
        <v/>
      </c>
      <c r="H1571" s="319">
        <f>$D$1547/$D$1549*F1571</f>
        <v/>
      </c>
      <c r="I1571" s="319">
        <f>G1571-H1571</f>
        <v/>
      </c>
      <c r="J1571" s="319">
        <f>F1571-I1571</f>
        <v/>
      </c>
      <c r="K1571" s="516" t="n">
        <v>1070000</v>
      </c>
      <c r="L1571" s="516" t="n"/>
    </row>
    <row r="1572">
      <c r="B1572" s="1" t="n">
        <v>18</v>
      </c>
      <c r="C1572" s="24" t="n">
        <v>45231</v>
      </c>
      <c r="D1572" s="24" t="n">
        <v>45260</v>
      </c>
      <c r="E1572" s="25">
        <f>D1572-C1572+1</f>
        <v/>
      </c>
      <c r="F1572" s="319">
        <f>J1571</f>
        <v/>
      </c>
      <c r="G1572" s="319">
        <f>-PMT($D$1547/$D$1549,21,$F$1558,,0)</f>
        <v/>
      </c>
      <c r="H1572" s="319">
        <f>$D$1547/$D$1549*F1572</f>
        <v/>
      </c>
      <c r="I1572" s="319">
        <f>G1572-H1572</f>
        <v/>
      </c>
      <c r="J1572" s="319">
        <f>F1572-I1572</f>
        <v/>
      </c>
      <c r="K1572" s="516">
        <f>1070000+1070000</f>
        <v/>
      </c>
      <c r="L1572" s="516" t="n"/>
    </row>
    <row r="1573">
      <c r="B1573" s="1" t="n">
        <v>19</v>
      </c>
      <c r="C1573" s="24" t="n">
        <v>45261</v>
      </c>
      <c r="D1573" s="24" t="n">
        <v>45291</v>
      </c>
      <c r="E1573" s="25">
        <f>D1573-C1573+1</f>
        <v/>
      </c>
      <c r="F1573" s="319">
        <f>J1572</f>
        <v/>
      </c>
      <c r="G1573" s="319">
        <f>-PMT($D$1547/$D$1549,21,$F$1558,,0)</f>
        <v/>
      </c>
      <c r="H1573" s="319">
        <f>$D$1547/$D$1549*F1573</f>
        <v/>
      </c>
      <c r="I1573" s="319">
        <f>G1573-H1573</f>
        <v/>
      </c>
      <c r="J1573" s="319">
        <f>F1573-I1573</f>
        <v/>
      </c>
      <c r="K1573" s="516" t="n">
        <v>1070000</v>
      </c>
      <c r="L1573" s="516" t="n"/>
    </row>
    <row r="1574">
      <c r="B1574" s="1" t="n">
        <v>20</v>
      </c>
      <c r="C1574" s="24" t="n">
        <v>45292</v>
      </c>
      <c r="D1574" s="24" t="n">
        <v>45322</v>
      </c>
      <c r="E1574" s="25">
        <f>D1574-C1574+1</f>
        <v/>
      </c>
      <c r="F1574" s="319">
        <f>J1573</f>
        <v/>
      </c>
      <c r="G1574" s="319">
        <f>-PMT($D$1547/$D$1549,21,$F$1558,,0)</f>
        <v/>
      </c>
      <c r="H1574" s="319">
        <f>$D$1547/$D$1549*F1574</f>
        <v/>
      </c>
      <c r="I1574" s="319">
        <f>G1574-H1574</f>
        <v/>
      </c>
      <c r="J1574" s="319">
        <f>F1574-I1574</f>
        <v/>
      </c>
      <c r="K1574" s="516" t="n">
        <v>1069000</v>
      </c>
      <c r="L1574" s="516" t="n"/>
    </row>
    <row r="1575">
      <c r="B1575" s="1" t="n">
        <v>21</v>
      </c>
      <c r="C1575" s="24" t="n">
        <v>45323</v>
      </c>
      <c r="D1575" s="24" t="n">
        <v>45350</v>
      </c>
      <c r="E1575" s="25">
        <f>D1575-C1575+1</f>
        <v/>
      </c>
      <c r="F1575" s="319">
        <f>J1574</f>
        <v/>
      </c>
      <c r="G1575" s="319">
        <f>-PMT($D$1547/$D$1549,21,$F$1558,,0)</f>
        <v/>
      </c>
      <c r="H1575" s="319">
        <f>$D$1547/$D$1549*F1575</f>
        <v/>
      </c>
      <c r="I1575" s="319">
        <f>G1575-H1575</f>
        <v/>
      </c>
      <c r="J1575" s="319">
        <f>F1575-I1575</f>
        <v/>
      </c>
      <c r="K1575" s="516" t="n">
        <v>1070000</v>
      </c>
      <c r="L1575" s="516" t="n"/>
    </row>
    <row r="1576">
      <c r="B1576" s="1" t="n">
        <v>22</v>
      </c>
      <c r="C1576" s="24" t="n">
        <v>45352</v>
      </c>
      <c r="D1576" s="24" t="n">
        <v>45382</v>
      </c>
      <c r="E1576" s="25">
        <f>D1576-C1576+1</f>
        <v/>
      </c>
      <c r="F1576" s="319">
        <f>J1575</f>
        <v/>
      </c>
      <c r="G1576" s="319">
        <f>-PMT($D$1547/$D$1549,21,$F$1558,,0)</f>
        <v/>
      </c>
      <c r="H1576" s="319">
        <f>$D$1547/$D$1549*F1576</f>
        <v/>
      </c>
      <c r="I1576" s="319">
        <f>G1576-H1576</f>
        <v/>
      </c>
      <c r="J1576" s="319">
        <f>F1576-I1576</f>
        <v/>
      </c>
      <c r="K1576" s="516">
        <f>1069000-32184.66</f>
        <v/>
      </c>
      <c r="L1576" s="516" t="n"/>
    </row>
    <row r="1577">
      <c r="B1577" s="1" t="n">
        <v>23</v>
      </c>
      <c r="C1577" s="24" t="n">
        <v>45383</v>
      </c>
      <c r="D1577" s="24" t="n">
        <v>45412</v>
      </c>
      <c r="E1577" s="25">
        <f>D1577-C1577+1</f>
        <v/>
      </c>
      <c r="F1577" s="319">
        <f>J1576</f>
        <v/>
      </c>
      <c r="G1577" s="319">
        <f>-PMT($D$1547/$D$1549,21,$F$1558,,0)</f>
        <v/>
      </c>
      <c r="H1577" s="319">
        <f>$D$1547/$D$1549*F1577</f>
        <v/>
      </c>
      <c r="I1577" s="319">
        <f>G1577-H1577</f>
        <v/>
      </c>
      <c r="J1577" s="319">
        <f>F1577-I1577</f>
        <v/>
      </c>
      <c r="K1577" s="516" t="n"/>
      <c r="L1577" s="516" t="n"/>
    </row>
    <row r="1578">
      <c r="B1578" s="1" t="n">
        <v>24</v>
      </c>
      <c r="C1578" s="24" t="n">
        <v>45413</v>
      </c>
      <c r="D1578" s="24" t="n">
        <v>45443</v>
      </c>
      <c r="E1578" s="25">
        <f>D1578-C1578+1</f>
        <v/>
      </c>
      <c r="F1578" s="319">
        <f>J1577</f>
        <v/>
      </c>
      <c r="G1578" s="319">
        <f>-PMT($D$1547/$D$1549,21,$F$1558,,0)</f>
        <v/>
      </c>
      <c r="H1578" s="319">
        <f>$D$1547/$D$1549*F1578</f>
        <v/>
      </c>
      <c r="I1578" s="319">
        <f>G1578-H1578</f>
        <v/>
      </c>
      <c r="J1578" s="319">
        <f>F1578-I1578</f>
        <v/>
      </c>
      <c r="K1578" s="516" t="n"/>
      <c r="L1578" s="516" t="n"/>
    </row>
    <row r="1579" ht="14.25" customHeight="1">
      <c r="B1579" s="1" t="n"/>
      <c r="C1579" s="1" t="n"/>
      <c r="D1579" s="1" t="n"/>
      <c r="E1579" s="30">
        <f>SUM(E1555:E1578)</f>
        <v/>
      </c>
      <c r="F1579" s="319" t="n"/>
      <c r="G1579" s="319" t="n"/>
      <c r="H1579" s="319" t="n"/>
      <c r="I1579" s="319" t="n"/>
      <c r="J1579" s="319" t="n"/>
      <c r="K1579" s="1" t="n"/>
      <c r="L1579" s="1" t="n"/>
    </row>
    <row r="1584">
      <c r="B1584" s="1" t="n"/>
      <c r="C1584" s="9" t="inlineStr">
        <is>
          <t>L J Traders &amp; Suppliers</t>
        </is>
      </c>
      <c r="D1584" s="319" t="n"/>
      <c r="E1584" s="319" t="n"/>
      <c r="F1584" s="319" t="n"/>
      <c r="G1584" s="319" t="n"/>
      <c r="H1584" s="319" t="n"/>
      <c r="I1584" s="319" t="n"/>
      <c r="J1584" s="319" t="n"/>
      <c r="K1584" s="319" t="n"/>
      <c r="L1584" s="319" t="n"/>
      <c r="R1584" s="514" t="inlineStr">
        <is>
          <t>E-Banker account (Dupleix)</t>
        </is>
      </c>
      <c r="S1584" s="495">
        <f>IFERROR(INDEX('Blocks'!$I$2:$I$101,MATCH(26,'Blocks'!$A$2:$A$101,0)),"")</f>
        <v/>
      </c>
    </row>
    <row r="1585">
      <c r="B1585" s="1" t="n"/>
      <c r="C1585" s="1" t="n"/>
      <c r="D1585" s="319" t="n"/>
      <c r="E1585" s="319" t="n"/>
      <c r="F1585" s="319" t="n"/>
      <c r="G1585" s="319" t="n"/>
      <c r="H1585" s="319" t="n"/>
      <c r="I1585" s="319" t="n"/>
      <c r="J1585" s="319" t="n"/>
      <c r="K1585" s="319" t="n"/>
      <c r="L1585" s="319" t="n"/>
      <c r="R1585" s="514" t="inlineStr">
        <is>
          <t>Facility (Loan Book)</t>
        </is>
      </c>
      <c r="S1585" s="495">
        <f>IFERROR(INDEX('Blocks'!$H$2:$H$101,MATCH(26,'Blocks'!$A$2:$A$101,0)),"")</f>
        <v/>
      </c>
    </row>
    <row r="1586">
      <c r="B1586" s="1" t="n"/>
      <c r="C1586" s="10" t="inlineStr">
        <is>
          <t>Principal (MK)</t>
        </is>
      </c>
      <c r="D1586" s="11" t="n">
        <v>10000000</v>
      </c>
      <c r="E1586" s="319" t="n"/>
      <c r="F1586" s="319" t="n"/>
      <c r="G1586" s="319" t="n"/>
      <c r="H1586" s="319" t="n"/>
      <c r="I1586" s="319" t="n"/>
      <c r="J1586" s="319" t="n"/>
      <c r="K1586" s="319" t="n"/>
      <c r="L1586" s="319" t="n"/>
      <c r="R1586" s="514" t="inlineStr">
        <is>
          <t>Take-on posting 31 Jul 2024</t>
        </is>
      </c>
      <c r="S1586" s="496">
        <f>IFERROR(INDEX('E-Banker master'!$N$2:$N$186,MATCH(S1584,'E-Banker master'!$A$2:$A$186,0)),"")</f>
        <v/>
      </c>
    </row>
    <row r="1587">
      <c r="B1587" s="1" t="n"/>
      <c r="C1587" s="13" t="inlineStr">
        <is>
          <t>Rate</t>
        </is>
      </c>
      <c r="D1587" s="14" t="n">
        <v>0.1</v>
      </c>
      <c r="E1587" s="257" t="n"/>
      <c r="F1587" s="319" t="n"/>
      <c r="G1587" s="319" t="n"/>
      <c r="H1587" s="319" t="n"/>
      <c r="I1587" s="319" t="n"/>
      <c r="J1587" s="319" t="n"/>
      <c r="K1587" s="319" t="n"/>
      <c r="L1587" s="319" t="n"/>
      <c r="R1587" s="514" t="inlineStr">
        <is>
          <t>E-Banker balance 31 Oct 2024</t>
        </is>
      </c>
      <c r="S1587" s="496">
        <f>IFERROR(INDEX('E-Banker master'!$P$2:$P$186,MATCH(S1584,'E-Banker master'!$A$2:$A$186,0)),"")</f>
        <v/>
      </c>
    </row>
    <row r="1588">
      <c r="B1588" s="1" t="n"/>
      <c r="C1588" s="13" t="inlineStr">
        <is>
          <t>n</t>
        </is>
      </c>
      <c r="D1588" s="16" t="n">
        <v>2</v>
      </c>
      <c r="E1588" s="1" t="n"/>
      <c r="F1588" s="319" t="n"/>
      <c r="G1588" s="319" t="n"/>
      <c r="H1588" s="319" t="n"/>
      <c r="I1588" s="319" t="n"/>
      <c r="J1588" s="319" t="n"/>
      <c r="K1588" s="1" t="n"/>
      <c r="L1588" s="1" t="n"/>
    </row>
    <row r="1589">
      <c r="B1589" s="1" t="n"/>
      <c r="C1589" s="13" t="inlineStr">
        <is>
          <t>Per</t>
        </is>
      </c>
      <c r="D1589" s="16" t="n">
        <v>12</v>
      </c>
      <c r="E1589" s="1" t="n"/>
      <c r="F1589" s="319" t="n"/>
      <c r="G1589" s="319" t="n"/>
      <c r="H1589" s="319" t="n"/>
      <c r="I1589" s="319" t="n"/>
      <c r="J1589" s="319" t="n"/>
      <c r="K1589" s="1" t="n"/>
      <c r="L1589" s="1" t="n"/>
    </row>
    <row r="1590">
      <c r="B1590" s="1" t="n"/>
      <c r="C1590" s="13" t="inlineStr">
        <is>
          <t>nPer</t>
        </is>
      </c>
      <c r="D1590" s="515">
        <f>D1588*D1589</f>
        <v/>
      </c>
      <c r="E1590" s="1" t="n"/>
      <c r="F1590" s="319" t="n"/>
      <c r="G1590" s="319" t="n"/>
      <c r="H1590" s="319" t="n"/>
      <c r="I1590" s="319" t="n"/>
      <c r="J1590" s="319" t="n"/>
      <c r="K1590" s="1" t="n"/>
      <c r="L1590" s="1" t="n"/>
    </row>
    <row r="1591">
      <c r="B1591" s="1" t="n"/>
      <c r="C1591" s="13" t="inlineStr">
        <is>
          <t>Days in a year</t>
        </is>
      </c>
      <c r="D1591" s="18" t="n">
        <v>365</v>
      </c>
      <c r="E1591" s="1" t="n"/>
      <c r="F1591" s="319" t="n"/>
      <c r="G1591" s="319" t="n"/>
      <c r="H1591" s="319" t="n"/>
      <c r="I1591" s="319" t="n"/>
      <c r="J1591" s="319" t="n"/>
      <c r="K1591" s="1" t="n"/>
      <c r="L1591" s="1" t="n"/>
    </row>
    <row r="1592">
      <c r="B1592" s="1" t="n"/>
      <c r="C1592" s="19" t="inlineStr">
        <is>
          <t>Pmt (MK)</t>
        </is>
      </c>
      <c r="D1592" s="20">
        <f>-PMT(D1587/D1589,D1590,D1586,0,0)</f>
        <v/>
      </c>
      <c r="E1592" s="319" t="n"/>
      <c r="F1592" s="319" t="n"/>
      <c r="G1592" s="319" t="n"/>
      <c r="H1592" s="319" t="n"/>
      <c r="I1592" s="319" t="n"/>
      <c r="J1592" s="319" t="n"/>
      <c r="K1592" s="1" t="n"/>
      <c r="L1592" s="1" t="n"/>
    </row>
    <row r="1593">
      <c r="B1593" s="1" t="n"/>
      <c r="C1593" s="1" t="n"/>
      <c r="D1593" s="319" t="n"/>
      <c r="E1593" s="319" t="n"/>
      <c r="F1593" s="319" t="n"/>
      <c r="G1593" s="319" t="n"/>
      <c r="H1593" s="319" t="n"/>
      <c r="I1593" s="319" t="n"/>
      <c r="J1593" s="319" t="n"/>
      <c r="K1593" s="1" t="n"/>
      <c r="L1593" s="1" t="n"/>
    </row>
    <row r="1594">
      <c r="B1594" s="1" t="n"/>
      <c r="C1594" s="21" t="inlineStr">
        <is>
          <t>Period Start</t>
        </is>
      </c>
      <c r="D1594" s="22" t="inlineStr">
        <is>
          <t>Period End</t>
        </is>
      </c>
      <c r="E1594" s="22" t="inlineStr">
        <is>
          <t>Days</t>
        </is>
      </c>
      <c r="F1594" s="294" t="inlineStr">
        <is>
          <t>Opening bal.</t>
        </is>
      </c>
      <c r="G1594" s="294" t="inlineStr">
        <is>
          <t>Pmt</t>
        </is>
      </c>
      <c r="H1594" s="294" t="inlineStr">
        <is>
          <t>Interest</t>
        </is>
      </c>
      <c r="I1594" s="294" t="inlineStr">
        <is>
          <t>Principal</t>
        </is>
      </c>
      <c r="J1594" s="294" t="inlineStr">
        <is>
          <t>Closing balance</t>
        </is>
      </c>
      <c r="K1594" s="23" t="inlineStr">
        <is>
          <t>Amount Repaid</t>
        </is>
      </c>
      <c r="L1594" s="23" t="inlineStr">
        <is>
          <t>Accumulated Arrears</t>
        </is>
      </c>
    </row>
    <row r="1595">
      <c r="B1595" s="1" t="n">
        <v>1</v>
      </c>
      <c r="C1595" s="24" t="n">
        <v>44715</v>
      </c>
      <c r="D1595" s="24" t="n">
        <v>44742</v>
      </c>
      <c r="E1595" s="25">
        <f>D1595-C1595+1</f>
        <v/>
      </c>
      <c r="F1595" s="319">
        <f>D1586</f>
        <v/>
      </c>
      <c r="G1595" s="319" t="n"/>
      <c r="H1595" s="319">
        <f>$D$1587/$D$1589*F1595*28/30</f>
        <v/>
      </c>
      <c r="I1595" s="319">
        <f>G1595-H1595</f>
        <v/>
      </c>
      <c r="J1595" s="319">
        <f>F1595-I1595</f>
        <v/>
      </c>
      <c r="K1595" s="516" t="n"/>
      <c r="L1595" s="516" t="n"/>
    </row>
    <row r="1596">
      <c r="B1596" s="1" t="n">
        <v>2</v>
      </c>
      <c r="C1596" s="24" t="n">
        <v>44743</v>
      </c>
      <c r="D1596" s="24" t="n">
        <v>44773</v>
      </c>
      <c r="E1596" s="25">
        <f>D1596-C1596+1</f>
        <v/>
      </c>
      <c r="F1596" s="319">
        <f>J1595</f>
        <v/>
      </c>
      <c r="G1596" s="319" t="n"/>
      <c r="H1596" s="319">
        <f>$D$1587/$D$1589*F1596</f>
        <v/>
      </c>
      <c r="I1596" s="319">
        <f>G1596-H1596</f>
        <v/>
      </c>
      <c r="J1596" s="319">
        <f>F1596-I1596</f>
        <v/>
      </c>
      <c r="K1596" s="516" t="n"/>
      <c r="L1596" s="516" t="n"/>
    </row>
    <row r="1597">
      <c r="B1597" s="1" t="n">
        <v>3</v>
      </c>
      <c r="C1597" s="24" t="n">
        <v>44774</v>
      </c>
      <c r="D1597" s="24" t="n">
        <v>44804</v>
      </c>
      <c r="E1597" s="25">
        <f>D1597-C1597+1</f>
        <v/>
      </c>
      <c r="F1597" s="319">
        <f>J1596</f>
        <v/>
      </c>
      <c r="G1597" s="319" t="n"/>
      <c r="H1597" s="319">
        <f>$D$1587/$D$1589*F1597</f>
        <v/>
      </c>
      <c r="I1597" s="319">
        <f>G1597-H1597</f>
        <v/>
      </c>
      <c r="J1597" s="319">
        <f>F1597-I1597</f>
        <v/>
      </c>
    </row>
    <row r="1598">
      <c r="B1598" s="1" t="n">
        <v>4</v>
      </c>
      <c r="C1598" s="24" t="n">
        <v>44805</v>
      </c>
      <c r="D1598" s="24" t="n">
        <v>44834</v>
      </c>
      <c r="E1598" s="25">
        <f>D1598-C1598+1</f>
        <v/>
      </c>
      <c r="F1598" s="319">
        <f>J1597</f>
        <v/>
      </c>
      <c r="G1598" s="319">
        <f>-PMT($D$1587/$D$1589,21,$F$1598,,0)</f>
        <v/>
      </c>
      <c r="H1598" s="319">
        <f>$D$1587/$D$1589*F1598</f>
        <v/>
      </c>
      <c r="I1598" s="319">
        <f>G1598-H1598</f>
        <v/>
      </c>
      <c r="J1598" s="319">
        <f>F1598-I1598</f>
        <v/>
      </c>
      <c r="K1598" s="516" t="n"/>
      <c r="L1598" s="516">
        <f>G1598</f>
        <v/>
      </c>
    </row>
    <row r="1599">
      <c r="B1599" s="1" t="n">
        <v>5</v>
      </c>
      <c r="C1599" s="24" t="n">
        <v>44835</v>
      </c>
      <c r="D1599" s="24" t="n">
        <v>44865</v>
      </c>
      <c r="E1599" s="25">
        <f>D1599-C1599+1</f>
        <v/>
      </c>
      <c r="F1599" s="319">
        <f>J1598</f>
        <v/>
      </c>
      <c r="G1599" s="319">
        <f>-PMT($D$1587/$D$1589,21,$F$1598,,0)</f>
        <v/>
      </c>
      <c r="H1599" s="319">
        <f>$D$1587/$D$1589*F1599</f>
        <v/>
      </c>
      <c r="I1599" s="319">
        <f>G1599-H1599</f>
        <v/>
      </c>
      <c r="J1599" s="319">
        <f>F1599-I1599</f>
        <v/>
      </c>
      <c r="K1599" s="516" t="n"/>
      <c r="L1599" s="516">
        <f>L1598+G1599-K1599</f>
        <v/>
      </c>
    </row>
    <row r="1600">
      <c r="B1600" s="1" t="n">
        <v>6</v>
      </c>
      <c r="C1600" s="24" t="n">
        <v>44866</v>
      </c>
      <c r="D1600" s="24" t="n">
        <v>44895</v>
      </c>
      <c r="E1600" s="25">
        <f>D1600-C1600+1</f>
        <v/>
      </c>
      <c r="F1600" s="319">
        <f>J1599</f>
        <v/>
      </c>
      <c r="G1600" s="319">
        <f>-PMT($D$1587/$D$1589,21,$F$1598,,0)</f>
        <v/>
      </c>
      <c r="H1600" s="319">
        <f>$D$1587/$D$1589*F1600</f>
        <v/>
      </c>
      <c r="I1600" s="319">
        <f>G1600-H1600</f>
        <v/>
      </c>
      <c r="J1600" s="319">
        <f>F1600-I1600</f>
        <v/>
      </c>
      <c r="K1600" s="516" t="n">
        <v>535000</v>
      </c>
      <c r="L1600" s="516">
        <f>L1599+G1600-K1600</f>
        <v/>
      </c>
    </row>
    <row r="1601">
      <c r="B1601" s="1" t="n">
        <v>7</v>
      </c>
      <c r="C1601" s="24" t="n">
        <v>44896</v>
      </c>
      <c r="D1601" s="24" t="n">
        <v>44926</v>
      </c>
      <c r="E1601" s="25">
        <f>D1601-C1601+1</f>
        <v/>
      </c>
      <c r="F1601" s="319">
        <f>J1600</f>
        <v/>
      </c>
      <c r="G1601" s="319">
        <f>-PMT($D$1587/$D$1589,21,$F$1598,,0)</f>
        <v/>
      </c>
      <c r="H1601" s="319">
        <f>$D$1587/$D$1589*F1601</f>
        <v/>
      </c>
      <c r="I1601" s="319">
        <f>G1601-H1601</f>
        <v/>
      </c>
      <c r="J1601" s="319">
        <f>F1601-I1601</f>
        <v/>
      </c>
      <c r="K1601" s="516" t="n">
        <v>1070000</v>
      </c>
      <c r="L1601" s="516">
        <f>L1600+G1601-K1601</f>
        <v/>
      </c>
    </row>
    <row r="1602">
      <c r="B1602" s="1" t="n">
        <v>8</v>
      </c>
      <c r="C1602" s="24" t="n">
        <v>44927</v>
      </c>
      <c r="D1602" s="24" t="n">
        <v>44957</v>
      </c>
      <c r="E1602" s="25">
        <f>D1602-C1602+1</f>
        <v/>
      </c>
      <c r="F1602" s="319">
        <f>J1601</f>
        <v/>
      </c>
      <c r="G1602" s="319">
        <f>-PMT($D$1587/$D$1589,21,$F$1598,,0)</f>
        <v/>
      </c>
      <c r="H1602" s="319">
        <f>$D$1587/$D$1589*F1602</f>
        <v/>
      </c>
      <c r="I1602" s="319">
        <f>G1602-H1602</f>
        <v/>
      </c>
      <c r="J1602" s="319">
        <f>F1602-I1602</f>
        <v/>
      </c>
      <c r="K1602" s="516" t="n">
        <v>0</v>
      </c>
      <c r="L1602" s="516">
        <f>L1601+G1602-K1602</f>
        <v/>
      </c>
    </row>
    <row r="1603">
      <c r="B1603" s="1" t="n">
        <v>9</v>
      </c>
      <c r="C1603" s="24" t="n">
        <v>44958</v>
      </c>
      <c r="D1603" s="24" t="n">
        <v>44985</v>
      </c>
      <c r="E1603" s="25">
        <f>D1603-C1603+1</f>
        <v/>
      </c>
      <c r="F1603" s="319">
        <f>J1602</f>
        <v/>
      </c>
      <c r="G1603" s="319">
        <f>-PMT($D$1587/$D$1589,21,$F$1598,,0)</f>
        <v/>
      </c>
      <c r="H1603" s="319">
        <f>$D$1587/$D$1589*F1603</f>
        <v/>
      </c>
      <c r="I1603" s="319">
        <f>G1603-H1603</f>
        <v/>
      </c>
      <c r="J1603" s="319">
        <f>F1603-I1603</f>
        <v/>
      </c>
      <c r="K1603" s="516" t="n"/>
      <c r="L1603" s="516">
        <f>L1602+G1603-K1603</f>
        <v/>
      </c>
    </row>
    <row r="1604">
      <c r="B1604" s="1" t="n">
        <v>10</v>
      </c>
      <c r="C1604" s="24" t="n">
        <v>44986</v>
      </c>
      <c r="D1604" s="24" t="n">
        <v>45016</v>
      </c>
      <c r="E1604" s="25">
        <f>D1604-C1604+1</f>
        <v/>
      </c>
      <c r="F1604" s="319">
        <f>J1603</f>
        <v/>
      </c>
      <c r="G1604" s="319">
        <f>-PMT($D$1587/$D$1589,21,$F$1598,,0)</f>
        <v/>
      </c>
      <c r="H1604" s="319">
        <f>$D$1587/$D$1589*F1604</f>
        <v/>
      </c>
      <c r="I1604" s="319">
        <f>G1604-H1604</f>
        <v/>
      </c>
      <c r="J1604" s="319">
        <f>F1604-I1604</f>
        <v/>
      </c>
      <c r="K1604" s="516">
        <f>540000+320000</f>
        <v/>
      </c>
      <c r="L1604" s="516">
        <f>L1603+G1604-K1604</f>
        <v/>
      </c>
    </row>
    <row r="1605">
      <c r="B1605" s="1" t="n">
        <v>11</v>
      </c>
      <c r="C1605" s="24" t="n">
        <v>45017</v>
      </c>
      <c r="D1605" s="24" t="n">
        <v>45046</v>
      </c>
      <c r="E1605" s="25">
        <f>D1605-C1605+1</f>
        <v/>
      </c>
      <c r="F1605" s="319">
        <f>J1604</f>
        <v/>
      </c>
      <c r="G1605" s="319">
        <f>-PMT($D$1587/$D$1589,21,$F$1598,,0)</f>
        <v/>
      </c>
      <c r="H1605" s="319">
        <f>$D$1587/$D$1589*F1605</f>
        <v/>
      </c>
      <c r="I1605" s="319">
        <f>G1605-H1605</f>
        <v/>
      </c>
      <c r="J1605" s="319">
        <f>F1605-I1605</f>
        <v/>
      </c>
      <c r="K1605" s="516" t="n"/>
      <c r="L1605" s="516">
        <f>L1604+G1605-K1605</f>
        <v/>
      </c>
    </row>
    <row r="1606">
      <c r="B1606" s="1" t="n">
        <v>12</v>
      </c>
      <c r="C1606" s="24" t="n">
        <v>45047</v>
      </c>
      <c r="D1606" s="24" t="n">
        <v>45077</v>
      </c>
      <c r="E1606" s="25">
        <f>D1606-C1606+1</f>
        <v/>
      </c>
      <c r="F1606" s="319">
        <f>J1605</f>
        <v/>
      </c>
      <c r="G1606" s="319">
        <f>-PMT($D$1587/$D$1589,21,$F$1598,,0)</f>
        <v/>
      </c>
      <c r="H1606" s="319">
        <f>$D$1587/$D$1589*F1606</f>
        <v/>
      </c>
      <c r="I1606" s="319">
        <f>G1606-H1606</f>
        <v/>
      </c>
      <c r="J1606" s="319">
        <f>F1606-I1606</f>
        <v/>
      </c>
      <c r="K1606" s="516" t="n">
        <v>535000</v>
      </c>
      <c r="L1606" s="516">
        <f>L1605+G1606-K1606</f>
        <v/>
      </c>
    </row>
    <row r="1607">
      <c r="B1607" s="1" t="n">
        <v>13</v>
      </c>
      <c r="C1607" s="24" t="n">
        <v>45078</v>
      </c>
      <c r="D1607" s="24" t="n">
        <v>45107</v>
      </c>
      <c r="E1607" s="25">
        <f>D1607-C1607+1</f>
        <v/>
      </c>
      <c r="F1607" s="319">
        <f>J1606</f>
        <v/>
      </c>
      <c r="G1607" s="319">
        <f>-PMT($D$1587/$D$1589,21,$F$1598,,0)</f>
        <v/>
      </c>
      <c r="H1607" s="319">
        <f>$D$1587/$D$1589*F1607</f>
        <v/>
      </c>
      <c r="I1607" s="319">
        <f>G1607-H1607</f>
        <v/>
      </c>
      <c r="J1607" s="319">
        <f>F1607-I1607</f>
        <v/>
      </c>
      <c r="K1607" s="516" t="n">
        <v>500000</v>
      </c>
      <c r="L1607" s="519">
        <f>L1606+G1607-K1607</f>
        <v/>
      </c>
    </row>
    <row r="1608">
      <c r="B1608" s="1" t="n">
        <v>14</v>
      </c>
      <c r="C1608" s="24" t="n">
        <v>45108</v>
      </c>
      <c r="D1608" s="24" t="n">
        <v>45138</v>
      </c>
      <c r="E1608" s="25">
        <f>D1608-C1608+1</f>
        <v/>
      </c>
      <c r="F1608" s="319">
        <f>J1607</f>
        <v/>
      </c>
      <c r="G1608" s="319">
        <f>-PMT($D$1587/$D$1589,21,$F$1598,,0)</f>
        <v/>
      </c>
      <c r="H1608" s="319">
        <f>$D$1587/$D$1589*F1608</f>
        <v/>
      </c>
      <c r="I1608" s="319">
        <f>G1608-H1608</f>
        <v/>
      </c>
      <c r="J1608" s="319">
        <f>F1608-I1608</f>
        <v/>
      </c>
      <c r="K1608" s="516" t="n">
        <v>350000</v>
      </c>
      <c r="L1608" s="516">
        <f>L1607+G1608-K1608</f>
        <v/>
      </c>
    </row>
    <row r="1609">
      <c r="B1609" s="1" t="n">
        <v>15</v>
      </c>
      <c r="C1609" s="24" t="n">
        <v>45139</v>
      </c>
      <c r="D1609" s="24" t="n">
        <v>45169</v>
      </c>
      <c r="E1609" s="25">
        <f>D1609-C1609+1</f>
        <v/>
      </c>
      <c r="F1609" s="319">
        <f>J1608</f>
        <v/>
      </c>
      <c r="G1609" s="319">
        <f>-PMT($D$1587/$D$1589,21,$F$1598,,0)</f>
        <v/>
      </c>
      <c r="H1609" s="319">
        <f>$D$1587/$D$1589*F1609</f>
        <v/>
      </c>
      <c r="I1609" s="319">
        <f>G1609-H1609</f>
        <v/>
      </c>
      <c r="J1609" s="319">
        <f>F1609-I1609</f>
        <v/>
      </c>
      <c r="K1609" s="516" t="n">
        <v>450000</v>
      </c>
      <c r="L1609" s="516">
        <f>L1608+G1609-K1609</f>
        <v/>
      </c>
    </row>
    <row r="1610">
      <c r="B1610" s="1" t="n">
        <v>16</v>
      </c>
      <c r="C1610" s="24" t="n">
        <v>45170</v>
      </c>
      <c r="D1610" s="24" t="n">
        <v>45199</v>
      </c>
      <c r="E1610" s="25">
        <f>D1610-C1610+1</f>
        <v/>
      </c>
      <c r="F1610" s="319">
        <f>J1609</f>
        <v/>
      </c>
      <c r="G1610" s="319">
        <f>-PMT($D$1587/$D$1589,21,$F$1598,,0)</f>
        <v/>
      </c>
      <c r="H1610" s="319">
        <f>$D$1587/$D$1589*F1610</f>
        <v/>
      </c>
      <c r="I1610" s="319">
        <f>G1610-H1610</f>
        <v/>
      </c>
      <c r="J1610" s="319">
        <f>F1610-I1610</f>
        <v/>
      </c>
      <c r="K1610" s="516" t="n">
        <v>1170000</v>
      </c>
      <c r="L1610" s="516">
        <f>L1609+G1610-K1610</f>
        <v/>
      </c>
    </row>
    <row r="1611">
      <c r="B1611" s="1" t="n">
        <v>17</v>
      </c>
      <c r="C1611" s="24" t="n">
        <v>45200</v>
      </c>
      <c r="D1611" s="24" t="n">
        <v>45230</v>
      </c>
      <c r="E1611" s="25">
        <f>D1611-C1611+1</f>
        <v/>
      </c>
      <c r="F1611" s="319">
        <f>J1610</f>
        <v/>
      </c>
      <c r="G1611" s="319">
        <f>-PMT($D$1587/$D$1589,21,$F$1598,,0)</f>
        <v/>
      </c>
      <c r="H1611" s="319">
        <f>$D$1587/$D$1589*F1611</f>
        <v/>
      </c>
      <c r="I1611" s="319">
        <f>G1611-H1611</f>
        <v/>
      </c>
      <c r="J1611" s="319">
        <f>F1611-I1611</f>
        <v/>
      </c>
      <c r="K1611" s="516" t="n">
        <v>340000</v>
      </c>
      <c r="L1611" s="516">
        <f>L1610+G1611-K1611</f>
        <v/>
      </c>
    </row>
    <row r="1612">
      <c r="B1612" s="1" t="n">
        <v>18</v>
      </c>
      <c r="C1612" s="24" t="n">
        <v>45231</v>
      </c>
      <c r="D1612" s="24" t="n">
        <v>45260</v>
      </c>
      <c r="E1612" s="25">
        <f>D1612-C1612+1</f>
        <v/>
      </c>
      <c r="F1612" s="319">
        <f>J1611</f>
        <v/>
      </c>
      <c r="G1612" s="319">
        <f>-PMT($D$1587/$D$1589,21,$F$1598,,0)</f>
        <v/>
      </c>
      <c r="H1612" s="319">
        <f>$D$1587/$D$1589*F1612</f>
        <v/>
      </c>
      <c r="I1612" s="319">
        <f>G1612-H1612</f>
        <v/>
      </c>
      <c r="J1612" s="319">
        <f>F1612-I1612</f>
        <v/>
      </c>
      <c r="K1612" s="516" t="n">
        <v>400000</v>
      </c>
      <c r="L1612" s="516">
        <f>L1611+G1612-K1612</f>
        <v/>
      </c>
    </row>
    <row r="1613">
      <c r="B1613" s="1" t="n">
        <v>19</v>
      </c>
      <c r="C1613" s="24" t="n">
        <v>45261</v>
      </c>
      <c r="D1613" s="24" t="n">
        <v>45291</v>
      </c>
      <c r="E1613" s="25">
        <f>D1613-C1613+1</f>
        <v/>
      </c>
      <c r="F1613" s="319">
        <f>J1612</f>
        <v/>
      </c>
      <c r="G1613" s="319">
        <f>-PMT($D$1587/$D$1589,21,$F$1598,,0)</f>
        <v/>
      </c>
      <c r="H1613" s="319">
        <f>$D$1587/$D$1589*F1613</f>
        <v/>
      </c>
      <c r="I1613" s="319">
        <f>G1613-H1613</f>
        <v/>
      </c>
      <c r="J1613" s="319">
        <f>F1613-I1613</f>
        <v/>
      </c>
      <c r="K1613" s="516" t="n"/>
      <c r="L1613" s="516">
        <f>L1612+G1613-K1613</f>
        <v/>
      </c>
    </row>
    <row r="1614">
      <c r="B1614" s="1" t="n">
        <v>20</v>
      </c>
      <c r="C1614" s="24" t="n">
        <v>45292</v>
      </c>
      <c r="D1614" s="24" t="n">
        <v>45322</v>
      </c>
      <c r="E1614" s="25">
        <f>D1614-C1614+1</f>
        <v/>
      </c>
      <c r="F1614" s="319">
        <f>J1613</f>
        <v/>
      </c>
      <c r="G1614" s="319">
        <f>-PMT($D$1587/$D$1589,21,$F$1598,,0)</f>
        <v/>
      </c>
      <c r="H1614" s="319">
        <f>$D$1587/$D$1589*F1614</f>
        <v/>
      </c>
      <c r="I1614" s="319">
        <f>G1614-H1614</f>
        <v/>
      </c>
      <c r="J1614" s="319">
        <f>F1614-I1614</f>
        <v/>
      </c>
      <c r="K1614" s="516" t="n">
        <v>1600000</v>
      </c>
      <c r="L1614" s="516">
        <f>L1613+G1614-K1614</f>
        <v/>
      </c>
    </row>
    <row r="1615">
      <c r="B1615" s="1" t="n">
        <v>21</v>
      </c>
      <c r="C1615" s="24" t="n">
        <v>45323</v>
      </c>
      <c r="D1615" s="24" t="n">
        <v>45350</v>
      </c>
      <c r="E1615" s="25">
        <f>D1615-C1615+1</f>
        <v/>
      </c>
      <c r="F1615" s="319">
        <f>J1614</f>
        <v/>
      </c>
      <c r="G1615" s="319">
        <f>-PMT($D$1587/$D$1589,21,$F$1598,,0)</f>
        <v/>
      </c>
      <c r="H1615" s="319">
        <f>$D$1587/$D$1589*F1615</f>
        <v/>
      </c>
      <c r="I1615" s="319">
        <f>G1615-H1615</f>
        <v/>
      </c>
      <c r="J1615" s="319">
        <f>F1615-I1615</f>
        <v/>
      </c>
      <c r="K1615" s="516" t="n">
        <v>300000</v>
      </c>
      <c r="L1615" s="516">
        <f>L1614+G1615-K1615</f>
        <v/>
      </c>
    </row>
    <row r="1616">
      <c r="B1616" s="1" t="n">
        <v>22</v>
      </c>
      <c r="C1616" s="24" t="n">
        <v>45352</v>
      </c>
      <c r="D1616" s="24" t="n">
        <v>45382</v>
      </c>
      <c r="E1616" s="25">
        <f>D1616-C1616+1</f>
        <v/>
      </c>
      <c r="F1616" s="319">
        <f>J1615</f>
        <v/>
      </c>
      <c r="G1616" s="319">
        <f>-PMT($D$1587/$D$1589,21,$F$1598,,0)</f>
        <v/>
      </c>
      <c r="H1616" s="319">
        <f>$D$1587/$D$1589*F1616</f>
        <v/>
      </c>
      <c r="I1616" s="319">
        <f>G1616-H1616</f>
        <v/>
      </c>
      <c r="J1616" s="319">
        <f>F1616-I1616</f>
        <v/>
      </c>
      <c r="K1616" s="516" t="n">
        <v>1300000</v>
      </c>
      <c r="L1616" s="516">
        <f>L1615+G1616-K1616</f>
        <v/>
      </c>
    </row>
    <row r="1617">
      <c r="B1617" s="1" t="n">
        <v>23</v>
      </c>
      <c r="C1617" s="24" t="n">
        <v>45383</v>
      </c>
      <c r="D1617" s="24" t="n">
        <v>45412</v>
      </c>
      <c r="E1617" s="25">
        <f>D1617-C1617+1</f>
        <v/>
      </c>
      <c r="F1617" s="319">
        <f>J1616</f>
        <v/>
      </c>
      <c r="G1617" s="319">
        <f>-PMT($D$1587/$D$1589,21,$F$1598,,0)</f>
        <v/>
      </c>
      <c r="H1617" s="319">
        <f>$D$1587/$D$1589*F1617</f>
        <v/>
      </c>
      <c r="I1617" s="319">
        <f>G1617-H1617</f>
        <v/>
      </c>
      <c r="J1617" s="319">
        <f>F1617-I1617</f>
        <v/>
      </c>
      <c r="K1617" s="516">
        <f>500000+400000+597000+325000</f>
        <v/>
      </c>
      <c r="L1617" s="520">
        <f>L1616+G1617-K1617</f>
        <v/>
      </c>
    </row>
    <row r="1618">
      <c r="B1618" s="1" t="n">
        <v>24</v>
      </c>
      <c r="C1618" s="24" t="n">
        <v>45413</v>
      </c>
      <c r="D1618" s="24" t="n">
        <v>45443</v>
      </c>
      <c r="E1618" s="25">
        <f>D1618-C1618+1</f>
        <v/>
      </c>
      <c r="F1618" s="319">
        <f>J1617</f>
        <v/>
      </c>
      <c r="G1618" s="319">
        <f>-PMT($D$1587/$D$1589,21,$F$1598,,0)</f>
        <v/>
      </c>
      <c r="H1618" s="319">
        <f>$D$1587/$D$1589*F1618</f>
        <v/>
      </c>
      <c r="I1618" s="319">
        <f>G1618-H1618</f>
        <v/>
      </c>
      <c r="J1618" s="319">
        <f>F1618-I1618</f>
        <v/>
      </c>
      <c r="K1618" s="516" t="n"/>
      <c r="L1618" s="516" t="n"/>
    </row>
    <row r="1619" ht="14.25" customHeight="1">
      <c r="B1619" s="1" t="n"/>
      <c r="C1619" s="1" t="n"/>
      <c r="D1619" s="1" t="n"/>
      <c r="E1619" s="30">
        <f>SUM(E1595:E1618)</f>
        <v/>
      </c>
      <c r="F1619" s="319" t="n"/>
      <c r="G1619" s="319" t="n"/>
      <c r="H1619" s="319" t="n"/>
      <c r="I1619" s="319" t="n"/>
      <c r="J1619" s="319" t="n"/>
      <c r="K1619" s="1" t="n"/>
      <c r="L1619" s="1" t="n"/>
    </row>
    <row r="1624">
      <c r="B1624" s="1" t="n"/>
      <c r="C1624" s="9" t="inlineStr">
        <is>
          <t>Chikwendeni General Dealers</t>
        </is>
      </c>
      <c r="D1624" s="319" t="n"/>
      <c r="E1624" s="319" t="n"/>
      <c r="F1624" s="319" t="n"/>
      <c r="G1624" s="319" t="n"/>
      <c r="H1624" s="319" t="n"/>
      <c r="I1624" s="319" t="n"/>
      <c r="J1624" s="319" t="n"/>
      <c r="K1624" s="319" t="n"/>
      <c r="L1624" s="319" t="n"/>
      <c r="R1624" s="514" t="inlineStr">
        <is>
          <t>E-Banker account (Dupleix)</t>
        </is>
      </c>
      <c r="S1624" s="495">
        <f>IFERROR(INDEX('Blocks'!$I$2:$I$101,MATCH(27,'Blocks'!$A$2:$A$101,0)),"")</f>
        <v/>
      </c>
    </row>
    <row r="1625">
      <c r="B1625" s="1" t="n"/>
      <c r="C1625" s="1" t="n"/>
      <c r="D1625" s="319" t="n"/>
      <c r="E1625" s="319" t="n"/>
      <c r="F1625" s="319" t="n"/>
      <c r="G1625" s="319" t="n"/>
      <c r="H1625" s="319" t="n"/>
      <c r="I1625" s="319" t="n"/>
      <c r="J1625" s="319" t="n"/>
      <c r="K1625" s="319" t="n"/>
      <c r="L1625" s="319" t="n"/>
      <c r="R1625" s="514" t="inlineStr">
        <is>
          <t>Facility (Loan Book)</t>
        </is>
      </c>
      <c r="S1625" s="495">
        <f>IFERROR(INDEX('Blocks'!$H$2:$H$101,MATCH(27,'Blocks'!$A$2:$A$101,0)),"")</f>
        <v/>
      </c>
    </row>
    <row r="1626">
      <c r="B1626" s="1" t="n"/>
      <c r="C1626" s="10" t="inlineStr">
        <is>
          <t>Principal (MK)</t>
        </is>
      </c>
      <c r="D1626" s="11" t="n">
        <v>24000000</v>
      </c>
      <c r="E1626" s="319" t="n"/>
      <c r="F1626" s="319" t="n"/>
      <c r="G1626" s="319" t="n"/>
      <c r="H1626" s="319" t="n"/>
      <c r="I1626" s="319" t="n"/>
      <c r="J1626" s="319" t="n"/>
      <c r="K1626" s="319" t="n"/>
      <c r="L1626" s="319" t="n"/>
      <c r="R1626" s="514" t="inlineStr">
        <is>
          <t>Take-on posting 31 Jul 2024</t>
        </is>
      </c>
      <c r="S1626" s="496">
        <f>IFERROR(INDEX('E-Banker master'!$N$2:$N$186,MATCH(S1624,'E-Banker master'!$A$2:$A$186,0)),"")</f>
        <v/>
      </c>
    </row>
    <row r="1627">
      <c r="B1627" s="1" t="n"/>
      <c r="C1627" s="13" t="inlineStr">
        <is>
          <t>Rate</t>
        </is>
      </c>
      <c r="D1627" s="14" t="n">
        <v>0.1</v>
      </c>
      <c r="E1627" s="257" t="n"/>
      <c r="F1627" s="319" t="n"/>
      <c r="G1627" s="319" t="n"/>
      <c r="H1627" s="319" t="n"/>
      <c r="I1627" s="319" t="n"/>
      <c r="J1627" s="319" t="n"/>
      <c r="K1627" s="319" t="n"/>
      <c r="L1627" s="319" t="n"/>
      <c r="R1627" s="514" t="inlineStr">
        <is>
          <t>E-Banker balance 31 Oct 2024</t>
        </is>
      </c>
      <c r="S1627" s="496">
        <f>IFERROR(INDEX('E-Banker master'!$P$2:$P$186,MATCH(S1624,'E-Banker master'!$A$2:$A$186,0)),"")</f>
        <v/>
      </c>
    </row>
    <row r="1628">
      <c r="B1628" s="1" t="n"/>
      <c r="C1628" s="13" t="inlineStr">
        <is>
          <t>n</t>
        </is>
      </c>
      <c r="D1628" s="16" t="n">
        <v>2</v>
      </c>
      <c r="E1628" s="1" t="n"/>
      <c r="F1628" s="319" t="n"/>
      <c r="G1628" s="319" t="n"/>
      <c r="H1628" s="319" t="n"/>
      <c r="I1628" s="319" t="n"/>
      <c r="J1628" s="319" t="n"/>
      <c r="K1628" s="1" t="n"/>
      <c r="L1628" s="1" t="n"/>
    </row>
    <row r="1629">
      <c r="B1629" s="1" t="n"/>
      <c r="C1629" s="13" t="inlineStr">
        <is>
          <t>Per</t>
        </is>
      </c>
      <c r="D1629" s="16" t="n">
        <v>12</v>
      </c>
      <c r="E1629" s="1" t="n"/>
      <c r="F1629" s="319" t="n"/>
      <c r="G1629" s="319" t="n"/>
      <c r="H1629" s="319" t="n"/>
      <c r="I1629" s="319" t="n"/>
      <c r="J1629" s="319" t="n"/>
      <c r="K1629" s="1" t="n"/>
      <c r="L1629" s="1" t="n"/>
    </row>
    <row r="1630">
      <c r="B1630" s="1" t="n"/>
      <c r="C1630" s="13" t="inlineStr">
        <is>
          <t>nPer</t>
        </is>
      </c>
      <c r="D1630" s="515">
        <f>D1628*D1629</f>
        <v/>
      </c>
      <c r="E1630" s="1" t="n"/>
      <c r="F1630" s="319" t="n"/>
      <c r="G1630" s="319" t="n"/>
      <c r="H1630" s="319" t="n"/>
      <c r="I1630" s="319" t="n"/>
      <c r="J1630" s="319" t="n"/>
      <c r="K1630" s="1" t="n"/>
      <c r="L1630" s="1" t="n"/>
    </row>
    <row r="1631">
      <c r="B1631" s="1" t="n"/>
      <c r="C1631" s="13" t="inlineStr">
        <is>
          <t>Days in a year</t>
        </is>
      </c>
      <c r="D1631" s="18" t="n">
        <v>365</v>
      </c>
      <c r="E1631" s="1" t="n"/>
      <c r="F1631" s="319" t="n"/>
      <c r="G1631" s="319" t="n"/>
      <c r="H1631" s="319" t="n"/>
      <c r="I1631" s="319" t="n"/>
      <c r="J1631" s="319" t="n"/>
      <c r="K1631" s="1" t="n"/>
      <c r="L1631" s="1" t="n"/>
    </row>
    <row r="1632">
      <c r="B1632" s="1" t="n"/>
      <c r="C1632" s="19" t="inlineStr">
        <is>
          <t>Pmt (MK)</t>
        </is>
      </c>
      <c r="D1632" s="20">
        <f>-PMT(D1627/D1629,D1630,D1626,0,0)</f>
        <v/>
      </c>
      <c r="E1632" s="319" t="n"/>
      <c r="F1632" s="319" t="n"/>
      <c r="G1632" s="319" t="n"/>
      <c r="H1632" s="319" t="n"/>
      <c r="I1632" s="319" t="n"/>
      <c r="J1632" s="319" t="n"/>
      <c r="K1632" s="1" t="n"/>
      <c r="L1632" s="1" t="n"/>
    </row>
    <row r="1633">
      <c r="B1633" s="1" t="n"/>
      <c r="C1633" s="1" t="n"/>
      <c r="D1633" s="319" t="n"/>
      <c r="E1633" s="319" t="n"/>
      <c r="F1633" s="319" t="n"/>
      <c r="G1633" s="319" t="n"/>
      <c r="H1633" s="319" t="n"/>
      <c r="I1633" s="319" t="n"/>
      <c r="J1633" s="319" t="n"/>
      <c r="K1633" s="1" t="n"/>
      <c r="L1633" s="1" t="n"/>
    </row>
    <row r="1634">
      <c r="B1634" s="1" t="n"/>
      <c r="C1634" s="21" t="inlineStr">
        <is>
          <t>Period Start</t>
        </is>
      </c>
      <c r="D1634" s="22" t="inlineStr">
        <is>
          <t>Period End</t>
        </is>
      </c>
      <c r="E1634" s="22" t="inlineStr">
        <is>
          <t>Days</t>
        </is>
      </c>
      <c r="F1634" s="294" t="inlineStr">
        <is>
          <t>Opening bal.</t>
        </is>
      </c>
      <c r="G1634" s="294" t="inlineStr">
        <is>
          <t>Pmt</t>
        </is>
      </c>
      <c r="H1634" s="294" t="inlineStr">
        <is>
          <t>Interest</t>
        </is>
      </c>
      <c r="I1634" s="294" t="inlineStr">
        <is>
          <t>Principal</t>
        </is>
      </c>
      <c r="J1634" s="294" t="inlineStr">
        <is>
          <t>Closing balance</t>
        </is>
      </c>
      <c r="K1634" s="23" t="inlineStr">
        <is>
          <t>Amount Repaid</t>
        </is>
      </c>
      <c r="L1634" s="23" t="inlineStr">
        <is>
          <t>Accumulated Arrears</t>
        </is>
      </c>
    </row>
    <row r="1635">
      <c r="B1635" s="1" t="n">
        <v>1</v>
      </c>
      <c r="C1635" s="24" t="n">
        <v>44715</v>
      </c>
      <c r="D1635" s="24" t="n">
        <v>44742</v>
      </c>
      <c r="E1635" s="25">
        <f>D1635-C1635+1</f>
        <v/>
      </c>
      <c r="F1635" s="319">
        <f>D1626</f>
        <v/>
      </c>
      <c r="G1635" s="319" t="n"/>
      <c r="H1635" s="319">
        <f>$D$1627/$D$1629*F1635*28/30</f>
        <v/>
      </c>
      <c r="I1635" s="319">
        <f>G1635-H1635</f>
        <v/>
      </c>
      <c r="J1635" s="319">
        <f>F1635-I1635</f>
        <v/>
      </c>
      <c r="K1635" s="516" t="n"/>
      <c r="L1635" s="516" t="n"/>
    </row>
    <row r="1636">
      <c r="B1636" s="1" t="n">
        <v>2</v>
      </c>
      <c r="C1636" s="24" t="n">
        <v>44743</v>
      </c>
      <c r="D1636" s="24" t="n">
        <v>44773</v>
      </c>
      <c r="E1636" s="25">
        <f>D1636-C1636+1</f>
        <v/>
      </c>
      <c r="F1636" s="319">
        <f>J1635</f>
        <v/>
      </c>
      <c r="G1636" s="319" t="n"/>
      <c r="H1636" s="319">
        <f>$D$1627/$D$1629*F1636</f>
        <v/>
      </c>
      <c r="I1636" s="319">
        <f>G1636-H1636</f>
        <v/>
      </c>
      <c r="J1636" s="319">
        <f>F1636-I1636</f>
        <v/>
      </c>
      <c r="K1636" s="516" t="n"/>
      <c r="L1636" s="516" t="n"/>
    </row>
    <row r="1637">
      <c r="B1637" s="1" t="n">
        <v>3</v>
      </c>
      <c r="C1637" s="24" t="n">
        <v>44774</v>
      </c>
      <c r="D1637" s="24" t="n">
        <v>44804</v>
      </c>
      <c r="E1637" s="25">
        <f>D1637-C1637+1</f>
        <v/>
      </c>
      <c r="F1637" s="319">
        <f>J1636</f>
        <v/>
      </c>
      <c r="G1637" s="319" t="n"/>
      <c r="H1637" s="319">
        <f>$D$1627/$D$1629*F1637</f>
        <v/>
      </c>
      <c r="I1637" s="319">
        <f>G1637-H1637</f>
        <v/>
      </c>
      <c r="J1637" s="319">
        <f>F1637-I1637</f>
        <v/>
      </c>
    </row>
    <row r="1638">
      <c r="B1638" s="1" t="n">
        <v>4</v>
      </c>
      <c r="C1638" s="24" t="n">
        <v>44805</v>
      </c>
      <c r="D1638" s="24" t="n">
        <v>44834</v>
      </c>
      <c r="E1638" s="25">
        <f>D1638-C1638+1</f>
        <v/>
      </c>
      <c r="F1638" s="319">
        <f>J1637</f>
        <v/>
      </c>
      <c r="G1638" s="319">
        <f>-PMT($D$1627/$D$1629,21,$F$1638,,0)</f>
        <v/>
      </c>
      <c r="H1638" s="319">
        <f>$D$1627/$D$1629*F1638</f>
        <v/>
      </c>
      <c r="I1638" s="319">
        <f>G1638-H1638</f>
        <v/>
      </c>
      <c r="J1638" s="319">
        <f>F1638-I1638</f>
        <v/>
      </c>
      <c r="K1638" s="516">
        <f>1282040+1282040</f>
        <v/>
      </c>
      <c r="L1638" s="516">
        <f>G1638-K1638</f>
        <v/>
      </c>
    </row>
    <row r="1639">
      <c r="B1639" s="1" t="n">
        <v>5</v>
      </c>
      <c r="C1639" s="24" t="n">
        <v>44835</v>
      </c>
      <c r="D1639" s="24" t="n">
        <v>44865</v>
      </c>
      <c r="E1639" s="25">
        <f>D1639-C1639+1</f>
        <v/>
      </c>
      <c r="F1639" s="319">
        <f>J1638</f>
        <v/>
      </c>
      <c r="G1639" s="319">
        <f>-PMT($D$1627/$D$1629,21,$F$1638,,0)</f>
        <v/>
      </c>
      <c r="H1639" s="319">
        <f>$D$1627/$D$1629*F1639</f>
        <v/>
      </c>
      <c r="I1639" s="319">
        <f>G1639-H1639</f>
        <v/>
      </c>
      <c r="J1639" s="319">
        <f>F1639-I1639</f>
        <v/>
      </c>
      <c r="K1639" s="516" t="n">
        <v>1282040</v>
      </c>
      <c r="L1639" s="516">
        <f>L1638+G1639-K1639</f>
        <v/>
      </c>
    </row>
    <row r="1640">
      <c r="B1640" s="1" t="n">
        <v>6</v>
      </c>
      <c r="C1640" s="24" t="n">
        <v>44866</v>
      </c>
      <c r="D1640" s="24" t="n">
        <v>44895</v>
      </c>
      <c r="E1640" s="25">
        <f>D1640-C1640+1</f>
        <v/>
      </c>
      <c r="F1640" s="319">
        <f>J1639</f>
        <v/>
      </c>
      <c r="G1640" s="319">
        <f>-PMT($D$1627/$D$1629,21,$F$1638,,0)</f>
        <v/>
      </c>
      <c r="H1640" s="319">
        <f>$D$1627/$D$1629*F1640</f>
        <v/>
      </c>
      <c r="I1640" s="319">
        <f>G1640-H1640</f>
        <v/>
      </c>
      <c r="J1640" s="319">
        <f>F1640-I1640</f>
        <v/>
      </c>
      <c r="K1640" s="516" t="n">
        <v>0</v>
      </c>
      <c r="L1640" s="516">
        <f>L1639+G1640-K1640</f>
        <v/>
      </c>
    </row>
    <row r="1641">
      <c r="B1641" s="1" t="n">
        <v>7</v>
      </c>
      <c r="C1641" s="24" t="n">
        <v>44896</v>
      </c>
      <c r="D1641" s="24" t="n">
        <v>44926</v>
      </c>
      <c r="E1641" s="25">
        <f>D1641-C1641+1</f>
        <v/>
      </c>
      <c r="F1641" s="319">
        <f>J1640</f>
        <v/>
      </c>
      <c r="G1641" s="319">
        <f>-PMT($D$1627/$D$1629,21,$F$1638,,0)</f>
        <v/>
      </c>
      <c r="H1641" s="319">
        <f>$D$1627/$D$1629*F1641</f>
        <v/>
      </c>
      <c r="I1641" s="319">
        <f>G1641-H1641</f>
        <v/>
      </c>
      <c r="J1641" s="319">
        <f>F1641-I1641</f>
        <v/>
      </c>
      <c r="K1641" s="516" t="n">
        <v>1282040</v>
      </c>
      <c r="L1641" s="516">
        <f>L1640+G1641-K1641</f>
        <v/>
      </c>
    </row>
    <row r="1642">
      <c r="B1642" s="1" t="n">
        <v>8</v>
      </c>
      <c r="C1642" s="24" t="n">
        <v>44927</v>
      </c>
      <c r="D1642" s="24" t="n">
        <v>44957</v>
      </c>
      <c r="E1642" s="25">
        <f>D1642-C1642+1</f>
        <v/>
      </c>
      <c r="F1642" s="319">
        <f>J1641</f>
        <v/>
      </c>
      <c r="G1642" s="319">
        <f>-PMT($D$1627/$D$1629,21,$F$1638,,0)</f>
        <v/>
      </c>
      <c r="H1642" s="319">
        <f>$D$1627/$D$1629*F1642</f>
        <v/>
      </c>
      <c r="I1642" s="319">
        <f>G1642-H1642</f>
        <v/>
      </c>
      <c r="J1642" s="319">
        <f>F1642-I1642</f>
        <v/>
      </c>
      <c r="K1642" s="516" t="n">
        <v>1282040</v>
      </c>
      <c r="L1642" s="516">
        <f>L1641+G1642-K1642</f>
        <v/>
      </c>
    </row>
    <row r="1643">
      <c r="B1643" s="1" t="n">
        <v>9</v>
      </c>
      <c r="C1643" s="24" t="n">
        <v>44958</v>
      </c>
      <c r="D1643" s="24" t="n">
        <v>44985</v>
      </c>
      <c r="E1643" s="25">
        <f>D1643-C1643+1</f>
        <v/>
      </c>
      <c r="F1643" s="319">
        <f>J1642</f>
        <v/>
      </c>
      <c r="G1643" s="319">
        <f>-PMT($D$1627/$D$1629,21,$F$1638,,0)</f>
        <v/>
      </c>
      <c r="H1643" s="319">
        <f>$D$1627/$D$1629*F1643</f>
        <v/>
      </c>
      <c r="I1643" s="319">
        <f>G1643-H1643</f>
        <v/>
      </c>
      <c r="J1643" s="319">
        <f>F1643-I1643</f>
        <v/>
      </c>
      <c r="K1643" s="516" t="n">
        <v>1282040</v>
      </c>
      <c r="L1643" s="516">
        <f>L1642+G1643-K1643</f>
        <v/>
      </c>
    </row>
    <row r="1644">
      <c r="B1644" s="1" t="n">
        <v>10</v>
      </c>
      <c r="C1644" s="24" t="n">
        <v>44986</v>
      </c>
      <c r="D1644" s="24" t="n">
        <v>45016</v>
      </c>
      <c r="E1644" s="25">
        <f>D1644-C1644+1</f>
        <v/>
      </c>
      <c r="F1644" s="319">
        <f>J1643</f>
        <v/>
      </c>
      <c r="G1644" s="319">
        <f>-PMT($D$1627/$D$1629,21,$F$1638,,0)</f>
        <v/>
      </c>
      <c r="H1644" s="319">
        <f>$D$1627/$D$1629*F1644</f>
        <v/>
      </c>
      <c r="I1644" s="319">
        <f>G1644-H1644</f>
        <v/>
      </c>
      <c r="J1644" s="319">
        <f>F1644-I1644</f>
        <v/>
      </c>
      <c r="K1644" s="516">
        <f>1440700+1440700</f>
        <v/>
      </c>
      <c r="L1644" s="516">
        <f>L1643+G1644-K1644</f>
        <v/>
      </c>
    </row>
    <row r="1645">
      <c r="B1645" s="1" t="n">
        <v>11</v>
      </c>
      <c r="C1645" s="24" t="n">
        <v>45017</v>
      </c>
      <c r="D1645" s="24" t="n">
        <v>45046</v>
      </c>
      <c r="E1645" s="25">
        <f>D1645-C1645+1</f>
        <v/>
      </c>
      <c r="F1645" s="319">
        <f>J1644</f>
        <v/>
      </c>
      <c r="G1645" s="319">
        <f>-PMT($D$1627/$D$1629,21,$F$1638,,0)</f>
        <v/>
      </c>
      <c r="H1645" s="319">
        <f>$D$1627/$D$1629*F1645</f>
        <v/>
      </c>
      <c r="I1645" s="319">
        <f>G1645-H1645</f>
        <v/>
      </c>
      <c r="J1645" s="319">
        <f>F1645-I1645</f>
        <v/>
      </c>
      <c r="K1645" s="516" t="n">
        <v>0</v>
      </c>
      <c r="L1645" s="516">
        <f>L1644+G1645-K1645</f>
        <v/>
      </c>
    </row>
    <row r="1646">
      <c r="B1646" s="1" t="n">
        <v>12</v>
      </c>
      <c r="C1646" s="24" t="n">
        <v>45047</v>
      </c>
      <c r="D1646" s="24" t="n">
        <v>45077</v>
      </c>
      <c r="E1646" s="25">
        <f>D1646-C1646+1</f>
        <v/>
      </c>
      <c r="F1646" s="319">
        <f>J1645</f>
        <v/>
      </c>
      <c r="G1646" s="319">
        <f>-PMT($D$1627/$D$1629,21,$F$1638,,0)</f>
        <v/>
      </c>
      <c r="H1646" s="319">
        <f>$D$1627/$D$1629*F1646</f>
        <v/>
      </c>
      <c r="I1646" s="319">
        <f>G1646-H1646</f>
        <v/>
      </c>
      <c r="J1646" s="319">
        <f>F1646-I1646</f>
        <v/>
      </c>
      <c r="K1646" s="516" t="n">
        <v>1440700</v>
      </c>
      <c r="L1646" s="516">
        <f>L1645+G1646-K1646</f>
        <v/>
      </c>
    </row>
    <row r="1647">
      <c r="B1647" s="1" t="n">
        <v>13</v>
      </c>
      <c r="C1647" s="24" t="n">
        <v>45078</v>
      </c>
      <c r="D1647" s="24" t="n">
        <v>45107</v>
      </c>
      <c r="E1647" s="25">
        <f>D1647-C1647+1</f>
        <v/>
      </c>
      <c r="F1647" s="319">
        <f>J1646</f>
        <v/>
      </c>
      <c r="G1647" s="319">
        <f>-PMT($D$1627/$D$1629,21,$F$1638,,0)</f>
        <v/>
      </c>
      <c r="H1647" s="319">
        <f>$D$1627/$D$1629*F1647</f>
        <v/>
      </c>
      <c r="I1647" s="319">
        <f>G1647-H1647</f>
        <v/>
      </c>
      <c r="J1647" s="319">
        <f>F1647-I1647</f>
        <v/>
      </c>
      <c r="K1647" s="516" t="n">
        <v>1440700</v>
      </c>
      <c r="L1647" s="516">
        <f>L1646+G1647-K1647</f>
        <v/>
      </c>
    </row>
    <row r="1648">
      <c r="B1648" s="1" t="n">
        <v>14</v>
      </c>
      <c r="C1648" s="24" t="n">
        <v>45108</v>
      </c>
      <c r="D1648" s="24" t="n">
        <v>45138</v>
      </c>
      <c r="E1648" s="25">
        <f>D1648-C1648+1</f>
        <v/>
      </c>
      <c r="F1648" s="319">
        <f>J1647</f>
        <v/>
      </c>
      <c r="G1648" s="319">
        <f>-PMT($D$1627/$D$1629,21,$F$1638,,0)</f>
        <v/>
      </c>
      <c r="H1648" s="319">
        <f>$D$1627/$D$1629*F1648</f>
        <v/>
      </c>
      <c r="I1648" s="319">
        <f>G1648-H1648</f>
        <v/>
      </c>
      <c r="J1648" s="319">
        <f>F1648-I1648</f>
        <v/>
      </c>
      <c r="K1648" s="516" t="n">
        <v>1440700</v>
      </c>
      <c r="L1648" s="516">
        <f>L1647+G1648-K1648</f>
        <v/>
      </c>
    </row>
    <row r="1649">
      <c r="B1649" s="1" t="n">
        <v>15</v>
      </c>
      <c r="C1649" s="24" t="n">
        <v>45139</v>
      </c>
      <c r="D1649" s="24" t="n">
        <v>45169</v>
      </c>
      <c r="E1649" s="25">
        <f>D1649-C1649+1</f>
        <v/>
      </c>
      <c r="F1649" s="319">
        <f>J1648</f>
        <v/>
      </c>
      <c r="G1649" s="319">
        <f>-PMT($D$1627/$D$1629,21,$F$1638,,0)</f>
        <v/>
      </c>
      <c r="H1649" s="319">
        <f>$D$1627/$D$1629*F1649</f>
        <v/>
      </c>
      <c r="I1649" s="319">
        <f>G1649-H1649</f>
        <v/>
      </c>
      <c r="J1649" s="319">
        <f>F1649-I1649</f>
        <v/>
      </c>
      <c r="K1649" s="516">
        <f>1440700+1440700</f>
        <v/>
      </c>
      <c r="L1649" s="516">
        <f>L1648+G1649-K1649</f>
        <v/>
      </c>
    </row>
    <row r="1650">
      <c r="B1650" s="1" t="n">
        <v>16</v>
      </c>
      <c r="C1650" s="24" t="n">
        <v>45170</v>
      </c>
      <c r="D1650" s="24" t="n">
        <v>45199</v>
      </c>
      <c r="E1650" s="25">
        <f>D1650-C1650+1</f>
        <v/>
      </c>
      <c r="F1650" s="319">
        <f>J1649</f>
        <v/>
      </c>
      <c r="G1650" s="319">
        <f>-PMT($D$1627/$D$1629,21,$F$1638,,0)</f>
        <v/>
      </c>
      <c r="H1650" s="319">
        <f>$D$1627/$D$1629*F1650</f>
        <v/>
      </c>
      <c r="I1650" s="319">
        <f>G1650-H1650</f>
        <v/>
      </c>
      <c r="J1650" s="319">
        <f>F1650-I1650</f>
        <v/>
      </c>
      <c r="K1650" s="516" t="n"/>
      <c r="L1650" s="516">
        <f>L1649+G1650-K1650</f>
        <v/>
      </c>
    </row>
    <row r="1651">
      <c r="B1651" s="1" t="n">
        <v>17</v>
      </c>
      <c r="C1651" s="24" t="n">
        <v>45200</v>
      </c>
      <c r="D1651" s="24" t="n">
        <v>45230</v>
      </c>
      <c r="E1651" s="25">
        <f>D1651-C1651+1</f>
        <v/>
      </c>
      <c r="F1651" s="319">
        <f>J1650</f>
        <v/>
      </c>
      <c r="G1651" s="319">
        <f>-PMT($D$1627/$D$1629,21,$F$1638,,0)</f>
        <v/>
      </c>
      <c r="H1651" s="319">
        <f>$D$1627/$D$1629*F1651</f>
        <v/>
      </c>
      <c r="I1651" s="319">
        <f>G1651-H1651</f>
        <v/>
      </c>
      <c r="J1651" s="319">
        <f>F1651-I1651</f>
        <v/>
      </c>
      <c r="K1651" s="516" t="n">
        <v>1440700</v>
      </c>
      <c r="L1651" s="516">
        <f>L1650+G1651-K1651</f>
        <v/>
      </c>
    </row>
    <row r="1652">
      <c r="B1652" s="1" t="n">
        <v>18</v>
      </c>
      <c r="C1652" s="24" t="n">
        <v>45231</v>
      </c>
      <c r="D1652" s="24" t="n">
        <v>45260</v>
      </c>
      <c r="E1652" s="25">
        <f>D1652-C1652+1</f>
        <v/>
      </c>
      <c r="F1652" s="319">
        <f>J1651</f>
        <v/>
      </c>
      <c r="G1652" s="319">
        <f>-PMT($D$1627/$D$1629,21,$F$1638,,0)</f>
        <v/>
      </c>
      <c r="H1652" s="319">
        <f>$D$1627/$D$1629*F1652</f>
        <v/>
      </c>
      <c r="I1652" s="319">
        <f>G1652-H1652</f>
        <v/>
      </c>
      <c r="J1652" s="319">
        <f>F1652-I1652</f>
        <v/>
      </c>
      <c r="K1652" s="516">
        <f>1440700+3000000</f>
        <v/>
      </c>
      <c r="L1652" s="516">
        <f>L1651+G1652-K1652</f>
        <v/>
      </c>
    </row>
    <row r="1653">
      <c r="B1653" s="1" t="n">
        <v>19</v>
      </c>
      <c r="C1653" s="24" t="n">
        <v>45261</v>
      </c>
      <c r="D1653" s="24" t="n">
        <v>45291</v>
      </c>
      <c r="E1653" s="25">
        <f>D1653-C1653+1</f>
        <v/>
      </c>
      <c r="F1653" s="319">
        <f>J1652</f>
        <v/>
      </c>
      <c r="G1653" s="319">
        <f>-PMT($D$1627/$D$1629,21,$F$1638,,0)</f>
        <v/>
      </c>
      <c r="H1653" s="319">
        <f>$D$1627/$D$1629*F1653</f>
        <v/>
      </c>
      <c r="I1653" s="319">
        <f>G1653-H1653</f>
        <v/>
      </c>
      <c r="J1653" s="319">
        <f>F1653-I1653</f>
        <v/>
      </c>
      <c r="K1653" s="516" t="n">
        <v>3092356.94</v>
      </c>
      <c r="L1653" s="516">
        <f>L1652+G1653-K1653</f>
        <v/>
      </c>
    </row>
    <row r="1654">
      <c r="B1654" s="1" t="n">
        <v>20</v>
      </c>
      <c r="C1654" s="24" t="n">
        <v>45292</v>
      </c>
      <c r="D1654" s="24" t="n">
        <v>45322</v>
      </c>
      <c r="E1654" s="25">
        <f>D1654-C1654+1</f>
        <v/>
      </c>
      <c r="F1654" s="319">
        <f>J1653</f>
        <v/>
      </c>
      <c r="G1654" s="319">
        <f>-PMT($D$1627/$D$1629,21,$F$1638,,0)</f>
        <v/>
      </c>
      <c r="H1654" s="319">
        <f>$D$1627/$D$1629*F1654</f>
        <v/>
      </c>
      <c r="I1654" s="319">
        <f>G1654-H1654</f>
        <v/>
      </c>
      <c r="J1654" s="319">
        <f>F1654-I1654</f>
        <v/>
      </c>
      <c r="K1654" s="516" t="n"/>
      <c r="L1654" s="516" t="n"/>
    </row>
    <row r="1655">
      <c r="B1655" s="1" t="n">
        <v>21</v>
      </c>
      <c r="C1655" s="24" t="n">
        <v>45323</v>
      </c>
      <c r="D1655" s="24" t="n">
        <v>45350</v>
      </c>
      <c r="E1655" s="25">
        <f>D1655-C1655+1</f>
        <v/>
      </c>
      <c r="F1655" s="319">
        <f>J1654</f>
        <v/>
      </c>
      <c r="G1655" s="319">
        <f>-PMT($D$1627/$D$1629,21,$F$1638,,0)</f>
        <v/>
      </c>
      <c r="H1655" s="319">
        <f>$D$1627/$D$1629*F1655</f>
        <v/>
      </c>
      <c r="I1655" s="319">
        <f>G1655-H1655</f>
        <v/>
      </c>
      <c r="J1655" s="319">
        <f>F1655-I1655</f>
        <v/>
      </c>
      <c r="K1655" s="516" t="n"/>
      <c r="L1655" s="516" t="n"/>
    </row>
    <row r="1656">
      <c r="B1656" s="1" t="n">
        <v>22</v>
      </c>
      <c r="C1656" s="24" t="n">
        <v>45352</v>
      </c>
      <c r="D1656" s="24" t="n">
        <v>45382</v>
      </c>
      <c r="E1656" s="25">
        <f>D1656-C1656+1</f>
        <v/>
      </c>
      <c r="F1656" s="319">
        <f>J1655</f>
        <v/>
      </c>
      <c r="G1656" s="319">
        <f>-PMT($D$1627/$D$1629,21,$F$1638,,0)</f>
        <v/>
      </c>
      <c r="H1656" s="319">
        <f>$D$1627/$D$1629*F1656</f>
        <v/>
      </c>
      <c r="I1656" s="319">
        <f>G1656-H1656</f>
        <v/>
      </c>
      <c r="J1656" s="319">
        <f>F1656-I1656</f>
        <v/>
      </c>
      <c r="K1656" s="516" t="n"/>
      <c r="L1656" s="516" t="n"/>
    </row>
    <row r="1657">
      <c r="B1657" s="1" t="n">
        <v>23</v>
      </c>
      <c r="C1657" s="24" t="n">
        <v>45383</v>
      </c>
      <c r="D1657" s="24" t="n">
        <v>45412</v>
      </c>
      <c r="E1657" s="25">
        <f>D1657-C1657+1</f>
        <v/>
      </c>
      <c r="F1657" s="319">
        <f>J1656</f>
        <v/>
      </c>
      <c r="G1657" s="319">
        <f>-PMT($D$1627/$D$1629,21,$F$1638,,0)</f>
        <v/>
      </c>
      <c r="H1657" s="319">
        <f>$D$1627/$D$1629*F1657</f>
        <v/>
      </c>
      <c r="I1657" s="319">
        <f>G1657-H1657</f>
        <v/>
      </c>
      <c r="J1657" s="319">
        <f>F1657-I1657</f>
        <v/>
      </c>
      <c r="K1657" s="516" t="n"/>
      <c r="L1657" s="516" t="n"/>
    </row>
    <row r="1658">
      <c r="B1658" s="1" t="n">
        <v>24</v>
      </c>
      <c r="C1658" s="24" t="n">
        <v>45413</v>
      </c>
      <c r="D1658" s="24" t="n">
        <v>45443</v>
      </c>
      <c r="E1658" s="25">
        <f>D1658-C1658+1</f>
        <v/>
      </c>
      <c r="F1658" s="319">
        <f>J1657</f>
        <v/>
      </c>
      <c r="G1658" s="319">
        <f>-PMT($D$1627/$D$1629,21,$F$1638,,0)</f>
        <v/>
      </c>
      <c r="H1658" s="319">
        <f>$D$1627/$D$1629*F1658</f>
        <v/>
      </c>
      <c r="I1658" s="319">
        <f>G1658-H1658</f>
        <v/>
      </c>
      <c r="J1658" s="319">
        <f>F1658-I1658</f>
        <v/>
      </c>
      <c r="K1658" s="516" t="n"/>
      <c r="L1658" s="516" t="n"/>
    </row>
    <row r="1659" ht="14.25" customHeight="1">
      <c r="B1659" s="1" t="n"/>
      <c r="C1659" s="1" t="n"/>
      <c r="D1659" s="1" t="n"/>
      <c r="E1659" s="30">
        <f>SUM(E1635:E1658)</f>
        <v/>
      </c>
      <c r="F1659" s="319" t="n"/>
      <c r="G1659" s="319" t="n"/>
      <c r="H1659" s="319" t="n"/>
      <c r="I1659" s="319" t="n"/>
      <c r="J1659" s="319" t="n"/>
      <c r="K1659" s="1" t="n"/>
      <c r="L1659" s="1" t="n"/>
    </row>
    <row r="1664">
      <c r="B1664" s="1" t="n"/>
      <c r="C1664" s="9" t="inlineStr">
        <is>
          <t>Agwenda Investment Ltd</t>
        </is>
      </c>
      <c r="D1664" s="319" t="n"/>
      <c r="E1664" s="319" t="n"/>
      <c r="F1664" s="319" t="n"/>
      <c r="G1664" s="319" t="n"/>
      <c r="H1664" s="319" t="n"/>
      <c r="I1664" s="319" t="n"/>
      <c r="J1664" s="319" t="n"/>
      <c r="K1664" s="319" t="n"/>
      <c r="L1664" s="319" t="n"/>
      <c r="R1664" s="514" t="inlineStr">
        <is>
          <t>E-Banker account (Dupleix)</t>
        </is>
      </c>
      <c r="S1664" s="495">
        <f>IFERROR(INDEX('Blocks'!$I$2:$I$101,MATCH(28,'Blocks'!$A$2:$A$101,0)),"")</f>
        <v/>
      </c>
    </row>
    <row r="1665">
      <c r="B1665" s="1" t="n"/>
      <c r="C1665" s="1" t="n"/>
      <c r="D1665" s="319" t="n"/>
      <c r="E1665" s="319" t="n"/>
      <c r="F1665" s="319" t="n"/>
      <c r="G1665" s="319" t="n"/>
      <c r="H1665" s="319" t="n"/>
      <c r="I1665" s="319" t="n"/>
      <c r="J1665" s="319" t="n"/>
      <c r="K1665" s="319" t="n"/>
      <c r="L1665" s="319" t="n"/>
      <c r="R1665" s="514" t="inlineStr">
        <is>
          <t>Facility (Loan Book)</t>
        </is>
      </c>
      <c r="S1665" s="495">
        <f>IFERROR(INDEX('Blocks'!$H$2:$H$101,MATCH(28,'Blocks'!$A$2:$A$101,0)),"")</f>
        <v/>
      </c>
    </row>
    <row r="1666">
      <c r="B1666" s="1" t="n"/>
      <c r="C1666" s="10" t="inlineStr">
        <is>
          <t>Principal (MK)</t>
        </is>
      </c>
      <c r="D1666" s="11" t="n">
        <v>24000000</v>
      </c>
      <c r="E1666" s="319" t="n"/>
      <c r="F1666" s="319" t="n"/>
      <c r="G1666" s="319" t="n"/>
      <c r="H1666" s="319" t="n"/>
      <c r="I1666" s="319" t="n"/>
      <c r="J1666" s="319" t="n"/>
      <c r="K1666" s="319" t="n"/>
      <c r="L1666" s="319" t="n"/>
      <c r="R1666" s="514" t="inlineStr">
        <is>
          <t>Take-on posting 31 Jul 2024</t>
        </is>
      </c>
      <c r="S1666" s="496">
        <f>IFERROR(INDEX('E-Banker master'!$N$2:$N$186,MATCH(S1664,'E-Banker master'!$A$2:$A$186,0)),"")</f>
        <v/>
      </c>
    </row>
    <row r="1667">
      <c r="B1667" s="1" t="n"/>
      <c r="C1667" s="13" t="inlineStr">
        <is>
          <t>Rate</t>
        </is>
      </c>
      <c r="D1667" s="14" t="n">
        <v>0.1</v>
      </c>
      <c r="E1667" s="257" t="n"/>
      <c r="F1667" s="319" t="n"/>
      <c r="G1667" s="319" t="n"/>
      <c r="H1667" s="319" t="n"/>
      <c r="I1667" s="319" t="n"/>
      <c r="J1667" s="319" t="n"/>
      <c r="K1667" s="319" t="n"/>
      <c r="L1667" s="319" t="n"/>
      <c r="R1667" s="514" t="inlineStr">
        <is>
          <t>E-Banker balance 31 Oct 2024</t>
        </is>
      </c>
      <c r="S1667" s="496">
        <f>IFERROR(INDEX('E-Banker master'!$P$2:$P$186,MATCH(S1664,'E-Banker master'!$A$2:$A$186,0)),"")</f>
        <v/>
      </c>
    </row>
    <row r="1668">
      <c r="B1668" s="1" t="n"/>
      <c r="C1668" s="13" t="inlineStr">
        <is>
          <t>n</t>
        </is>
      </c>
      <c r="D1668" s="16" t="n">
        <v>2</v>
      </c>
      <c r="E1668" s="1" t="n"/>
      <c r="F1668" s="319" t="n"/>
      <c r="G1668" s="319" t="n"/>
      <c r="H1668" s="319" t="n"/>
      <c r="I1668" s="319" t="n"/>
      <c r="J1668" s="319" t="n"/>
      <c r="K1668" s="1" t="n"/>
      <c r="L1668" s="1" t="n"/>
    </row>
    <row r="1669">
      <c r="B1669" s="1" t="n"/>
      <c r="C1669" s="13" t="inlineStr">
        <is>
          <t>Per</t>
        </is>
      </c>
      <c r="D1669" s="16" t="n">
        <v>12</v>
      </c>
      <c r="E1669" s="1" t="n"/>
      <c r="F1669" s="319" t="n"/>
      <c r="G1669" s="319" t="n"/>
      <c r="H1669" s="319" t="n"/>
      <c r="I1669" s="319" t="n"/>
      <c r="J1669" s="319" t="n"/>
      <c r="K1669" s="1" t="n"/>
      <c r="L1669" s="1" t="n"/>
    </row>
    <row r="1670">
      <c r="B1670" s="1" t="n"/>
      <c r="C1670" s="13" t="inlineStr">
        <is>
          <t>nPer</t>
        </is>
      </c>
      <c r="D1670" s="515">
        <f>D1668*D1669</f>
        <v/>
      </c>
      <c r="E1670" s="1" t="n"/>
      <c r="F1670" s="319" t="n"/>
      <c r="G1670" s="319" t="n"/>
      <c r="H1670" s="319" t="n"/>
      <c r="I1670" s="319" t="n"/>
      <c r="J1670" s="319" t="n"/>
      <c r="K1670" s="1" t="n"/>
      <c r="L1670" s="1" t="n"/>
    </row>
    <row r="1671">
      <c r="B1671" s="1" t="n"/>
      <c r="C1671" s="13" t="inlineStr">
        <is>
          <t>Days in a year</t>
        </is>
      </c>
      <c r="D1671" s="18" t="n">
        <v>365</v>
      </c>
      <c r="E1671" s="1" t="n"/>
      <c r="F1671" s="319" t="n"/>
      <c r="G1671" s="319" t="n"/>
      <c r="H1671" s="319" t="n"/>
      <c r="I1671" s="319" t="n"/>
      <c r="J1671" s="319" t="n"/>
      <c r="K1671" s="1" t="n"/>
      <c r="L1671" s="1" t="n"/>
    </row>
    <row r="1672">
      <c r="B1672" s="1" t="n"/>
      <c r="C1672" s="19" t="inlineStr">
        <is>
          <t>Pmt (MK)</t>
        </is>
      </c>
      <c r="D1672" s="20">
        <f>-PMT(D1667/D1669,D1670,D1666,0,0)</f>
        <v/>
      </c>
      <c r="E1672" s="319" t="n"/>
      <c r="F1672" s="319" t="n"/>
      <c r="G1672" s="319" t="n"/>
      <c r="H1672" s="319" t="n"/>
      <c r="I1672" s="319" t="n"/>
      <c r="J1672" s="319" t="n"/>
      <c r="K1672" s="1" t="n"/>
      <c r="L1672" s="1" t="n"/>
    </row>
    <row r="1673">
      <c r="B1673" s="1" t="n"/>
      <c r="C1673" s="1" t="n"/>
      <c r="D1673" s="319" t="n"/>
      <c r="E1673" s="319" t="n"/>
      <c r="F1673" s="319" t="n"/>
      <c r="G1673" s="319" t="n"/>
      <c r="H1673" s="319" t="n"/>
      <c r="I1673" s="319" t="n"/>
      <c r="J1673" s="319" t="n"/>
      <c r="K1673" s="1" t="n"/>
      <c r="L1673" s="1" t="n"/>
    </row>
    <row r="1674">
      <c r="B1674" s="1" t="n"/>
      <c r="C1674" s="21" t="inlineStr">
        <is>
          <t>Period Start</t>
        </is>
      </c>
      <c r="D1674" s="22" t="inlineStr">
        <is>
          <t>Period End</t>
        </is>
      </c>
      <c r="E1674" s="22" t="inlineStr">
        <is>
          <t>Days</t>
        </is>
      </c>
      <c r="F1674" s="294" t="inlineStr">
        <is>
          <t>Opening bal.</t>
        </is>
      </c>
      <c r="G1674" s="294" t="inlineStr">
        <is>
          <t>Pmt</t>
        </is>
      </c>
      <c r="H1674" s="294" t="inlineStr">
        <is>
          <t>Interest</t>
        </is>
      </c>
      <c r="I1674" s="294" t="inlineStr">
        <is>
          <t>Principal</t>
        </is>
      </c>
      <c r="J1674" s="294" t="inlineStr">
        <is>
          <t>Closing balance</t>
        </is>
      </c>
      <c r="K1674" s="23" t="inlineStr">
        <is>
          <t>Amount Repaid</t>
        </is>
      </c>
      <c r="L1674" s="23" t="inlineStr">
        <is>
          <t>Accumulated Arrears</t>
        </is>
      </c>
    </row>
    <row r="1675">
      <c r="B1675" s="1" t="n">
        <v>0</v>
      </c>
      <c r="C1675" s="24" t="n">
        <v>44726</v>
      </c>
      <c r="D1675" s="24" t="n">
        <v>44742</v>
      </c>
      <c r="E1675" s="25">
        <f>D1675-C1675+1</f>
        <v/>
      </c>
      <c r="F1675" s="319">
        <f>D1666</f>
        <v/>
      </c>
      <c r="G1675" s="319" t="n"/>
      <c r="H1675" s="319">
        <f>$D$1667/$D$1669*F1675*17/30</f>
        <v/>
      </c>
      <c r="I1675" s="319">
        <f>G1675-H1675</f>
        <v/>
      </c>
      <c r="J1675" s="319">
        <f>F1675-I1675</f>
        <v/>
      </c>
      <c r="K1675" s="516" t="n"/>
      <c r="L1675" s="516" t="n"/>
    </row>
    <row r="1676">
      <c r="B1676" s="1" t="n">
        <v>1</v>
      </c>
      <c r="C1676" s="24" t="n">
        <v>44743</v>
      </c>
      <c r="D1676" s="24" t="n">
        <v>44773</v>
      </c>
      <c r="E1676" s="25">
        <f>D1676-C1676+1</f>
        <v/>
      </c>
      <c r="F1676" s="319">
        <f>J1675</f>
        <v/>
      </c>
      <c r="G1676" s="319" t="n"/>
      <c r="H1676" s="319">
        <f>$D$1667/$D$1669*F1676</f>
        <v/>
      </c>
      <c r="I1676" s="319">
        <f>G1676-H1676</f>
        <v/>
      </c>
      <c r="J1676" s="319">
        <f>F1676-I1676</f>
        <v/>
      </c>
      <c r="K1676" s="516" t="n"/>
      <c r="L1676" s="516" t="n"/>
      <c r="M1676" s="237">
        <f>2574000/2</f>
        <v/>
      </c>
    </row>
    <row r="1677">
      <c r="B1677" s="1" t="n">
        <v>2</v>
      </c>
      <c r="C1677" s="24" t="n">
        <v>44774</v>
      </c>
      <c r="D1677" s="24" t="n">
        <v>44804</v>
      </c>
      <c r="E1677" s="25">
        <f>D1677-C1677+1</f>
        <v/>
      </c>
      <c r="F1677" s="319">
        <f>J1676</f>
        <v/>
      </c>
      <c r="G1677" s="319" t="n"/>
      <c r="H1677" s="319">
        <f>$D$1667/$D$1669*F1677</f>
        <v/>
      </c>
      <c r="I1677" s="319">
        <f>G1677-H1677</f>
        <v/>
      </c>
      <c r="J1677" s="319">
        <f>F1677-I1677</f>
        <v/>
      </c>
    </row>
    <row r="1678">
      <c r="B1678" s="1" t="n">
        <v>3</v>
      </c>
      <c r="C1678" s="24" t="n">
        <v>44805</v>
      </c>
      <c r="D1678" s="24" t="n">
        <v>44834</v>
      </c>
      <c r="E1678" s="25">
        <f>D1678-C1678+1</f>
        <v/>
      </c>
      <c r="F1678" s="319">
        <f>J1677</f>
        <v/>
      </c>
      <c r="G1678" s="319" t="n"/>
      <c r="H1678" s="319">
        <f>$D$1667/$D$1669*F1678</f>
        <v/>
      </c>
      <c r="I1678" s="319">
        <f>G1678-H1678</f>
        <v/>
      </c>
      <c r="J1678" s="319">
        <f>F1678-I1678</f>
        <v/>
      </c>
      <c r="K1678" s="516" t="n"/>
      <c r="L1678" s="516" t="n"/>
    </row>
    <row r="1679">
      <c r="B1679" s="1" t="n">
        <v>4</v>
      </c>
      <c r="C1679" s="24" t="n">
        <v>44835</v>
      </c>
      <c r="D1679" s="24" t="n">
        <v>44865</v>
      </c>
      <c r="E1679" s="25">
        <f>D1679-C1679+1</f>
        <v/>
      </c>
      <c r="F1679" s="319">
        <f>J1678</f>
        <v/>
      </c>
      <c r="G1679" s="319">
        <f>-PMT($D$1667/$D$1669,21,$F$1679,,0)</f>
        <v/>
      </c>
      <c r="H1679" s="319">
        <f>$D$1667/$D$1669*F1679</f>
        <v/>
      </c>
      <c r="I1679" s="319">
        <f>G1679-H1679</f>
        <v/>
      </c>
      <c r="J1679" s="319">
        <f>F1679-I1679</f>
        <v/>
      </c>
      <c r="K1679" s="516" t="n">
        <v>1283000</v>
      </c>
      <c r="L1679" s="516">
        <f>G1679-K1679</f>
        <v/>
      </c>
    </row>
    <row r="1680">
      <c r="B1680" s="1" t="n">
        <v>5</v>
      </c>
      <c r="C1680" s="24" t="n">
        <v>44866</v>
      </c>
      <c r="D1680" s="24" t="n">
        <v>44895</v>
      </c>
      <c r="E1680" s="25">
        <f>D1680-C1680+1</f>
        <v/>
      </c>
      <c r="F1680" s="319">
        <f>J1679</f>
        <v/>
      </c>
      <c r="G1680" s="319">
        <f>-PMT($D$1667/$D$1669,21,$F$1679,,0)</f>
        <v/>
      </c>
      <c r="H1680" s="319">
        <f>$D$1667/$D$1669*F1680</f>
        <v/>
      </c>
      <c r="I1680" s="319">
        <f>G1680-H1680</f>
        <v/>
      </c>
      <c r="J1680" s="319">
        <f>F1680-I1680</f>
        <v/>
      </c>
      <c r="K1680" s="516" t="n">
        <v>0</v>
      </c>
      <c r="L1680" s="516">
        <f>L1679+G1680-K1680</f>
        <v/>
      </c>
    </row>
    <row r="1681">
      <c r="B1681" s="1" t="n">
        <v>6</v>
      </c>
      <c r="C1681" s="24" t="n">
        <v>44896</v>
      </c>
      <c r="D1681" s="24" t="n">
        <v>44926</v>
      </c>
      <c r="E1681" s="25">
        <f>D1681-C1681+1</f>
        <v/>
      </c>
      <c r="F1681" s="319">
        <f>J1680</f>
        <v/>
      </c>
      <c r="G1681" s="319">
        <f>-PMT($D$1667/$D$1669,21,$F$1679,,0)</f>
        <v/>
      </c>
      <c r="H1681" s="319">
        <f>$D$1667/$D$1669*F1681</f>
        <v/>
      </c>
      <c r="I1681" s="319">
        <f>G1681-H1681</f>
        <v/>
      </c>
      <c r="J1681" s="319">
        <f>F1681-I1681</f>
        <v/>
      </c>
      <c r="K1681" s="516" t="n">
        <v>2574000</v>
      </c>
      <c r="L1681" s="516">
        <f>L1680+G1681-K1681</f>
        <v/>
      </c>
    </row>
    <row r="1682">
      <c r="B1682" s="1" t="n">
        <v>7</v>
      </c>
      <c r="C1682" s="24" t="n">
        <v>44927</v>
      </c>
      <c r="D1682" s="24" t="n">
        <v>44957</v>
      </c>
      <c r="E1682" s="25">
        <f>D1682-C1682+1</f>
        <v/>
      </c>
      <c r="F1682" s="319">
        <f>J1681</f>
        <v/>
      </c>
      <c r="G1682" s="319">
        <f>-PMT($D$1667/$D$1669,21,$F$1679,,0)</f>
        <v/>
      </c>
      <c r="H1682" s="319">
        <f>$D$1667/$D$1669*F1682</f>
        <v/>
      </c>
      <c r="I1682" s="319">
        <f>G1682-H1682</f>
        <v/>
      </c>
      <c r="J1682" s="319">
        <f>F1682-I1682</f>
        <v/>
      </c>
      <c r="K1682" s="516" t="n"/>
      <c r="L1682" s="516">
        <f>L1681+G1682-K1682</f>
        <v/>
      </c>
    </row>
    <row r="1683">
      <c r="B1683" s="1" t="n">
        <v>8</v>
      </c>
      <c r="C1683" s="24" t="n">
        <v>44958</v>
      </c>
      <c r="D1683" s="24" t="n">
        <v>44985</v>
      </c>
      <c r="E1683" s="25">
        <f>D1683-C1683+1</f>
        <v/>
      </c>
      <c r="F1683" s="319">
        <f>J1682</f>
        <v/>
      </c>
      <c r="G1683" s="319">
        <f>-PMT($D$1667/$D$1669,21,$F$1679,,0)</f>
        <v/>
      </c>
      <c r="H1683" s="319">
        <f>$D$1667/$D$1669*F1683</f>
        <v/>
      </c>
      <c r="I1683" s="319">
        <f>G1683-H1683</f>
        <v/>
      </c>
      <c r="J1683" s="319">
        <f>F1683-I1683</f>
        <v/>
      </c>
      <c r="K1683" s="516" t="n"/>
      <c r="L1683" s="516">
        <f>L1682+G1683-K1683</f>
        <v/>
      </c>
    </row>
    <row r="1684">
      <c r="B1684" s="1" t="n">
        <v>9</v>
      </c>
      <c r="C1684" s="24" t="n">
        <v>44986</v>
      </c>
      <c r="D1684" s="24" t="n">
        <v>45016</v>
      </c>
      <c r="E1684" s="25">
        <f>D1684-C1684+1</f>
        <v/>
      </c>
      <c r="F1684" s="319">
        <f>J1683</f>
        <v/>
      </c>
      <c r="G1684" s="319">
        <f>-PMT($D$1667/$D$1669,21,$F$1679,,0)</f>
        <v/>
      </c>
      <c r="H1684" s="319">
        <f>$D$1667/$D$1669*F1684</f>
        <v/>
      </c>
      <c r="I1684" s="319">
        <f>G1684-H1684</f>
        <v/>
      </c>
      <c r="J1684" s="319">
        <f>F1684-I1684</f>
        <v/>
      </c>
      <c r="K1684" s="516" t="n">
        <v>2583468.93</v>
      </c>
      <c r="L1684" s="516">
        <f>L1683+G1684-K1684</f>
        <v/>
      </c>
    </row>
    <row r="1685">
      <c r="B1685" s="1" t="n">
        <v>10</v>
      </c>
      <c r="C1685" s="24" t="n">
        <v>45017</v>
      </c>
      <c r="D1685" s="24" t="n">
        <v>45046</v>
      </c>
      <c r="E1685" s="25">
        <f>D1685-C1685+1</f>
        <v/>
      </c>
      <c r="F1685" s="319">
        <f>J1684</f>
        <v/>
      </c>
      <c r="G1685" s="319">
        <f>-PMT($D$1667/$D$1669,21,$F$1679,,0)</f>
        <v/>
      </c>
      <c r="H1685" s="319">
        <f>$D$1667/$D$1669*F1685</f>
        <v/>
      </c>
      <c r="I1685" s="319">
        <f>G1685-H1685</f>
        <v/>
      </c>
      <c r="J1685" s="319">
        <f>F1685-I1685</f>
        <v/>
      </c>
      <c r="K1685" s="516" t="n">
        <v>1288093.79</v>
      </c>
      <c r="L1685" s="516">
        <f>L1684+G1685-K1685</f>
        <v/>
      </c>
    </row>
    <row r="1686">
      <c r="B1686" s="1" t="n">
        <v>11</v>
      </c>
      <c r="C1686" s="24" t="n">
        <v>45047</v>
      </c>
      <c r="D1686" s="24" t="n">
        <v>45077</v>
      </c>
      <c r="E1686" s="25">
        <f>D1686-C1686+1</f>
        <v/>
      </c>
      <c r="F1686" s="319">
        <f>J1685</f>
        <v/>
      </c>
      <c r="G1686" s="319">
        <f>-PMT($D$1667/$D$1669,21,$F$1679,,0)</f>
        <v/>
      </c>
      <c r="H1686" s="319">
        <f>$D$1667/$D$1669*F1686</f>
        <v/>
      </c>
      <c r="I1686" s="319">
        <f>G1686-H1686</f>
        <v/>
      </c>
      <c r="J1686" s="319">
        <f>F1686-I1686</f>
        <v/>
      </c>
      <c r="K1686" s="516" t="n">
        <v>1283000</v>
      </c>
      <c r="L1686" s="516">
        <f>L1685+G1686-K1686</f>
        <v/>
      </c>
    </row>
    <row r="1687">
      <c r="B1687" s="1" t="n">
        <v>12</v>
      </c>
      <c r="C1687" s="24" t="n">
        <v>45078</v>
      </c>
      <c r="D1687" s="24" t="n">
        <v>45107</v>
      </c>
      <c r="E1687" s="25">
        <f>D1687-C1687+1</f>
        <v/>
      </c>
      <c r="F1687" s="319">
        <f>J1686</f>
        <v/>
      </c>
      <c r="G1687" s="319">
        <f>-PMT($D$1667/$D$1669,21,$F$1679,,0)</f>
        <v/>
      </c>
      <c r="H1687" s="319">
        <f>$D$1667/$D$1669*F1687</f>
        <v/>
      </c>
      <c r="I1687" s="319">
        <f>G1687-H1687</f>
        <v/>
      </c>
      <c r="J1687" s="319">
        <f>F1687-I1687</f>
        <v/>
      </c>
      <c r="K1687" s="516" t="n"/>
      <c r="L1687" s="519">
        <f>L1686+G1687-K1687</f>
        <v/>
      </c>
    </row>
    <row r="1688">
      <c r="B1688" s="1" t="n">
        <v>13</v>
      </c>
      <c r="C1688" s="24" t="n">
        <v>45108</v>
      </c>
      <c r="D1688" s="24" t="n">
        <v>45138</v>
      </c>
      <c r="E1688" s="25">
        <f>D1688-C1688+1</f>
        <v/>
      </c>
      <c r="F1688" s="319">
        <f>J1687</f>
        <v/>
      </c>
      <c r="G1688" s="319">
        <f>-PMT($D$1667/$D$1669,21,$F$1679,,0)</f>
        <v/>
      </c>
      <c r="H1688" s="319">
        <f>$D$1667/$D$1669*F1688</f>
        <v/>
      </c>
      <c r="I1688" s="319">
        <f>G1688-H1688</f>
        <v/>
      </c>
      <c r="J1688" s="319">
        <f>F1688-I1688</f>
        <v/>
      </c>
      <c r="K1688" s="516" t="n"/>
      <c r="L1688" s="516">
        <f>L1687+G1688-K1688</f>
        <v/>
      </c>
    </row>
    <row r="1689">
      <c r="B1689" s="1" t="n">
        <v>14</v>
      </c>
      <c r="C1689" s="24" t="n">
        <v>45139</v>
      </c>
      <c r="D1689" s="24" t="n">
        <v>45169</v>
      </c>
      <c r="E1689" s="25">
        <f>D1689-C1689+1</f>
        <v/>
      </c>
      <c r="F1689" s="319">
        <f>J1688</f>
        <v/>
      </c>
      <c r="G1689" s="319">
        <f>-PMT($D$1667/$D$1669,21,$F$1679,,0)</f>
        <v/>
      </c>
      <c r="H1689" s="319">
        <f>$D$1667/$D$1669*F1689</f>
        <v/>
      </c>
      <c r="I1689" s="319">
        <f>G1689-H1689</f>
        <v/>
      </c>
      <c r="J1689" s="319">
        <f>F1689-I1689</f>
        <v/>
      </c>
      <c r="K1689" s="516" t="n"/>
      <c r="L1689" s="516">
        <f>L1688+G1689-K1689</f>
        <v/>
      </c>
    </row>
    <row r="1690">
      <c r="B1690" s="1" t="n">
        <v>15</v>
      </c>
      <c r="C1690" s="24" t="n">
        <v>45170</v>
      </c>
      <c r="D1690" s="24" t="n">
        <v>45199</v>
      </c>
      <c r="E1690" s="25">
        <f>D1690-C1690+1</f>
        <v/>
      </c>
      <c r="F1690" s="319">
        <f>J1689</f>
        <v/>
      </c>
      <c r="G1690" s="319">
        <f>-PMT($D$1667/$D$1669,21,$F$1679,,0)</f>
        <v/>
      </c>
      <c r="H1690" s="319">
        <f>$D$1667/$D$1669*F1690</f>
        <v/>
      </c>
      <c r="I1690" s="319">
        <f>G1690-H1690</f>
        <v/>
      </c>
      <c r="J1690" s="319">
        <f>F1690-I1690</f>
        <v/>
      </c>
      <c r="K1690" s="516" t="n"/>
      <c r="L1690" s="516">
        <f>L1689+G1690-K1690</f>
        <v/>
      </c>
    </row>
    <row r="1691">
      <c r="B1691" s="1" t="n">
        <v>16</v>
      </c>
      <c r="C1691" s="24" t="n">
        <v>45200</v>
      </c>
      <c r="D1691" s="24" t="n">
        <v>45230</v>
      </c>
      <c r="E1691" s="25">
        <f>D1691-C1691+1</f>
        <v/>
      </c>
      <c r="F1691" s="319">
        <f>J1690</f>
        <v/>
      </c>
      <c r="G1691" s="319">
        <f>-PMT($D$1667/$D$1669,21,$F$1679,,0)</f>
        <v/>
      </c>
      <c r="H1691" s="319">
        <f>$D$1667/$D$1669*F1691</f>
        <v/>
      </c>
      <c r="I1691" s="319">
        <f>G1691-H1691</f>
        <v/>
      </c>
      <c r="J1691" s="319">
        <f>F1691-I1691</f>
        <v/>
      </c>
      <c r="K1691" s="516" t="n">
        <v>4500000</v>
      </c>
      <c r="L1691" s="516">
        <f>L1690+G1691-K1691</f>
        <v/>
      </c>
    </row>
    <row r="1692">
      <c r="B1692" s="1" t="n">
        <v>17</v>
      </c>
      <c r="C1692" s="24" t="n">
        <v>45231</v>
      </c>
      <c r="D1692" s="24" t="n">
        <v>45260</v>
      </c>
      <c r="E1692" s="25">
        <f>D1692-C1692+1</f>
        <v/>
      </c>
      <c r="F1692" s="319">
        <f>J1691</f>
        <v/>
      </c>
      <c r="G1692" s="319">
        <f>-PMT($D$1667/$D$1669,21,$F$1679,,0)</f>
        <v/>
      </c>
      <c r="H1692" s="319">
        <f>$D$1667/$D$1669*F1692</f>
        <v/>
      </c>
      <c r="I1692" s="319">
        <f>G1692-H1692</f>
        <v/>
      </c>
      <c r="J1692" s="319">
        <f>F1692-I1692</f>
        <v/>
      </c>
      <c r="K1692" s="516" t="n">
        <v>1000000</v>
      </c>
      <c r="L1692" s="516">
        <f>L1691+G1692-K1692</f>
        <v/>
      </c>
    </row>
    <row r="1693">
      <c r="B1693" s="1" t="n">
        <v>18</v>
      </c>
      <c r="C1693" s="24" t="n">
        <v>45261</v>
      </c>
      <c r="D1693" s="24" t="n">
        <v>45291</v>
      </c>
      <c r="E1693" s="25">
        <f>D1693-C1693+1</f>
        <v/>
      </c>
      <c r="F1693" s="319">
        <f>J1692</f>
        <v/>
      </c>
      <c r="G1693" s="319">
        <f>-PMT($D$1667/$D$1669,21,$F$1679,,0)</f>
        <v/>
      </c>
      <c r="H1693" s="319">
        <f>$D$1667/$D$1669*F1693</f>
        <v/>
      </c>
      <c r="I1693" s="319">
        <f>G1693-H1693</f>
        <v/>
      </c>
      <c r="J1693" s="319">
        <f>F1693-I1693</f>
        <v/>
      </c>
      <c r="K1693" s="516">
        <f>1810000+3000000</f>
        <v/>
      </c>
      <c r="L1693" s="516">
        <f>L1692+G1693-K1693</f>
        <v/>
      </c>
    </row>
    <row r="1694">
      <c r="B1694" s="1" t="n">
        <v>19</v>
      </c>
      <c r="C1694" s="24" t="n">
        <v>45292</v>
      </c>
      <c r="D1694" s="24" t="n">
        <v>45322</v>
      </c>
      <c r="E1694" s="25">
        <f>D1694-C1694+1</f>
        <v/>
      </c>
      <c r="F1694" s="319">
        <f>J1693</f>
        <v/>
      </c>
      <c r="G1694" s="319">
        <f>-PMT($D$1667/$D$1669,21,$F$1679,,0)</f>
        <v/>
      </c>
      <c r="H1694" s="319">
        <f>$D$1667/$D$1669*F1694</f>
        <v/>
      </c>
      <c r="I1694" s="319">
        <f>G1694-H1694</f>
        <v/>
      </c>
      <c r="J1694" s="319">
        <f>F1694-I1694</f>
        <v/>
      </c>
      <c r="K1694" s="516" t="n"/>
      <c r="L1694" s="516">
        <f>L1693+G1694-K1694</f>
        <v/>
      </c>
    </row>
    <row r="1695">
      <c r="B1695" s="1" t="n">
        <v>20</v>
      </c>
      <c r="C1695" s="24" t="n">
        <v>45323</v>
      </c>
      <c r="D1695" s="24" t="n">
        <v>45350</v>
      </c>
      <c r="E1695" s="25">
        <f>D1695-C1695+1</f>
        <v/>
      </c>
      <c r="F1695" s="319">
        <f>J1694</f>
        <v/>
      </c>
      <c r="G1695" s="319">
        <f>-PMT($D$1667/$D$1669,21,$F$1679,,0)</f>
        <v/>
      </c>
      <c r="H1695" s="319">
        <f>$D$1667/$D$1669*F1695</f>
        <v/>
      </c>
      <c r="I1695" s="319">
        <f>G1695-H1695</f>
        <v/>
      </c>
      <c r="J1695" s="319">
        <f>F1695-I1695</f>
        <v/>
      </c>
      <c r="K1695" s="516" t="n">
        <v>1292040</v>
      </c>
      <c r="L1695" s="516">
        <f>L1694+G1695-K1695</f>
        <v/>
      </c>
    </row>
    <row r="1696">
      <c r="B1696" s="1" t="n">
        <v>21</v>
      </c>
      <c r="C1696" s="24" t="n">
        <v>45352</v>
      </c>
      <c r="D1696" s="24" t="n">
        <v>45382</v>
      </c>
      <c r="E1696" s="25">
        <f>D1696-C1696+1</f>
        <v/>
      </c>
      <c r="F1696" s="319">
        <f>J1695</f>
        <v/>
      </c>
      <c r="G1696" s="319">
        <f>-PMT($D$1667/$D$1669,21,$F$1679,,0)</f>
        <v/>
      </c>
      <c r="H1696" s="319">
        <f>$D$1667/$D$1669*F1696</f>
        <v/>
      </c>
      <c r="I1696" s="319">
        <f>G1696-H1696</f>
        <v/>
      </c>
      <c r="J1696" s="319">
        <f>F1696-I1696</f>
        <v/>
      </c>
      <c r="K1696" s="516">
        <f>1278435+5000000</f>
        <v/>
      </c>
      <c r="L1696" s="520">
        <f>L1695+G1696-K1696</f>
        <v/>
      </c>
    </row>
    <row r="1697">
      <c r="B1697" s="1" t="n">
        <v>22</v>
      </c>
      <c r="C1697" s="24" t="n">
        <v>45383</v>
      </c>
      <c r="D1697" s="24" t="n">
        <v>45412</v>
      </c>
      <c r="E1697" s="25">
        <f>D1697-C1697+1</f>
        <v/>
      </c>
      <c r="F1697" s="319">
        <f>J1696</f>
        <v/>
      </c>
      <c r="G1697" s="319">
        <f>-PMT($D$1667/$D$1669,21,$F$1679,,0)</f>
        <v/>
      </c>
      <c r="H1697" s="319">
        <f>$D$1667/$D$1669*F1697</f>
        <v/>
      </c>
      <c r="I1697" s="319">
        <f>G1697-H1697</f>
        <v/>
      </c>
      <c r="J1697" s="319">
        <f>F1697-I1697</f>
        <v/>
      </c>
      <c r="K1697" s="516" t="n">
        <v>54000</v>
      </c>
      <c r="L1697" s="516" t="n"/>
    </row>
    <row r="1698">
      <c r="B1698" s="1" t="n">
        <v>23</v>
      </c>
      <c r="C1698" s="24" t="n">
        <v>45413</v>
      </c>
      <c r="D1698" s="24" t="n">
        <v>45443</v>
      </c>
      <c r="E1698" s="25">
        <f>D1698-C1698+1</f>
        <v/>
      </c>
      <c r="F1698" s="319">
        <f>J1697</f>
        <v/>
      </c>
      <c r="G1698" s="319">
        <f>-PMT($D$1667/$D$1669,21,$F$1679,,0)</f>
        <v/>
      </c>
      <c r="H1698" s="319">
        <f>$D$1667/$D$1669*F1698</f>
        <v/>
      </c>
      <c r="I1698" s="319">
        <f>G1698-H1698</f>
        <v/>
      </c>
      <c r="J1698" s="319">
        <f>F1698-I1698</f>
        <v/>
      </c>
      <c r="K1698" s="516" t="n"/>
      <c r="L1698" s="516" t="n"/>
    </row>
    <row r="1699">
      <c r="B1699" s="1" t="n">
        <v>24</v>
      </c>
      <c r="C1699" s="24" t="n">
        <v>45444</v>
      </c>
      <c r="D1699" s="24" t="n">
        <v>45473</v>
      </c>
      <c r="E1699" s="25">
        <f>D1699-C1699+1</f>
        <v/>
      </c>
      <c r="F1699" s="319">
        <f>J1698</f>
        <v/>
      </c>
      <c r="G1699" s="319">
        <f>-PMT($D$1667/$D$1669,21,$F$1679,,0)</f>
        <v/>
      </c>
      <c r="H1699" s="319">
        <f>$D$1667/$D$1669*F1699</f>
        <v/>
      </c>
      <c r="I1699" s="319">
        <f>G1699-H1699</f>
        <v/>
      </c>
      <c r="J1699" s="319">
        <f>F1699-I1699</f>
        <v/>
      </c>
      <c r="K1699" s="516" t="n"/>
      <c r="L1699" s="516" t="n"/>
    </row>
    <row r="1700" ht="14.25" customHeight="1">
      <c r="B1700" s="1" t="n"/>
      <c r="C1700" s="1" t="n"/>
      <c r="D1700" s="1" t="n"/>
      <c r="E1700" s="30">
        <f>SUM(E1675:E1698)</f>
        <v/>
      </c>
      <c r="F1700" s="319" t="n"/>
      <c r="G1700" s="319" t="n"/>
      <c r="H1700" s="319" t="n"/>
      <c r="I1700" s="319" t="n"/>
      <c r="J1700" s="319" t="n"/>
      <c r="K1700" s="1" t="n"/>
      <c r="L1700" s="1" t="n"/>
    </row>
    <row r="1705">
      <c r="B1705" s="1" t="n"/>
      <c r="C1705" s="9" t="inlineStr">
        <is>
          <t>Perisha Agro &amp; Packaging Enterprise</t>
        </is>
      </c>
      <c r="D1705" s="319" t="n"/>
      <c r="E1705" s="319" t="n"/>
      <c r="F1705" s="319" t="n"/>
      <c r="G1705" s="319" t="n"/>
      <c r="H1705" s="319" t="n"/>
      <c r="I1705" s="319" t="n"/>
      <c r="J1705" s="319" t="n"/>
      <c r="K1705" s="319" t="n"/>
      <c r="L1705" s="319" t="n"/>
      <c r="R1705" s="514" t="inlineStr">
        <is>
          <t>E-Banker account (Dupleix)</t>
        </is>
      </c>
      <c r="S1705" s="495">
        <f>IFERROR(INDEX('Blocks'!$I$2:$I$101,MATCH(29,'Blocks'!$A$2:$A$101,0)),"")</f>
        <v/>
      </c>
    </row>
    <row r="1706">
      <c r="B1706" s="1" t="n"/>
      <c r="C1706" s="1" t="n"/>
      <c r="D1706" s="319" t="n"/>
      <c r="E1706" s="319" t="n"/>
      <c r="F1706" s="319" t="n"/>
      <c r="G1706" s="319" t="n"/>
      <c r="H1706" s="319" t="n"/>
      <c r="I1706" s="319" t="n"/>
      <c r="J1706" s="319" t="n"/>
      <c r="K1706" s="319" t="n"/>
      <c r="L1706" s="319" t="n"/>
      <c r="R1706" s="514" t="inlineStr">
        <is>
          <t>Facility (Loan Book)</t>
        </is>
      </c>
      <c r="S1706" s="495">
        <f>IFERROR(INDEX('Blocks'!$H$2:$H$101,MATCH(29,'Blocks'!$A$2:$A$101,0)),"")</f>
        <v/>
      </c>
    </row>
    <row r="1707">
      <c r="B1707" s="1" t="n"/>
      <c r="C1707" s="10" t="inlineStr">
        <is>
          <t>Principal (MK)</t>
        </is>
      </c>
      <c r="D1707" s="11" t="n">
        <v>12000000</v>
      </c>
      <c r="E1707" s="319" t="n"/>
      <c r="F1707" s="319" t="n"/>
      <c r="G1707" s="319" t="n"/>
      <c r="H1707" s="319" t="n"/>
      <c r="I1707" s="319" t="n"/>
      <c r="J1707" s="319" t="n"/>
      <c r="K1707" s="319" t="n"/>
      <c r="L1707" s="319" t="n"/>
      <c r="R1707" s="514" t="inlineStr">
        <is>
          <t>Take-on posting 31 Jul 2024</t>
        </is>
      </c>
      <c r="S1707" s="496">
        <f>IFERROR(INDEX('E-Banker master'!$N$2:$N$186,MATCH(S1705,'E-Banker master'!$A$2:$A$186,0)),"")</f>
        <v/>
      </c>
    </row>
    <row r="1708">
      <c r="B1708" s="1" t="n"/>
      <c r="C1708" s="13" t="inlineStr">
        <is>
          <t>Rate</t>
        </is>
      </c>
      <c r="D1708" s="14" t="n">
        <v>0.1</v>
      </c>
      <c r="E1708" s="257" t="n"/>
      <c r="F1708" s="319" t="n"/>
      <c r="G1708" s="319" t="n"/>
      <c r="H1708" s="319" t="n"/>
      <c r="I1708" s="319" t="n"/>
      <c r="J1708" s="319" t="n"/>
      <c r="K1708" s="319" t="n"/>
      <c r="L1708" s="319" t="n"/>
      <c r="R1708" s="514" t="inlineStr">
        <is>
          <t>E-Banker balance 31 Oct 2024</t>
        </is>
      </c>
      <c r="S1708" s="496">
        <f>IFERROR(INDEX('E-Banker master'!$P$2:$P$186,MATCH(S1705,'E-Banker master'!$A$2:$A$186,0)),"")</f>
        <v/>
      </c>
    </row>
    <row r="1709">
      <c r="B1709" s="1" t="n"/>
      <c r="C1709" s="13" t="inlineStr">
        <is>
          <t>n</t>
        </is>
      </c>
      <c r="D1709" s="16" t="n">
        <v>2</v>
      </c>
      <c r="E1709" s="1" t="n"/>
      <c r="F1709" s="319" t="n"/>
      <c r="G1709" s="319" t="n"/>
      <c r="H1709" s="319" t="n"/>
      <c r="I1709" s="319" t="n"/>
      <c r="J1709" s="319" t="n"/>
      <c r="K1709" s="1" t="n"/>
      <c r="L1709" s="1" t="n"/>
    </row>
    <row r="1710">
      <c r="B1710" s="1" t="n"/>
      <c r="C1710" s="13" t="inlineStr">
        <is>
          <t>Per</t>
        </is>
      </c>
      <c r="D1710" s="16" t="n">
        <v>12</v>
      </c>
      <c r="E1710" s="1" t="n"/>
      <c r="F1710" s="319" t="n"/>
      <c r="G1710" s="319" t="n"/>
      <c r="H1710" s="319" t="n"/>
      <c r="I1710" s="319" t="n"/>
      <c r="J1710" s="319" t="n"/>
      <c r="K1710" s="1" t="n"/>
      <c r="L1710" s="1" t="n"/>
    </row>
    <row r="1711">
      <c r="B1711" s="1" t="n"/>
      <c r="C1711" s="13" t="inlineStr">
        <is>
          <t>nPer</t>
        </is>
      </c>
      <c r="D1711" s="515">
        <f>D1709*D1710</f>
        <v/>
      </c>
      <c r="E1711" s="1" t="n"/>
      <c r="F1711" s="319" t="n"/>
      <c r="G1711" s="319" t="n"/>
      <c r="H1711" s="319" t="n"/>
      <c r="I1711" s="319" t="n"/>
      <c r="J1711" s="319" t="n"/>
      <c r="K1711" s="1" t="n"/>
      <c r="L1711" s="1" t="n"/>
    </row>
    <row r="1712">
      <c r="B1712" s="1" t="n"/>
      <c r="C1712" s="13" t="inlineStr">
        <is>
          <t>Days in a year</t>
        </is>
      </c>
      <c r="D1712" s="18" t="n">
        <v>365</v>
      </c>
      <c r="E1712" s="1" t="n"/>
      <c r="F1712" s="319" t="n"/>
      <c r="G1712" s="319" t="n"/>
      <c r="H1712" s="319" t="n"/>
      <c r="I1712" s="319" t="n"/>
      <c r="J1712" s="319" t="n"/>
      <c r="K1712" s="1" t="n"/>
      <c r="L1712" s="1" t="n"/>
    </row>
    <row r="1713">
      <c r="B1713" s="1" t="n"/>
      <c r="C1713" s="19" t="inlineStr">
        <is>
          <t>Pmt (MK)</t>
        </is>
      </c>
      <c r="D1713" s="20">
        <f>-PMT(D1708/D1710,D1711,D1707,0,0)</f>
        <v/>
      </c>
      <c r="E1713" s="319" t="n"/>
      <c r="F1713" s="319" t="n"/>
      <c r="G1713" s="319" t="n"/>
      <c r="H1713" s="319" t="n"/>
      <c r="I1713" s="319" t="n"/>
      <c r="J1713" s="319" t="n"/>
      <c r="K1713" s="1" t="n"/>
      <c r="L1713" s="1" t="n"/>
    </row>
    <row r="1714">
      <c r="B1714" s="1" t="n"/>
      <c r="C1714" s="1" t="n"/>
      <c r="D1714" s="319" t="n"/>
      <c r="E1714" s="319" t="n"/>
      <c r="F1714" s="319" t="n"/>
      <c r="G1714" s="319" t="n"/>
      <c r="H1714" s="319" t="n"/>
      <c r="I1714" s="319" t="n"/>
      <c r="J1714" s="319" t="n"/>
      <c r="K1714" s="1" t="n"/>
      <c r="L1714" s="1" t="n"/>
    </row>
    <row r="1715">
      <c r="B1715" s="1" t="n"/>
      <c r="C1715" s="21" t="inlineStr">
        <is>
          <t>Period Start</t>
        </is>
      </c>
      <c r="D1715" s="22" t="inlineStr">
        <is>
          <t>Period End</t>
        </is>
      </c>
      <c r="E1715" s="22" t="inlineStr">
        <is>
          <t>Days</t>
        </is>
      </c>
      <c r="F1715" s="294" t="inlineStr">
        <is>
          <t>Opening bal.</t>
        </is>
      </c>
      <c r="G1715" s="294" t="inlineStr">
        <is>
          <t>Pmt</t>
        </is>
      </c>
      <c r="H1715" s="294" t="inlineStr">
        <is>
          <t>Interest</t>
        </is>
      </c>
      <c r="I1715" s="294" t="inlineStr">
        <is>
          <t>Principal</t>
        </is>
      </c>
      <c r="J1715" s="294" t="inlineStr">
        <is>
          <t>Closing balance</t>
        </is>
      </c>
      <c r="K1715" s="23" t="inlineStr">
        <is>
          <t>Amount Repaid</t>
        </is>
      </c>
      <c r="L1715" s="23" t="inlineStr">
        <is>
          <t>Accumulated Arrears</t>
        </is>
      </c>
    </row>
    <row r="1716">
      <c r="B1716" s="1" t="n">
        <v>0</v>
      </c>
      <c r="C1716" s="24" t="n">
        <v>44726</v>
      </c>
      <c r="D1716" s="24" t="n">
        <v>44742</v>
      </c>
      <c r="E1716" s="25">
        <f>D1716-C1716+1</f>
        <v/>
      </c>
      <c r="F1716" s="319">
        <f>D1707</f>
        <v/>
      </c>
      <c r="G1716" s="319" t="n"/>
      <c r="H1716" s="319">
        <f>$D$1708/$D$1710*F1716*17/30</f>
        <v/>
      </c>
      <c r="I1716" s="319">
        <f>G1716-H1716</f>
        <v/>
      </c>
      <c r="J1716" s="319">
        <f>F1716-I1716</f>
        <v/>
      </c>
      <c r="K1716" s="516" t="n"/>
      <c r="L1716" s="516" t="n"/>
    </row>
    <row r="1717">
      <c r="B1717" s="1" t="n">
        <v>1</v>
      </c>
      <c r="C1717" s="24" t="n">
        <v>44743</v>
      </c>
      <c r="D1717" s="24" t="n">
        <v>44773</v>
      </c>
      <c r="E1717" s="25">
        <f>D1717-C1717+1</f>
        <v/>
      </c>
      <c r="F1717" s="319">
        <f>J1716</f>
        <v/>
      </c>
      <c r="G1717" s="319" t="n"/>
      <c r="H1717" s="319">
        <f>$D$1708/$D$1710*F1717</f>
        <v/>
      </c>
      <c r="I1717" s="319">
        <f>G1717-H1717</f>
        <v/>
      </c>
      <c r="J1717" s="319">
        <f>F1717-I1717</f>
        <v/>
      </c>
      <c r="K1717" s="516" t="n"/>
      <c r="L1717" s="516" t="n"/>
    </row>
    <row r="1718">
      <c r="B1718" s="1" t="n">
        <v>2</v>
      </c>
      <c r="C1718" s="24" t="n">
        <v>44774</v>
      </c>
      <c r="D1718" s="24" t="n">
        <v>44804</v>
      </c>
      <c r="E1718" s="25">
        <f>D1718-C1718+1</f>
        <v/>
      </c>
      <c r="F1718" s="319">
        <f>J1717</f>
        <v/>
      </c>
      <c r="G1718" s="319" t="n"/>
      <c r="H1718" s="319">
        <f>$D$1708/$D$1710*F1718</f>
        <v/>
      </c>
      <c r="I1718" s="319">
        <f>G1718-H1718</f>
        <v/>
      </c>
      <c r="J1718" s="319">
        <f>F1718-I1718</f>
        <v/>
      </c>
    </row>
    <row r="1719">
      <c r="B1719" s="1" t="n">
        <v>3</v>
      </c>
      <c r="C1719" s="24" t="n">
        <v>44805</v>
      </c>
      <c r="D1719" s="24" t="n">
        <v>44834</v>
      </c>
      <c r="E1719" s="25">
        <f>D1719-C1719+1</f>
        <v/>
      </c>
      <c r="F1719" s="319">
        <f>J1718</f>
        <v/>
      </c>
      <c r="G1719" s="319" t="n"/>
      <c r="H1719" s="319">
        <f>$D$1708/$D$1710*F1719</f>
        <v/>
      </c>
      <c r="I1719" s="319">
        <f>G1719-H1719</f>
        <v/>
      </c>
      <c r="J1719" s="319">
        <f>F1719-I1719</f>
        <v/>
      </c>
      <c r="K1719" s="516" t="n"/>
      <c r="L1719" s="516" t="n"/>
    </row>
    <row r="1720">
      <c r="B1720" s="1" t="n">
        <v>4</v>
      </c>
      <c r="C1720" s="24" t="n">
        <v>44835</v>
      </c>
      <c r="D1720" s="24" t="n">
        <v>44865</v>
      </c>
      <c r="E1720" s="25">
        <f>D1720-C1720+1</f>
        <v/>
      </c>
      <c r="F1720" s="319">
        <f>J1719</f>
        <v/>
      </c>
      <c r="G1720" s="319" t="n"/>
      <c r="H1720" s="319">
        <f>$D$1708/$D$1710*F1720</f>
        <v/>
      </c>
      <c r="I1720" s="319">
        <f>G1720-H1720</f>
        <v/>
      </c>
      <c r="J1720" s="319">
        <f>F1720-I1720</f>
        <v/>
      </c>
      <c r="K1720" s="516" t="n"/>
      <c r="L1720" s="516" t="n"/>
    </row>
    <row r="1721">
      <c r="B1721" s="1" t="n">
        <v>5</v>
      </c>
      <c r="C1721" s="24" t="n">
        <v>44866</v>
      </c>
      <c r="D1721" s="24" t="n">
        <v>44895</v>
      </c>
      <c r="E1721" s="25">
        <f>D1721-C1721+1</f>
        <v/>
      </c>
      <c r="F1721" s="319">
        <f>J1720</f>
        <v/>
      </c>
      <c r="G1721" s="319" t="n"/>
      <c r="H1721" s="319">
        <f>$D$1708/$D$1710*F1721</f>
        <v/>
      </c>
      <c r="I1721" s="319">
        <f>G1721-H1721</f>
        <v/>
      </c>
      <c r="J1721" s="319">
        <f>F1721-I1721</f>
        <v/>
      </c>
      <c r="K1721" s="516" t="n"/>
      <c r="L1721" s="516" t="n"/>
    </row>
    <row r="1722">
      <c r="B1722" s="1" t="n">
        <v>6</v>
      </c>
      <c r="C1722" s="24" t="n">
        <v>44896</v>
      </c>
      <c r="D1722" s="24" t="n">
        <v>44926</v>
      </c>
      <c r="E1722" s="25">
        <f>D1722-C1722+1</f>
        <v/>
      </c>
      <c r="F1722" s="319">
        <f>J1721</f>
        <v/>
      </c>
      <c r="G1722" s="319" t="n"/>
      <c r="H1722" s="319">
        <f>$D$1708/$D$1710*F1722</f>
        <v/>
      </c>
      <c r="I1722" s="319">
        <f>G1722-H1722</f>
        <v/>
      </c>
      <c r="J1722" s="319">
        <f>F1722-I1722</f>
        <v/>
      </c>
      <c r="K1722" s="516" t="n"/>
      <c r="L1722" s="516" t="n"/>
    </row>
    <row r="1723">
      <c r="B1723" s="1" t="n">
        <v>7</v>
      </c>
      <c r="C1723" s="24" t="n">
        <v>44927</v>
      </c>
      <c r="D1723" s="24" t="n">
        <v>44957</v>
      </c>
      <c r="E1723" s="25">
        <f>D1723-C1723+1</f>
        <v/>
      </c>
      <c r="F1723" s="319">
        <f>J1722</f>
        <v/>
      </c>
      <c r="G1723" s="319">
        <f>-PMT($D$1708/$D$1710,21,$F$1723,,0)</f>
        <v/>
      </c>
      <c r="H1723" s="319">
        <f>$D$1708/$D$1710*F1723</f>
        <v/>
      </c>
      <c r="I1723" s="319">
        <f>G1723-H1723</f>
        <v/>
      </c>
      <c r="J1723" s="319">
        <f>F1723-I1723</f>
        <v/>
      </c>
      <c r="K1723" s="516" t="n">
        <v>642000</v>
      </c>
      <c r="L1723" s="516">
        <f>G1723-K1723</f>
        <v/>
      </c>
    </row>
    <row r="1724">
      <c r="B1724" s="1" t="n">
        <v>8</v>
      </c>
      <c r="C1724" s="24" t="n">
        <v>44958</v>
      </c>
      <c r="D1724" s="24" t="n">
        <v>44985</v>
      </c>
      <c r="E1724" s="25">
        <f>D1724-C1724+1</f>
        <v/>
      </c>
      <c r="F1724" s="319">
        <f>J1723</f>
        <v/>
      </c>
      <c r="G1724" s="319">
        <f>-PMT($D$1708/$D$1710,21,$F$1723,,0)</f>
        <v/>
      </c>
      <c r="H1724" s="319">
        <f>$D$1708/$D$1710*F1724</f>
        <v/>
      </c>
      <c r="I1724" s="319">
        <f>G1724-H1724</f>
        <v/>
      </c>
      <c r="J1724" s="319">
        <f>F1724-I1724</f>
        <v/>
      </c>
      <c r="K1724" s="516" t="n">
        <v>200000</v>
      </c>
      <c r="L1724" s="516">
        <f>L1723+G1724-K1724</f>
        <v/>
      </c>
    </row>
    <row r="1725">
      <c r="B1725" s="1" t="n">
        <v>9</v>
      </c>
      <c r="C1725" s="24" t="n">
        <v>44986</v>
      </c>
      <c r="D1725" s="24" t="n">
        <v>45016</v>
      </c>
      <c r="E1725" s="25">
        <f>D1725-C1725+1</f>
        <v/>
      </c>
      <c r="F1725" s="319">
        <f>J1724</f>
        <v/>
      </c>
      <c r="G1725" s="319">
        <f>-PMT($D$1708/$D$1710,21,$F$1723,,0)</f>
        <v/>
      </c>
      <c r="H1725" s="319">
        <f>$D$1708/$D$1710*F1725</f>
        <v/>
      </c>
      <c r="I1725" s="319">
        <f>G1725-H1725</f>
        <v/>
      </c>
      <c r="J1725" s="319">
        <f>F1725-I1725</f>
        <v/>
      </c>
      <c r="K1725" s="516" t="n">
        <v>0</v>
      </c>
      <c r="L1725" s="516">
        <f>L1724+G1725-K1725</f>
        <v/>
      </c>
    </row>
    <row r="1726">
      <c r="B1726" s="1" t="n">
        <v>10</v>
      </c>
      <c r="C1726" s="24" t="n">
        <v>45017</v>
      </c>
      <c r="D1726" s="24" t="n">
        <v>45046</v>
      </c>
      <c r="E1726" s="25">
        <f>D1726-C1726+1</f>
        <v/>
      </c>
      <c r="F1726" s="319">
        <f>J1725</f>
        <v/>
      </c>
      <c r="G1726" s="319">
        <f>-PMT($D$1708/$D$1710,21,$F$1723,,0)</f>
        <v/>
      </c>
      <c r="H1726" s="319">
        <f>$D$1708/$D$1710*F1726</f>
        <v/>
      </c>
      <c r="I1726" s="319">
        <f>G1726-H1726</f>
        <v/>
      </c>
      <c r="J1726" s="319">
        <f>F1726-I1726</f>
        <v/>
      </c>
      <c r="K1726" s="516" t="n">
        <v>400000</v>
      </c>
      <c r="L1726" s="516">
        <f>L1725+G1726-K1726</f>
        <v/>
      </c>
    </row>
    <row r="1727">
      <c r="B1727" s="1" t="n">
        <v>11</v>
      </c>
      <c r="C1727" s="24" t="n">
        <v>45047</v>
      </c>
      <c r="D1727" s="24" t="n">
        <v>45077</v>
      </c>
      <c r="E1727" s="25">
        <f>D1727-C1727+1</f>
        <v/>
      </c>
      <c r="F1727" s="319">
        <f>J1726</f>
        <v/>
      </c>
      <c r="G1727" s="319">
        <f>-PMT($D$1708/$D$1710,21,$F$1723,,0)</f>
        <v/>
      </c>
      <c r="H1727" s="319">
        <f>$D$1708/$D$1710*F1727</f>
        <v/>
      </c>
      <c r="I1727" s="319">
        <f>G1727-H1727</f>
        <v/>
      </c>
      <c r="J1727" s="319">
        <f>F1727-I1727</f>
        <v/>
      </c>
      <c r="K1727" s="516" t="n">
        <v>0</v>
      </c>
      <c r="L1727" s="516">
        <f>L1726+G1727-K1727</f>
        <v/>
      </c>
    </row>
    <row r="1728">
      <c r="B1728" s="1" t="n">
        <v>12</v>
      </c>
      <c r="C1728" s="24" t="n">
        <v>45078</v>
      </c>
      <c r="D1728" s="24" t="n">
        <v>45107</v>
      </c>
      <c r="E1728" s="25">
        <f>D1728-C1728+1</f>
        <v/>
      </c>
      <c r="F1728" s="319">
        <f>J1727</f>
        <v/>
      </c>
      <c r="G1728" s="319">
        <f>-PMT($D$1708/$D$1710,21,$F$1723,,0)</f>
        <v/>
      </c>
      <c r="H1728" s="319">
        <f>$D$1708/$D$1710*F1728</f>
        <v/>
      </c>
      <c r="I1728" s="319">
        <f>G1728-H1728</f>
        <v/>
      </c>
      <c r="J1728" s="319">
        <f>F1728-I1728</f>
        <v/>
      </c>
      <c r="K1728" s="516">
        <f>420000+1200000</f>
        <v/>
      </c>
      <c r="L1728" s="519">
        <f>L1727+G1728-K1728</f>
        <v/>
      </c>
    </row>
    <row r="1729">
      <c r="B1729" s="1" t="n">
        <v>13</v>
      </c>
      <c r="C1729" s="24" t="n">
        <v>45108</v>
      </c>
      <c r="D1729" s="24" t="n">
        <v>45138</v>
      </c>
      <c r="E1729" s="25">
        <f>D1729-C1729+1</f>
        <v/>
      </c>
      <c r="F1729" s="319">
        <f>J1728</f>
        <v/>
      </c>
      <c r="G1729" s="319">
        <f>-PMT($D$1708/$D$1710,21,$F$1723,,0)</f>
        <v/>
      </c>
      <c r="H1729" s="319">
        <f>$D$1708/$D$1710*F1729</f>
        <v/>
      </c>
      <c r="I1729" s="319">
        <f>G1729-H1729</f>
        <v/>
      </c>
      <c r="J1729" s="319">
        <f>F1729-I1729</f>
        <v/>
      </c>
      <c r="K1729" s="516" t="n"/>
      <c r="L1729" s="516">
        <f>L1728+G1729-K1729</f>
        <v/>
      </c>
    </row>
    <row r="1730">
      <c r="B1730" s="1" t="n">
        <v>14</v>
      </c>
      <c r="C1730" s="24" t="n">
        <v>45139</v>
      </c>
      <c r="D1730" s="24" t="n">
        <v>45169</v>
      </c>
      <c r="E1730" s="25">
        <f>D1730-C1730+1</f>
        <v/>
      </c>
      <c r="F1730" s="319">
        <f>J1729</f>
        <v/>
      </c>
      <c r="G1730" s="319">
        <f>-PMT($D$1708/$D$1710,21,$F$1723,,0)</f>
        <v/>
      </c>
      <c r="H1730" s="319">
        <f>$D$1708/$D$1710*F1730</f>
        <v/>
      </c>
      <c r="I1730" s="319">
        <f>G1730-H1730</f>
        <v/>
      </c>
      <c r="J1730" s="319">
        <f>F1730-I1730</f>
        <v/>
      </c>
      <c r="K1730" s="516">
        <f>600000+1200000</f>
        <v/>
      </c>
      <c r="L1730" s="516">
        <f>L1729+G1730-K1730</f>
        <v/>
      </c>
    </row>
    <row r="1731">
      <c r="B1731" s="1" t="n">
        <v>15</v>
      </c>
      <c r="C1731" s="24" t="n">
        <v>45170</v>
      </c>
      <c r="D1731" s="24" t="n">
        <v>45199</v>
      </c>
      <c r="E1731" s="25">
        <f>D1731-C1731+1</f>
        <v/>
      </c>
      <c r="F1731" s="319">
        <f>J1730</f>
        <v/>
      </c>
      <c r="G1731" s="319">
        <f>-PMT($D$1708/$D$1710,21,$F$1723,,0)</f>
        <v/>
      </c>
      <c r="H1731" s="319">
        <f>$D$1708/$D$1710*F1731</f>
        <v/>
      </c>
      <c r="I1731" s="319">
        <f>G1731-H1731</f>
        <v/>
      </c>
      <c r="J1731" s="319">
        <f>F1731-I1731</f>
        <v/>
      </c>
      <c r="K1731" s="516" t="n">
        <v>600000</v>
      </c>
      <c r="L1731" s="516">
        <f>L1730+G1731-K1731</f>
        <v/>
      </c>
    </row>
    <row r="1732">
      <c r="B1732" s="1" t="n">
        <v>16</v>
      </c>
      <c r="C1732" s="24" t="n">
        <v>45200</v>
      </c>
      <c r="D1732" s="24" t="n">
        <v>45230</v>
      </c>
      <c r="E1732" s="25">
        <f>D1732-C1732+1</f>
        <v/>
      </c>
      <c r="F1732" s="319">
        <f>J1731</f>
        <v/>
      </c>
      <c r="G1732" s="319">
        <f>-PMT($D$1708/$D$1710,21,$F$1723,,0)</f>
        <v/>
      </c>
      <c r="H1732" s="319">
        <f>$D$1708/$D$1710*F1732</f>
        <v/>
      </c>
      <c r="I1732" s="319">
        <f>G1732-H1732</f>
        <v/>
      </c>
      <c r="J1732" s="319">
        <f>F1732-I1732</f>
        <v/>
      </c>
      <c r="K1732" s="516">
        <f>650000+600000</f>
        <v/>
      </c>
      <c r="L1732" s="516">
        <f>L1731+G1732-K1732</f>
        <v/>
      </c>
    </row>
    <row r="1733">
      <c r="B1733" s="1" t="n">
        <v>17</v>
      </c>
      <c r="C1733" s="24" t="n">
        <v>45231</v>
      </c>
      <c r="D1733" s="24" t="n">
        <v>45260</v>
      </c>
      <c r="E1733" s="25">
        <f>D1733-C1733+1</f>
        <v/>
      </c>
      <c r="F1733" s="319">
        <f>J1732</f>
        <v/>
      </c>
      <c r="G1733" s="319">
        <f>-PMT($D$1708/$D$1710,21,$F$1723,,0)</f>
        <v/>
      </c>
      <c r="H1733" s="319">
        <f>$D$1708/$D$1710*F1733</f>
        <v/>
      </c>
      <c r="I1733" s="319">
        <f>G1733-H1733</f>
        <v/>
      </c>
      <c r="J1733" s="319">
        <f>F1733-I1733</f>
        <v/>
      </c>
      <c r="K1733" s="516" t="n">
        <v>600000</v>
      </c>
      <c r="L1733" s="516">
        <f>L1732+G1733-K1733</f>
        <v/>
      </c>
    </row>
    <row r="1734">
      <c r="B1734" s="1" t="n">
        <v>18</v>
      </c>
      <c r="C1734" s="24" t="n">
        <v>45261</v>
      </c>
      <c r="D1734" s="24" t="n">
        <v>45291</v>
      </c>
      <c r="E1734" s="25">
        <f>D1734-C1734+1</f>
        <v/>
      </c>
      <c r="F1734" s="319">
        <f>J1733</f>
        <v/>
      </c>
      <c r="G1734" s="319">
        <f>-PMT($D$1708/$D$1710,21,$F$1723,,0)</f>
        <v/>
      </c>
      <c r="H1734" s="319">
        <f>$D$1708/$D$1710*F1734</f>
        <v/>
      </c>
      <c r="I1734" s="319">
        <f>G1734-H1734</f>
        <v/>
      </c>
      <c r="J1734" s="319">
        <f>F1734-I1734</f>
        <v/>
      </c>
      <c r="K1734" s="516" t="n">
        <v>600000</v>
      </c>
      <c r="L1734" s="516">
        <f>L1733+G1734-K1734</f>
        <v/>
      </c>
    </row>
    <row r="1735">
      <c r="B1735" s="1" t="n">
        <v>19</v>
      </c>
      <c r="C1735" s="24" t="n">
        <v>45292</v>
      </c>
      <c r="D1735" s="24" t="n">
        <v>45322</v>
      </c>
      <c r="E1735" s="25">
        <f>D1735-C1735+1</f>
        <v/>
      </c>
      <c r="F1735" s="319">
        <f>J1734</f>
        <v/>
      </c>
      <c r="G1735" s="319">
        <f>-PMT($D$1708/$D$1710,21,$F$1723,,0)</f>
        <v/>
      </c>
      <c r="H1735" s="319">
        <f>$D$1708/$D$1710*F1735</f>
        <v/>
      </c>
      <c r="I1735" s="319">
        <f>G1735-H1735</f>
        <v/>
      </c>
      <c r="J1735" s="319">
        <f>F1735-I1735</f>
        <v/>
      </c>
      <c r="K1735" s="516" t="n">
        <v>650000</v>
      </c>
      <c r="L1735" s="516">
        <f>L1734+G1735-K1735</f>
        <v/>
      </c>
    </row>
    <row r="1736">
      <c r="B1736" s="1" t="n">
        <v>20</v>
      </c>
      <c r="C1736" s="24" t="n">
        <v>45323</v>
      </c>
      <c r="D1736" s="24" t="n">
        <v>45350</v>
      </c>
      <c r="E1736" s="25">
        <f>D1736-C1736+1</f>
        <v/>
      </c>
      <c r="F1736" s="319">
        <f>J1735</f>
        <v/>
      </c>
      <c r="G1736" s="319">
        <f>-PMT($D$1708/$D$1710,21,$F$1723,,0)</f>
        <v/>
      </c>
      <c r="H1736" s="319">
        <f>$D$1708/$D$1710*F1736</f>
        <v/>
      </c>
      <c r="I1736" s="319">
        <f>G1736-H1736</f>
        <v/>
      </c>
      <c r="J1736" s="319">
        <f>F1736-I1736</f>
        <v/>
      </c>
      <c r="K1736" s="516" t="n">
        <v>600000</v>
      </c>
      <c r="L1736" s="516">
        <f>L1735+G1736-K1736</f>
        <v/>
      </c>
    </row>
    <row r="1737">
      <c r="B1737" s="1" t="n">
        <v>21</v>
      </c>
      <c r="C1737" s="24" t="n">
        <v>45352</v>
      </c>
      <c r="D1737" s="24" t="n">
        <v>45382</v>
      </c>
      <c r="E1737" s="25">
        <f>D1737-C1737+1</f>
        <v/>
      </c>
      <c r="F1737" s="319">
        <f>J1736</f>
        <v/>
      </c>
      <c r="G1737" s="319">
        <f>-PMT($D$1708/$D$1710,21,$F$1723,,0)</f>
        <v/>
      </c>
      <c r="H1737" s="319">
        <f>$D$1708/$D$1710*F1737</f>
        <v/>
      </c>
      <c r="I1737" s="319">
        <f>G1737-H1737</f>
        <v/>
      </c>
      <c r="J1737" s="319">
        <f>F1737-I1737</f>
        <v/>
      </c>
      <c r="K1737" s="516">
        <f>906000+600000</f>
        <v/>
      </c>
      <c r="L1737" s="516">
        <f>L1736+G1737-K1737</f>
        <v/>
      </c>
    </row>
    <row r="1738">
      <c r="B1738" s="1" t="n">
        <v>22</v>
      </c>
      <c r="C1738" s="24" t="n">
        <v>45383</v>
      </c>
      <c r="D1738" s="24" t="n">
        <v>45412</v>
      </c>
      <c r="E1738" s="25">
        <f>D1738-C1738+1</f>
        <v/>
      </c>
      <c r="F1738" s="319">
        <f>J1737</f>
        <v/>
      </c>
      <c r="G1738" s="319">
        <f>-PMT($D$1708/$D$1710,21,$F$1723,,0)</f>
        <v/>
      </c>
      <c r="H1738" s="319">
        <f>$D$1708/$D$1710*F1738</f>
        <v/>
      </c>
      <c r="I1738" s="319">
        <f>G1738-H1738</f>
        <v/>
      </c>
      <c r="J1738" s="319">
        <f>F1738-I1738</f>
        <v/>
      </c>
      <c r="K1738" s="516" t="n">
        <v>700000</v>
      </c>
      <c r="L1738" s="516">
        <f>L1737+G1738-K1738</f>
        <v/>
      </c>
    </row>
    <row r="1739">
      <c r="B1739" s="1" t="n">
        <v>23</v>
      </c>
      <c r="C1739" s="24" t="n">
        <v>45413</v>
      </c>
      <c r="D1739" s="24" t="n">
        <v>45443</v>
      </c>
      <c r="E1739" s="25">
        <f>D1739-C1739+1</f>
        <v/>
      </c>
      <c r="F1739" s="319">
        <f>J1738</f>
        <v/>
      </c>
      <c r="G1739" s="319">
        <f>-PMT($D$1708/$D$1710,21,$F$1723,,0)</f>
        <v/>
      </c>
      <c r="H1739" s="319">
        <f>$D$1708/$D$1710*F1739</f>
        <v/>
      </c>
      <c r="I1739" s="319">
        <f>G1739-H1739</f>
        <v/>
      </c>
      <c r="J1739" s="319">
        <f>F1739-I1739</f>
        <v/>
      </c>
      <c r="K1739" s="516" t="n"/>
      <c r="L1739" s="516">
        <f>L1738+G1739-K1739</f>
        <v/>
      </c>
    </row>
    <row r="1740">
      <c r="B1740" s="1" t="n">
        <v>24</v>
      </c>
      <c r="C1740" s="24" t="n">
        <v>45444</v>
      </c>
      <c r="D1740" s="24" t="n">
        <v>45473</v>
      </c>
      <c r="E1740" s="25">
        <f>D1740-C1740+1</f>
        <v/>
      </c>
      <c r="F1740" s="319">
        <f>J1739</f>
        <v/>
      </c>
      <c r="G1740" s="319">
        <f>-PMT($D$1708/$D$1710,21,$F$1723,,0)</f>
        <v/>
      </c>
      <c r="H1740" s="319">
        <f>$D$1708/$D$1710*F1740</f>
        <v/>
      </c>
      <c r="I1740" s="319">
        <f>G1740-H1740</f>
        <v/>
      </c>
      <c r="J1740" s="319">
        <f>F1740-I1740</f>
        <v/>
      </c>
      <c r="K1740" s="516">
        <f>700000+700000</f>
        <v/>
      </c>
      <c r="L1740" s="516">
        <f>L1739+G1740-K1740</f>
        <v/>
      </c>
    </row>
    <row r="1741">
      <c r="B1741" s="1" t="n">
        <v>25</v>
      </c>
      <c r="C1741" s="24" t="n">
        <v>45474</v>
      </c>
      <c r="D1741" s="24" t="n">
        <v>45504</v>
      </c>
      <c r="E1741" s="25">
        <f>D1741-C1741+1</f>
        <v/>
      </c>
      <c r="F1741" s="319">
        <f>J1740</f>
        <v/>
      </c>
      <c r="G1741" s="319">
        <f>-PMT($D$1708/$D$1710,21,$F$1723,,0)</f>
        <v/>
      </c>
      <c r="H1741" s="319">
        <f>$D$1708/$D$1710*F1741</f>
        <v/>
      </c>
      <c r="I1741" s="319">
        <f>G1741-H1741</f>
        <v/>
      </c>
      <c r="J1741" s="319">
        <f>F1741-I1741</f>
        <v/>
      </c>
      <c r="K1741" s="516" t="n"/>
      <c r="L1741" s="516">
        <f>L1740+G1741-K1741</f>
        <v/>
      </c>
    </row>
    <row r="1742">
      <c r="B1742" s="1" t="n">
        <v>26</v>
      </c>
      <c r="C1742" s="24" t="n">
        <v>45505</v>
      </c>
      <c r="D1742" s="24" t="n">
        <v>45535</v>
      </c>
      <c r="E1742" s="25">
        <f>D1742-C1742+1</f>
        <v/>
      </c>
      <c r="F1742" s="319">
        <f>J1741</f>
        <v/>
      </c>
      <c r="G1742" s="319">
        <f>-PMT($D$1708/$D$1710,21,$F$1723,,0)</f>
        <v/>
      </c>
      <c r="H1742" s="319">
        <f>$D$1708/$D$1710*F1742</f>
        <v/>
      </c>
      <c r="I1742" s="319">
        <f>G1742-H1742</f>
        <v/>
      </c>
      <c r="J1742" s="319">
        <f>F1742-I1742</f>
        <v/>
      </c>
      <c r="K1742" s="516" t="n"/>
      <c r="L1742" s="516">
        <f>L1741+G1742-K1742</f>
        <v/>
      </c>
    </row>
    <row r="1743">
      <c r="B1743" s="1" t="n">
        <v>27</v>
      </c>
      <c r="C1743" s="24" t="n">
        <v>45536</v>
      </c>
      <c r="D1743" s="24" t="n">
        <v>45565</v>
      </c>
      <c r="E1743" s="25">
        <f>D1743-C1743+1</f>
        <v/>
      </c>
      <c r="F1743" s="319">
        <f>J1742</f>
        <v/>
      </c>
      <c r="G1743" s="319">
        <f>-PMT($D$1708/$D$1710,21,$F$1723,,0)</f>
        <v/>
      </c>
      <c r="H1743" s="319">
        <f>$D$1708/$D$1710*F1743</f>
        <v/>
      </c>
      <c r="I1743" s="319">
        <f>G1743-H1743</f>
        <v/>
      </c>
      <c r="J1743" s="319">
        <f>F1743-I1743</f>
        <v/>
      </c>
      <c r="K1743" s="516" t="n">
        <v>1300000</v>
      </c>
      <c r="L1743" s="520">
        <f>L1742+G1743-K1743</f>
        <v/>
      </c>
    </row>
    <row r="1744">
      <c r="B1744" s="1" t="n"/>
      <c r="C1744" s="24" t="n"/>
      <c r="D1744" s="24" t="n"/>
      <c r="E1744" s="25" t="n"/>
      <c r="F1744" s="319" t="n"/>
      <c r="G1744" s="319" t="n"/>
      <c r="H1744" s="319" t="n"/>
      <c r="I1744" s="319" t="n"/>
      <c r="J1744" s="319" t="n"/>
      <c r="K1744" s="516" t="n"/>
      <c r="L1744" s="516" t="n"/>
    </row>
    <row r="1745" ht="14.25" customHeight="1">
      <c r="B1745" s="1" t="n"/>
      <c r="C1745" s="1" t="n"/>
      <c r="D1745" s="1" t="n"/>
      <c r="E1745" s="30">
        <f>SUM(E1716:E1739)</f>
        <v/>
      </c>
      <c r="F1745" s="319" t="n"/>
      <c r="G1745" s="319" t="n"/>
      <c r="H1745" s="319" t="n"/>
      <c r="I1745" s="319" t="n"/>
      <c r="J1745" s="319" t="n"/>
      <c r="K1745" s="1" t="n"/>
      <c r="L1745" s="1" t="n"/>
    </row>
    <row r="1746">
      <c r="C1746" s="274" t="inlineStr">
        <is>
          <t>NOTE FOR PERISHA: Repayment extended by 3 months, to expire to end 30 September 2024</t>
        </is>
      </c>
      <c r="D1746" s="274" t="n"/>
      <c r="E1746" s="274" t="n"/>
      <c r="F1746" s="299" t="n"/>
      <c r="G1746" s="299" t="n"/>
      <c r="H1746" s="299" t="n"/>
      <c r="I1746" s="298" t="n"/>
    </row>
    <row r="1749">
      <c r="B1749" s="1" t="n"/>
      <c r="C1749" s="9" t="inlineStr">
        <is>
          <t>Pamela Investments</t>
        </is>
      </c>
      <c r="D1749" s="319" t="n"/>
      <c r="E1749" s="319" t="n"/>
      <c r="F1749" s="319" t="n"/>
      <c r="G1749" s="319" t="n"/>
      <c r="H1749" s="319" t="n"/>
      <c r="I1749" s="319" t="n"/>
      <c r="J1749" s="319" t="n"/>
      <c r="K1749" s="319" t="n"/>
      <c r="L1749" s="319" t="n"/>
      <c r="R1749" s="514" t="inlineStr">
        <is>
          <t>E-Banker account (Dupleix)</t>
        </is>
      </c>
      <c r="S1749" s="495">
        <f>IFERROR(INDEX('Blocks'!$I$2:$I$101,MATCH(30,'Blocks'!$A$2:$A$101,0)),"")</f>
        <v/>
      </c>
    </row>
    <row r="1750">
      <c r="B1750" s="1" t="n"/>
      <c r="C1750" s="1" t="n"/>
      <c r="D1750" s="319" t="n"/>
      <c r="E1750" s="319" t="n"/>
      <c r="F1750" s="319" t="n"/>
      <c r="G1750" s="319" t="n"/>
      <c r="H1750" s="319" t="n"/>
      <c r="I1750" s="319" t="n"/>
      <c r="J1750" s="319" t="n"/>
      <c r="K1750" s="319" t="n"/>
      <c r="L1750" s="319" t="n"/>
      <c r="R1750" s="514" t="inlineStr">
        <is>
          <t>Facility (Loan Book)</t>
        </is>
      </c>
      <c r="S1750" s="495">
        <f>IFERROR(INDEX('Blocks'!$H$2:$H$101,MATCH(30,'Blocks'!$A$2:$A$101,0)),"")</f>
        <v/>
      </c>
    </row>
    <row r="1751">
      <c r="B1751" s="1" t="n"/>
      <c r="C1751" s="10" t="inlineStr">
        <is>
          <t>Principal (MK)</t>
        </is>
      </c>
      <c r="D1751" s="11" t="n">
        <v>10000000</v>
      </c>
      <c r="E1751" s="319" t="n"/>
      <c r="F1751" s="319" t="n"/>
      <c r="G1751" s="319" t="n"/>
      <c r="H1751" s="319" t="n"/>
      <c r="I1751" s="319" t="n"/>
      <c r="J1751" s="319" t="n"/>
      <c r="K1751" s="319" t="n"/>
      <c r="L1751" s="319" t="n"/>
      <c r="R1751" s="514" t="inlineStr">
        <is>
          <t>Take-on posting 31 Jul 2024</t>
        </is>
      </c>
      <c r="S1751" s="496">
        <f>IFERROR(INDEX('E-Banker master'!$N$2:$N$186,MATCH(S1749,'E-Banker master'!$A$2:$A$186,0)),"")</f>
        <v/>
      </c>
    </row>
    <row r="1752">
      <c r="B1752" s="1" t="n"/>
      <c r="C1752" s="13" t="inlineStr">
        <is>
          <t>Rate</t>
        </is>
      </c>
      <c r="D1752" s="14" t="n">
        <v>0.1</v>
      </c>
      <c r="E1752" s="257" t="n"/>
      <c r="F1752" s="319" t="n"/>
      <c r="G1752" s="319" t="n"/>
      <c r="H1752" s="319" t="n"/>
      <c r="I1752" s="319" t="n"/>
      <c r="J1752" s="319" t="n"/>
      <c r="K1752" s="319" t="n"/>
      <c r="L1752" s="319" t="n"/>
      <c r="R1752" s="514" t="inlineStr">
        <is>
          <t>E-Banker balance 31 Oct 2024</t>
        </is>
      </c>
      <c r="S1752" s="496">
        <f>IFERROR(INDEX('E-Banker master'!$P$2:$P$186,MATCH(S1749,'E-Banker master'!$A$2:$A$186,0)),"")</f>
        <v/>
      </c>
    </row>
    <row r="1753">
      <c r="B1753" s="1" t="n"/>
      <c r="C1753" s="13" t="inlineStr">
        <is>
          <t>n</t>
        </is>
      </c>
      <c r="D1753" s="16" t="n">
        <v>2</v>
      </c>
      <c r="E1753" s="1" t="n"/>
      <c r="F1753" s="319" t="n"/>
      <c r="G1753" s="319" t="n"/>
      <c r="H1753" s="319" t="n"/>
      <c r="I1753" s="319" t="n"/>
      <c r="J1753" s="319" t="n"/>
      <c r="K1753" s="1" t="n"/>
      <c r="L1753" s="1" t="n"/>
    </row>
    <row r="1754">
      <c r="B1754" s="1" t="n"/>
      <c r="C1754" s="13" t="inlineStr">
        <is>
          <t>Per</t>
        </is>
      </c>
      <c r="D1754" s="16" t="n">
        <v>12</v>
      </c>
      <c r="E1754" s="1" t="n"/>
      <c r="F1754" s="319" t="n"/>
      <c r="G1754" s="319" t="n"/>
      <c r="H1754" s="319" t="n"/>
      <c r="I1754" s="319" t="n"/>
      <c r="J1754" s="319" t="n"/>
      <c r="K1754" s="1" t="n"/>
      <c r="L1754" s="1" t="n"/>
    </row>
    <row r="1755">
      <c r="B1755" s="1" t="n"/>
      <c r="C1755" s="13" t="inlineStr">
        <is>
          <t>nPer</t>
        </is>
      </c>
      <c r="D1755" s="515">
        <f>D1753*D1754</f>
        <v/>
      </c>
      <c r="E1755" s="1" t="n"/>
      <c r="F1755" s="319" t="n"/>
      <c r="G1755" s="319" t="n"/>
      <c r="H1755" s="319" t="n"/>
      <c r="I1755" s="319" t="n"/>
      <c r="J1755" s="319" t="n"/>
      <c r="K1755" s="1" t="n"/>
      <c r="L1755" s="1" t="n"/>
    </row>
    <row r="1756">
      <c r="B1756" s="1" t="n"/>
      <c r="C1756" s="13" t="inlineStr">
        <is>
          <t>Days in a year</t>
        </is>
      </c>
      <c r="D1756" s="18" t="n">
        <v>365</v>
      </c>
      <c r="E1756" s="1" t="n"/>
      <c r="F1756" s="319" t="n"/>
      <c r="G1756" s="319" t="n"/>
      <c r="H1756" s="319" t="n"/>
      <c r="I1756" s="319" t="n"/>
      <c r="J1756" s="319" t="n"/>
      <c r="K1756" s="1" t="n"/>
      <c r="L1756" s="1" t="n"/>
    </row>
    <row r="1757">
      <c r="B1757" s="1" t="n"/>
      <c r="C1757" s="19" t="inlineStr">
        <is>
          <t>Pmt (MK)</t>
        </is>
      </c>
      <c r="D1757" s="20">
        <f>-PMT(D1752/D1754,D1755,D1751,0,0)</f>
        <v/>
      </c>
      <c r="E1757" s="319" t="n"/>
      <c r="F1757" s="319" t="n"/>
      <c r="G1757" s="319" t="n"/>
      <c r="H1757" s="319" t="n"/>
      <c r="I1757" s="319" t="n"/>
      <c r="J1757" s="319" t="n"/>
      <c r="K1757" s="1" t="n"/>
      <c r="L1757" s="1" t="n"/>
    </row>
    <row r="1758">
      <c r="B1758" s="1" t="n"/>
      <c r="C1758" s="1" t="n"/>
      <c r="D1758" s="319" t="n"/>
      <c r="E1758" s="319" t="n"/>
      <c r="F1758" s="319" t="n"/>
      <c r="G1758" s="319" t="n"/>
      <c r="H1758" s="319" t="n"/>
      <c r="I1758" s="319" t="n"/>
      <c r="J1758" s="319" t="n"/>
      <c r="K1758" s="1" t="n"/>
      <c r="L1758" s="1" t="n"/>
    </row>
    <row r="1759">
      <c r="B1759" s="1" t="n"/>
      <c r="C1759" s="21" t="inlineStr">
        <is>
          <t>Period Start</t>
        </is>
      </c>
      <c r="D1759" s="22" t="inlineStr">
        <is>
          <t>Period End</t>
        </is>
      </c>
      <c r="E1759" s="22" t="inlineStr">
        <is>
          <t>Days</t>
        </is>
      </c>
      <c r="F1759" s="294" t="inlineStr">
        <is>
          <t>Opening bal.</t>
        </is>
      </c>
      <c r="G1759" s="294" t="inlineStr">
        <is>
          <t>Pmt</t>
        </is>
      </c>
      <c r="H1759" s="294" t="inlineStr">
        <is>
          <t>Interest</t>
        </is>
      </c>
      <c r="I1759" s="294" t="inlineStr">
        <is>
          <t>Principal</t>
        </is>
      </c>
      <c r="J1759" s="294" t="inlineStr">
        <is>
          <t>Closing balance</t>
        </is>
      </c>
      <c r="K1759" s="23" t="inlineStr">
        <is>
          <t>Amount Repaid</t>
        </is>
      </c>
      <c r="L1759" s="23" t="inlineStr">
        <is>
          <t>Accumulated Arrears</t>
        </is>
      </c>
    </row>
    <row r="1760">
      <c r="B1760" s="1" t="n">
        <v>0</v>
      </c>
      <c r="C1760" s="24" t="n">
        <v>44728</v>
      </c>
      <c r="D1760" s="24" t="n">
        <v>44742</v>
      </c>
      <c r="E1760" s="25">
        <f>D1760-C1760+1</f>
        <v/>
      </c>
      <c r="F1760" s="319">
        <f>D1751</f>
        <v/>
      </c>
      <c r="G1760" s="319" t="n"/>
      <c r="H1760" s="319">
        <f>$D$1752/$D$1754*F1760*15/30</f>
        <v/>
      </c>
      <c r="I1760" s="319">
        <f>G1760-H1760</f>
        <v/>
      </c>
      <c r="J1760" s="319">
        <f>F1760-I1760</f>
        <v/>
      </c>
      <c r="K1760" s="516" t="n"/>
      <c r="L1760" s="516" t="n"/>
    </row>
    <row r="1761">
      <c r="B1761" s="1" t="n">
        <v>1</v>
      </c>
      <c r="C1761" s="24" t="n">
        <v>44743</v>
      </c>
      <c r="D1761" s="24" t="n">
        <v>44773</v>
      </c>
      <c r="E1761" s="25">
        <f>D1761-C1761+1</f>
        <v/>
      </c>
      <c r="F1761" s="319">
        <f>J1760</f>
        <v/>
      </c>
      <c r="G1761" s="319" t="n"/>
      <c r="H1761" s="319">
        <f>$D$1752/$D$1754*F1761</f>
        <v/>
      </c>
      <c r="I1761" s="319">
        <f>G1761-H1761</f>
        <v/>
      </c>
      <c r="J1761" s="319">
        <f>F1761-I1761</f>
        <v/>
      </c>
      <c r="K1761" s="516" t="n"/>
      <c r="L1761" s="516" t="n"/>
    </row>
    <row r="1762">
      <c r="B1762" s="1" t="n">
        <v>2</v>
      </c>
      <c r="C1762" s="24" t="n">
        <v>44774</v>
      </c>
      <c r="D1762" s="24" t="n">
        <v>44804</v>
      </c>
      <c r="E1762" s="25">
        <f>D1762-C1762+1</f>
        <v/>
      </c>
      <c r="F1762" s="319">
        <f>J1761</f>
        <v/>
      </c>
      <c r="G1762" s="319" t="n"/>
      <c r="H1762" s="319">
        <f>$D$1752/$D$1754*F1762</f>
        <v/>
      </c>
      <c r="I1762" s="319">
        <f>G1762-H1762</f>
        <v/>
      </c>
      <c r="J1762" s="319">
        <f>F1762-I1762</f>
        <v/>
      </c>
    </row>
    <row r="1763">
      <c r="B1763" s="1" t="n">
        <v>3</v>
      </c>
      <c r="C1763" s="24" t="n">
        <v>44805</v>
      </c>
      <c r="D1763" s="24" t="n">
        <v>44834</v>
      </c>
      <c r="E1763" s="25">
        <f>D1763-C1763+1</f>
        <v/>
      </c>
      <c r="F1763" s="319">
        <f>J1762</f>
        <v/>
      </c>
      <c r="G1763" s="319" t="n"/>
      <c r="H1763" s="319">
        <f>$D$1752/$D$1754*F1763</f>
        <v/>
      </c>
      <c r="I1763" s="319">
        <f>G1763-H1763</f>
        <v/>
      </c>
      <c r="J1763" s="319">
        <f>F1763-I1763</f>
        <v/>
      </c>
      <c r="K1763" s="516" t="n">
        <v>534183.21</v>
      </c>
      <c r="L1763" s="516" t="n"/>
    </row>
    <row r="1764">
      <c r="B1764" s="1" t="n">
        <v>4</v>
      </c>
      <c r="C1764" s="24" t="n">
        <v>44835</v>
      </c>
      <c r="D1764" s="24" t="n">
        <v>44865</v>
      </c>
      <c r="E1764" s="25">
        <f>D1764-C1764+1</f>
        <v/>
      </c>
      <c r="F1764" s="319">
        <f>J1763</f>
        <v/>
      </c>
      <c r="G1764" s="319">
        <f>-PMT($D$1752/$D$1754,21,$F$1764,,0)</f>
        <v/>
      </c>
      <c r="H1764" s="319">
        <f>$D$1752/$D$1754*F1764</f>
        <v/>
      </c>
      <c r="I1764" s="319">
        <f>G1764-H1764</f>
        <v/>
      </c>
      <c r="J1764" s="319">
        <f>F1764-I1764</f>
        <v/>
      </c>
      <c r="K1764" s="516" t="n">
        <v>534183.21</v>
      </c>
      <c r="L1764" s="516" t="n"/>
    </row>
    <row r="1765">
      <c r="B1765" s="1" t="n">
        <v>5</v>
      </c>
      <c r="C1765" s="24" t="n">
        <v>44866</v>
      </c>
      <c r="D1765" s="24" t="n">
        <v>44895</v>
      </c>
      <c r="E1765" s="25">
        <f>D1765-C1765+1</f>
        <v/>
      </c>
      <c r="F1765" s="319">
        <f>J1764</f>
        <v/>
      </c>
      <c r="G1765" s="319">
        <f>-PMT($D$1752/$D$1754,21,$F$1764,,0)</f>
        <v/>
      </c>
      <c r="H1765" s="319">
        <f>$D$1752/$D$1754*F1765</f>
        <v/>
      </c>
      <c r="I1765" s="319">
        <f>G1765-H1765</f>
        <v/>
      </c>
      <c r="J1765" s="319">
        <f>F1765-I1765</f>
        <v/>
      </c>
      <c r="K1765" s="516" t="n">
        <v>1073000</v>
      </c>
      <c r="L1765" s="516" t="n"/>
    </row>
    <row r="1766">
      <c r="B1766" s="1" t="n">
        <v>6</v>
      </c>
      <c r="C1766" s="24" t="n">
        <v>44896</v>
      </c>
      <c r="D1766" s="24" t="n">
        <v>44926</v>
      </c>
      <c r="E1766" s="25">
        <f>D1766-C1766+1</f>
        <v/>
      </c>
      <c r="F1766" s="319">
        <f>J1765</f>
        <v/>
      </c>
      <c r="G1766" s="319">
        <f>-PMT($D$1752/$D$1754,21,$F$1764,,0)</f>
        <v/>
      </c>
      <c r="H1766" s="319">
        <f>$D$1752/$D$1754*F1766</f>
        <v/>
      </c>
      <c r="I1766" s="319">
        <f>G1766-H1766</f>
        <v/>
      </c>
      <c r="J1766" s="319">
        <f>F1766-I1766</f>
        <v/>
      </c>
      <c r="K1766" s="516" t="n">
        <v>1609226.93</v>
      </c>
      <c r="L1766" s="516">
        <f>SUM(G1764:G1766)-SUM(K1763:K1766)</f>
        <v/>
      </c>
    </row>
    <row r="1767">
      <c r="B1767" s="1" t="n">
        <v>7</v>
      </c>
      <c r="C1767" s="24" t="n">
        <v>44927</v>
      </c>
      <c r="D1767" s="24" t="n">
        <v>44957</v>
      </c>
      <c r="E1767" s="25">
        <f>D1767-C1767+1</f>
        <v/>
      </c>
      <c r="F1767" s="319">
        <f>J1766</f>
        <v/>
      </c>
      <c r="G1767" s="319">
        <f>-PMT($D$1752/$D$1754,21,$F$1764,,0)</f>
        <v/>
      </c>
      <c r="H1767" s="319">
        <f>$D$1752/$D$1754*F1767</f>
        <v/>
      </c>
      <c r="I1767" s="319">
        <f>G1767-H1767</f>
        <v/>
      </c>
      <c r="J1767" s="319">
        <f>F1767-I1767</f>
        <v/>
      </c>
      <c r="K1767" s="516" t="n">
        <v>1609226.93</v>
      </c>
      <c r="L1767" s="516">
        <f>SUM(G1765:G1767)-SUM(K1764:K1767)</f>
        <v/>
      </c>
    </row>
    <row r="1768">
      <c r="B1768" s="1" t="n">
        <v>8</v>
      </c>
      <c r="C1768" s="24" t="n">
        <v>44958</v>
      </c>
      <c r="D1768" s="24" t="n">
        <v>44985</v>
      </c>
      <c r="E1768" s="25">
        <f>D1768-C1768+1</f>
        <v/>
      </c>
      <c r="F1768" s="319">
        <f>J1767</f>
        <v/>
      </c>
      <c r="G1768" s="319">
        <f>-PMT($D$1752/$D$1754,21,$F$1764,,0)</f>
        <v/>
      </c>
      <c r="H1768" s="319">
        <f>$D$1752/$D$1754*F1768</f>
        <v/>
      </c>
      <c r="I1768" s="319">
        <f>G1768-H1768</f>
        <v/>
      </c>
      <c r="J1768" s="319">
        <f>F1768-I1768</f>
        <v/>
      </c>
      <c r="K1768" s="516" t="n"/>
      <c r="L1768" s="516">
        <f>SUM(G1766:G1768)-SUM(K1765:K1768)</f>
        <v/>
      </c>
    </row>
    <row r="1769">
      <c r="B1769" s="1" t="n">
        <v>9</v>
      </c>
      <c r="C1769" s="24" t="n">
        <v>44986</v>
      </c>
      <c r="D1769" s="24" t="n">
        <v>45016</v>
      </c>
      <c r="E1769" s="25">
        <f>D1769-C1769+1</f>
        <v/>
      </c>
      <c r="F1769" s="319">
        <f>J1768</f>
        <v/>
      </c>
      <c r="G1769" s="319">
        <f>-PMT($D$1752/$D$1754,21,$F$1764,,0)</f>
        <v/>
      </c>
      <c r="H1769" s="319">
        <f>$D$1752/$D$1754*F1769</f>
        <v/>
      </c>
      <c r="I1769" s="319">
        <f>G1769-H1769</f>
        <v/>
      </c>
      <c r="J1769" s="319">
        <f>F1769-I1769</f>
        <v/>
      </c>
      <c r="K1769" s="516" t="n">
        <v>1072817.95</v>
      </c>
      <c r="L1769" s="516">
        <f>SUM(G1767:G1769)-SUM(K1766:K1769)</f>
        <v/>
      </c>
    </row>
    <row r="1770">
      <c r="B1770" s="1" t="n">
        <v>10</v>
      </c>
      <c r="C1770" s="24" t="n">
        <v>45017</v>
      </c>
      <c r="D1770" s="24" t="n">
        <v>45046</v>
      </c>
      <c r="E1770" s="25">
        <f>D1770-C1770+1</f>
        <v/>
      </c>
      <c r="F1770" s="319">
        <f>J1769</f>
        <v/>
      </c>
      <c r="G1770" s="319">
        <f>-PMT($D$1752/$D$1754,21,$F$1764,,0)</f>
        <v/>
      </c>
      <c r="H1770" s="319">
        <f>$D$1752/$D$1754*F1770</f>
        <v/>
      </c>
      <c r="I1770" s="319">
        <f>G1770-H1770</f>
        <v/>
      </c>
      <c r="J1770" s="319">
        <f>F1770-I1770</f>
        <v/>
      </c>
      <c r="K1770" s="516" t="n">
        <v>1072817.95</v>
      </c>
      <c r="L1770" s="516">
        <f>SUM(G1768:G1770)-SUM(K1767:K1770)</f>
        <v/>
      </c>
    </row>
    <row r="1771">
      <c r="B1771" s="1" t="n">
        <v>11</v>
      </c>
      <c r="C1771" s="24" t="n">
        <v>45047</v>
      </c>
      <c r="D1771" s="24" t="n">
        <v>45077</v>
      </c>
      <c r="E1771" s="25">
        <f>D1771-C1771+1</f>
        <v/>
      </c>
      <c r="F1771" s="319">
        <f>J1770</f>
        <v/>
      </c>
      <c r="G1771" s="319">
        <f>-PMT($D$1752/$D$1754,21,$F$1764,,0)</f>
        <v/>
      </c>
      <c r="H1771" s="319">
        <f>$D$1752/$D$1754*F1771</f>
        <v/>
      </c>
      <c r="I1771" s="319">
        <f>G1771-H1771</f>
        <v/>
      </c>
      <c r="J1771" s="319">
        <f>F1771-I1771</f>
        <v/>
      </c>
      <c r="K1771" s="516">
        <f>1609226.93+1759528.26</f>
        <v/>
      </c>
      <c r="L1771" s="516" t="n"/>
    </row>
    <row r="1772">
      <c r="B1772" s="1" t="n">
        <v>12</v>
      </c>
      <c r="C1772" s="24" t="n">
        <v>45078</v>
      </c>
      <c r="D1772" s="24" t="n">
        <v>45107</v>
      </c>
      <c r="E1772" s="25">
        <f>D1772-C1772+1</f>
        <v/>
      </c>
      <c r="F1772" s="319">
        <f>J1771</f>
        <v/>
      </c>
      <c r="G1772" s="319">
        <f>-PMT($D$1752/$D$1754,21,$F$1764,,0)</f>
        <v/>
      </c>
      <c r="H1772" s="319">
        <f>$D$1752/$D$1754*F1772</f>
        <v/>
      </c>
      <c r="I1772" s="319">
        <f>G1772-H1772</f>
        <v/>
      </c>
      <c r="J1772" s="319">
        <f>F1772-I1772</f>
        <v/>
      </c>
      <c r="K1772" s="516" t="n"/>
      <c r="L1772" s="516" t="n"/>
    </row>
    <row r="1773">
      <c r="B1773" s="1" t="n">
        <v>13</v>
      </c>
      <c r="C1773" s="24" t="n">
        <v>45108</v>
      </c>
      <c r="D1773" s="24" t="n">
        <v>45138</v>
      </c>
      <c r="E1773" s="25">
        <f>D1773-C1773+1</f>
        <v/>
      </c>
      <c r="F1773" s="319">
        <f>J1772</f>
        <v/>
      </c>
      <c r="G1773" s="319">
        <f>-PMT($D$1752/$D$1754,21,$F$1764,,0)</f>
        <v/>
      </c>
      <c r="H1773" s="319">
        <f>$D$1752/$D$1754*F1773</f>
        <v/>
      </c>
      <c r="I1773" s="319">
        <f>G1773-H1773</f>
        <v/>
      </c>
      <c r="J1773" s="319">
        <f>F1773-I1773</f>
        <v/>
      </c>
      <c r="K1773" s="516" t="n"/>
      <c r="L1773" s="516" t="n"/>
    </row>
    <row r="1774">
      <c r="B1774" s="1" t="n">
        <v>14</v>
      </c>
      <c r="C1774" s="24" t="n">
        <v>45139</v>
      </c>
      <c r="D1774" s="24" t="n">
        <v>45169</v>
      </c>
      <c r="E1774" s="25">
        <f>D1774-C1774+1</f>
        <v/>
      </c>
      <c r="F1774" s="319">
        <f>J1773</f>
        <v/>
      </c>
      <c r="G1774" s="319">
        <f>-PMT($D$1752/$D$1754,21,$F$1764,,0)</f>
        <v/>
      </c>
      <c r="H1774" s="319">
        <f>$D$1752/$D$1754*F1774</f>
        <v/>
      </c>
      <c r="I1774" s="319">
        <f>G1774-H1774</f>
        <v/>
      </c>
      <c r="J1774" s="319">
        <f>F1774-I1774</f>
        <v/>
      </c>
      <c r="K1774" s="516" t="n"/>
      <c r="L1774" s="516" t="n"/>
    </row>
    <row r="1775">
      <c r="B1775" s="1" t="n">
        <v>15</v>
      </c>
      <c r="C1775" s="24" t="n">
        <v>45170</v>
      </c>
      <c r="D1775" s="24" t="n">
        <v>45199</v>
      </c>
      <c r="E1775" s="25">
        <f>D1775-C1775+1</f>
        <v/>
      </c>
      <c r="F1775" s="319">
        <f>J1774</f>
        <v/>
      </c>
      <c r="G1775" s="319">
        <f>-PMT($D$1752/$D$1754,21,$F$1764,,0)</f>
        <v/>
      </c>
      <c r="H1775" s="319">
        <f>$D$1752/$D$1754*F1775</f>
        <v/>
      </c>
      <c r="I1775" s="319">
        <f>G1775-H1775</f>
        <v/>
      </c>
      <c r="J1775" s="319">
        <f>F1775-I1775</f>
        <v/>
      </c>
      <c r="K1775" s="516" t="n"/>
      <c r="L1775" s="516" t="n"/>
    </row>
    <row r="1776">
      <c r="B1776" s="1" t="n">
        <v>16</v>
      </c>
      <c r="C1776" s="24" t="n">
        <v>45200</v>
      </c>
      <c r="D1776" s="24" t="n">
        <v>45230</v>
      </c>
      <c r="E1776" s="25">
        <f>D1776-C1776+1</f>
        <v/>
      </c>
      <c r="F1776" s="319">
        <f>J1775</f>
        <v/>
      </c>
      <c r="G1776" s="319">
        <f>-PMT($D$1752/$D$1754,21,$F$1764,,0)</f>
        <v/>
      </c>
      <c r="H1776" s="319">
        <f>$D$1752/$D$1754*F1776</f>
        <v/>
      </c>
      <c r="I1776" s="319">
        <f>G1776-H1776</f>
        <v/>
      </c>
      <c r="J1776" s="319">
        <f>F1776-I1776</f>
        <v/>
      </c>
      <c r="K1776" s="516" t="n"/>
      <c r="L1776" s="516" t="n"/>
    </row>
    <row r="1777">
      <c r="B1777" s="1" t="n">
        <v>17</v>
      </c>
      <c r="C1777" s="24" t="n">
        <v>45231</v>
      </c>
      <c r="D1777" s="24" t="n">
        <v>45260</v>
      </c>
      <c r="E1777" s="25">
        <f>D1777-C1777+1</f>
        <v/>
      </c>
      <c r="F1777" s="319">
        <f>J1776</f>
        <v/>
      </c>
      <c r="G1777" s="319">
        <f>-PMT($D$1752/$D$1754,21,$F$1764,,0)</f>
        <v/>
      </c>
      <c r="H1777" s="319">
        <f>$D$1752/$D$1754*F1777</f>
        <v/>
      </c>
      <c r="I1777" s="319">
        <f>G1777-H1777</f>
        <v/>
      </c>
      <c r="J1777" s="319">
        <f>F1777-I1777</f>
        <v/>
      </c>
      <c r="K1777" s="516" t="n"/>
      <c r="L1777" s="516" t="n"/>
    </row>
    <row r="1778">
      <c r="B1778" s="1" t="n">
        <v>18</v>
      </c>
      <c r="C1778" s="24" t="n">
        <v>45261</v>
      </c>
      <c r="D1778" s="24" t="n">
        <v>45291</v>
      </c>
      <c r="E1778" s="25">
        <f>D1778-C1778+1</f>
        <v/>
      </c>
      <c r="F1778" s="319">
        <f>J1777</f>
        <v/>
      </c>
      <c r="G1778" s="319">
        <f>-PMT($D$1752/$D$1754,21,$F$1764,,0)</f>
        <v/>
      </c>
      <c r="H1778" s="319">
        <f>$D$1752/$D$1754*F1778</f>
        <v/>
      </c>
      <c r="I1778" s="319">
        <f>G1778-H1778</f>
        <v/>
      </c>
      <c r="J1778" s="319">
        <f>F1778-I1778</f>
        <v/>
      </c>
      <c r="K1778" s="516" t="n"/>
      <c r="L1778" s="516" t="n"/>
    </row>
    <row r="1779">
      <c r="B1779" s="1" t="n">
        <v>19</v>
      </c>
      <c r="C1779" s="24" t="n">
        <v>45292</v>
      </c>
      <c r="D1779" s="24" t="n">
        <v>45322</v>
      </c>
      <c r="E1779" s="25">
        <f>D1779-C1779+1</f>
        <v/>
      </c>
      <c r="F1779" s="319">
        <f>J1778</f>
        <v/>
      </c>
      <c r="G1779" s="319">
        <f>-PMT($D$1752/$D$1754,21,$F$1764,,0)</f>
        <v/>
      </c>
      <c r="H1779" s="319">
        <f>$D$1752/$D$1754*F1779</f>
        <v/>
      </c>
      <c r="I1779" s="319">
        <f>G1779-H1779</f>
        <v/>
      </c>
      <c r="J1779" s="319">
        <f>F1779-I1779</f>
        <v/>
      </c>
      <c r="K1779" s="516" t="n"/>
      <c r="L1779" s="516" t="n"/>
    </row>
    <row r="1780">
      <c r="B1780" s="1" t="n">
        <v>20</v>
      </c>
      <c r="C1780" s="24" t="n">
        <v>45323</v>
      </c>
      <c r="D1780" s="24" t="n">
        <v>45350</v>
      </c>
      <c r="E1780" s="25">
        <f>D1780-C1780+1</f>
        <v/>
      </c>
      <c r="F1780" s="319">
        <f>J1779</f>
        <v/>
      </c>
      <c r="G1780" s="319">
        <f>-PMT($D$1752/$D$1754,21,$F$1764,,0)</f>
        <v/>
      </c>
      <c r="H1780" s="319">
        <f>$D$1752/$D$1754*F1780</f>
        <v/>
      </c>
      <c r="I1780" s="319">
        <f>G1780-H1780</f>
        <v/>
      </c>
      <c r="J1780" s="319">
        <f>F1780-I1780</f>
        <v/>
      </c>
      <c r="K1780" s="516" t="n"/>
      <c r="L1780" s="516" t="n"/>
    </row>
    <row r="1781">
      <c r="B1781" s="1" t="n">
        <v>21</v>
      </c>
      <c r="C1781" s="24" t="n">
        <v>45352</v>
      </c>
      <c r="D1781" s="24" t="n">
        <v>45382</v>
      </c>
      <c r="E1781" s="25">
        <f>D1781-C1781+1</f>
        <v/>
      </c>
      <c r="F1781" s="319">
        <f>J1780</f>
        <v/>
      </c>
      <c r="G1781" s="319">
        <f>-PMT($D$1752/$D$1754,21,$F$1764,,0)</f>
        <v/>
      </c>
      <c r="H1781" s="319">
        <f>$D$1752/$D$1754*F1781</f>
        <v/>
      </c>
      <c r="I1781" s="319">
        <f>G1781-H1781</f>
        <v/>
      </c>
      <c r="J1781" s="319">
        <f>F1781-I1781</f>
        <v/>
      </c>
      <c r="K1781" s="516" t="n"/>
      <c r="L1781" s="516" t="n"/>
    </row>
    <row r="1782">
      <c r="B1782" s="1" t="n">
        <v>22</v>
      </c>
      <c r="C1782" s="24" t="n">
        <v>45383</v>
      </c>
      <c r="D1782" s="24" t="n">
        <v>45412</v>
      </c>
      <c r="E1782" s="25">
        <f>D1782-C1782+1</f>
        <v/>
      </c>
      <c r="F1782" s="319">
        <f>J1781</f>
        <v/>
      </c>
      <c r="G1782" s="319">
        <f>-PMT($D$1752/$D$1754,21,$F$1764,,0)</f>
        <v/>
      </c>
      <c r="H1782" s="319">
        <f>$D$1752/$D$1754*F1782</f>
        <v/>
      </c>
      <c r="I1782" s="319">
        <f>G1782-H1782</f>
        <v/>
      </c>
      <c r="J1782" s="319">
        <f>F1782-I1782</f>
        <v/>
      </c>
      <c r="K1782" s="516" t="n"/>
      <c r="L1782" s="516" t="n"/>
    </row>
    <row r="1783">
      <c r="B1783" s="1" t="n">
        <v>23</v>
      </c>
      <c r="C1783" s="24" t="n">
        <v>45413</v>
      </c>
      <c r="D1783" s="24" t="n">
        <v>45443</v>
      </c>
      <c r="E1783" s="25">
        <f>D1783-C1783+1</f>
        <v/>
      </c>
      <c r="F1783" s="319">
        <f>J1782</f>
        <v/>
      </c>
      <c r="G1783" s="319">
        <f>-PMT($D$1752/$D$1754,21,$F$1764,,0)</f>
        <v/>
      </c>
      <c r="H1783" s="319">
        <f>$D$1752/$D$1754*F1783</f>
        <v/>
      </c>
      <c r="I1783" s="319">
        <f>G1783-H1783</f>
        <v/>
      </c>
      <c r="J1783" s="319">
        <f>F1783-I1783</f>
        <v/>
      </c>
      <c r="K1783" s="516" t="n"/>
      <c r="L1783" s="516" t="n"/>
    </row>
    <row r="1784">
      <c r="B1784" s="1" t="n">
        <v>24</v>
      </c>
      <c r="C1784" s="24" t="n">
        <v>45444</v>
      </c>
      <c r="D1784" s="24" t="n">
        <v>45473</v>
      </c>
      <c r="E1784" s="25">
        <f>D1784-C1784+1</f>
        <v/>
      </c>
      <c r="F1784" s="319">
        <f>J1783</f>
        <v/>
      </c>
      <c r="G1784" s="319">
        <f>-PMT($D$1752/$D$1754,21,$F$1764,,0)</f>
        <v/>
      </c>
      <c r="H1784" s="319">
        <f>$D$1752/$D$1754*F1784</f>
        <v/>
      </c>
      <c r="I1784" s="319">
        <f>G1784-H1784</f>
        <v/>
      </c>
      <c r="J1784" s="319">
        <f>F1784-I1784</f>
        <v/>
      </c>
      <c r="K1784" s="516" t="n"/>
      <c r="L1784" s="516" t="n"/>
    </row>
    <row r="1785" ht="14.25" customHeight="1">
      <c r="B1785" s="1" t="n"/>
      <c r="C1785" s="1" t="n"/>
      <c r="D1785" s="1" t="n"/>
      <c r="E1785" s="30">
        <f>SUM(E1760:E1783)</f>
        <v/>
      </c>
      <c r="F1785" s="319" t="n"/>
      <c r="G1785" s="319" t="n"/>
      <c r="H1785" s="319" t="n"/>
      <c r="I1785" s="319" t="n"/>
      <c r="J1785" s="319" t="n"/>
      <c r="K1785" s="1" t="n"/>
      <c r="L1785" s="1" t="n"/>
    </row>
    <row r="1790">
      <c r="B1790" s="1" t="n"/>
      <c r="C1790" s="9" t="inlineStr">
        <is>
          <t>African Honey Products</t>
        </is>
      </c>
      <c r="D1790" s="319" t="n"/>
      <c r="E1790" s="319" t="n"/>
      <c r="F1790" s="319" t="n"/>
      <c r="G1790" s="290" t="inlineStr">
        <is>
          <t>13.9 to 16.6%</t>
        </is>
      </c>
      <c r="H1790" s="319" t="inlineStr">
        <is>
          <t>16.6% to 17.3%</t>
        </is>
      </c>
      <c r="I1790" s="290" t="inlineStr">
        <is>
          <t>17.3% to 20%</t>
        </is>
      </c>
      <c r="J1790" s="290" t="inlineStr">
        <is>
          <t>20% to 21.40%</t>
        </is>
      </c>
      <c r="K1790" s="290" t="inlineStr">
        <is>
          <t>21.40 to 22.70%</t>
        </is>
      </c>
      <c r="L1790" s="290" t="inlineStr">
        <is>
          <t>22.70% to 23.40%</t>
        </is>
      </c>
      <c r="R1790" s="514" t="inlineStr">
        <is>
          <t>E-Banker account (Dupleix)</t>
        </is>
      </c>
      <c r="S1790" s="495">
        <f>IFERROR(INDEX('Blocks'!$I$2:$I$101,MATCH(31,'Blocks'!$A$2:$A$101,0)),"")</f>
        <v/>
      </c>
    </row>
    <row r="1791">
      <c r="B1791" s="1" t="n"/>
      <c r="C1791" s="1" t="n"/>
      <c r="D1791" s="319" t="n"/>
      <c r="E1791" s="319" t="n"/>
      <c r="F1791" s="248" t="n">
        <v>44805</v>
      </c>
      <c r="G1791" s="290" t="n">
        <v>44866</v>
      </c>
      <c r="H1791" s="248" t="n">
        <v>44896</v>
      </c>
      <c r="I1791" s="290" t="n">
        <v>45047</v>
      </c>
      <c r="J1791" s="248" t="n">
        <v>45108</v>
      </c>
      <c r="K1791" s="248" t="n">
        <v>45139</v>
      </c>
      <c r="L1791" s="248" t="n">
        <v>45170</v>
      </c>
      <c r="R1791" s="514" t="inlineStr">
        <is>
          <t>Facility (Loan Book)</t>
        </is>
      </c>
      <c r="S1791" s="495">
        <f>IFERROR(INDEX('Blocks'!$H$2:$H$101,MATCH(31,'Blocks'!$A$2:$A$101,0)),"")</f>
        <v/>
      </c>
    </row>
    <row r="1792">
      <c r="B1792" s="1" t="n"/>
      <c r="C1792" s="10" t="inlineStr">
        <is>
          <t>Principal (MK)</t>
        </is>
      </c>
      <c r="D1792" s="11" t="n">
        <v>50000000</v>
      </c>
      <c r="E1792" s="319" t="n"/>
      <c r="F1792" s="290" t="inlineStr">
        <is>
          <t>Rate Adj</t>
        </is>
      </c>
      <c r="G1792" s="290" t="inlineStr">
        <is>
          <t>Rate Adj</t>
        </is>
      </c>
      <c r="H1792" s="290" t="inlineStr">
        <is>
          <t>Rate Adj</t>
        </is>
      </c>
      <c r="I1792" s="290" t="inlineStr">
        <is>
          <t>Rate Adj</t>
        </is>
      </c>
      <c r="J1792" s="290" t="inlineStr">
        <is>
          <t>Rate Adj</t>
        </is>
      </c>
      <c r="K1792" s="290" t="inlineStr">
        <is>
          <t>Rate Adj</t>
        </is>
      </c>
      <c r="L1792" s="290" t="inlineStr">
        <is>
          <t>Rate Adj</t>
        </is>
      </c>
      <c r="R1792" s="514" t="inlineStr">
        <is>
          <t>Take-on posting 31 Jul 2024</t>
        </is>
      </c>
      <c r="S1792" s="496">
        <f>IFERROR(INDEX('E-Banker master'!$N$2:$N$186,MATCH(S1790,'E-Banker master'!$A$2:$A$186,0)),"")</f>
        <v/>
      </c>
    </row>
    <row r="1793">
      <c r="B1793" s="1" t="n"/>
      <c r="C1793" s="13" t="inlineStr">
        <is>
          <t>Rate</t>
        </is>
      </c>
      <c r="D1793" s="14" t="n">
        <v>0.215</v>
      </c>
      <c r="E1793" s="257" t="n"/>
      <c r="F1793" s="257">
        <f>D1793+0.4%</f>
        <v/>
      </c>
      <c r="G1793" s="319">
        <f>F1793+2.7%</f>
        <v/>
      </c>
      <c r="H1793" s="257">
        <f>G1793+0.7%</f>
        <v/>
      </c>
      <c r="I1793" s="319">
        <f>H1793+2.7%</f>
        <v/>
      </c>
      <c r="J1793" s="257">
        <f>I1793+1.4%</f>
        <v/>
      </c>
      <c r="K1793" s="257">
        <f>J1793+1.3%</f>
        <v/>
      </c>
      <c r="L1793" s="279">
        <f>K1793+0.7%</f>
        <v/>
      </c>
      <c r="R1793" s="514" t="inlineStr">
        <is>
          <t>E-Banker balance 31 Oct 2024</t>
        </is>
      </c>
      <c r="S1793" s="496">
        <f>IFERROR(INDEX('E-Banker master'!$P$2:$P$186,MATCH(S1790,'E-Banker master'!$A$2:$A$186,0)),"")</f>
        <v/>
      </c>
    </row>
    <row r="1794">
      <c r="B1794" s="1" t="n"/>
      <c r="C1794" s="13" t="inlineStr">
        <is>
          <t>n</t>
        </is>
      </c>
      <c r="D1794" s="16" t="n">
        <v>5</v>
      </c>
      <c r="E1794" s="1" t="n"/>
      <c r="F1794" s="319" t="n"/>
      <c r="G1794" s="319" t="n"/>
      <c r="H1794" s="319" t="n"/>
      <c r="I1794" s="319" t="n"/>
      <c r="J1794" s="319" t="n"/>
      <c r="K1794" s="1" t="n"/>
      <c r="L1794" s="1" t="n"/>
    </row>
    <row r="1795">
      <c r="B1795" s="1" t="n"/>
      <c r="C1795" s="13" t="inlineStr">
        <is>
          <t>Per</t>
        </is>
      </c>
      <c r="D1795" s="16" t="n">
        <v>12</v>
      </c>
      <c r="E1795" s="1" t="n"/>
      <c r="F1795" s="319" t="inlineStr">
        <is>
          <t>Second draw down</t>
        </is>
      </c>
      <c r="G1795" s="290" t="inlineStr">
        <is>
          <t>23.40% to 23.50%</t>
        </is>
      </c>
      <c r="H1795" s="290" t="inlineStr">
        <is>
          <t>23.50% to 23.60%</t>
        </is>
      </c>
      <c r="I1795" s="290" t="inlineStr">
        <is>
          <t>23.60% to 24.90%</t>
        </is>
      </c>
      <c r="J1795" s="380" t="inlineStr">
        <is>
          <t>24.90% to 25.00%</t>
        </is>
      </c>
      <c r="K1795" s="380" t="inlineStr">
        <is>
          <t>25.00% to 25.1%</t>
        </is>
      </c>
      <c r="L1795" s="380" t="inlineStr">
        <is>
          <t>25.10% to 25.4%</t>
        </is>
      </c>
    </row>
    <row r="1796">
      <c r="B1796" s="1" t="n"/>
      <c r="C1796" s="13" t="inlineStr">
        <is>
          <t>nPer</t>
        </is>
      </c>
      <c r="D1796" s="515">
        <f>D1794*D1795</f>
        <v/>
      </c>
      <c r="E1796" s="1" t="n"/>
      <c r="F1796" s="319" t="n">
        <v>54979420</v>
      </c>
      <c r="G1796" s="290" t="n">
        <v>45200</v>
      </c>
      <c r="H1796" s="248" t="n">
        <v>45261</v>
      </c>
      <c r="I1796" s="290" t="n">
        <v>44958</v>
      </c>
      <c r="J1796" s="381" t="n">
        <v>45413</v>
      </c>
      <c r="K1796" s="381" t="n">
        <v>45444</v>
      </c>
      <c r="L1796" s="381" t="n">
        <v>45444</v>
      </c>
    </row>
    <row r="1797">
      <c r="B1797" s="1" t="n"/>
      <c r="C1797" s="13" t="inlineStr">
        <is>
          <t>Days in a year</t>
        </is>
      </c>
      <c r="D1797" s="18" t="n">
        <v>365</v>
      </c>
      <c r="E1797" s="1" t="n"/>
      <c r="F1797" s="319" t="n"/>
      <c r="G1797" s="290" t="inlineStr">
        <is>
          <t>Rate Adj</t>
        </is>
      </c>
      <c r="H1797" s="290" t="inlineStr">
        <is>
          <t>Rate Adj</t>
        </is>
      </c>
      <c r="I1797" s="290" t="inlineStr">
        <is>
          <t>Rate Adj</t>
        </is>
      </c>
      <c r="J1797" s="380" t="inlineStr">
        <is>
          <t>Rate Adj</t>
        </is>
      </c>
      <c r="K1797" s="380" t="inlineStr">
        <is>
          <t>Rate Adj</t>
        </is>
      </c>
      <c r="L1797" s="380" t="inlineStr">
        <is>
          <t>Rate Adj</t>
        </is>
      </c>
    </row>
    <row r="1798">
      <c r="B1798" s="1" t="n"/>
      <c r="C1798" s="19" t="inlineStr">
        <is>
          <t>Pmt (MK)</t>
        </is>
      </c>
      <c r="D1798" s="20">
        <f>-PMT(D1793/D1795,D1796,D1792,0,0)</f>
        <v/>
      </c>
      <c r="E1798" s="319" t="n"/>
      <c r="F1798" s="319" t="n"/>
      <c r="G1798" s="319">
        <f>L1793+0.1%</f>
        <v/>
      </c>
      <c r="H1798" s="257">
        <f>G1798+0.1%</f>
        <v/>
      </c>
      <c r="I1798" s="532">
        <f>H1798+1.3%</f>
        <v/>
      </c>
      <c r="J1798" s="379">
        <f>+I1798+0.1%</f>
        <v/>
      </c>
      <c r="K1798" s="379">
        <f>+J1798+0.1%</f>
        <v/>
      </c>
      <c r="L1798" s="379">
        <f>+K1798+0.13%</f>
        <v/>
      </c>
    </row>
    <row r="1799">
      <c r="B1799" s="1" t="n"/>
      <c r="C1799" s="1" t="n"/>
      <c r="D1799" s="319" t="n"/>
      <c r="E1799" s="319" t="n"/>
      <c r="F1799" s="319" t="n"/>
      <c r="G1799" s="319" t="n"/>
      <c r="H1799" s="319" t="n"/>
      <c r="I1799" s="319" t="n"/>
      <c r="J1799" s="319" t="n"/>
      <c r="K1799" s="1" t="n"/>
      <c r="L1799" s="1" t="n"/>
    </row>
    <row r="1800">
      <c r="B1800" s="1" t="n"/>
      <c r="C1800" s="21" t="inlineStr">
        <is>
          <t>Period Start</t>
        </is>
      </c>
      <c r="D1800" s="22" t="inlineStr">
        <is>
          <t>Period End</t>
        </is>
      </c>
      <c r="E1800" s="22" t="inlineStr">
        <is>
          <t>Days</t>
        </is>
      </c>
      <c r="F1800" s="294" t="inlineStr">
        <is>
          <t>Opening bal.</t>
        </is>
      </c>
      <c r="G1800" s="294" t="inlineStr">
        <is>
          <t>Pmt</t>
        </is>
      </c>
      <c r="H1800" s="294" t="inlineStr">
        <is>
          <t>Interest</t>
        </is>
      </c>
      <c r="I1800" s="294" t="inlineStr">
        <is>
          <t>Principal</t>
        </is>
      </c>
      <c r="J1800" s="294" t="inlineStr">
        <is>
          <t>Closing balance</t>
        </is>
      </c>
      <c r="K1800" s="23" t="inlineStr">
        <is>
          <t>Amount Repaid</t>
        </is>
      </c>
      <c r="L1800" s="23" t="inlineStr">
        <is>
          <t>Accumulated Arrears</t>
        </is>
      </c>
    </row>
    <row r="1801">
      <c r="B1801" s="1" t="n">
        <v>0</v>
      </c>
      <c r="C1801" s="24" t="n">
        <v>44740</v>
      </c>
      <c r="D1801" s="24" t="n">
        <v>44742</v>
      </c>
      <c r="E1801" s="25">
        <f>D1801-C1801+1</f>
        <v/>
      </c>
      <c r="F1801" s="319">
        <f>D1792</f>
        <v/>
      </c>
      <c r="G1801" s="319" t="n"/>
      <c r="H1801" s="319">
        <f>$D$1793/$D$1795*F1801*E1801/30</f>
        <v/>
      </c>
      <c r="I1801" s="319">
        <f>G1801-H1801</f>
        <v/>
      </c>
      <c r="J1801" s="319">
        <f>F1801-I1801</f>
        <v/>
      </c>
      <c r="K1801" s="516" t="n"/>
      <c r="L1801" s="516" t="n"/>
    </row>
    <row r="1802">
      <c r="B1802" s="1" t="n">
        <v>1</v>
      </c>
      <c r="C1802" s="24" t="n">
        <v>44743</v>
      </c>
      <c r="D1802" s="24" t="n">
        <v>44773</v>
      </c>
      <c r="E1802" s="25">
        <f>D1802-C1802+1</f>
        <v/>
      </c>
      <c r="F1802" s="319">
        <f>J1801</f>
        <v/>
      </c>
      <c r="G1802" s="319" t="n"/>
      <c r="H1802" s="319">
        <f>$D$1793/$D$1795*F1802</f>
        <v/>
      </c>
      <c r="I1802" s="319">
        <f>G1802-H1802</f>
        <v/>
      </c>
      <c r="J1802" s="319">
        <f>F1802-I1802</f>
        <v/>
      </c>
      <c r="K1802" s="516" t="n"/>
      <c r="L1802" s="516" t="n"/>
    </row>
    <row r="1803">
      <c r="B1803" s="1" t="n">
        <v>2</v>
      </c>
      <c r="C1803" s="24" t="n">
        <v>44774</v>
      </c>
      <c r="D1803" s="24" t="n">
        <v>44804</v>
      </c>
      <c r="E1803" s="25">
        <f>D1803-C1803+1</f>
        <v/>
      </c>
      <c r="F1803" s="319">
        <f>J1802</f>
        <v/>
      </c>
      <c r="G1803" s="319" t="n"/>
      <c r="H1803" s="319">
        <f>$D$1793/$D$1795*F1803</f>
        <v/>
      </c>
      <c r="I1803" s="319">
        <f>G1803-H1803</f>
        <v/>
      </c>
      <c r="J1803" s="319">
        <f>F1803-I1803</f>
        <v/>
      </c>
      <c r="L1803" s="516" t="n"/>
    </row>
    <row r="1804">
      <c r="B1804" s="1" t="n">
        <v>3</v>
      </c>
      <c r="C1804" s="24" t="n">
        <v>44805</v>
      </c>
      <c r="D1804" s="24" t="n">
        <v>44834</v>
      </c>
      <c r="E1804" s="25">
        <f>D1804-C1804+1</f>
        <v/>
      </c>
      <c r="F1804" s="319">
        <f>J1803</f>
        <v/>
      </c>
      <c r="G1804" s="319" t="n"/>
      <c r="H1804" s="319">
        <f>$F$1793/$D$1795*F1804</f>
        <v/>
      </c>
      <c r="I1804" s="319">
        <f>G1804-H1804</f>
        <v/>
      </c>
      <c r="J1804" s="319">
        <f>F1804-I1804</f>
        <v/>
      </c>
      <c r="K1804" s="516" t="n">
        <v>1906000</v>
      </c>
      <c r="L1804" s="516" t="n"/>
    </row>
    <row r="1805">
      <c r="B1805" s="1" t="n">
        <v>4</v>
      </c>
      <c r="C1805" s="24" t="n">
        <v>44835</v>
      </c>
      <c r="D1805" s="24" t="n">
        <v>44865</v>
      </c>
      <c r="E1805" s="25">
        <f>D1805-C1805+1</f>
        <v/>
      </c>
      <c r="F1805" s="319">
        <f>J1804</f>
        <v/>
      </c>
      <c r="G1805" s="319" t="n"/>
      <c r="H1805" s="319">
        <f>$F$1793/$D$1795*F1805</f>
        <v/>
      </c>
      <c r="I1805" s="319">
        <f>G1805-H1805</f>
        <v/>
      </c>
      <c r="J1805" s="319">
        <f>F1805-I1805</f>
        <v/>
      </c>
      <c r="K1805" s="516" t="n">
        <v>947200</v>
      </c>
      <c r="L1805" s="516" t="n"/>
    </row>
    <row r="1806">
      <c r="B1806" s="1" t="n">
        <v>5</v>
      </c>
      <c r="C1806" s="24" t="n">
        <v>44866</v>
      </c>
      <c r="D1806" s="24" t="n">
        <v>44895</v>
      </c>
      <c r="E1806" s="25">
        <f>D1806-C1806+1</f>
        <v/>
      </c>
      <c r="F1806" s="319">
        <f>J1805+F1796</f>
        <v/>
      </c>
      <c r="G1806" s="319" t="n"/>
      <c r="H1806" s="319">
        <f>$G$1793/$D$1795*F1806</f>
        <v/>
      </c>
      <c r="I1806" s="319">
        <f>G1806-H1806</f>
        <v/>
      </c>
      <c r="J1806" s="319">
        <f>F1806-I1806</f>
        <v/>
      </c>
      <c r="K1806" s="516" t="n">
        <v>982000</v>
      </c>
      <c r="L1806" s="516" t="n"/>
    </row>
    <row r="1807">
      <c r="B1807" s="1" t="n">
        <v>6</v>
      </c>
      <c r="C1807" s="24" t="n">
        <v>44896</v>
      </c>
      <c r="D1807" s="24" t="n">
        <v>44926</v>
      </c>
      <c r="E1807" s="25">
        <f>D1807-C1807+1</f>
        <v/>
      </c>
      <c r="F1807" s="319">
        <f>J1806</f>
        <v/>
      </c>
      <c r="G1807" s="319" t="n"/>
      <c r="H1807" s="319">
        <f>$H$1793/$D$1795*F1807</f>
        <v/>
      </c>
      <c r="I1807" s="319">
        <f>G1807-H1807</f>
        <v/>
      </c>
      <c r="J1807" s="319">
        <f>F1807-I1807</f>
        <v/>
      </c>
      <c r="K1807" s="516" t="n">
        <v>1125765</v>
      </c>
      <c r="L1807" s="516" t="n"/>
    </row>
    <row r="1808">
      <c r="B1808" s="1" t="n">
        <v>7</v>
      </c>
      <c r="C1808" s="24" t="n">
        <v>44927</v>
      </c>
      <c r="D1808" s="24" t="n">
        <v>44957</v>
      </c>
      <c r="E1808" s="25">
        <f>D1808-C1808+1</f>
        <v/>
      </c>
      <c r="F1808" s="319">
        <f>J1807</f>
        <v/>
      </c>
      <c r="G1808" s="319" t="n"/>
      <c r="H1808" s="319">
        <f>$H$1793/$D$1795*F1808</f>
        <v/>
      </c>
      <c r="I1808" s="319">
        <f>G1808-H1808</f>
        <v/>
      </c>
      <c r="J1808" s="319">
        <f>F1808-I1808</f>
        <v/>
      </c>
      <c r="K1808" s="516" t="n">
        <v>3422169</v>
      </c>
      <c r="L1808" s="516" t="n"/>
    </row>
    <row r="1809">
      <c r="B1809" s="1" t="n">
        <v>8</v>
      </c>
      <c r="C1809" s="24" t="n">
        <v>44958</v>
      </c>
      <c r="D1809" s="24" t="n">
        <v>44985</v>
      </c>
      <c r="E1809" s="25">
        <f>D1809-C1809+1</f>
        <v/>
      </c>
      <c r="F1809" s="319">
        <f>J1808</f>
        <v/>
      </c>
      <c r="G1809" s="319" t="n"/>
      <c r="H1809" s="319">
        <f>$H$1793/$D$1795*F1809</f>
        <v/>
      </c>
      <c r="I1809" s="319">
        <f>G1809-H1809</f>
        <v/>
      </c>
      <c r="J1809" s="319">
        <f>F1809-I1809</f>
        <v/>
      </c>
      <c r="K1809" s="516" t="n">
        <v>2440450</v>
      </c>
      <c r="L1809" s="516" t="n"/>
    </row>
    <row r="1810">
      <c r="B1810" s="1" t="n">
        <v>9</v>
      </c>
      <c r="C1810" s="24" t="n">
        <v>44986</v>
      </c>
      <c r="D1810" s="24" t="n">
        <v>45016</v>
      </c>
      <c r="E1810" s="25">
        <f>D1810-C1810+1</f>
        <v/>
      </c>
      <c r="F1810" s="319">
        <f>J1809</f>
        <v/>
      </c>
      <c r="G1810" s="319" t="n"/>
      <c r="H1810" s="319">
        <f>$H$1793/$D$1795*F1810</f>
        <v/>
      </c>
      <c r="I1810" s="319">
        <f>G1810-H1810</f>
        <v/>
      </c>
      <c r="J1810" s="319">
        <f>F1810-I1810</f>
        <v/>
      </c>
      <c r="K1810" s="516" t="n">
        <v>2491903</v>
      </c>
      <c r="L1810" s="516" t="n"/>
    </row>
    <row r="1811">
      <c r="B1811" s="1" t="n">
        <v>10</v>
      </c>
      <c r="C1811" s="24" t="n">
        <v>45017</v>
      </c>
      <c r="D1811" s="24" t="n">
        <v>45046</v>
      </c>
      <c r="E1811" s="25">
        <f>D1811-C1811+1</f>
        <v/>
      </c>
      <c r="F1811" s="319">
        <f>J1810</f>
        <v/>
      </c>
      <c r="G1811" s="319">
        <f>-PMT($H$1793/$D$1795,51,$F$1811,,0)</f>
        <v/>
      </c>
      <c r="H1811" s="319">
        <f>$H$1793/$D$1795*F1811</f>
        <v/>
      </c>
      <c r="I1811" s="319">
        <f>G1811-H1811</f>
        <v/>
      </c>
      <c r="J1811" s="319">
        <f>F1811-I1811</f>
        <v/>
      </c>
      <c r="K1811" s="516" t="n">
        <v>3885000</v>
      </c>
      <c r="L1811" s="516">
        <f>G1811-SUM(K1804:K1811)</f>
        <v/>
      </c>
    </row>
    <row r="1812">
      <c r="B1812" s="1" t="n">
        <v>11</v>
      </c>
      <c r="C1812" s="24" t="n">
        <v>45047</v>
      </c>
      <c r="D1812" s="24" t="n">
        <v>45077</v>
      </c>
      <c r="E1812" s="25">
        <f>D1812-C1812+1</f>
        <v/>
      </c>
      <c r="F1812" s="319">
        <f>J1811</f>
        <v/>
      </c>
      <c r="G1812" s="319">
        <f>-PMT($I$1793/$D$1795,50,$F$1812,,0)</f>
        <v/>
      </c>
      <c r="H1812" s="319">
        <f>$I$1793/$D$1795*F1812</f>
        <v/>
      </c>
      <c r="I1812" s="319">
        <f>G1812-H1812</f>
        <v/>
      </c>
      <c r="J1812" s="319">
        <f>F1812-I1812</f>
        <v/>
      </c>
      <c r="K1812" s="516" t="n">
        <v>0</v>
      </c>
      <c r="L1812" s="516">
        <f>L1811+G1812-K1812</f>
        <v/>
      </c>
    </row>
    <row r="1813">
      <c r="B1813" s="1" t="n">
        <v>12</v>
      </c>
      <c r="C1813" s="24" t="n">
        <v>45078</v>
      </c>
      <c r="D1813" s="24" t="n">
        <v>45107</v>
      </c>
      <c r="E1813" s="25">
        <f>D1813-C1813+1</f>
        <v/>
      </c>
      <c r="F1813" s="319">
        <f>J1812</f>
        <v/>
      </c>
      <c r="G1813" s="319">
        <f>-PMT($I$1793/$D$1795,50,$F$1813,,0)</f>
        <v/>
      </c>
      <c r="H1813" s="319">
        <f>$I$1793/$D$1795*F1813</f>
        <v/>
      </c>
      <c r="I1813" s="319">
        <f>G1813-H1813</f>
        <v/>
      </c>
      <c r="J1813" s="319">
        <f>F1813-I1813</f>
        <v/>
      </c>
      <c r="K1813" s="516" t="n">
        <v>4070000</v>
      </c>
      <c r="L1813" s="519">
        <f>L1812+G1813-K1813</f>
        <v/>
      </c>
    </row>
    <row r="1814">
      <c r="B1814" s="1" t="n">
        <v>13</v>
      </c>
      <c r="C1814" s="24" t="n">
        <v>45108</v>
      </c>
      <c r="D1814" s="24" t="n">
        <v>45138</v>
      </c>
      <c r="E1814" s="25">
        <f>D1814-C1814+1</f>
        <v/>
      </c>
      <c r="F1814" s="319">
        <f>J1813</f>
        <v/>
      </c>
      <c r="G1814" s="319">
        <f>-PMT($J$1793/$D$1795,48,$F$1814,,0)</f>
        <v/>
      </c>
      <c r="H1814" s="319">
        <f>$J$1793/$D$1795*F1814</f>
        <v/>
      </c>
      <c r="I1814" s="319">
        <f>G1814-H1814</f>
        <v/>
      </c>
      <c r="J1814" s="319">
        <f>F1814-I1814</f>
        <v/>
      </c>
      <c r="K1814" s="516" t="n">
        <v>4080000</v>
      </c>
      <c r="L1814" s="516">
        <f>L1813+G1814-K1814</f>
        <v/>
      </c>
    </row>
    <row r="1815">
      <c r="B1815" s="1" t="n">
        <v>14</v>
      </c>
      <c r="C1815" s="24" t="n">
        <v>45139</v>
      </c>
      <c r="D1815" s="24" t="n">
        <v>45169</v>
      </c>
      <c r="E1815" s="25">
        <f>D1815-C1815+1</f>
        <v/>
      </c>
      <c r="F1815" s="319">
        <f>J1814</f>
        <v/>
      </c>
      <c r="G1815" s="319">
        <f>-PMT($K$1793/$D$1795,47,$F$1815,,0)</f>
        <v/>
      </c>
      <c r="H1815" s="319">
        <f>$K$1793/$D$1795*F1815</f>
        <v/>
      </c>
      <c r="I1815" s="319">
        <f>G1815-H1815</f>
        <v/>
      </c>
      <c r="J1815" s="319">
        <f>F1815-I1815</f>
        <v/>
      </c>
      <c r="K1815" s="516" t="n"/>
      <c r="L1815" s="516">
        <f>L1814+G1815-K1815</f>
        <v/>
      </c>
    </row>
    <row r="1816">
      <c r="B1816" s="1" t="n">
        <v>15</v>
      </c>
      <c r="C1816" s="24" t="n">
        <v>45170</v>
      </c>
      <c r="D1816" s="24" t="n">
        <v>45199</v>
      </c>
      <c r="E1816" s="25">
        <f>D1816-C1816+1</f>
        <v/>
      </c>
      <c r="F1816" s="319">
        <f>J1815</f>
        <v/>
      </c>
      <c r="G1816" s="319">
        <f>-PMT($L$1793/$D$1795,46,$F$1816,,0)</f>
        <v/>
      </c>
      <c r="H1816" s="319">
        <f>$L$1793/$D$1795*F1816</f>
        <v/>
      </c>
      <c r="I1816" s="319">
        <f>G1816-H1816</f>
        <v/>
      </c>
      <c r="J1816" s="319">
        <f>F1816-I1816</f>
        <v/>
      </c>
      <c r="K1816" s="516" t="n"/>
      <c r="L1816" s="516">
        <f>L1815+G1816-K1816</f>
        <v/>
      </c>
    </row>
    <row r="1817">
      <c r="B1817" s="1" t="n">
        <v>16</v>
      </c>
      <c r="C1817" s="24" t="n">
        <v>45200</v>
      </c>
      <c r="D1817" s="24" t="n">
        <v>45230</v>
      </c>
      <c r="E1817" s="25">
        <f>D1817-C1817+1</f>
        <v/>
      </c>
      <c r="F1817" s="319">
        <f>J1816</f>
        <v/>
      </c>
      <c r="G1817" s="319">
        <f>-PMT($G$1798/$D$1795,45,$F$1817,,0)</f>
        <v/>
      </c>
      <c r="H1817" s="319">
        <f>$G$1798/$D$1795*F1817</f>
        <v/>
      </c>
      <c r="I1817" s="319">
        <f>G1817-H1817</f>
        <v/>
      </c>
      <c r="J1817" s="319">
        <f>F1817-I1817</f>
        <v/>
      </c>
      <c r="K1817" s="516" t="n"/>
      <c r="L1817" s="516">
        <f>L1816+G1817-K1817</f>
        <v/>
      </c>
    </row>
    <row r="1818">
      <c r="B1818" s="1" t="n">
        <v>17</v>
      </c>
      <c r="C1818" s="24" t="n">
        <v>45231</v>
      </c>
      <c r="D1818" s="24" t="n">
        <v>45260</v>
      </c>
      <c r="E1818" s="25">
        <f>D1818-C1818+1</f>
        <v/>
      </c>
      <c r="F1818" s="319">
        <f>J1817</f>
        <v/>
      </c>
      <c r="G1818" s="319">
        <f>-PMT($G$1798/$D$1795,45,$F$1817,,0)</f>
        <v/>
      </c>
      <c r="H1818" s="319">
        <f>$G$1798/$D$1795*F1818</f>
        <v/>
      </c>
      <c r="I1818" s="319">
        <f>G1818-H1818</f>
        <v/>
      </c>
      <c r="J1818" s="319">
        <f>F1818-I1818</f>
        <v/>
      </c>
      <c r="K1818" s="516" t="n"/>
      <c r="L1818" s="516">
        <f>L1817+G1818-K1818</f>
        <v/>
      </c>
    </row>
    <row r="1819">
      <c r="B1819" s="1" t="n">
        <v>18</v>
      </c>
      <c r="C1819" s="24" t="n">
        <v>45261</v>
      </c>
      <c r="D1819" s="24" t="n">
        <v>45291</v>
      </c>
      <c r="E1819" s="25">
        <f>D1819-C1819+1</f>
        <v/>
      </c>
      <c r="F1819" s="319">
        <f>J1818</f>
        <v/>
      </c>
      <c r="G1819" s="319">
        <f>-PMT($H$1798/$D$1795,43,$F$1819,,0)</f>
        <v/>
      </c>
      <c r="H1819" s="319">
        <f>$H$1798/$D$1795*F1819</f>
        <v/>
      </c>
      <c r="I1819" s="319">
        <f>G1819-H1819</f>
        <v/>
      </c>
      <c r="J1819" s="319">
        <f>F1819-I1819</f>
        <v/>
      </c>
      <c r="K1819" s="516" t="n">
        <v>4300000</v>
      </c>
      <c r="L1819" s="516">
        <f>L1818+G1819-K1819</f>
        <v/>
      </c>
    </row>
    <row r="1820">
      <c r="B1820" s="1" t="n">
        <v>19</v>
      </c>
      <c r="C1820" s="24" t="n">
        <v>45292</v>
      </c>
      <c r="D1820" s="24" t="n">
        <v>45322</v>
      </c>
      <c r="E1820" s="25">
        <f>D1820-C1820+1</f>
        <v/>
      </c>
      <c r="F1820" s="319">
        <f>J1819</f>
        <v/>
      </c>
      <c r="G1820" s="319">
        <f>-PMT($H$1798/$D$1795,43,$F$1819,,0)</f>
        <v/>
      </c>
      <c r="H1820" s="319">
        <f>$H$1798/$D$1795*F1820</f>
        <v/>
      </c>
      <c r="I1820" s="319">
        <f>G1820-H1820</f>
        <v/>
      </c>
      <c r="J1820" s="319">
        <f>F1820-I1820</f>
        <v/>
      </c>
      <c r="K1820" s="516" t="n"/>
      <c r="L1820" s="516">
        <f>L1819+G1820-K1820</f>
        <v/>
      </c>
    </row>
    <row r="1821">
      <c r="B1821" s="1" t="n">
        <v>20</v>
      </c>
      <c r="C1821" s="24" t="n">
        <v>45323</v>
      </c>
      <c r="D1821" s="24" t="n">
        <v>45350</v>
      </c>
      <c r="E1821" s="25">
        <f>D1821-C1821+1</f>
        <v/>
      </c>
      <c r="F1821" s="319">
        <f>J1820</f>
        <v/>
      </c>
      <c r="G1821" s="319">
        <f>-PMT($I$1798/$D$1795,41,$F$1821,,0)</f>
        <v/>
      </c>
      <c r="H1821" s="319">
        <f>$I$1798/$D$1795*F1821</f>
        <v/>
      </c>
      <c r="I1821" s="319">
        <f>G1821-H1821</f>
        <v/>
      </c>
      <c r="J1821" s="319">
        <f>F1821-I1821</f>
        <v/>
      </c>
      <c r="K1821" s="516" t="n">
        <v>8000000</v>
      </c>
      <c r="L1821" s="516">
        <f>L1820+G1821-K1821</f>
        <v/>
      </c>
    </row>
    <row r="1822">
      <c r="B1822" s="1" t="n">
        <v>21</v>
      </c>
      <c r="C1822" s="24" t="n">
        <v>45352</v>
      </c>
      <c r="D1822" s="24" t="n">
        <v>45382</v>
      </c>
      <c r="E1822" s="25">
        <f>D1822-C1822+1</f>
        <v/>
      </c>
      <c r="F1822" s="319">
        <f>J1821</f>
        <v/>
      </c>
      <c r="G1822" s="319">
        <f>-PMT($I$1798/$D$1795,41,$F$1821,,0)</f>
        <v/>
      </c>
      <c r="H1822" s="319">
        <f>$I$1798/$D$1795*F1822</f>
        <v/>
      </c>
      <c r="I1822" s="319">
        <f>G1822-H1822</f>
        <v/>
      </c>
      <c r="J1822" s="319">
        <f>F1822-I1822</f>
        <v/>
      </c>
      <c r="K1822" s="516" t="n"/>
      <c r="L1822" s="516">
        <f>L1821+G1822-K1822</f>
        <v/>
      </c>
    </row>
    <row r="1823">
      <c r="B1823" s="1" t="n">
        <v>22</v>
      </c>
      <c r="C1823" s="24" t="n">
        <v>45383</v>
      </c>
      <c r="D1823" s="24" t="n">
        <v>45412</v>
      </c>
      <c r="E1823" s="25">
        <f>D1823-C1823+1</f>
        <v/>
      </c>
      <c r="F1823" s="319">
        <f>J1822</f>
        <v/>
      </c>
      <c r="G1823" s="319">
        <f>-PMT($I$1798/$D$1795,41,$F$1821,,0)</f>
        <v/>
      </c>
      <c r="H1823" s="319">
        <f>$I$1798/$D$1795*F1823</f>
        <v/>
      </c>
      <c r="I1823" s="319">
        <f>G1823-H1823</f>
        <v/>
      </c>
      <c r="J1823" s="319">
        <f>F1823-I1823</f>
        <v/>
      </c>
      <c r="K1823" s="516" t="n">
        <v>8645000</v>
      </c>
      <c r="L1823" s="516">
        <f>L1822+G1823-K1823</f>
        <v/>
      </c>
    </row>
    <row r="1824">
      <c r="B1824" s="1" t="n">
        <v>23</v>
      </c>
      <c r="C1824" s="24" t="n">
        <v>45413</v>
      </c>
      <c r="D1824" s="24" t="n">
        <v>45443</v>
      </c>
      <c r="E1824" s="25">
        <f>D1824-C1824+1</f>
        <v/>
      </c>
      <c r="F1824" s="319">
        <f>J1823</f>
        <v/>
      </c>
      <c r="G1824" s="319">
        <f>-PMT($J$1798/$D$1795,38,$F$1824,,0)</f>
        <v/>
      </c>
      <c r="H1824" s="319">
        <f>$J$1798/$D$1795*F1824</f>
        <v/>
      </c>
      <c r="I1824" s="319">
        <f>G1824-H1824</f>
        <v/>
      </c>
      <c r="J1824" s="319">
        <f>F1824-I1824</f>
        <v/>
      </c>
      <c r="K1824" s="516" t="n"/>
      <c r="L1824" s="516">
        <f>L1823+G1824-K1824</f>
        <v/>
      </c>
    </row>
    <row r="1825">
      <c r="B1825" s="1" t="n">
        <v>24</v>
      </c>
      <c r="C1825" s="24" t="n">
        <v>45444</v>
      </c>
      <c r="D1825" s="24" t="n">
        <v>45473</v>
      </c>
      <c r="E1825" s="25">
        <f>D1825-C1825+1</f>
        <v/>
      </c>
      <c r="F1825" s="319">
        <f>J1824</f>
        <v/>
      </c>
      <c r="G1825" s="319">
        <f>-PMT($K$1798/$D$1795,37,$F$1825,,0)</f>
        <v/>
      </c>
      <c r="H1825" s="319">
        <f>$K$1798/$D$1795*F1825</f>
        <v/>
      </c>
      <c r="I1825" s="319">
        <f>G1825-H1825</f>
        <v/>
      </c>
      <c r="J1825" s="319">
        <f>F1825-I1825</f>
        <v/>
      </c>
      <c r="K1825" s="516" t="n"/>
      <c r="L1825" s="516">
        <f>L1824+G1825-K1825</f>
        <v/>
      </c>
    </row>
    <row r="1826">
      <c r="B1826" s="1" t="n">
        <v>25</v>
      </c>
      <c r="C1826" s="24" t="n">
        <v>45474</v>
      </c>
      <c r="D1826" s="24" t="n">
        <v>45504</v>
      </c>
      <c r="E1826" s="25">
        <f>D1826-C1826+1</f>
        <v/>
      </c>
      <c r="F1826" s="319">
        <f>J1825</f>
        <v/>
      </c>
      <c r="G1826" s="319">
        <f>-PMT($L$1798/$D$1795,36,$F$1826,,0)</f>
        <v/>
      </c>
      <c r="H1826" s="319">
        <f>$L$1798/$D$1795*F1826</f>
        <v/>
      </c>
      <c r="I1826" s="319">
        <f>G1826-H1826</f>
        <v/>
      </c>
      <c r="J1826" s="319">
        <f>F1826-I1826</f>
        <v/>
      </c>
      <c r="K1826" s="516" t="n">
        <v>10000000</v>
      </c>
      <c r="L1826" s="519">
        <f>L1825+G1826-K1826</f>
        <v/>
      </c>
    </row>
    <row r="1827">
      <c r="B1827" s="1" t="n">
        <v>26</v>
      </c>
      <c r="C1827" s="24" t="n">
        <v>45505</v>
      </c>
      <c r="D1827" s="24" t="n">
        <v>45535</v>
      </c>
      <c r="E1827" s="25">
        <f>D1827-C1827+1</f>
        <v/>
      </c>
      <c r="F1827" s="319">
        <f>J1826</f>
        <v/>
      </c>
      <c r="G1827" s="319">
        <f>-PMT($L$1798/$D$1795,36,$F$1826,,0)</f>
        <v/>
      </c>
      <c r="H1827" s="319">
        <f>$L$1798/$D$1795*F1827</f>
        <v/>
      </c>
      <c r="I1827" s="319">
        <f>G1827-H1827</f>
        <v/>
      </c>
      <c r="J1827" s="319">
        <f>F1827-I1827</f>
        <v/>
      </c>
      <c r="K1827" s="516" t="n">
        <v>8000000</v>
      </c>
      <c r="L1827" s="516">
        <f>L1826+G1827-K1827</f>
        <v/>
      </c>
    </row>
    <row r="1828">
      <c r="B1828" s="1" t="n">
        <v>27</v>
      </c>
      <c r="C1828" s="24" t="n">
        <v>45536</v>
      </c>
      <c r="D1828" s="24" t="n">
        <v>45565</v>
      </c>
      <c r="E1828" s="25">
        <f>D1828-C1828+1</f>
        <v/>
      </c>
      <c r="F1828" s="319">
        <f>J1827</f>
        <v/>
      </c>
      <c r="G1828" s="319">
        <f>-PMT($L$1798/$D$1795,36,$F$1826,,0)</f>
        <v/>
      </c>
      <c r="H1828" s="319">
        <f>$L$1798/$D$1795*F1828</f>
        <v/>
      </c>
      <c r="I1828" s="319">
        <f>G1828-H1828</f>
        <v/>
      </c>
      <c r="J1828" s="319">
        <f>F1828-I1828</f>
        <v/>
      </c>
      <c r="K1828" s="516" t="n"/>
      <c r="L1828" s="516">
        <f>L1827+G1828-K1828</f>
        <v/>
      </c>
    </row>
    <row r="1829">
      <c r="B1829" s="1" t="n">
        <v>28</v>
      </c>
      <c r="C1829" s="24" t="n">
        <v>45566</v>
      </c>
      <c r="D1829" s="24" t="n">
        <v>45596</v>
      </c>
      <c r="E1829" s="25">
        <f>D1829-C1829+1</f>
        <v/>
      </c>
      <c r="F1829" s="319">
        <f>J1828</f>
        <v/>
      </c>
      <c r="G1829" s="319">
        <f>-PMT($L$1798/$D$1795,36,$F$1826,,0)</f>
        <v/>
      </c>
      <c r="H1829" s="319">
        <f>$L$1798/$D$1795*F1829</f>
        <v/>
      </c>
      <c r="I1829" s="319">
        <f>G1829-H1829</f>
        <v/>
      </c>
      <c r="J1829" s="319">
        <f>F1829-I1829</f>
        <v/>
      </c>
      <c r="K1829" s="516" t="n">
        <v>3000000</v>
      </c>
      <c r="L1829" s="523">
        <f>L1828+G1829-K1829</f>
        <v/>
      </c>
    </row>
    <row r="1830">
      <c r="B1830" s="1" t="n">
        <v>29</v>
      </c>
      <c r="C1830" s="24" t="n">
        <v>45597</v>
      </c>
      <c r="D1830" s="24" t="n">
        <v>45626</v>
      </c>
      <c r="E1830" s="25">
        <f>D1830-C1830+1</f>
        <v/>
      </c>
      <c r="F1830" s="319">
        <f>J1829</f>
        <v/>
      </c>
      <c r="G1830" s="319">
        <f>-PMT($L$1798/$D$1795,36,$F$1826,,0)</f>
        <v/>
      </c>
      <c r="H1830" s="319">
        <f>$L$1798/$D$1795*F1830</f>
        <v/>
      </c>
      <c r="I1830" s="319">
        <f>G1830-H1830</f>
        <v/>
      </c>
      <c r="J1830" s="319">
        <f>F1830-I1830</f>
        <v/>
      </c>
      <c r="K1830" s="516" t="n"/>
      <c r="L1830" s="516" t="n"/>
    </row>
    <row r="1831">
      <c r="B1831" s="1" t="n">
        <v>30</v>
      </c>
      <c r="C1831" s="24" t="n">
        <v>45627</v>
      </c>
      <c r="D1831" s="24" t="n">
        <v>45657</v>
      </c>
      <c r="E1831" s="25">
        <f>D1831-C1831+1</f>
        <v/>
      </c>
      <c r="F1831" s="319">
        <f>J1830</f>
        <v/>
      </c>
      <c r="G1831" s="319">
        <f>-PMT($L$1798/$D$1795,36,$F$1826,,0)</f>
        <v/>
      </c>
      <c r="H1831" s="319">
        <f>$L$1798/$D$1795*F1831</f>
        <v/>
      </c>
      <c r="I1831" s="319">
        <f>G1831-H1831</f>
        <v/>
      </c>
      <c r="J1831" s="319">
        <f>F1831-I1831</f>
        <v/>
      </c>
      <c r="K1831" s="516" t="n"/>
      <c r="L1831" s="516" t="n"/>
    </row>
    <row r="1832">
      <c r="B1832" s="1" t="n">
        <v>31</v>
      </c>
      <c r="C1832" s="24" t="n">
        <v>45658</v>
      </c>
      <c r="D1832" s="24" t="n">
        <v>45688</v>
      </c>
      <c r="E1832" s="25">
        <f>D1832-C1832+1</f>
        <v/>
      </c>
      <c r="F1832" s="319">
        <f>J1831</f>
        <v/>
      </c>
      <c r="G1832" s="319">
        <f>-PMT($L$1798/$D$1795,36,$F$1826,,0)</f>
        <v/>
      </c>
      <c r="H1832" s="319">
        <f>$L$1798/$D$1795*F1832</f>
        <v/>
      </c>
      <c r="I1832" s="319">
        <f>G1832-H1832</f>
        <v/>
      </c>
      <c r="J1832" s="319">
        <f>F1832-I1832</f>
        <v/>
      </c>
      <c r="K1832" s="516" t="n"/>
      <c r="L1832" s="516" t="n"/>
    </row>
    <row r="1833">
      <c r="B1833" s="1" t="n">
        <v>32</v>
      </c>
      <c r="C1833" s="24" t="n">
        <v>45689</v>
      </c>
      <c r="D1833" s="24" t="n">
        <v>45716</v>
      </c>
      <c r="E1833" s="25">
        <f>D1833-C1833+1</f>
        <v/>
      </c>
      <c r="F1833" s="319">
        <f>J1832</f>
        <v/>
      </c>
      <c r="G1833" s="319">
        <f>-PMT($L$1798/$D$1795,36,$F$1826,,0)</f>
        <v/>
      </c>
      <c r="H1833" s="319">
        <f>$L$1798/$D$1795*F1833</f>
        <v/>
      </c>
      <c r="I1833" s="319">
        <f>G1833-H1833</f>
        <v/>
      </c>
      <c r="J1833" s="319">
        <f>F1833-I1833</f>
        <v/>
      </c>
      <c r="K1833" s="516" t="n"/>
      <c r="L1833" s="516" t="n"/>
    </row>
    <row r="1834">
      <c r="B1834" s="1" t="n">
        <v>33</v>
      </c>
      <c r="C1834" s="24" t="n">
        <v>45717</v>
      </c>
      <c r="D1834" s="24" t="n">
        <v>45747</v>
      </c>
      <c r="E1834" s="25">
        <f>D1834-C1834+1</f>
        <v/>
      </c>
      <c r="F1834" s="319">
        <f>J1833</f>
        <v/>
      </c>
      <c r="G1834" s="319">
        <f>-PMT($L$1798/$D$1795,36,$F$1826,,0)</f>
        <v/>
      </c>
      <c r="H1834" s="319">
        <f>$L$1798/$D$1795*F1834</f>
        <v/>
      </c>
      <c r="I1834" s="319">
        <f>G1834-H1834</f>
        <v/>
      </c>
      <c r="J1834" s="319">
        <f>F1834-I1834</f>
        <v/>
      </c>
      <c r="K1834" s="516" t="n"/>
      <c r="L1834" s="516" t="n"/>
    </row>
    <row r="1835">
      <c r="B1835" s="1" t="n">
        <v>34</v>
      </c>
      <c r="C1835" s="24" t="n">
        <v>45748</v>
      </c>
      <c r="D1835" s="24" t="n">
        <v>45777</v>
      </c>
      <c r="E1835" s="25">
        <f>D1835-C1835+1</f>
        <v/>
      </c>
      <c r="F1835" s="319">
        <f>J1834</f>
        <v/>
      </c>
      <c r="G1835" s="319">
        <f>-PMT($L$1798/$D$1795,36,$F$1826,,0)</f>
        <v/>
      </c>
      <c r="H1835" s="319">
        <f>$L$1798/$D$1795*F1835</f>
        <v/>
      </c>
      <c r="I1835" s="319">
        <f>G1835-H1835</f>
        <v/>
      </c>
      <c r="J1835" s="319">
        <f>F1835-I1835</f>
        <v/>
      </c>
      <c r="K1835" s="516" t="n"/>
      <c r="L1835" s="516" t="n"/>
    </row>
    <row r="1836">
      <c r="B1836" s="1" t="n">
        <v>35</v>
      </c>
      <c r="C1836" s="24" t="n">
        <v>45778</v>
      </c>
      <c r="D1836" s="24" t="n">
        <v>45808</v>
      </c>
      <c r="E1836" s="25">
        <f>D1836-C1836+1</f>
        <v/>
      </c>
      <c r="F1836" s="319">
        <f>J1835</f>
        <v/>
      </c>
      <c r="G1836" s="319">
        <f>-PMT($L$1798/$D$1795,36,$F$1826,,0)</f>
        <v/>
      </c>
      <c r="H1836" s="319">
        <f>$L$1798/$D$1795*F1836</f>
        <v/>
      </c>
      <c r="I1836" s="319">
        <f>G1836-H1836</f>
        <v/>
      </c>
      <c r="J1836" s="319">
        <f>F1836-I1836</f>
        <v/>
      </c>
      <c r="K1836" s="516" t="n"/>
      <c r="L1836" s="516" t="n"/>
    </row>
    <row r="1837">
      <c r="B1837" s="1" t="n">
        <v>36</v>
      </c>
      <c r="C1837" s="24" t="n">
        <v>45809</v>
      </c>
      <c r="D1837" s="24" t="n">
        <v>45838</v>
      </c>
      <c r="E1837" s="25">
        <f>D1837-C1837+1</f>
        <v/>
      </c>
      <c r="F1837" s="319">
        <f>J1836</f>
        <v/>
      </c>
      <c r="G1837" s="319">
        <f>-PMT($L$1798/$D$1795,36,$F$1826,,0)</f>
        <v/>
      </c>
      <c r="H1837" s="319">
        <f>$L$1798/$D$1795*F1837</f>
        <v/>
      </c>
      <c r="I1837" s="319">
        <f>G1837-H1837</f>
        <v/>
      </c>
      <c r="J1837" s="319">
        <f>F1837-I1837</f>
        <v/>
      </c>
      <c r="K1837" s="516" t="n"/>
      <c r="L1837" s="516" t="n"/>
    </row>
    <row r="1838">
      <c r="B1838" s="1" t="n">
        <v>37</v>
      </c>
      <c r="C1838" s="24" t="n">
        <v>45839</v>
      </c>
      <c r="D1838" s="24" t="n">
        <v>45869</v>
      </c>
      <c r="E1838" s="25">
        <f>D1838-C1838+1</f>
        <v/>
      </c>
      <c r="F1838" s="319">
        <f>J1837</f>
        <v/>
      </c>
      <c r="G1838" s="319">
        <f>-PMT($L$1798/$D$1795,36,$F$1826,,0)</f>
        <v/>
      </c>
      <c r="H1838" s="319">
        <f>$L$1798/$D$1795*F1838</f>
        <v/>
      </c>
      <c r="I1838" s="319">
        <f>G1838-H1838</f>
        <v/>
      </c>
      <c r="J1838" s="319">
        <f>F1838-I1838</f>
        <v/>
      </c>
      <c r="K1838" s="516" t="n"/>
      <c r="L1838" s="516" t="n"/>
    </row>
    <row r="1839">
      <c r="B1839" s="1" t="n">
        <v>38</v>
      </c>
      <c r="C1839" s="24" t="n">
        <v>45870</v>
      </c>
      <c r="D1839" s="24" t="n">
        <v>45900</v>
      </c>
      <c r="E1839" s="25">
        <f>D1839-C1839+1</f>
        <v/>
      </c>
      <c r="F1839" s="319">
        <f>J1838</f>
        <v/>
      </c>
      <c r="G1839" s="319">
        <f>-PMT($L$1798/$D$1795,36,$F$1826,,0)</f>
        <v/>
      </c>
      <c r="H1839" s="319">
        <f>$L$1798/$D$1795*F1839</f>
        <v/>
      </c>
      <c r="I1839" s="319">
        <f>G1839-H1839</f>
        <v/>
      </c>
      <c r="J1839" s="319">
        <f>F1839-I1839</f>
        <v/>
      </c>
      <c r="K1839" s="516" t="n"/>
      <c r="L1839" s="516" t="n"/>
    </row>
    <row r="1840">
      <c r="B1840" s="1" t="n">
        <v>39</v>
      </c>
      <c r="C1840" s="24" t="n">
        <v>45901</v>
      </c>
      <c r="D1840" s="24" t="n">
        <v>45930</v>
      </c>
      <c r="E1840" s="25">
        <f>D1840-C1840+1</f>
        <v/>
      </c>
      <c r="F1840" s="319">
        <f>J1839</f>
        <v/>
      </c>
      <c r="G1840" s="319">
        <f>-PMT($L$1798/$D$1795,36,$F$1826,,0)</f>
        <v/>
      </c>
      <c r="H1840" s="319">
        <f>$L$1798/$D$1795*F1840</f>
        <v/>
      </c>
      <c r="I1840" s="319">
        <f>G1840-H1840</f>
        <v/>
      </c>
      <c r="J1840" s="319">
        <f>F1840-I1840</f>
        <v/>
      </c>
      <c r="K1840" s="516" t="n"/>
      <c r="L1840" s="516" t="n"/>
    </row>
    <row r="1841">
      <c r="B1841" s="1" t="n">
        <v>40</v>
      </c>
      <c r="C1841" s="24" t="n">
        <v>45931</v>
      </c>
      <c r="D1841" s="24" t="n">
        <v>45961</v>
      </c>
      <c r="E1841" s="25">
        <f>D1841-C1841+1</f>
        <v/>
      </c>
      <c r="F1841" s="319">
        <f>J1840</f>
        <v/>
      </c>
      <c r="G1841" s="319">
        <f>-PMT($L$1798/$D$1795,36,$F$1826,,0)</f>
        <v/>
      </c>
      <c r="H1841" s="319">
        <f>$L$1798/$D$1795*F1841</f>
        <v/>
      </c>
      <c r="I1841" s="319">
        <f>G1841-H1841</f>
        <v/>
      </c>
      <c r="J1841" s="319">
        <f>F1841-I1841</f>
        <v/>
      </c>
      <c r="K1841" s="516" t="n"/>
      <c r="L1841" s="516" t="n"/>
    </row>
    <row r="1842">
      <c r="B1842" s="1" t="n">
        <v>41</v>
      </c>
      <c r="C1842" s="24" t="n">
        <v>45962</v>
      </c>
      <c r="D1842" s="24" t="n">
        <v>45991</v>
      </c>
      <c r="E1842" s="25">
        <f>D1842-C1842+1</f>
        <v/>
      </c>
      <c r="F1842" s="319">
        <f>J1841</f>
        <v/>
      </c>
      <c r="G1842" s="319">
        <f>-PMT($L$1798/$D$1795,36,$F$1826,,0)</f>
        <v/>
      </c>
      <c r="H1842" s="319">
        <f>$L$1798/$D$1795*F1842</f>
        <v/>
      </c>
      <c r="I1842" s="319">
        <f>G1842-H1842</f>
        <v/>
      </c>
      <c r="J1842" s="319">
        <f>F1842-I1842</f>
        <v/>
      </c>
      <c r="K1842" s="516" t="n"/>
      <c r="L1842" s="516" t="n"/>
    </row>
    <row r="1843">
      <c r="B1843" s="1" t="n">
        <v>42</v>
      </c>
      <c r="C1843" s="24" t="n">
        <v>45992</v>
      </c>
      <c r="D1843" s="24" t="n">
        <v>46022</v>
      </c>
      <c r="E1843" s="25">
        <f>D1843-C1843+1</f>
        <v/>
      </c>
      <c r="F1843" s="319">
        <f>J1842</f>
        <v/>
      </c>
      <c r="G1843" s="319">
        <f>-PMT($L$1798/$D$1795,36,$F$1826,,0)</f>
        <v/>
      </c>
      <c r="H1843" s="319">
        <f>$L$1798/$D$1795*F1843</f>
        <v/>
      </c>
      <c r="I1843" s="319">
        <f>G1843-H1843</f>
        <v/>
      </c>
      <c r="J1843" s="319">
        <f>F1843-I1843</f>
        <v/>
      </c>
      <c r="K1843" s="516" t="n"/>
      <c r="L1843" s="516" t="n"/>
    </row>
    <row r="1844">
      <c r="B1844" s="1" t="n">
        <v>43</v>
      </c>
      <c r="C1844" s="24" t="n">
        <v>46023</v>
      </c>
      <c r="D1844" s="24" t="n">
        <v>46053</v>
      </c>
      <c r="E1844" s="25">
        <f>D1844-C1844+1</f>
        <v/>
      </c>
      <c r="F1844" s="319">
        <f>J1843</f>
        <v/>
      </c>
      <c r="G1844" s="319">
        <f>-PMT($L$1798/$D$1795,36,$F$1826,,0)</f>
        <v/>
      </c>
      <c r="H1844" s="319">
        <f>$L$1798/$D$1795*F1844</f>
        <v/>
      </c>
      <c r="I1844" s="319">
        <f>G1844-H1844</f>
        <v/>
      </c>
      <c r="J1844" s="319">
        <f>F1844-I1844</f>
        <v/>
      </c>
      <c r="K1844" s="516" t="n"/>
      <c r="L1844" s="516" t="n"/>
    </row>
    <row r="1845">
      <c r="B1845" s="1" t="n">
        <v>44</v>
      </c>
      <c r="C1845" s="24" t="n">
        <v>46054</v>
      </c>
      <c r="D1845" s="24" t="n">
        <v>46081</v>
      </c>
      <c r="E1845" s="25">
        <f>D1845-C1845+1</f>
        <v/>
      </c>
      <c r="F1845" s="319">
        <f>J1844</f>
        <v/>
      </c>
      <c r="G1845" s="319">
        <f>-PMT($L$1798/$D$1795,36,$F$1826,,0)</f>
        <v/>
      </c>
      <c r="H1845" s="319">
        <f>$L$1798/$D$1795*F1845</f>
        <v/>
      </c>
      <c r="I1845" s="319">
        <f>G1845-H1845</f>
        <v/>
      </c>
      <c r="J1845" s="319">
        <f>F1845-I1845</f>
        <v/>
      </c>
      <c r="K1845" s="516" t="n"/>
      <c r="L1845" s="516" t="n"/>
    </row>
    <row r="1846">
      <c r="B1846" s="1" t="n">
        <v>45</v>
      </c>
      <c r="C1846" s="24" t="n">
        <v>46082</v>
      </c>
      <c r="D1846" s="24" t="n">
        <v>46112</v>
      </c>
      <c r="E1846" s="25">
        <f>D1846-C1846+1</f>
        <v/>
      </c>
      <c r="F1846" s="319">
        <f>J1845</f>
        <v/>
      </c>
      <c r="G1846" s="319">
        <f>-PMT($L$1798/$D$1795,36,$F$1826,,0)</f>
        <v/>
      </c>
      <c r="H1846" s="319">
        <f>$L$1798/$D$1795*F1846</f>
        <v/>
      </c>
      <c r="I1846" s="319">
        <f>G1846-H1846</f>
        <v/>
      </c>
      <c r="J1846" s="319">
        <f>F1846-I1846</f>
        <v/>
      </c>
      <c r="K1846" s="516" t="n"/>
      <c r="L1846" s="516" t="n"/>
    </row>
    <row r="1847">
      <c r="B1847" s="1" t="n">
        <v>46</v>
      </c>
      <c r="C1847" s="24" t="n">
        <v>46113</v>
      </c>
      <c r="D1847" s="24" t="n">
        <v>46142</v>
      </c>
      <c r="E1847" s="25">
        <f>D1847-C1847+1</f>
        <v/>
      </c>
      <c r="F1847" s="319">
        <f>J1846</f>
        <v/>
      </c>
      <c r="G1847" s="319">
        <f>-PMT($L$1798/$D$1795,36,$F$1826,,0)</f>
        <v/>
      </c>
      <c r="H1847" s="319">
        <f>$L$1798/$D$1795*F1847</f>
        <v/>
      </c>
      <c r="I1847" s="319">
        <f>G1847-H1847</f>
        <v/>
      </c>
      <c r="J1847" s="319">
        <f>F1847-I1847</f>
        <v/>
      </c>
      <c r="K1847" s="516" t="n"/>
      <c r="L1847" s="516" t="n"/>
    </row>
    <row r="1848">
      <c r="B1848" s="1" t="n">
        <v>47</v>
      </c>
      <c r="C1848" s="24" t="n">
        <v>46143</v>
      </c>
      <c r="D1848" s="24" t="n">
        <v>46173</v>
      </c>
      <c r="E1848" s="25">
        <f>D1848-C1848+1</f>
        <v/>
      </c>
      <c r="F1848" s="319">
        <f>J1847</f>
        <v/>
      </c>
      <c r="G1848" s="319">
        <f>-PMT($L$1798/$D$1795,36,$F$1826,,0)</f>
        <v/>
      </c>
      <c r="H1848" s="319">
        <f>$L$1798/$D$1795*F1848</f>
        <v/>
      </c>
      <c r="I1848" s="319">
        <f>G1848-H1848</f>
        <v/>
      </c>
      <c r="J1848" s="319">
        <f>F1848-I1848</f>
        <v/>
      </c>
      <c r="K1848" s="516" t="n"/>
      <c r="L1848" s="516" t="n"/>
    </row>
    <row r="1849">
      <c r="B1849" s="1" t="n">
        <v>48</v>
      </c>
      <c r="C1849" s="24" t="n">
        <v>46174</v>
      </c>
      <c r="D1849" s="24" t="n">
        <v>46203</v>
      </c>
      <c r="E1849" s="25">
        <f>D1849-C1849+1</f>
        <v/>
      </c>
      <c r="F1849" s="319">
        <f>J1848</f>
        <v/>
      </c>
      <c r="G1849" s="319">
        <f>-PMT($L$1798/$D$1795,36,$F$1826,,0)</f>
        <v/>
      </c>
      <c r="H1849" s="319">
        <f>$L$1798/$D$1795*F1849</f>
        <v/>
      </c>
      <c r="I1849" s="319">
        <f>G1849-H1849</f>
        <v/>
      </c>
      <c r="J1849" s="319">
        <f>F1849-I1849</f>
        <v/>
      </c>
      <c r="K1849" s="516" t="n"/>
      <c r="L1849" s="516" t="n"/>
    </row>
    <row r="1850">
      <c r="B1850" s="1" t="n">
        <v>49</v>
      </c>
      <c r="C1850" s="24" t="n">
        <v>46204</v>
      </c>
      <c r="D1850" s="24" t="n">
        <v>46234</v>
      </c>
      <c r="E1850" s="25">
        <f>D1850-C1850+1</f>
        <v/>
      </c>
      <c r="F1850" s="319">
        <f>J1849</f>
        <v/>
      </c>
      <c r="G1850" s="319">
        <f>-PMT($L$1798/$D$1795,36,$F$1826,,0)</f>
        <v/>
      </c>
      <c r="H1850" s="319">
        <f>$L$1798/$D$1795*F1850</f>
        <v/>
      </c>
      <c r="I1850" s="319">
        <f>G1850-H1850</f>
        <v/>
      </c>
      <c r="J1850" s="319">
        <f>F1850-I1850</f>
        <v/>
      </c>
      <c r="K1850" s="516" t="n"/>
      <c r="L1850" s="516" t="n"/>
    </row>
    <row r="1851">
      <c r="B1851" s="1" t="n">
        <v>50</v>
      </c>
      <c r="C1851" s="24" t="n">
        <v>46235</v>
      </c>
      <c r="D1851" s="24" t="n">
        <v>46265</v>
      </c>
      <c r="E1851" s="25">
        <f>D1851-C1851+1</f>
        <v/>
      </c>
      <c r="F1851" s="319">
        <f>J1850</f>
        <v/>
      </c>
      <c r="G1851" s="319">
        <f>-PMT($L$1798/$D$1795,36,$F$1826,,0)</f>
        <v/>
      </c>
      <c r="H1851" s="319">
        <f>$L$1798/$D$1795*F1851</f>
        <v/>
      </c>
      <c r="I1851" s="319">
        <f>G1851-H1851</f>
        <v/>
      </c>
      <c r="J1851" s="319">
        <f>F1851-I1851</f>
        <v/>
      </c>
      <c r="K1851" s="516" t="n"/>
      <c r="L1851" s="516" t="n"/>
    </row>
    <row r="1852">
      <c r="B1852" s="1" t="n">
        <v>51</v>
      </c>
      <c r="C1852" s="24" t="n">
        <v>46266</v>
      </c>
      <c r="D1852" s="24" t="n">
        <v>46295</v>
      </c>
      <c r="E1852" s="25">
        <f>D1852-C1852+1</f>
        <v/>
      </c>
      <c r="F1852" s="319">
        <f>J1851</f>
        <v/>
      </c>
      <c r="G1852" s="319">
        <f>-PMT($L$1798/$D$1795,36,$F$1826,,0)</f>
        <v/>
      </c>
      <c r="H1852" s="319">
        <f>$L$1798/$D$1795*F1852</f>
        <v/>
      </c>
      <c r="I1852" s="319">
        <f>G1852-H1852</f>
        <v/>
      </c>
      <c r="J1852" s="319">
        <f>F1852-I1852</f>
        <v/>
      </c>
      <c r="K1852" s="516" t="n"/>
      <c r="L1852" s="516" t="n"/>
    </row>
    <row r="1853">
      <c r="B1853" s="1" t="n">
        <v>52</v>
      </c>
      <c r="C1853" s="24" t="n">
        <v>46296</v>
      </c>
      <c r="D1853" s="24" t="n">
        <v>46326</v>
      </c>
      <c r="E1853" s="25">
        <f>D1853-C1853+1</f>
        <v/>
      </c>
      <c r="F1853" s="319">
        <f>J1852</f>
        <v/>
      </c>
      <c r="G1853" s="319">
        <f>-PMT($L$1798/$D$1795,36,$F$1826,,0)</f>
        <v/>
      </c>
      <c r="H1853" s="319">
        <f>$L$1798/$D$1795*F1853</f>
        <v/>
      </c>
      <c r="I1853" s="319">
        <f>G1853-H1853</f>
        <v/>
      </c>
      <c r="J1853" s="319">
        <f>F1853-I1853</f>
        <v/>
      </c>
      <c r="K1853" s="516" t="n"/>
      <c r="L1853" s="516" t="n"/>
    </row>
    <row r="1854">
      <c r="B1854" s="1" t="n">
        <v>53</v>
      </c>
      <c r="C1854" s="24" t="n">
        <v>46327</v>
      </c>
      <c r="D1854" s="24" t="n">
        <v>46356</v>
      </c>
      <c r="E1854" s="25">
        <f>D1854-C1854+1</f>
        <v/>
      </c>
      <c r="F1854" s="319">
        <f>J1853</f>
        <v/>
      </c>
      <c r="G1854" s="319">
        <f>-PMT($L$1798/$D$1795,36,$F$1826,,0)</f>
        <v/>
      </c>
      <c r="H1854" s="319">
        <f>$L$1798/$D$1795*F1854</f>
        <v/>
      </c>
      <c r="I1854" s="319">
        <f>G1854-H1854</f>
        <v/>
      </c>
      <c r="J1854" s="319">
        <f>F1854-I1854</f>
        <v/>
      </c>
      <c r="K1854" s="516" t="n"/>
      <c r="L1854" s="516" t="n"/>
    </row>
    <row r="1855">
      <c r="B1855" s="1" t="n">
        <v>54</v>
      </c>
      <c r="C1855" s="24" t="n">
        <v>46357</v>
      </c>
      <c r="D1855" s="24" t="n">
        <v>46387</v>
      </c>
      <c r="E1855" s="25">
        <f>D1855-C1855+1</f>
        <v/>
      </c>
      <c r="F1855" s="319">
        <f>J1854</f>
        <v/>
      </c>
      <c r="G1855" s="319">
        <f>-PMT($L$1798/$D$1795,36,$F$1826,,0)</f>
        <v/>
      </c>
      <c r="H1855" s="319">
        <f>$L$1798/$D$1795*F1855</f>
        <v/>
      </c>
      <c r="I1855" s="319">
        <f>G1855-H1855</f>
        <v/>
      </c>
      <c r="J1855" s="319">
        <f>F1855-I1855</f>
        <v/>
      </c>
      <c r="K1855" s="516" t="n"/>
      <c r="L1855" s="516" t="n"/>
    </row>
    <row r="1856">
      <c r="B1856" s="1" t="n">
        <v>55</v>
      </c>
      <c r="C1856" s="24" t="n">
        <v>46388</v>
      </c>
      <c r="D1856" s="24" t="n">
        <v>46418</v>
      </c>
      <c r="E1856" s="25">
        <f>D1856-C1856+1</f>
        <v/>
      </c>
      <c r="F1856" s="319">
        <f>J1855</f>
        <v/>
      </c>
      <c r="G1856" s="319">
        <f>-PMT($L$1798/$D$1795,36,$F$1826,,0)</f>
        <v/>
      </c>
      <c r="H1856" s="319">
        <f>$L$1798/$D$1795*F1856</f>
        <v/>
      </c>
      <c r="I1856" s="319">
        <f>G1856-H1856</f>
        <v/>
      </c>
      <c r="J1856" s="319">
        <f>F1856-I1856</f>
        <v/>
      </c>
      <c r="K1856" s="516" t="n"/>
      <c r="L1856" s="516" t="n"/>
    </row>
    <row r="1857">
      <c r="B1857" s="1" t="n">
        <v>56</v>
      </c>
      <c r="C1857" s="24" t="n">
        <v>46419</v>
      </c>
      <c r="D1857" s="24" t="n">
        <v>46446</v>
      </c>
      <c r="E1857" s="25">
        <f>D1857-C1857+1</f>
        <v/>
      </c>
      <c r="F1857" s="319">
        <f>J1856</f>
        <v/>
      </c>
      <c r="G1857" s="319">
        <f>-PMT($L$1798/$D$1795,36,$F$1826,,0)</f>
        <v/>
      </c>
      <c r="H1857" s="319">
        <f>$L$1798/$D$1795*F1857</f>
        <v/>
      </c>
      <c r="I1857" s="319">
        <f>G1857-H1857</f>
        <v/>
      </c>
      <c r="J1857" s="319">
        <f>F1857-I1857</f>
        <v/>
      </c>
      <c r="K1857" s="516" t="n"/>
      <c r="L1857" s="516" t="n"/>
    </row>
    <row r="1858">
      <c r="B1858" s="1" t="n">
        <v>57</v>
      </c>
      <c r="C1858" s="24" t="n">
        <v>46447</v>
      </c>
      <c r="D1858" s="24" t="n">
        <v>46477</v>
      </c>
      <c r="E1858" s="25">
        <f>D1858-C1858+1</f>
        <v/>
      </c>
      <c r="F1858" s="319">
        <f>J1857</f>
        <v/>
      </c>
      <c r="G1858" s="319">
        <f>-PMT($L$1798/$D$1795,36,$F$1826,,0)</f>
        <v/>
      </c>
      <c r="H1858" s="319">
        <f>$L$1798/$D$1795*F1858</f>
        <v/>
      </c>
      <c r="I1858" s="319">
        <f>G1858-H1858</f>
        <v/>
      </c>
      <c r="J1858" s="319">
        <f>F1858-I1858</f>
        <v/>
      </c>
      <c r="K1858" s="516" t="n"/>
      <c r="L1858" s="516" t="n"/>
    </row>
    <row r="1859">
      <c r="B1859" s="1" t="n">
        <v>58</v>
      </c>
      <c r="C1859" s="24" t="n">
        <v>46478</v>
      </c>
      <c r="D1859" s="24" t="n">
        <v>46507</v>
      </c>
      <c r="E1859" s="25">
        <f>D1859-C1859+1</f>
        <v/>
      </c>
      <c r="F1859" s="319">
        <f>J1858</f>
        <v/>
      </c>
      <c r="G1859" s="319">
        <f>-PMT($L$1798/$D$1795,36,$F$1826,,0)</f>
        <v/>
      </c>
      <c r="H1859" s="319">
        <f>$L$1798/$D$1795*F1859</f>
        <v/>
      </c>
      <c r="I1859" s="319">
        <f>G1859-H1859</f>
        <v/>
      </c>
      <c r="J1859" s="319">
        <f>F1859-I1859</f>
        <v/>
      </c>
      <c r="K1859" s="516" t="n"/>
      <c r="L1859" s="516" t="n"/>
    </row>
    <row r="1860">
      <c r="B1860" s="1" t="n">
        <v>59</v>
      </c>
      <c r="C1860" s="24" t="n">
        <v>46508</v>
      </c>
      <c r="D1860" s="24" t="n">
        <v>46538</v>
      </c>
      <c r="E1860" s="25">
        <f>D1860-C1860+1</f>
        <v/>
      </c>
      <c r="F1860" s="319">
        <f>J1859</f>
        <v/>
      </c>
      <c r="G1860" s="319">
        <f>-PMT($L$1798/$D$1795,36,$F$1826,,0)</f>
        <v/>
      </c>
      <c r="H1860" s="319">
        <f>$L$1798/$D$1795*F1860</f>
        <v/>
      </c>
      <c r="I1860" s="319">
        <f>G1860-H1860</f>
        <v/>
      </c>
      <c r="J1860" s="319">
        <f>F1860-I1860</f>
        <v/>
      </c>
      <c r="K1860" s="516" t="n"/>
      <c r="L1860" s="516" t="n"/>
    </row>
    <row r="1861">
      <c r="B1861" s="1" t="n">
        <v>60</v>
      </c>
      <c r="C1861" s="24" t="n">
        <v>46539</v>
      </c>
      <c r="D1861" s="24" t="n">
        <v>46568</v>
      </c>
      <c r="E1861" s="25">
        <f>D1861-C1861+1</f>
        <v/>
      </c>
      <c r="F1861" s="319">
        <f>J1860</f>
        <v/>
      </c>
      <c r="G1861" s="319">
        <f>-PMT($L$1798/$D$1795,36,$F$1826,,0)</f>
        <v/>
      </c>
      <c r="H1861" s="319">
        <f>$L$1798/$D$1795*F1861</f>
        <v/>
      </c>
      <c r="I1861" s="319">
        <f>G1861-H1861</f>
        <v/>
      </c>
      <c r="J1861" s="319">
        <f>F1861-I1861</f>
        <v/>
      </c>
      <c r="K1861" s="516" t="n"/>
      <c r="L1861" s="516" t="n"/>
    </row>
    <row r="1862">
      <c r="B1862" s="1" t="n"/>
      <c r="C1862" s="24" t="n"/>
      <c r="D1862" s="24" t="n"/>
      <c r="E1862" s="25" t="n"/>
      <c r="F1862" s="319" t="n"/>
      <c r="G1862" s="319" t="n"/>
      <c r="H1862" s="319" t="n"/>
      <c r="I1862" s="319" t="n"/>
      <c r="J1862" s="319" t="n"/>
      <c r="K1862" s="516" t="n"/>
      <c r="L1862" s="516" t="n"/>
    </row>
    <row r="1863">
      <c r="B1863" s="1" t="n"/>
      <c r="C1863" s="24" t="n"/>
      <c r="D1863" s="24" t="n"/>
      <c r="E1863" s="25" t="n"/>
      <c r="F1863" s="319" t="n"/>
      <c r="G1863" s="319" t="n"/>
      <c r="H1863" s="319" t="n"/>
      <c r="I1863" s="319" t="n"/>
      <c r="J1863" s="319" t="n"/>
      <c r="K1863" s="516" t="n"/>
      <c r="L1863" s="516" t="n"/>
    </row>
    <row r="1864" ht="14.25" customHeight="1">
      <c r="B1864" s="1" t="n"/>
      <c r="C1864" s="1" t="n"/>
      <c r="D1864" s="1" t="n"/>
      <c r="E1864" s="30">
        <f>SUM(E1801:E1824)</f>
        <v/>
      </c>
      <c r="F1864" s="319" t="n"/>
      <c r="G1864" s="319" t="n"/>
      <c r="H1864" s="319" t="n"/>
      <c r="I1864" s="319" t="n"/>
      <c r="J1864" s="319" t="n"/>
      <c r="K1864" s="1" t="n"/>
      <c r="L1864" s="1" t="n"/>
    </row>
    <row r="1868">
      <c r="B1868" s="1" t="n"/>
      <c r="C1868" s="9" t="inlineStr">
        <is>
          <t>MMM Investments</t>
        </is>
      </c>
      <c r="D1868" s="319" t="n"/>
      <c r="E1868" s="319" t="n"/>
      <c r="F1868" s="319" t="n"/>
      <c r="G1868" s="319" t="n"/>
      <c r="H1868" s="319" t="n"/>
      <c r="I1868" s="319" t="n"/>
      <c r="J1868" s="319" t="n"/>
      <c r="K1868" s="319" t="n"/>
      <c r="L1868" s="319" t="n"/>
      <c r="R1868" s="514" t="inlineStr">
        <is>
          <t>E-Banker account (Dupleix)</t>
        </is>
      </c>
      <c r="S1868" s="495">
        <f>IFERROR(INDEX('Blocks'!$I$2:$I$101,MATCH(32,'Blocks'!$A$2:$A$101,0)),"")</f>
        <v/>
      </c>
    </row>
    <row r="1869">
      <c r="B1869" s="1" t="n"/>
      <c r="C1869" s="1" t="n"/>
      <c r="D1869" s="319" t="n"/>
      <c r="E1869" s="319" t="n"/>
      <c r="F1869" s="319" t="n"/>
      <c r="G1869" s="319" t="n"/>
      <c r="H1869" s="319" t="n"/>
      <c r="I1869" s="319" t="n"/>
      <c r="J1869" s="319" t="n"/>
      <c r="K1869" s="319" t="n"/>
      <c r="L1869" s="319" t="n"/>
      <c r="R1869" s="514" t="inlineStr">
        <is>
          <t>Facility (Loan Book)</t>
        </is>
      </c>
      <c r="S1869" s="495">
        <f>IFERROR(INDEX('Blocks'!$H$2:$H$101,MATCH(32,'Blocks'!$A$2:$A$101,0)),"")</f>
        <v/>
      </c>
    </row>
    <row r="1870">
      <c r="B1870" s="1" t="n"/>
      <c r="C1870" s="10" t="inlineStr">
        <is>
          <t>Principal (MK)</t>
        </is>
      </c>
      <c r="D1870" s="11" t="n">
        <v>10000000</v>
      </c>
      <c r="E1870" s="319" t="n"/>
      <c r="F1870" s="319" t="n"/>
      <c r="G1870" s="319" t="n"/>
      <c r="H1870" s="319" t="n"/>
      <c r="I1870" s="319" t="n"/>
      <c r="J1870" s="319" t="n"/>
      <c r="K1870" s="319" t="n"/>
      <c r="L1870" s="319" t="n"/>
      <c r="R1870" s="514" t="inlineStr">
        <is>
          <t>Take-on posting 31 Jul 2024</t>
        </is>
      </c>
      <c r="S1870" s="496">
        <f>IFERROR(INDEX('E-Banker master'!$N$2:$N$186,MATCH(S1868,'E-Banker master'!$A$2:$A$186,0)),"")</f>
        <v/>
      </c>
    </row>
    <row r="1871">
      <c r="B1871" s="1" t="n"/>
      <c r="C1871" s="13" t="inlineStr">
        <is>
          <t>Rate</t>
        </is>
      </c>
      <c r="D1871" s="14" t="n">
        <v>0.1</v>
      </c>
      <c r="E1871" s="257" t="n"/>
      <c r="F1871" s="319" t="n"/>
      <c r="G1871" s="319" t="n"/>
      <c r="H1871" s="319" t="n"/>
      <c r="I1871" s="319" t="n"/>
      <c r="J1871" s="319" t="n"/>
      <c r="K1871" s="319" t="n"/>
      <c r="L1871" s="319" t="n"/>
      <c r="R1871" s="514" t="inlineStr">
        <is>
          <t>E-Banker balance 31 Oct 2024</t>
        </is>
      </c>
      <c r="S1871" s="496">
        <f>IFERROR(INDEX('E-Banker master'!$P$2:$P$186,MATCH(S1868,'E-Banker master'!$A$2:$A$186,0)),"")</f>
        <v/>
      </c>
    </row>
    <row r="1872">
      <c r="B1872" s="1" t="n"/>
      <c r="C1872" s="13" t="inlineStr">
        <is>
          <t>n</t>
        </is>
      </c>
      <c r="D1872" s="16" t="n">
        <v>1</v>
      </c>
      <c r="E1872" s="1" t="n"/>
      <c r="F1872" s="319" t="n"/>
      <c r="G1872" s="319" t="n"/>
      <c r="H1872" s="319" t="n"/>
      <c r="I1872" s="319" t="n"/>
      <c r="J1872" s="319" t="n"/>
      <c r="K1872" s="1" t="n"/>
      <c r="L1872" s="1" t="n"/>
    </row>
    <row r="1873">
      <c r="B1873" s="1" t="n"/>
      <c r="C1873" s="13" t="inlineStr">
        <is>
          <t>Per</t>
        </is>
      </c>
      <c r="D1873" s="16" t="n">
        <v>12</v>
      </c>
      <c r="E1873" s="1" t="n"/>
      <c r="F1873" s="319" t="n"/>
      <c r="G1873" s="319" t="n"/>
      <c r="H1873" s="319" t="n"/>
      <c r="I1873" s="319" t="n"/>
      <c r="J1873" s="319" t="n"/>
      <c r="K1873" s="1" t="n"/>
      <c r="L1873" s="1" t="n"/>
    </row>
    <row r="1874">
      <c r="B1874" s="1" t="n"/>
      <c r="C1874" s="13" t="inlineStr">
        <is>
          <t>nPer</t>
        </is>
      </c>
      <c r="D1874" s="515">
        <f>D1872*D1873</f>
        <v/>
      </c>
      <c r="E1874" s="1" t="n"/>
      <c r="F1874" s="319" t="n"/>
      <c r="G1874" s="319" t="n"/>
      <c r="H1874" s="319" t="n"/>
      <c r="I1874" s="319" t="n"/>
      <c r="J1874" s="319" t="n"/>
      <c r="K1874" s="1" t="n"/>
      <c r="L1874" s="1" t="n"/>
    </row>
    <row r="1875">
      <c r="B1875" s="1" t="n"/>
      <c r="C1875" s="13" t="inlineStr">
        <is>
          <t>Days in a year</t>
        </is>
      </c>
      <c r="D1875" s="18" t="n">
        <v>365</v>
      </c>
      <c r="E1875" s="1" t="n"/>
      <c r="F1875" s="319" t="n"/>
      <c r="G1875" s="319" t="n"/>
      <c r="H1875" s="319" t="n"/>
      <c r="I1875" s="319" t="n"/>
      <c r="J1875" s="319" t="n"/>
      <c r="K1875" s="1" t="n"/>
      <c r="L1875" s="1" t="n"/>
    </row>
    <row r="1876">
      <c r="B1876" s="1" t="n"/>
      <c r="C1876" s="19" t="inlineStr">
        <is>
          <t>Pmt (MK)</t>
        </is>
      </c>
      <c r="D1876" s="20">
        <f>-PMT(D1871/D1873,D1874,D1870,0,0)</f>
        <v/>
      </c>
      <c r="E1876" s="319" t="n"/>
      <c r="F1876" s="319" t="n"/>
      <c r="G1876" s="319" t="n"/>
      <c r="H1876" s="319" t="n"/>
      <c r="I1876" s="319" t="n"/>
      <c r="J1876" s="319" t="n"/>
      <c r="K1876" s="1" t="n"/>
      <c r="L1876" s="1" t="n"/>
    </row>
    <row r="1877">
      <c r="B1877" s="1" t="n"/>
      <c r="C1877" s="1" t="n"/>
      <c r="D1877" s="319" t="n"/>
      <c r="E1877" s="319" t="n"/>
      <c r="F1877" s="319" t="n"/>
      <c r="G1877" s="319" t="n"/>
      <c r="H1877" s="319" t="n"/>
      <c r="I1877" s="319" t="n"/>
      <c r="J1877" s="319" t="n"/>
      <c r="K1877" s="1" t="n"/>
      <c r="L1877" s="1" t="n"/>
    </row>
    <row r="1878">
      <c r="B1878" s="1" t="n"/>
      <c r="C1878" s="21" t="inlineStr">
        <is>
          <t>Period Start</t>
        </is>
      </c>
      <c r="D1878" s="22" t="inlineStr">
        <is>
          <t>Period End</t>
        </is>
      </c>
      <c r="E1878" s="22" t="inlineStr">
        <is>
          <t>Days</t>
        </is>
      </c>
      <c r="F1878" s="294" t="inlineStr">
        <is>
          <t>Opening bal.</t>
        </is>
      </c>
      <c r="G1878" s="294" t="inlineStr">
        <is>
          <t>Pmt</t>
        </is>
      </c>
      <c r="H1878" s="294" t="inlineStr">
        <is>
          <t>Interest</t>
        </is>
      </c>
      <c r="I1878" s="294" t="inlineStr">
        <is>
          <t>Principal</t>
        </is>
      </c>
      <c r="J1878" s="294" t="inlineStr">
        <is>
          <t>Closing balance</t>
        </is>
      </c>
      <c r="K1878" s="23" t="inlineStr">
        <is>
          <t>Amount Repaid</t>
        </is>
      </c>
      <c r="L1878" s="23" t="inlineStr">
        <is>
          <t>Accumulated Arrears</t>
        </is>
      </c>
    </row>
    <row r="1879">
      <c r="B1879" s="1" t="n">
        <v>0</v>
      </c>
      <c r="C1879" s="24" t="n">
        <v>44749</v>
      </c>
      <c r="D1879" s="24" t="n">
        <v>44773</v>
      </c>
      <c r="E1879" s="25">
        <f>D1879-C1879+1</f>
        <v/>
      </c>
      <c r="F1879" s="319">
        <f>D1870</f>
        <v/>
      </c>
      <c r="G1879" s="319" t="n">
        <v>69444.44</v>
      </c>
      <c r="H1879" s="319">
        <f>$D$1871/$D$1873*F1879*E1879/30</f>
        <v/>
      </c>
      <c r="I1879" s="319">
        <f>G1879-H1879</f>
        <v/>
      </c>
      <c r="J1879" s="319">
        <f>F1879-I1879</f>
        <v/>
      </c>
      <c r="K1879" s="516" t="n"/>
      <c r="L1879" s="516" t="n"/>
    </row>
    <row r="1880">
      <c r="B1880" s="1" t="n">
        <v>1</v>
      </c>
      <c r="C1880" s="24" t="n">
        <v>44774</v>
      </c>
      <c r="D1880" s="24" t="n">
        <v>44804</v>
      </c>
      <c r="E1880" s="25">
        <f>D1880-C1880+1</f>
        <v/>
      </c>
      <c r="F1880" s="319">
        <f>J1879</f>
        <v/>
      </c>
      <c r="G1880" s="319">
        <f>-PMT($D$1871/$D$1873,12,$F$1880,,0)</f>
        <v/>
      </c>
      <c r="H1880" s="319">
        <f>$D$1871/$D$1873*F1880</f>
        <v/>
      </c>
      <c r="I1880" s="319">
        <f>G1880-H1880</f>
        <v/>
      </c>
      <c r="J1880" s="319">
        <f>F1880-I1880</f>
        <v/>
      </c>
      <c r="K1880" s="516" t="n"/>
      <c r="L1880" s="516" t="n"/>
    </row>
    <row r="1881">
      <c r="B1881" s="1" t="n">
        <v>2</v>
      </c>
      <c r="C1881" s="24" t="n">
        <v>44805</v>
      </c>
      <c r="D1881" s="24" t="n">
        <v>44834</v>
      </c>
      <c r="E1881" s="25">
        <f>D1881-C1881+1</f>
        <v/>
      </c>
      <c r="F1881" s="319">
        <f>J1880</f>
        <v/>
      </c>
      <c r="G1881" s="319">
        <f>-PMT($D$1871/$D$1873,12,$F$1880,,0)</f>
        <v/>
      </c>
      <c r="H1881" s="319">
        <f>$D$1871/$D$1873*F1881</f>
        <v/>
      </c>
      <c r="I1881" s="319">
        <f>G1881-H1881</f>
        <v/>
      </c>
      <c r="J1881" s="319">
        <f>F1881-I1881</f>
        <v/>
      </c>
    </row>
    <row r="1882">
      <c r="B1882" s="1" t="n">
        <v>3</v>
      </c>
      <c r="C1882" s="24" t="n">
        <v>44835</v>
      </c>
      <c r="D1882" s="24" t="n">
        <v>44865</v>
      </c>
      <c r="E1882" s="25">
        <f>D1882-C1882+1</f>
        <v/>
      </c>
      <c r="F1882" s="319">
        <f>J1881</f>
        <v/>
      </c>
      <c r="G1882" s="319">
        <f>-PMT($D$1871/$D$1873,12,$F$1880,,0)</f>
        <v/>
      </c>
      <c r="H1882" s="319">
        <f>$D$1871/$D$1873*F1882</f>
        <v/>
      </c>
      <c r="I1882" s="319">
        <f>G1882-H1882</f>
        <v/>
      </c>
      <c r="J1882" s="319">
        <f>F1882-I1882</f>
        <v/>
      </c>
      <c r="K1882" s="516" t="n"/>
      <c r="L1882" s="516" t="n"/>
    </row>
    <row r="1883">
      <c r="B1883" s="1" t="n">
        <v>4</v>
      </c>
      <c r="C1883" s="24" t="n">
        <v>44866</v>
      </c>
      <c r="D1883" s="24" t="n">
        <v>44895</v>
      </c>
      <c r="E1883" s="25">
        <f>D1883-C1883+1</f>
        <v/>
      </c>
      <c r="F1883" s="319">
        <f>J1882</f>
        <v/>
      </c>
      <c r="G1883" s="319">
        <f>-PMT($D$1871/$D$1873,12,$F$1880,,0)</f>
        <v/>
      </c>
      <c r="H1883" s="319">
        <f>$D$1871/$D$1873*F1883</f>
        <v/>
      </c>
      <c r="I1883" s="319">
        <f>G1883-H1883</f>
        <v/>
      </c>
      <c r="J1883" s="319">
        <f>F1883-I1883</f>
        <v/>
      </c>
      <c r="K1883" s="516" t="n"/>
      <c r="L1883" s="516" t="n"/>
    </row>
    <row r="1884">
      <c r="B1884" s="1" t="n">
        <v>5</v>
      </c>
      <c r="C1884" s="24" t="n">
        <v>44896</v>
      </c>
      <c r="D1884" s="24" t="n">
        <v>44926</v>
      </c>
      <c r="E1884" s="25">
        <f>D1884-C1884+1</f>
        <v/>
      </c>
      <c r="F1884" s="319">
        <f>J1883</f>
        <v/>
      </c>
      <c r="G1884" s="319">
        <f>-PMT($D$1871/$D$1873,12,$F$1880,,0)</f>
        <v/>
      </c>
      <c r="H1884" s="319">
        <f>$D$1871/$D$1873*F1884</f>
        <v/>
      </c>
      <c r="I1884" s="319">
        <f>G1884-H1884</f>
        <v/>
      </c>
      <c r="J1884" s="295">
        <f>F1884-I1884</f>
        <v/>
      </c>
      <c r="K1884" s="516" t="n"/>
      <c r="L1884" s="516">
        <f>SUM(G1879:G1884)</f>
        <v/>
      </c>
    </row>
    <row r="1885">
      <c r="B1885" s="1" t="n">
        <v>6</v>
      </c>
      <c r="C1885" s="24" t="n">
        <v>44927</v>
      </c>
      <c r="D1885" s="24" t="n">
        <v>44957</v>
      </c>
      <c r="E1885" s="25">
        <f>D1885-C1885+1</f>
        <v/>
      </c>
      <c r="F1885" s="319">
        <f>J1884</f>
        <v/>
      </c>
      <c r="G1885" s="319">
        <f>-PMT($D$1871/$D$1873,12,$F$1880,,0)</f>
        <v/>
      </c>
      <c r="H1885" s="319">
        <f>$D$1871/$D$1873*F1885</f>
        <v/>
      </c>
      <c r="I1885" s="319">
        <f>G1885-H1885</f>
        <v/>
      </c>
      <c r="J1885" s="319">
        <f>F1885-I1885</f>
        <v/>
      </c>
      <c r="K1885" s="516" t="n">
        <v>419237.35</v>
      </c>
      <c r="L1885" s="516">
        <f>L1884-K1885</f>
        <v/>
      </c>
    </row>
    <row r="1886">
      <c r="B1886" s="1" t="n">
        <v>7</v>
      </c>
      <c r="C1886" s="24" t="n">
        <v>44958</v>
      </c>
      <c r="D1886" s="24" t="n">
        <v>44985</v>
      </c>
      <c r="E1886" s="25">
        <f>D1886-C1886+1</f>
        <v/>
      </c>
      <c r="F1886" s="319">
        <f>J1885</f>
        <v/>
      </c>
      <c r="G1886" s="319">
        <f>-PMT($D$1871/$D$1873,12,$F$1880,,0)</f>
        <v/>
      </c>
      <c r="H1886" s="319">
        <f>$D$1871/$D$1873*F1886</f>
        <v/>
      </c>
      <c r="I1886" s="319">
        <f>G1886-H1886</f>
        <v/>
      </c>
      <c r="J1886" s="319">
        <f>F1886-I1886</f>
        <v/>
      </c>
      <c r="K1886" s="516" t="n"/>
      <c r="L1886" s="516">
        <f>L1885-K1886</f>
        <v/>
      </c>
    </row>
    <row r="1887">
      <c r="B1887" s="1" t="n">
        <v>8</v>
      </c>
      <c r="C1887" s="24" t="n">
        <v>44986</v>
      </c>
      <c r="D1887" s="24" t="n">
        <v>45016</v>
      </c>
      <c r="E1887" s="25">
        <f>D1887-C1887+1</f>
        <v/>
      </c>
      <c r="F1887" s="319">
        <f>J1886</f>
        <v/>
      </c>
      <c r="G1887" s="319">
        <f>-PMT($D$1871/$D$1873,12,$F$1880,,0)</f>
        <v/>
      </c>
      <c r="H1887" s="319">
        <f>$D$1871/$D$1873*F1887</f>
        <v/>
      </c>
      <c r="I1887" s="319">
        <f>G1887-H1887</f>
        <v/>
      </c>
      <c r="J1887" s="319">
        <f>F1887-I1887</f>
        <v/>
      </c>
      <c r="K1887" s="516" t="n"/>
      <c r="L1887" s="516">
        <f>L1886-K1887</f>
        <v/>
      </c>
    </row>
    <row r="1888">
      <c r="B1888" s="1" t="n">
        <v>9</v>
      </c>
      <c r="C1888" s="24" t="n">
        <v>45017</v>
      </c>
      <c r="D1888" s="24" t="n">
        <v>45046</v>
      </c>
      <c r="E1888" s="25">
        <f>D1888-C1888+1</f>
        <v/>
      </c>
      <c r="F1888" s="319">
        <f>J1887</f>
        <v/>
      </c>
      <c r="G1888" s="319">
        <f>-PMT($D$1871/$D$1873,15,$F$1888,,0)</f>
        <v/>
      </c>
      <c r="H1888" s="319">
        <f>$D$1871/$D$1873*F1888</f>
        <v/>
      </c>
      <c r="I1888" s="319">
        <f>G1888-H1888</f>
        <v/>
      </c>
      <c r="J1888" s="319">
        <f>F1888-I1888</f>
        <v/>
      </c>
      <c r="K1888" s="516" t="n"/>
      <c r="L1888" s="519" t="n"/>
    </row>
    <row r="1889">
      <c r="B1889" s="1" t="n">
        <v>10</v>
      </c>
      <c r="C1889" s="24" t="n">
        <v>45047</v>
      </c>
      <c r="D1889" s="24" t="n">
        <v>45077</v>
      </c>
      <c r="E1889" s="25">
        <f>D1889-C1889+1</f>
        <v/>
      </c>
      <c r="F1889" s="319">
        <f>J1888</f>
        <v/>
      </c>
      <c r="G1889" s="319">
        <f>-PMT($D$1871/$D$1873,15,$F$1888,,0)</f>
        <v/>
      </c>
      <c r="H1889" s="319">
        <f>$D$1871/$D$1873*F1889</f>
        <v/>
      </c>
      <c r="I1889" s="319">
        <f>G1889-H1889</f>
        <v/>
      </c>
      <c r="J1889" s="319">
        <f>F1889-I1889</f>
        <v/>
      </c>
      <c r="K1889" s="516" t="n"/>
      <c r="L1889" s="516" t="n"/>
    </row>
    <row r="1890">
      <c r="B1890" s="1" t="n">
        <v>11</v>
      </c>
      <c r="C1890" s="24" t="n">
        <v>45078</v>
      </c>
      <c r="D1890" s="24" t="n">
        <v>45107</v>
      </c>
      <c r="E1890" s="25">
        <f>D1890-C1890+1</f>
        <v/>
      </c>
      <c r="F1890" s="319">
        <f>J1889</f>
        <v/>
      </c>
      <c r="G1890" s="319">
        <f>-PMT($D$1871/$D$1873,15,$F$1888,,0)</f>
        <v/>
      </c>
      <c r="H1890" s="319">
        <f>$D$1871/$D$1873*F1890</f>
        <v/>
      </c>
      <c r="I1890" s="319">
        <f>G1890-H1890</f>
        <v/>
      </c>
      <c r="J1890" s="319">
        <f>F1890-I1890</f>
        <v/>
      </c>
      <c r="K1890" s="516" t="n"/>
      <c r="L1890" s="516" t="n"/>
    </row>
    <row r="1891">
      <c r="B1891" s="1" t="n">
        <v>12</v>
      </c>
      <c r="C1891" s="24" t="n">
        <v>45108</v>
      </c>
      <c r="D1891" s="24" t="n">
        <v>45138</v>
      </c>
      <c r="E1891" s="25">
        <f>D1891-C1891+1</f>
        <v/>
      </c>
      <c r="F1891" s="319">
        <f>J1890</f>
        <v/>
      </c>
      <c r="G1891" s="319">
        <f>-PMT($D$1871/$D$1873,15,$F$1888,,0)</f>
        <v/>
      </c>
      <c r="H1891" s="319">
        <f>$D$1871/$D$1873*F1891</f>
        <v/>
      </c>
      <c r="I1891" s="319">
        <f>G1891-H1891</f>
        <v/>
      </c>
      <c r="J1891" s="319">
        <f>F1891-I1891</f>
        <v/>
      </c>
      <c r="K1891" s="516" t="n"/>
      <c r="L1891" s="516" t="n"/>
    </row>
    <row r="1892">
      <c r="B1892" s="1" t="n">
        <v>13</v>
      </c>
      <c r="C1892" s="24" t="n">
        <v>45139</v>
      </c>
      <c r="D1892" s="24" t="n">
        <v>45169</v>
      </c>
      <c r="E1892" s="25">
        <f>D1892-C1892+1</f>
        <v/>
      </c>
      <c r="F1892" s="319">
        <f>J1891</f>
        <v/>
      </c>
      <c r="G1892" s="319">
        <f>-PMT($D$1871/$D$1873,15,$F$1888,,0)</f>
        <v/>
      </c>
      <c r="H1892" s="319">
        <f>$D$1871/$D$1873*F1892</f>
        <v/>
      </c>
      <c r="I1892" s="319">
        <f>G1892-H1892</f>
        <v/>
      </c>
      <c r="J1892" s="319">
        <f>F1892-I1892</f>
        <v/>
      </c>
      <c r="K1892" s="516" t="n"/>
      <c r="L1892" s="516" t="n"/>
    </row>
    <row r="1893">
      <c r="B1893" s="1" t="n">
        <v>14</v>
      </c>
      <c r="C1893" s="24" t="n">
        <v>45170</v>
      </c>
      <c r="D1893" s="24" t="n">
        <v>45199</v>
      </c>
      <c r="E1893" s="25">
        <f>D1893-C1893+1</f>
        <v/>
      </c>
      <c r="F1893" s="319">
        <f>J1892</f>
        <v/>
      </c>
      <c r="G1893" s="319">
        <f>-PMT($D$1871/$D$1873,15,$F$1888,,0)</f>
        <v/>
      </c>
      <c r="H1893" s="319">
        <f>$D$1871/$D$1873*F1893</f>
        <v/>
      </c>
      <c r="I1893" s="319">
        <f>G1893-H1893</f>
        <v/>
      </c>
      <c r="J1893" s="319">
        <f>F1893-I1893</f>
        <v/>
      </c>
      <c r="K1893" s="516" t="n"/>
      <c r="L1893" s="516" t="n"/>
    </row>
    <row r="1894">
      <c r="B1894" s="1" t="n">
        <v>15</v>
      </c>
      <c r="C1894" s="24" t="n">
        <v>45200</v>
      </c>
      <c r="D1894" s="24" t="n">
        <v>45230</v>
      </c>
      <c r="E1894" s="25">
        <f>D1894-C1894+1</f>
        <v/>
      </c>
      <c r="F1894" s="319">
        <f>J1893</f>
        <v/>
      </c>
      <c r="G1894" s="319">
        <f>-PMT($D$1871/$D$1873,15,$F$1888,,0)</f>
        <v/>
      </c>
      <c r="H1894" s="319">
        <f>$D$1871/$D$1873*F1894</f>
        <v/>
      </c>
      <c r="I1894" s="319">
        <f>G1894-H1894</f>
        <v/>
      </c>
      <c r="J1894" s="319">
        <f>F1894-I1894</f>
        <v/>
      </c>
      <c r="K1894" s="516" t="n"/>
      <c r="L1894" s="516" t="n"/>
    </row>
    <row r="1895">
      <c r="B1895" s="1" t="n">
        <v>16</v>
      </c>
      <c r="C1895" s="24" t="n">
        <v>45231</v>
      </c>
      <c r="D1895" s="24" t="n">
        <v>45260</v>
      </c>
      <c r="E1895" s="25">
        <f>D1895-C1895+1</f>
        <v/>
      </c>
      <c r="F1895" s="319">
        <f>J1894</f>
        <v/>
      </c>
      <c r="G1895" s="319">
        <f>-PMT($D$1871/$D$1873,15,$F$1888,,0)</f>
        <v/>
      </c>
      <c r="H1895" s="319">
        <f>$D$1871/$D$1873*F1895</f>
        <v/>
      </c>
      <c r="I1895" s="319">
        <f>G1895-H1895</f>
        <v/>
      </c>
      <c r="J1895" s="319">
        <f>F1895-I1895</f>
        <v/>
      </c>
      <c r="K1895" s="516" t="n"/>
      <c r="L1895" s="516" t="n"/>
    </row>
    <row r="1896">
      <c r="B1896" s="1" t="n">
        <v>17</v>
      </c>
      <c r="C1896" s="24" t="n">
        <v>45261</v>
      </c>
      <c r="D1896" s="24" t="n">
        <v>45291</v>
      </c>
      <c r="E1896" s="25">
        <f>D1896-C1896+1</f>
        <v/>
      </c>
      <c r="F1896" s="319">
        <f>J1895</f>
        <v/>
      </c>
      <c r="G1896" s="319">
        <f>-PMT($D$1871/$D$1873,15,$F$1888,,0)</f>
        <v/>
      </c>
      <c r="H1896" s="319">
        <f>$D$1871/$D$1873*F1896</f>
        <v/>
      </c>
      <c r="I1896" s="319">
        <f>G1896-H1896</f>
        <v/>
      </c>
      <c r="J1896" s="319">
        <f>F1896-I1896</f>
        <v/>
      </c>
      <c r="K1896" s="516" t="n">
        <v>4400000</v>
      </c>
      <c r="L1896" s="520">
        <f>SUM(G1879:G1902)/2</f>
        <v/>
      </c>
    </row>
    <row r="1897">
      <c r="B1897" s="1" t="n">
        <v>18</v>
      </c>
      <c r="C1897" s="24" t="n">
        <v>45292</v>
      </c>
      <c r="D1897" s="24" t="n">
        <v>45322</v>
      </c>
      <c r="E1897" s="25">
        <f>D1897-C1897+1</f>
        <v/>
      </c>
      <c r="F1897" s="319">
        <f>J1896</f>
        <v/>
      </c>
      <c r="G1897" s="319">
        <f>-PMT($D$1871/$D$1873,15,$F$1888,,0)</f>
        <v/>
      </c>
      <c r="H1897" s="319">
        <f>$D$1871/$D$1873*F1897</f>
        <v/>
      </c>
      <c r="I1897" s="319">
        <f>G1897-H1897</f>
        <v/>
      </c>
      <c r="J1897" s="319">
        <f>F1897-I1897</f>
        <v/>
      </c>
      <c r="K1897" s="516" t="n"/>
      <c r="L1897" s="516" t="n"/>
    </row>
    <row r="1898">
      <c r="B1898" s="1" t="n">
        <v>19</v>
      </c>
      <c r="C1898" s="24" t="n">
        <v>45323</v>
      </c>
      <c r="D1898" s="24" t="n">
        <v>45351</v>
      </c>
      <c r="E1898" s="25">
        <f>D1898-C1898+1</f>
        <v/>
      </c>
      <c r="F1898" s="319">
        <f>J1897</f>
        <v/>
      </c>
      <c r="G1898" s="319">
        <f>-PMT($D$1871/$D$1873,15,$F$1888,,0)</f>
        <v/>
      </c>
      <c r="H1898" s="319">
        <f>$D$1871/$D$1873*F1898</f>
        <v/>
      </c>
      <c r="I1898" s="319">
        <f>G1898-H1898</f>
        <v/>
      </c>
      <c r="J1898" s="319">
        <f>F1898-I1898</f>
        <v/>
      </c>
      <c r="K1898" s="516" t="n"/>
      <c r="L1898" s="516" t="n"/>
    </row>
    <row r="1899">
      <c r="B1899" s="1" t="n">
        <v>20</v>
      </c>
      <c r="C1899" s="24" t="n">
        <v>45352</v>
      </c>
      <c r="D1899" s="24" t="n">
        <v>45382</v>
      </c>
      <c r="E1899" s="25">
        <f>D1899-C1899+1</f>
        <v/>
      </c>
      <c r="F1899" s="319">
        <f>J1898</f>
        <v/>
      </c>
      <c r="G1899" s="319">
        <f>-PMT($D$1871/$D$1873,15,$F$1888,,0)</f>
        <v/>
      </c>
      <c r="H1899" s="319">
        <f>$D$1871/$D$1873*F1899</f>
        <v/>
      </c>
      <c r="I1899" s="319">
        <f>G1899-H1899</f>
        <v/>
      </c>
      <c r="J1899" s="319">
        <f>F1899-I1899</f>
        <v/>
      </c>
      <c r="K1899" s="516" t="n"/>
      <c r="L1899" s="516" t="n"/>
    </row>
    <row r="1900">
      <c r="B1900" s="1" t="n">
        <v>21</v>
      </c>
      <c r="C1900" s="24" t="n">
        <v>45383</v>
      </c>
      <c r="D1900" s="24" t="n">
        <v>45412</v>
      </c>
      <c r="E1900" s="25">
        <f>D1900-C1900+1</f>
        <v/>
      </c>
      <c r="F1900" s="319">
        <f>J1899</f>
        <v/>
      </c>
      <c r="G1900" s="319">
        <f>-PMT($D$1871/$D$1873,15,$F$1888,,0)</f>
        <v/>
      </c>
      <c r="H1900" s="319">
        <f>$D$1871/$D$1873*F1900</f>
        <v/>
      </c>
      <c r="I1900" s="319">
        <f>G1900-H1900</f>
        <v/>
      </c>
      <c r="J1900" s="319">
        <f>F1900-I1900</f>
        <v/>
      </c>
      <c r="K1900" s="516" t="n"/>
      <c r="L1900" s="516" t="n"/>
    </row>
    <row r="1901">
      <c r="B1901" s="1" t="n">
        <v>22</v>
      </c>
      <c r="C1901" s="24" t="n">
        <v>45413</v>
      </c>
      <c r="D1901" s="24" t="n">
        <v>45443</v>
      </c>
      <c r="E1901" s="25">
        <f>D1901-C1901+1</f>
        <v/>
      </c>
      <c r="F1901" s="319">
        <f>J1900</f>
        <v/>
      </c>
      <c r="G1901" s="319">
        <f>-PMT($D$1871/$D$1873,15,$F$1888,,0)</f>
        <v/>
      </c>
      <c r="H1901" s="319">
        <f>$D$1871/$D$1873*F1901</f>
        <v/>
      </c>
      <c r="I1901" s="319">
        <f>G1901-H1901</f>
        <v/>
      </c>
      <c r="J1901" s="319">
        <f>F1901-I1901</f>
        <v/>
      </c>
      <c r="K1901" s="516" t="n"/>
      <c r="L1901" s="516" t="n"/>
    </row>
    <row r="1902">
      <c r="B1902" s="1" t="n">
        <v>23</v>
      </c>
      <c r="C1902" s="24" t="n">
        <v>45444</v>
      </c>
      <c r="D1902" s="24" t="n">
        <v>45473</v>
      </c>
      <c r="E1902" s="25">
        <f>D1902-C1902+1</f>
        <v/>
      </c>
      <c r="F1902" s="319">
        <f>J1901</f>
        <v/>
      </c>
      <c r="G1902" s="319">
        <f>-PMT($D$1871/$D$1873,15,$F$1888,,0)</f>
        <v/>
      </c>
      <c r="H1902" s="319">
        <f>$D$1871/$D$1873*F1902</f>
        <v/>
      </c>
      <c r="I1902" s="319">
        <f>G1902-H1902</f>
        <v/>
      </c>
      <c r="J1902" s="319">
        <f>F1902-I1902</f>
        <v/>
      </c>
      <c r="K1902" s="516" t="n">
        <v>5700000</v>
      </c>
      <c r="L1902" s="520">
        <f>SUM(G1879:G1902)-SUM(K1879:K1902)</f>
        <v/>
      </c>
    </row>
    <row r="1903">
      <c r="B1903" s="1" t="n"/>
      <c r="C1903" s="24" t="n"/>
      <c r="D1903" s="24" t="n"/>
      <c r="E1903" s="25" t="n"/>
      <c r="F1903" s="319" t="n"/>
      <c r="G1903" s="319" t="n"/>
      <c r="H1903" s="319" t="n"/>
      <c r="I1903" s="319" t="n"/>
      <c r="J1903" s="319" t="n"/>
      <c r="K1903" s="516" t="n"/>
      <c r="L1903" s="516" t="n"/>
    </row>
    <row r="1904">
      <c r="B1904" s="1" t="n"/>
      <c r="C1904" s="24" t="n"/>
      <c r="D1904" s="24" t="n"/>
      <c r="E1904" s="25" t="n"/>
      <c r="F1904" s="319" t="n"/>
      <c r="G1904" s="319" t="n"/>
      <c r="H1904" s="319" t="n"/>
      <c r="I1904" s="319" t="n"/>
      <c r="J1904" s="319" t="n"/>
      <c r="K1904" s="516" t="n"/>
      <c r="L1904" s="516" t="n"/>
    </row>
    <row r="1905">
      <c r="B1905" s="1" t="n"/>
      <c r="C1905" s="24" t="n"/>
      <c r="D1905" s="24" t="n"/>
      <c r="E1905" s="25" t="n"/>
      <c r="F1905" s="319" t="n"/>
      <c r="G1905" s="319" t="n"/>
      <c r="H1905" s="319" t="n"/>
      <c r="I1905" s="319" t="n"/>
      <c r="J1905" s="319" t="n"/>
      <c r="K1905" s="516" t="n"/>
      <c r="L1905" s="516" t="n"/>
    </row>
    <row r="1906">
      <c r="B1906" s="1" t="n"/>
      <c r="C1906" s="24" t="n"/>
      <c r="D1906" s="24" t="n"/>
      <c r="E1906" s="25" t="n"/>
      <c r="F1906" s="319" t="n"/>
      <c r="G1906" s="319" t="n"/>
      <c r="H1906" s="319" t="n"/>
      <c r="I1906" s="319" t="n"/>
      <c r="J1906" s="319" t="n"/>
      <c r="K1906" s="516" t="n"/>
      <c r="L1906" s="516" t="n"/>
    </row>
    <row r="1907">
      <c r="B1907" s="1" t="n"/>
      <c r="C1907" s="24" t="n"/>
      <c r="D1907" s="24" t="n"/>
      <c r="E1907" s="25" t="n"/>
      <c r="F1907" s="319" t="n"/>
      <c r="G1907" s="319" t="n"/>
      <c r="H1907" s="319" t="n"/>
      <c r="I1907" s="319" t="n"/>
      <c r="J1907" s="319" t="n"/>
      <c r="K1907" s="516" t="n"/>
      <c r="L1907" s="516" t="n"/>
    </row>
    <row r="1908" ht="14.25" customHeight="1">
      <c r="B1908" s="1" t="n"/>
      <c r="C1908" s="1" t="n"/>
      <c r="D1908" s="1" t="n"/>
      <c r="E1908" s="30">
        <f>SUM(E1879:E1891)</f>
        <v/>
      </c>
      <c r="F1908" s="319" t="n"/>
      <c r="G1908" s="319" t="n"/>
      <c r="H1908" s="319" t="n"/>
      <c r="I1908" s="319" t="n"/>
      <c r="J1908" s="319" t="n"/>
      <c r="K1908" s="1" t="n"/>
      <c r="L1908" s="1" t="n"/>
    </row>
    <row r="1915">
      <c r="B1915" s="1" t="n"/>
      <c r="C1915" s="9" t="inlineStr">
        <is>
          <t>Sekuru Enterprise</t>
        </is>
      </c>
      <c r="D1915" s="319" t="n"/>
      <c r="E1915" s="319" t="n"/>
      <c r="F1915" s="319" t="n"/>
      <c r="G1915" s="319" t="n"/>
      <c r="H1915" s="319" t="n"/>
      <c r="I1915" s="319" t="n"/>
      <c r="J1915" s="319" t="n"/>
      <c r="K1915" s="319" t="n"/>
      <c r="L1915" s="319" t="n"/>
      <c r="R1915" s="514" t="inlineStr">
        <is>
          <t>E-Banker account (Dupleix)</t>
        </is>
      </c>
      <c r="S1915" s="495">
        <f>IFERROR(INDEX('Blocks'!$I$2:$I$101,MATCH(33,'Blocks'!$A$2:$A$101,0)),"")</f>
        <v/>
      </c>
    </row>
    <row r="1916">
      <c r="B1916" s="1" t="n"/>
      <c r="C1916" s="1" t="n"/>
      <c r="D1916" s="319" t="n"/>
      <c r="E1916" s="319" t="n"/>
      <c r="F1916" s="319" t="n"/>
      <c r="G1916" s="319" t="n"/>
      <c r="H1916" s="319" t="n"/>
      <c r="I1916" s="319" t="n"/>
      <c r="J1916" s="319" t="n"/>
      <c r="K1916" s="319" t="n"/>
      <c r="L1916" s="319" t="n"/>
      <c r="R1916" s="514" t="inlineStr">
        <is>
          <t>Facility (Loan Book)</t>
        </is>
      </c>
      <c r="S1916" s="495">
        <f>IFERROR(INDEX('Blocks'!$H$2:$H$101,MATCH(33,'Blocks'!$A$2:$A$101,0)),"")</f>
        <v/>
      </c>
    </row>
    <row r="1917">
      <c r="B1917" s="1" t="n"/>
      <c r="C1917" s="10" t="inlineStr">
        <is>
          <t>Principal (MK)</t>
        </is>
      </c>
      <c r="D1917" s="11" t="n">
        <v>10000000</v>
      </c>
      <c r="E1917" s="319" t="n"/>
      <c r="F1917" s="319" t="n"/>
      <c r="G1917" s="319" t="n"/>
      <c r="H1917" s="319" t="n"/>
      <c r="I1917" s="319" t="n"/>
      <c r="J1917" s="319" t="n"/>
      <c r="K1917" s="319" t="n"/>
      <c r="L1917" s="319" t="n"/>
      <c r="R1917" s="514" t="inlineStr">
        <is>
          <t>Take-on posting 31 Jul 2024</t>
        </is>
      </c>
      <c r="S1917" s="496">
        <f>IFERROR(INDEX('E-Banker master'!$N$2:$N$186,MATCH(S1915,'E-Banker master'!$A$2:$A$186,0)),"")</f>
        <v/>
      </c>
    </row>
    <row r="1918">
      <c r="B1918" s="1" t="n"/>
      <c r="C1918" s="13" t="inlineStr">
        <is>
          <t>Rate</t>
        </is>
      </c>
      <c r="D1918" s="14" t="n">
        <v>0.1</v>
      </c>
      <c r="E1918" s="257" t="n"/>
      <c r="F1918" s="319" t="n"/>
      <c r="G1918" s="319" t="n"/>
      <c r="H1918" s="319" t="n"/>
      <c r="I1918" s="319" t="n"/>
      <c r="J1918" s="319" t="n"/>
      <c r="K1918" s="319" t="n"/>
      <c r="L1918" s="319" t="n"/>
      <c r="R1918" s="514" t="inlineStr">
        <is>
          <t>E-Banker balance 31 Oct 2024</t>
        </is>
      </c>
      <c r="S1918" s="496">
        <f>IFERROR(INDEX('E-Banker master'!$P$2:$P$186,MATCH(S1915,'E-Banker master'!$A$2:$A$186,0)),"")</f>
        <v/>
      </c>
    </row>
    <row r="1919">
      <c r="B1919" s="1" t="n"/>
      <c r="C1919" s="13" t="inlineStr">
        <is>
          <t>n</t>
        </is>
      </c>
      <c r="D1919" s="16" t="n">
        <v>2</v>
      </c>
      <c r="E1919" s="1" t="n"/>
      <c r="F1919" s="319" t="n"/>
      <c r="G1919" s="319" t="n"/>
      <c r="H1919" s="319" t="n"/>
      <c r="I1919" s="319" t="n"/>
      <c r="J1919" s="319" t="n"/>
      <c r="K1919" s="1" t="n"/>
      <c r="L1919" s="1" t="n"/>
    </row>
    <row r="1920">
      <c r="B1920" s="1" t="n"/>
      <c r="C1920" s="13" t="inlineStr">
        <is>
          <t>Per</t>
        </is>
      </c>
      <c r="D1920" s="16" t="n">
        <v>12</v>
      </c>
      <c r="E1920" s="1" t="n"/>
      <c r="F1920" s="319" t="n"/>
      <c r="G1920" s="319" t="n"/>
      <c r="H1920" s="319" t="n"/>
      <c r="I1920" s="319" t="n"/>
      <c r="J1920" s="319" t="n"/>
      <c r="K1920" s="1" t="n"/>
      <c r="L1920" s="1" t="n"/>
    </row>
    <row r="1921">
      <c r="B1921" s="1" t="n"/>
      <c r="C1921" s="13" t="inlineStr">
        <is>
          <t>nPer</t>
        </is>
      </c>
      <c r="D1921" s="515">
        <f>D1919*D1920</f>
        <v/>
      </c>
      <c r="E1921" s="1" t="n"/>
      <c r="F1921" s="319" t="n"/>
      <c r="G1921" s="319" t="n"/>
      <c r="H1921" s="319" t="n"/>
      <c r="I1921" s="319" t="n"/>
      <c r="J1921" s="319" t="n"/>
      <c r="K1921" s="1" t="n"/>
      <c r="L1921" s="1" t="n"/>
    </row>
    <row r="1922">
      <c r="B1922" s="1" t="n"/>
      <c r="C1922" s="13" t="inlineStr">
        <is>
          <t>Days in a year</t>
        </is>
      </c>
      <c r="D1922" s="18" t="n">
        <v>365</v>
      </c>
      <c r="E1922" s="1" t="n"/>
      <c r="F1922" s="319" t="n"/>
      <c r="G1922" s="319" t="n"/>
      <c r="H1922" s="319" t="n"/>
      <c r="I1922" s="319" t="n"/>
      <c r="J1922" s="319" t="n"/>
      <c r="K1922" s="1" t="n"/>
      <c r="L1922" s="1" t="n"/>
    </row>
    <row r="1923">
      <c r="B1923" s="1" t="n"/>
      <c r="C1923" s="19" t="inlineStr">
        <is>
          <t>Pmt (MK)</t>
        </is>
      </c>
      <c r="D1923" s="20">
        <f>-PMT(D1918/D1920,D1921,D1917,0,0)</f>
        <v/>
      </c>
      <c r="E1923" s="319" t="n"/>
      <c r="F1923" s="319" t="n"/>
      <c r="G1923" s="319" t="n"/>
      <c r="H1923" s="319" t="n"/>
      <c r="I1923" s="319" t="n"/>
      <c r="J1923" s="319" t="n"/>
      <c r="K1923" s="1" t="n"/>
      <c r="L1923" s="1" t="n"/>
    </row>
    <row r="1924">
      <c r="B1924" s="1" t="n"/>
      <c r="C1924" s="1" t="n"/>
      <c r="D1924" s="319" t="n"/>
      <c r="E1924" s="319" t="n"/>
      <c r="F1924" s="319" t="n"/>
      <c r="G1924" s="319" t="n"/>
      <c r="H1924" s="319" t="n"/>
      <c r="I1924" s="319" t="n"/>
      <c r="J1924" s="319" t="n"/>
      <c r="K1924" s="1" t="n"/>
      <c r="L1924" s="1" t="n"/>
    </row>
    <row r="1925">
      <c r="B1925" s="1" t="n"/>
      <c r="C1925" s="21" t="inlineStr">
        <is>
          <t>Period Start</t>
        </is>
      </c>
      <c r="D1925" s="22" t="inlineStr">
        <is>
          <t>Period End</t>
        </is>
      </c>
      <c r="E1925" s="22" t="inlineStr">
        <is>
          <t>Days</t>
        </is>
      </c>
      <c r="F1925" s="294" t="inlineStr">
        <is>
          <t>Opening bal.</t>
        </is>
      </c>
      <c r="G1925" s="294" t="inlineStr">
        <is>
          <t>Pmt</t>
        </is>
      </c>
      <c r="H1925" s="294" t="inlineStr">
        <is>
          <t>Interest</t>
        </is>
      </c>
      <c r="I1925" s="294" t="inlineStr">
        <is>
          <t>Principal</t>
        </is>
      </c>
      <c r="J1925" s="294" t="inlineStr">
        <is>
          <t>Closing balance</t>
        </is>
      </c>
      <c r="K1925" s="23" t="inlineStr">
        <is>
          <t>Amount Repaid</t>
        </is>
      </c>
      <c r="L1925" s="23" t="inlineStr">
        <is>
          <t>Accumulated Arrears</t>
        </is>
      </c>
    </row>
    <row r="1926">
      <c r="B1926" s="1" t="n">
        <v>0</v>
      </c>
      <c r="C1926" s="24" t="n">
        <v>44749</v>
      </c>
      <c r="D1926" s="24" t="n">
        <v>44773</v>
      </c>
      <c r="E1926" s="25">
        <f>D1926-C1926+1</f>
        <v/>
      </c>
      <c r="F1926" s="319">
        <f>D1917</f>
        <v/>
      </c>
      <c r="G1926" s="319" t="n"/>
      <c r="H1926" s="319">
        <f>$D$1918/$D$1920*F1926*E1926/31</f>
        <v/>
      </c>
      <c r="I1926" s="319">
        <f>G1926-H1926</f>
        <v/>
      </c>
      <c r="J1926" s="319">
        <f>F1926-I1926</f>
        <v/>
      </c>
      <c r="K1926" s="516" t="n"/>
      <c r="L1926" s="516" t="n"/>
    </row>
    <row r="1927">
      <c r="B1927" s="1" t="n">
        <v>1</v>
      </c>
      <c r="C1927" s="24" t="n">
        <v>44774</v>
      </c>
      <c r="D1927" s="24" t="n">
        <v>44804</v>
      </c>
      <c r="E1927" s="25">
        <f>D1927-C1927+1</f>
        <v/>
      </c>
      <c r="F1927" s="319">
        <f>J1926</f>
        <v/>
      </c>
      <c r="G1927" s="319" t="n"/>
      <c r="H1927" s="319">
        <f>$D$1918/$D$1920*F1927</f>
        <v/>
      </c>
      <c r="I1927" s="319">
        <f>G1927-H1927</f>
        <v/>
      </c>
      <c r="J1927" s="319">
        <f>F1927-I1927</f>
        <v/>
      </c>
      <c r="K1927" s="516" t="n"/>
      <c r="L1927" s="516" t="n"/>
    </row>
    <row r="1928">
      <c r="B1928" s="1" t="n">
        <v>2</v>
      </c>
      <c r="C1928" s="24" t="n">
        <v>44805</v>
      </c>
      <c r="D1928" s="24" t="n">
        <v>44834</v>
      </c>
      <c r="E1928" s="25">
        <f>D1928-C1928+1</f>
        <v/>
      </c>
      <c r="F1928" s="319">
        <f>J1927</f>
        <v/>
      </c>
      <c r="G1928" s="319" t="n"/>
      <c r="H1928" s="319">
        <f>$D$1918/$D$1920*F1928</f>
        <v/>
      </c>
      <c r="I1928" s="319">
        <f>G1928-H1928</f>
        <v/>
      </c>
      <c r="J1928" s="319">
        <f>F1928-I1928</f>
        <v/>
      </c>
    </row>
    <row r="1929">
      <c r="B1929" s="1" t="n">
        <v>3</v>
      </c>
      <c r="C1929" s="24" t="n">
        <v>44835</v>
      </c>
      <c r="D1929" s="24" t="n">
        <v>44865</v>
      </c>
      <c r="E1929" s="25">
        <f>D1929-C1929+1</f>
        <v/>
      </c>
      <c r="F1929" s="319">
        <f>J1928</f>
        <v/>
      </c>
      <c r="G1929" s="319" t="n"/>
      <c r="H1929" s="319">
        <f>$D$1918/$D$1920*F1929</f>
        <v/>
      </c>
      <c r="I1929" s="319">
        <f>G1929-H1929</f>
        <v/>
      </c>
      <c r="J1929" s="319">
        <f>F1929-I1929</f>
        <v/>
      </c>
      <c r="K1929" s="516" t="n"/>
      <c r="L1929" s="516" t="n"/>
    </row>
    <row r="1930">
      <c r="B1930" s="1" t="n">
        <v>4</v>
      </c>
      <c r="C1930" s="24" t="n">
        <v>44866</v>
      </c>
      <c r="D1930" s="24" t="n">
        <v>44895</v>
      </c>
      <c r="E1930" s="25">
        <f>D1930-C1930+1</f>
        <v/>
      </c>
      <c r="F1930" s="319">
        <f>J1929</f>
        <v/>
      </c>
      <c r="G1930" s="319">
        <f>-PMT($D$1918/$D$1920,21,$F$1930,,0)</f>
        <v/>
      </c>
      <c r="H1930" s="319">
        <f>$D$1918/$D$1920*F1930</f>
        <v/>
      </c>
      <c r="I1930" s="319">
        <f>G1930-H1930</f>
        <v/>
      </c>
      <c r="J1930" s="319">
        <f>F1930-I1930</f>
        <v/>
      </c>
      <c r="K1930" s="516">
        <f>600000+1000000</f>
        <v/>
      </c>
      <c r="L1930" s="516">
        <f>G1930-K1930</f>
        <v/>
      </c>
    </row>
    <row r="1931">
      <c r="B1931" s="1" t="n">
        <v>5</v>
      </c>
      <c r="C1931" s="24" t="n">
        <v>44896</v>
      </c>
      <c r="D1931" s="24" t="n">
        <v>44926</v>
      </c>
      <c r="E1931" s="25">
        <f>D1931-C1931+1</f>
        <v/>
      </c>
      <c r="F1931" s="319">
        <f>J1930</f>
        <v/>
      </c>
      <c r="G1931" s="319">
        <f>-PMT($D$1918/$D$1920,21,$F$1930,,0)</f>
        <v/>
      </c>
      <c r="H1931" s="319">
        <f>$D$1918/$D$1920*F1931</f>
        <v/>
      </c>
      <c r="I1931" s="319">
        <f>G1931-H1931</f>
        <v/>
      </c>
      <c r="J1931" s="319">
        <f>F1931-I1931</f>
        <v/>
      </c>
      <c r="K1931" s="516" t="n"/>
      <c r="L1931" s="516">
        <f>L1930+G1931</f>
        <v/>
      </c>
    </row>
    <row r="1932">
      <c r="B1932" s="1" t="n">
        <v>6</v>
      </c>
      <c r="C1932" s="24" t="n">
        <v>44927</v>
      </c>
      <c r="D1932" s="24" t="n">
        <v>44957</v>
      </c>
      <c r="E1932" s="25">
        <f>D1932-C1932+1</f>
        <v/>
      </c>
      <c r="F1932" s="319">
        <f>J1931</f>
        <v/>
      </c>
      <c r="G1932" s="319">
        <f>-PMT($D$1918/$D$1920,21,$F$1930,,0)</f>
        <v/>
      </c>
      <c r="H1932" s="319">
        <f>$D$1918/$D$1920*F1932</f>
        <v/>
      </c>
      <c r="I1932" s="319">
        <f>G1932-H1932</f>
        <v/>
      </c>
      <c r="J1932" s="319">
        <f>F1932-I1932</f>
        <v/>
      </c>
      <c r="K1932" s="516" t="n">
        <v>0</v>
      </c>
      <c r="L1932" s="516">
        <f>L1931+G1932</f>
        <v/>
      </c>
    </row>
    <row r="1933">
      <c r="B1933" s="1" t="n">
        <v>7</v>
      </c>
      <c r="C1933" s="24" t="n">
        <v>44958</v>
      </c>
      <c r="D1933" s="24" t="n">
        <v>44985</v>
      </c>
      <c r="E1933" s="25">
        <f>D1933-C1933+1</f>
        <v/>
      </c>
      <c r="F1933" s="319">
        <f>J1932</f>
        <v/>
      </c>
      <c r="G1933" s="319">
        <f>-PMT($D$1918/$D$1920,21,$F$1930,,0)</f>
        <v/>
      </c>
      <c r="H1933" s="319">
        <f>$D$1918/$D$1920*F1933</f>
        <v/>
      </c>
      <c r="I1933" s="319">
        <f>G1933-H1933</f>
        <v/>
      </c>
      <c r="J1933" s="319">
        <f>F1933-I1933</f>
        <v/>
      </c>
      <c r="K1933" s="516" t="n">
        <v>0</v>
      </c>
      <c r="L1933" s="516">
        <f>L1932+G1933</f>
        <v/>
      </c>
    </row>
    <row r="1934">
      <c r="B1934" s="1" t="n">
        <v>8</v>
      </c>
      <c r="C1934" s="24" t="n">
        <v>44986</v>
      </c>
      <c r="D1934" s="24" t="n">
        <v>45016</v>
      </c>
      <c r="E1934" s="25">
        <f>D1934-C1934+1</f>
        <v/>
      </c>
      <c r="F1934" s="319">
        <f>J1933</f>
        <v/>
      </c>
      <c r="G1934" s="319">
        <f>-PMT($D$1918/$D$1920,21,$F$1930,,0)</f>
        <v/>
      </c>
      <c r="H1934" s="319">
        <f>$D$1918/$D$1920*F1934</f>
        <v/>
      </c>
      <c r="I1934" s="319">
        <f>G1934-H1934</f>
        <v/>
      </c>
      <c r="J1934" s="319">
        <f>F1934-I1934</f>
        <v/>
      </c>
      <c r="K1934" s="516" t="n">
        <v>0</v>
      </c>
      <c r="L1934" s="516">
        <f>L1933+G1934</f>
        <v/>
      </c>
    </row>
    <row r="1935">
      <c r="B1935" s="1" t="n">
        <v>9</v>
      </c>
      <c r="C1935" s="24" t="n">
        <v>45017</v>
      </c>
      <c r="D1935" s="24" t="n">
        <v>45046</v>
      </c>
      <c r="E1935" s="25">
        <f>D1935-C1935+1</f>
        <v/>
      </c>
      <c r="F1935" s="319">
        <f>J1934</f>
        <v/>
      </c>
      <c r="G1935" s="319">
        <f>-PMT($D$1918/$D$1920,21,$F$1930,,0)</f>
        <v/>
      </c>
      <c r="H1935" s="319">
        <f>$D$1918/$D$1920*F1935</f>
        <v/>
      </c>
      <c r="I1935" s="319">
        <f>G1935-H1935</f>
        <v/>
      </c>
      <c r="J1935" s="319">
        <f>F1935-I1935</f>
        <v/>
      </c>
      <c r="K1935" s="516" t="n">
        <v>1000000</v>
      </c>
      <c r="L1935" s="516">
        <f>L1934+G1935-K1935</f>
        <v/>
      </c>
    </row>
    <row r="1936">
      <c r="B1936" s="1" t="n">
        <v>10</v>
      </c>
      <c r="C1936" s="24" t="n">
        <v>45047</v>
      </c>
      <c r="D1936" s="24" t="n">
        <v>45077</v>
      </c>
      <c r="E1936" s="25">
        <f>D1936-C1936+1</f>
        <v/>
      </c>
      <c r="F1936" s="319">
        <f>J1935</f>
        <v/>
      </c>
      <c r="G1936" s="319">
        <f>-PMT($D$1918/$D$1920,21,$F$1930,,0)</f>
        <v/>
      </c>
      <c r="H1936" s="319">
        <f>$D$1918/$D$1920*F1936</f>
        <v/>
      </c>
      <c r="I1936" s="319">
        <f>G1936-H1936</f>
        <v/>
      </c>
      <c r="J1936" s="319">
        <f>F1936-I1936</f>
        <v/>
      </c>
      <c r="K1936" s="516" t="n">
        <v>1000000</v>
      </c>
      <c r="L1936" s="516">
        <f>L1935+G1936-K1936</f>
        <v/>
      </c>
    </row>
    <row r="1937">
      <c r="B1937" s="1" t="n">
        <v>11</v>
      </c>
      <c r="C1937" s="24" t="n">
        <v>45078</v>
      </c>
      <c r="D1937" s="24" t="n">
        <v>45107</v>
      </c>
      <c r="E1937" s="25">
        <f>D1937-C1937+1</f>
        <v/>
      </c>
      <c r="F1937" s="319">
        <f>J1936</f>
        <v/>
      </c>
      <c r="G1937" s="319">
        <f>-PMT($D$1918/$D$1920,21,$F$1930,,0)</f>
        <v/>
      </c>
      <c r="H1937" s="319">
        <f>$D$1918/$D$1920*F1937</f>
        <v/>
      </c>
      <c r="I1937" s="319">
        <f>G1937-H1937</f>
        <v/>
      </c>
      <c r="J1937" s="319">
        <f>F1937-I1937</f>
        <v/>
      </c>
      <c r="K1937" s="516" t="n">
        <v>0</v>
      </c>
      <c r="L1937" s="519">
        <f>L1936+G1937-K1937</f>
        <v/>
      </c>
    </row>
    <row r="1938">
      <c r="B1938" s="1" t="n">
        <v>12</v>
      </c>
      <c r="C1938" s="24" t="n">
        <v>45108</v>
      </c>
      <c r="D1938" s="24" t="n">
        <v>45138</v>
      </c>
      <c r="E1938" s="25">
        <f>D1938-C1938+1</f>
        <v/>
      </c>
      <c r="F1938" s="319">
        <f>J1937</f>
        <v/>
      </c>
      <c r="G1938" s="319">
        <f>-PMT($D$1918/$D$1920,21,$F$1930,,0)</f>
        <v/>
      </c>
      <c r="H1938" s="319">
        <f>$D$1918/$D$1920*F1938</f>
        <v/>
      </c>
      <c r="I1938" s="319">
        <f>G1938-H1938</f>
        <v/>
      </c>
      <c r="J1938" s="319">
        <f>F1938-I1938</f>
        <v/>
      </c>
      <c r="K1938" s="516" t="n">
        <v>1000000</v>
      </c>
      <c r="L1938" s="516">
        <f>L1937+G1938-K1938</f>
        <v/>
      </c>
    </row>
    <row r="1939">
      <c r="B1939" s="1" t="n">
        <v>13</v>
      </c>
      <c r="C1939" s="24" t="n">
        <v>45139</v>
      </c>
      <c r="D1939" s="24" t="n">
        <v>45169</v>
      </c>
      <c r="E1939" s="25">
        <f>D1939-C1939+1</f>
        <v/>
      </c>
      <c r="F1939" s="319">
        <f>J1938</f>
        <v/>
      </c>
      <c r="G1939" s="319">
        <f>-PMT($D$1918/$D$1920,21,$F$1930,,0)</f>
        <v/>
      </c>
      <c r="H1939" s="319">
        <f>$D$1918/$D$1920*F1939</f>
        <v/>
      </c>
      <c r="I1939" s="319">
        <f>G1939-H1939</f>
        <v/>
      </c>
      <c r="J1939" s="319">
        <f>F1939-I1939</f>
        <v/>
      </c>
      <c r="K1939" s="516" t="n">
        <v>1000000</v>
      </c>
      <c r="L1939" s="516">
        <f>L1938+G1939-K1939</f>
        <v/>
      </c>
    </row>
    <row r="1940">
      <c r="B1940" s="1" t="n">
        <v>14</v>
      </c>
      <c r="C1940" s="24" t="n">
        <v>45170</v>
      </c>
      <c r="D1940" s="24" t="n">
        <v>45199</v>
      </c>
      <c r="E1940" s="25">
        <f>D1940-C1940+1</f>
        <v/>
      </c>
      <c r="F1940" s="319">
        <f>J1939</f>
        <v/>
      </c>
      <c r="G1940" s="319">
        <f>-PMT($D$1918/$D$1920,21,$F$1930,,0)</f>
        <v/>
      </c>
      <c r="H1940" s="319">
        <f>$D$1918/$D$1920*F1940</f>
        <v/>
      </c>
      <c r="I1940" s="319">
        <f>G1940-H1940</f>
        <v/>
      </c>
      <c r="J1940" s="319">
        <f>F1940-I1940</f>
        <v/>
      </c>
      <c r="K1940" s="516" t="n"/>
      <c r="L1940" s="516">
        <f>L1939+G1940-K1940</f>
        <v/>
      </c>
    </row>
    <row r="1941">
      <c r="B1941" s="1" t="n">
        <v>15</v>
      </c>
      <c r="C1941" s="24" t="n">
        <v>45200</v>
      </c>
      <c r="D1941" s="24" t="n">
        <v>45230</v>
      </c>
      <c r="E1941" s="25">
        <f>D1941-C1941+1</f>
        <v/>
      </c>
      <c r="F1941" s="319">
        <f>J1940</f>
        <v/>
      </c>
      <c r="G1941" s="319">
        <f>-PMT($D$1918/$D$1920,21,$F$1930,,0)</f>
        <v/>
      </c>
      <c r="H1941" s="319">
        <f>$D$1918/$D$1920*F1941</f>
        <v/>
      </c>
      <c r="I1941" s="319">
        <f>G1941-H1941</f>
        <v/>
      </c>
      <c r="J1941" s="319">
        <f>F1941-I1941</f>
        <v/>
      </c>
      <c r="K1941" s="516" t="n"/>
      <c r="L1941" s="516">
        <f>L1940+G1941-K1941</f>
        <v/>
      </c>
    </row>
    <row r="1942">
      <c r="B1942" s="1" t="n">
        <v>16</v>
      </c>
      <c r="C1942" s="24" t="n">
        <v>45231</v>
      </c>
      <c r="D1942" s="24" t="n">
        <v>45260</v>
      </c>
      <c r="E1942" s="25">
        <f>D1942-C1942+1</f>
        <v/>
      </c>
      <c r="F1942" s="319">
        <f>J1941</f>
        <v/>
      </c>
      <c r="G1942" s="319">
        <f>-PMT($D$1918/$D$1920,21,$F$1930,,0)</f>
        <v/>
      </c>
      <c r="H1942" s="319">
        <f>$D$1918/$D$1920*F1942</f>
        <v/>
      </c>
      <c r="I1942" s="319">
        <f>G1942-H1942</f>
        <v/>
      </c>
      <c r="J1942" s="319">
        <f>F1942-I1942</f>
        <v/>
      </c>
      <c r="K1942" s="516" t="n"/>
      <c r="L1942" s="516">
        <f>L1941+G1942-K1942</f>
        <v/>
      </c>
    </row>
    <row r="1943">
      <c r="B1943" s="1" t="n">
        <v>17</v>
      </c>
      <c r="C1943" s="24" t="n">
        <v>45261</v>
      </c>
      <c r="D1943" s="24" t="n">
        <v>45291</v>
      </c>
      <c r="E1943" s="25">
        <f>D1943-C1943+1</f>
        <v/>
      </c>
      <c r="F1943" s="319">
        <f>J1942</f>
        <v/>
      </c>
      <c r="G1943" s="319">
        <f>-PMT($D$1918/$D$1920,21,$F$1930,,0)</f>
        <v/>
      </c>
      <c r="H1943" s="319">
        <f>$D$1918/$D$1920*F1943</f>
        <v/>
      </c>
      <c r="I1943" s="319">
        <f>G1943-H1943</f>
        <v/>
      </c>
      <c r="J1943" s="319">
        <f>F1943-I1943</f>
        <v/>
      </c>
      <c r="K1943" s="516" t="n">
        <v>1000000</v>
      </c>
      <c r="L1943" s="516">
        <f>L1942+G1943-K1943</f>
        <v/>
      </c>
    </row>
    <row r="1944">
      <c r="B1944" s="1" t="n">
        <v>18</v>
      </c>
      <c r="C1944" s="24" t="n">
        <v>45292</v>
      </c>
      <c r="D1944" s="24" t="n">
        <v>45322</v>
      </c>
      <c r="E1944" s="25">
        <f>D1944-C1944+1</f>
        <v/>
      </c>
      <c r="F1944" s="319">
        <f>J1943</f>
        <v/>
      </c>
      <c r="G1944" s="319">
        <f>-PMT($D$1918/$D$1920,21,$F$1930,,0)</f>
        <v/>
      </c>
      <c r="H1944" s="319">
        <f>$D$1918/$D$1920*F1944</f>
        <v/>
      </c>
      <c r="I1944" s="319">
        <f>G1944-H1944</f>
        <v/>
      </c>
      <c r="J1944" s="319">
        <f>F1944-I1944</f>
        <v/>
      </c>
      <c r="K1944" s="516" t="n">
        <v>1600000</v>
      </c>
      <c r="L1944" s="516">
        <f>L1943+G1944-K1944</f>
        <v/>
      </c>
    </row>
    <row r="1945">
      <c r="B1945" s="1" t="n">
        <v>19</v>
      </c>
      <c r="C1945" s="24" t="n">
        <v>45323</v>
      </c>
      <c r="D1945" s="24" t="n">
        <v>45351</v>
      </c>
      <c r="E1945" s="25">
        <f>D1945-C1945+1</f>
        <v/>
      </c>
      <c r="F1945" s="319">
        <f>J1944</f>
        <v/>
      </c>
      <c r="G1945" s="319">
        <f>-PMT($D$1918/$D$1920,21,$F$1930,,0)</f>
        <v/>
      </c>
      <c r="H1945" s="319">
        <f>$D$1918/$D$1920*F1945</f>
        <v/>
      </c>
      <c r="I1945" s="319">
        <f>G1945-H1945</f>
        <v/>
      </c>
      <c r="J1945" s="319">
        <f>F1945-I1945</f>
        <v/>
      </c>
      <c r="K1945" s="516" t="n">
        <v>1000000</v>
      </c>
      <c r="L1945" s="516">
        <f>L1944+G1945-K1945</f>
        <v/>
      </c>
    </row>
    <row r="1946">
      <c r="B1946" s="1" t="n">
        <v>20</v>
      </c>
      <c r="C1946" s="24" t="n">
        <v>45352</v>
      </c>
      <c r="D1946" s="24" t="n">
        <v>45382</v>
      </c>
      <c r="E1946" s="25">
        <f>D1946-C1946+1</f>
        <v/>
      </c>
      <c r="F1946" s="319">
        <f>J1945</f>
        <v/>
      </c>
      <c r="G1946" s="319">
        <f>-PMT($D$1918/$D$1920,21,$F$1930,,0)</f>
        <v/>
      </c>
      <c r="H1946" s="319">
        <f>$D$1918/$D$1920*F1946</f>
        <v/>
      </c>
      <c r="I1946" s="319">
        <f>G1946-H1946</f>
        <v/>
      </c>
      <c r="J1946" s="319">
        <f>F1946-I1946</f>
        <v/>
      </c>
      <c r="K1946" s="516" t="n">
        <v>600000</v>
      </c>
      <c r="L1946" s="516">
        <f>L1945+G1946-K1946</f>
        <v/>
      </c>
    </row>
    <row r="1947">
      <c r="B1947" s="1" t="n">
        <v>21</v>
      </c>
      <c r="C1947" s="24" t="n">
        <v>45383</v>
      </c>
      <c r="D1947" s="24" t="n">
        <v>45412</v>
      </c>
      <c r="E1947" s="25">
        <f>D1947-C1947+1</f>
        <v/>
      </c>
      <c r="F1947" s="319">
        <f>J1946</f>
        <v/>
      </c>
      <c r="G1947" s="319">
        <f>-PMT($D$1918/$D$1920,21,$F$1930,,0)</f>
        <v/>
      </c>
      <c r="H1947" s="319">
        <f>$D$1918/$D$1920*F1947</f>
        <v/>
      </c>
      <c r="I1947" s="319">
        <f>G1947-H1947</f>
        <v/>
      </c>
      <c r="J1947" s="319">
        <f>F1947-I1947</f>
        <v/>
      </c>
      <c r="K1947" s="516" t="n"/>
      <c r="L1947" s="516">
        <f>L1946+G1947-K1947</f>
        <v/>
      </c>
    </row>
    <row r="1948">
      <c r="B1948" s="1" t="n">
        <v>22</v>
      </c>
      <c r="C1948" s="24" t="n">
        <v>45413</v>
      </c>
      <c r="D1948" s="24" t="n">
        <v>45443</v>
      </c>
      <c r="E1948" s="25">
        <f>D1948-C1948+1</f>
        <v/>
      </c>
      <c r="F1948" s="319">
        <f>J1947</f>
        <v/>
      </c>
      <c r="G1948" s="319">
        <f>-PMT($D$1918/$D$1920,21,$F$1930,,0)</f>
        <v/>
      </c>
      <c r="H1948" s="319">
        <f>$D$1918/$D$1920*F1948</f>
        <v/>
      </c>
      <c r="I1948" s="319">
        <f>G1948-H1948</f>
        <v/>
      </c>
      <c r="J1948" s="319">
        <f>F1948-I1948</f>
        <v/>
      </c>
      <c r="K1948" s="516" t="n">
        <v>700000</v>
      </c>
      <c r="L1948" s="516">
        <f>L1947+G1948-K1948</f>
        <v/>
      </c>
    </row>
    <row r="1949">
      <c r="B1949" s="1" t="n">
        <v>23</v>
      </c>
      <c r="C1949" s="24" t="n">
        <v>45444</v>
      </c>
      <c r="D1949" s="24" t="n">
        <v>45473</v>
      </c>
      <c r="E1949" s="25">
        <f>D1949-C1949+1</f>
        <v/>
      </c>
      <c r="F1949" s="319">
        <f>J1948</f>
        <v/>
      </c>
      <c r="G1949" s="319">
        <f>-PMT($D$1918/$D$1920,21,$F$1930,,0)</f>
        <v/>
      </c>
      <c r="H1949" s="319">
        <f>$D$1918/$D$1920*F1949</f>
        <v/>
      </c>
      <c r="I1949" s="319">
        <f>G1949-H1949</f>
        <v/>
      </c>
      <c r="J1949" s="319">
        <f>F1949-I1949</f>
        <v/>
      </c>
      <c r="K1949" s="516" t="n">
        <v>780000</v>
      </c>
      <c r="L1949" s="516">
        <f>L1948+G1949-K1949</f>
        <v/>
      </c>
    </row>
    <row r="1950">
      <c r="B1950" s="1" t="n">
        <v>24</v>
      </c>
      <c r="C1950" s="24" t="n">
        <v>45474</v>
      </c>
      <c r="D1950" s="24" t="n">
        <v>45504</v>
      </c>
      <c r="E1950" s="25">
        <f>D1950-C1950+1</f>
        <v/>
      </c>
      <c r="F1950" s="319">
        <f>J1949</f>
        <v/>
      </c>
      <c r="G1950" s="319">
        <f>-PMT($D$1918/$D$1920,21,$F$1930,,0)</f>
        <v/>
      </c>
      <c r="H1950" s="319">
        <f>$D$1918/$D$1920*F1950</f>
        <v/>
      </c>
      <c r="I1950" s="319">
        <f>G1950-H1950</f>
        <v/>
      </c>
      <c r="J1950" s="319">
        <f>F1950-I1950</f>
        <v/>
      </c>
      <c r="K1950" s="516" t="n"/>
      <c r="L1950" s="516" t="n"/>
    </row>
    <row r="1951">
      <c r="B1951" s="1" t="n"/>
      <c r="C1951" s="24" t="n"/>
      <c r="D1951" s="24" t="n"/>
      <c r="E1951" s="25" t="n"/>
      <c r="F1951" s="319" t="n"/>
      <c r="G1951" s="319" t="n"/>
      <c r="H1951" s="319" t="n"/>
      <c r="I1951" s="319" t="n"/>
      <c r="J1951" s="319" t="n"/>
      <c r="K1951" s="516" t="n"/>
      <c r="L1951" s="516" t="n"/>
    </row>
    <row r="1952" ht="14.25" customHeight="1">
      <c r="B1952" s="1" t="n"/>
      <c r="C1952" s="1" t="n"/>
      <c r="D1952" s="1" t="n"/>
      <c r="E1952" s="30">
        <f>SUM(E1926:E1938)</f>
        <v/>
      </c>
      <c r="F1952" s="319" t="n"/>
      <c r="G1952" s="319" t="n"/>
      <c r="H1952" s="319" t="n"/>
      <c r="I1952" s="319" t="n"/>
      <c r="J1952" s="319" t="n"/>
      <c r="K1952" s="1" t="n"/>
      <c r="L1952" s="1" t="n"/>
    </row>
    <row r="1958">
      <c r="B1958" s="1" t="n"/>
      <c r="C1958" s="9" t="inlineStr">
        <is>
          <t>Agribusiness Solutions Ltd</t>
        </is>
      </c>
      <c r="D1958" s="319" t="n"/>
      <c r="E1958" s="319" t="n"/>
      <c r="F1958" s="319" t="n"/>
      <c r="G1958" s="319" t="n"/>
      <c r="H1958" s="319" t="n"/>
      <c r="I1958" s="319" t="n"/>
      <c r="J1958" s="319" t="n"/>
      <c r="K1958" s="319" t="n"/>
      <c r="L1958" s="319" t="n"/>
      <c r="R1958" s="514" t="inlineStr">
        <is>
          <t>E-Banker account (Dupleix)</t>
        </is>
      </c>
      <c r="S1958" s="495">
        <f>IFERROR(INDEX('Blocks'!$I$2:$I$101,MATCH(34,'Blocks'!$A$2:$A$101,0)),"")</f>
        <v/>
      </c>
    </row>
    <row r="1959">
      <c r="B1959" s="1" t="n"/>
      <c r="C1959" s="1" t="n"/>
      <c r="D1959" s="319" t="n"/>
      <c r="E1959" s="319" t="n"/>
      <c r="F1959" s="319" t="n"/>
      <c r="G1959" s="319" t="n"/>
      <c r="H1959" s="319" t="n"/>
      <c r="I1959" s="319" t="n"/>
      <c r="J1959" s="319" t="n"/>
      <c r="K1959" s="319" t="n"/>
      <c r="L1959" s="319" t="n"/>
      <c r="R1959" s="514" t="inlineStr">
        <is>
          <t>Facility (Loan Book)</t>
        </is>
      </c>
      <c r="S1959" s="495">
        <f>IFERROR(INDEX('Blocks'!$H$2:$H$101,MATCH(34,'Blocks'!$A$2:$A$101,0)),"")</f>
        <v/>
      </c>
    </row>
    <row r="1960">
      <c r="B1960" s="1" t="n"/>
      <c r="C1960" s="10" t="inlineStr">
        <is>
          <t>Principal (MK)</t>
        </is>
      </c>
      <c r="D1960" s="11" t="n">
        <v>24000000</v>
      </c>
      <c r="E1960" s="319" t="n"/>
      <c r="F1960" s="319" t="n"/>
      <c r="G1960" s="319" t="n"/>
      <c r="H1960" s="319" t="n"/>
      <c r="I1960" s="319" t="n"/>
      <c r="J1960" s="319" t="n"/>
      <c r="K1960" s="319" t="n"/>
      <c r="L1960" s="319" t="n"/>
      <c r="R1960" s="514" t="inlineStr">
        <is>
          <t>Take-on posting 31 Jul 2024</t>
        </is>
      </c>
      <c r="S1960" s="496">
        <f>IFERROR(INDEX('E-Banker master'!$N$2:$N$186,MATCH(S1958,'E-Banker master'!$A$2:$A$186,0)),"")</f>
        <v/>
      </c>
    </row>
    <row r="1961">
      <c r="B1961" s="1" t="n"/>
      <c r="C1961" s="13" t="inlineStr">
        <is>
          <t>Rate</t>
        </is>
      </c>
      <c r="D1961" s="14" t="n">
        <v>0.1</v>
      </c>
      <c r="E1961" s="257" t="n"/>
      <c r="F1961" s="319" t="n"/>
      <c r="G1961" s="319" t="n"/>
      <c r="H1961" s="319" t="n"/>
      <c r="I1961" s="319" t="n"/>
      <c r="J1961" s="319" t="n"/>
      <c r="K1961" s="319" t="n"/>
      <c r="L1961" s="319" t="n"/>
      <c r="R1961" s="514" t="inlineStr">
        <is>
          <t>E-Banker balance 31 Oct 2024</t>
        </is>
      </c>
      <c r="S1961" s="496">
        <f>IFERROR(INDEX('E-Banker master'!$P$2:$P$186,MATCH(S1958,'E-Banker master'!$A$2:$A$186,0)),"")</f>
        <v/>
      </c>
    </row>
    <row r="1962">
      <c r="B1962" s="1" t="n"/>
      <c r="C1962" s="13" t="inlineStr">
        <is>
          <t>n</t>
        </is>
      </c>
      <c r="D1962" s="16" t="n">
        <v>2</v>
      </c>
      <c r="E1962" s="1" t="n"/>
      <c r="F1962" s="319" t="n"/>
      <c r="G1962" s="319" t="n"/>
      <c r="H1962" s="319" t="n"/>
      <c r="I1962" s="319" t="n"/>
      <c r="J1962" s="319" t="n"/>
      <c r="K1962" s="1" t="n"/>
      <c r="L1962" s="1" t="n"/>
    </row>
    <row r="1963">
      <c r="B1963" s="1" t="n"/>
      <c r="C1963" s="13" t="inlineStr">
        <is>
          <t>Per</t>
        </is>
      </c>
      <c r="D1963" s="16" t="n">
        <v>12</v>
      </c>
      <c r="E1963" s="1" t="n"/>
      <c r="F1963" s="319" t="n"/>
      <c r="G1963" s="319" t="n"/>
      <c r="H1963" s="319" t="n"/>
      <c r="I1963" s="319" t="n"/>
      <c r="J1963" s="319" t="n"/>
      <c r="K1963" s="1" t="n"/>
      <c r="L1963" s="1" t="n"/>
    </row>
    <row r="1964">
      <c r="B1964" s="1" t="n"/>
      <c r="C1964" s="13" t="inlineStr">
        <is>
          <t>nPer</t>
        </is>
      </c>
      <c r="D1964" s="515">
        <f>D1962*D1963</f>
        <v/>
      </c>
      <c r="E1964" s="1" t="n"/>
      <c r="F1964" s="319" t="n"/>
      <c r="G1964" s="319" t="n"/>
      <c r="H1964" s="319" t="n"/>
      <c r="I1964" s="319" t="n"/>
      <c r="J1964" s="319" t="n"/>
      <c r="K1964" s="1" t="n"/>
      <c r="L1964" s="1" t="n"/>
    </row>
    <row r="1965">
      <c r="B1965" s="1" t="n"/>
      <c r="C1965" s="13" t="inlineStr">
        <is>
          <t>Days in a year</t>
        </is>
      </c>
      <c r="D1965" s="18" t="n">
        <v>365</v>
      </c>
      <c r="E1965" s="1" t="n"/>
      <c r="F1965" s="319" t="n"/>
      <c r="G1965" s="319" t="n"/>
      <c r="H1965" s="319" t="n"/>
      <c r="I1965" s="319" t="n"/>
      <c r="J1965" s="319" t="n"/>
      <c r="K1965" s="1" t="n"/>
      <c r="L1965" s="1" t="n"/>
    </row>
    <row r="1966">
      <c r="B1966" s="1" t="n"/>
      <c r="C1966" s="19" t="inlineStr">
        <is>
          <t>Pmt (MK)</t>
        </is>
      </c>
      <c r="D1966" s="20">
        <f>-PMT(D1961/D1963,D1964,D1960,0,0)</f>
        <v/>
      </c>
      <c r="E1966" s="319" t="n"/>
      <c r="F1966" s="319" t="n"/>
      <c r="G1966" s="319" t="n"/>
      <c r="H1966" s="319" t="n"/>
      <c r="I1966" s="319" t="n"/>
      <c r="J1966" s="319" t="n"/>
      <c r="K1966" s="1" t="n"/>
      <c r="L1966" s="1" t="n"/>
    </row>
    <row r="1967">
      <c r="B1967" s="1" t="n"/>
      <c r="C1967" s="1" t="n"/>
      <c r="D1967" s="319" t="n"/>
      <c r="E1967" s="319" t="n"/>
      <c r="F1967" s="319" t="n"/>
      <c r="G1967" s="319" t="n"/>
      <c r="H1967" s="319" t="n"/>
      <c r="I1967" s="319" t="n"/>
      <c r="J1967" s="319" t="n"/>
      <c r="K1967" s="1" t="n"/>
      <c r="L1967" s="1" t="n"/>
    </row>
    <row r="1968">
      <c r="B1968" s="1" t="n"/>
      <c r="C1968" s="21" t="inlineStr">
        <is>
          <t>Period Start</t>
        </is>
      </c>
      <c r="D1968" s="22" t="inlineStr">
        <is>
          <t>Period End</t>
        </is>
      </c>
      <c r="E1968" s="22" t="inlineStr">
        <is>
          <t>Days</t>
        </is>
      </c>
      <c r="F1968" s="294" t="inlineStr">
        <is>
          <t>Opening bal.</t>
        </is>
      </c>
      <c r="G1968" s="294" t="inlineStr">
        <is>
          <t>Pmt</t>
        </is>
      </c>
      <c r="H1968" s="294" t="inlineStr">
        <is>
          <t>Interest</t>
        </is>
      </c>
      <c r="I1968" s="294" t="inlineStr">
        <is>
          <t>Principal</t>
        </is>
      </c>
      <c r="J1968" s="294" t="inlineStr">
        <is>
          <t>Closing balance</t>
        </is>
      </c>
      <c r="K1968" s="23" t="inlineStr">
        <is>
          <t>Amount Repaid</t>
        </is>
      </c>
      <c r="L1968" s="23" t="inlineStr">
        <is>
          <t>Accumulated Arrears</t>
        </is>
      </c>
    </row>
    <row r="1969">
      <c r="B1969" s="1" t="n">
        <v>0</v>
      </c>
      <c r="C1969" s="24" t="n">
        <v>44755</v>
      </c>
      <c r="D1969" s="24" t="n">
        <v>44773</v>
      </c>
      <c r="E1969" s="25">
        <f>D1969-C1969+1</f>
        <v/>
      </c>
      <c r="F1969" s="319">
        <f>D1960</f>
        <v/>
      </c>
      <c r="G1969" s="319" t="n"/>
      <c r="H1969" s="319">
        <f>$D$1961/$D$1963*F1969*E1969/30</f>
        <v/>
      </c>
      <c r="I1969" s="319">
        <f>G1969-H1969</f>
        <v/>
      </c>
      <c r="J1969" s="319">
        <f>F1969-I1969</f>
        <v/>
      </c>
      <c r="K1969" s="516" t="n"/>
      <c r="L1969" s="516" t="n"/>
    </row>
    <row r="1970">
      <c r="B1970" s="1" t="n">
        <v>1</v>
      </c>
      <c r="C1970" s="24" t="n">
        <v>44774</v>
      </c>
      <c r="D1970" s="24" t="n">
        <v>44804</v>
      </c>
      <c r="E1970" s="25">
        <f>D1970-C1970+1</f>
        <v/>
      </c>
      <c r="F1970" s="319">
        <f>J1969</f>
        <v/>
      </c>
      <c r="G1970" s="319" t="n"/>
      <c r="H1970" s="319">
        <f>$D$1961/$D$1963*F1970</f>
        <v/>
      </c>
      <c r="I1970" s="319">
        <f>G1970-H1970</f>
        <v/>
      </c>
      <c r="J1970" s="319">
        <f>F1970-I1970</f>
        <v/>
      </c>
      <c r="K1970" s="516" t="n"/>
      <c r="L1970" s="516" t="n"/>
    </row>
    <row r="1971">
      <c r="B1971" s="1" t="n">
        <v>2</v>
      </c>
      <c r="C1971" s="24" t="n">
        <v>44805</v>
      </c>
      <c r="D1971" s="24" t="n">
        <v>44834</v>
      </c>
      <c r="E1971" s="25">
        <f>D1971-C1971+1</f>
        <v/>
      </c>
      <c r="F1971" s="319">
        <f>J1970</f>
        <v/>
      </c>
      <c r="G1971" s="319" t="n"/>
      <c r="H1971" s="319">
        <f>$D$1961/$D$1963*F1971</f>
        <v/>
      </c>
      <c r="I1971" s="319">
        <f>G1971-H1971</f>
        <v/>
      </c>
      <c r="J1971" s="319">
        <f>F1971-I1971</f>
        <v/>
      </c>
    </row>
    <row r="1972">
      <c r="B1972" s="1" t="n">
        <v>3</v>
      </c>
      <c r="C1972" s="24" t="n">
        <v>44835</v>
      </c>
      <c r="D1972" s="24" t="n">
        <v>44865</v>
      </c>
      <c r="E1972" s="25">
        <f>D1972-C1972+1</f>
        <v/>
      </c>
      <c r="F1972" s="319">
        <f>J1971</f>
        <v/>
      </c>
      <c r="G1972" s="319" t="n"/>
      <c r="H1972" s="319">
        <f>$D$1961/$D$1963*F1972</f>
        <v/>
      </c>
      <c r="I1972" s="319">
        <f>G1972-H1972</f>
        <v/>
      </c>
      <c r="J1972" s="319">
        <f>F1972-I1972</f>
        <v/>
      </c>
      <c r="K1972" s="516" t="n"/>
      <c r="L1972" s="516" t="n"/>
    </row>
    <row r="1973">
      <c r="B1973" s="1" t="n">
        <v>4</v>
      </c>
      <c r="C1973" s="24" t="n">
        <v>44866</v>
      </c>
      <c r="D1973" s="24" t="n">
        <v>44895</v>
      </c>
      <c r="E1973" s="25">
        <f>D1973-C1973+1</f>
        <v/>
      </c>
      <c r="F1973" s="319">
        <f>J1972</f>
        <v/>
      </c>
      <c r="G1973" s="319">
        <f>-PMT($D$1961/$D$1963,21,$F$1973,,0)</f>
        <v/>
      </c>
      <c r="H1973" s="319">
        <f>$D$1961/$D$1963*F1973</f>
        <v/>
      </c>
      <c r="I1973" s="319">
        <f>G1973-H1973</f>
        <v/>
      </c>
      <c r="J1973" s="319">
        <f>F1973-I1973</f>
        <v/>
      </c>
      <c r="K1973" s="516" t="n">
        <v>1282040</v>
      </c>
      <c r="L1973" s="516">
        <f>G1973-K1973</f>
        <v/>
      </c>
    </row>
    <row r="1974">
      <c r="B1974" s="1" t="n">
        <v>5</v>
      </c>
      <c r="C1974" s="24" t="n">
        <v>44896</v>
      </c>
      <c r="D1974" s="24" t="n">
        <v>44926</v>
      </c>
      <c r="E1974" s="25">
        <f>D1974-C1974+1</f>
        <v/>
      </c>
      <c r="F1974" s="319">
        <f>J1973</f>
        <v/>
      </c>
      <c r="G1974" s="319">
        <f>-PMT($D$1961/$D$1963,21,$F$1973,,0)</f>
        <v/>
      </c>
      <c r="H1974" s="319">
        <f>$D$1961/$D$1963*F1974</f>
        <v/>
      </c>
      <c r="I1974" s="319">
        <f>G1974-H1974</f>
        <v/>
      </c>
      <c r="J1974" s="319">
        <f>F1974-I1974</f>
        <v/>
      </c>
      <c r="K1974" s="516" t="n">
        <v>1300000</v>
      </c>
      <c r="L1974" s="516">
        <f>L1973+G1974-K1974</f>
        <v/>
      </c>
    </row>
    <row r="1975">
      <c r="B1975" s="1" t="n">
        <v>6</v>
      </c>
      <c r="C1975" s="24" t="n">
        <v>44927</v>
      </c>
      <c r="D1975" s="24" t="n">
        <v>44957</v>
      </c>
      <c r="E1975" s="25">
        <f>D1975-C1975+1</f>
        <v/>
      </c>
      <c r="F1975" s="319">
        <f>J1974</f>
        <v/>
      </c>
      <c r="G1975" s="319">
        <f>-PMT($D$1961/$D$1963,21,$F$1973,,0)</f>
        <v/>
      </c>
      <c r="H1975" s="319">
        <f>$D$1961/$D$1963*F1975</f>
        <v/>
      </c>
      <c r="I1975" s="319">
        <f>G1975-H1975</f>
        <v/>
      </c>
      <c r="J1975" s="319">
        <f>F1975-I1975</f>
        <v/>
      </c>
      <c r="K1975" s="516" t="n">
        <v>1500000</v>
      </c>
      <c r="L1975" s="516">
        <f>L1974+G1975-K1975</f>
        <v/>
      </c>
    </row>
    <row r="1976">
      <c r="B1976" s="1" t="n">
        <v>7</v>
      </c>
      <c r="C1976" s="24" t="n">
        <v>44958</v>
      </c>
      <c r="D1976" s="24" t="n">
        <v>44985</v>
      </c>
      <c r="E1976" s="25">
        <f>D1976-C1976+1</f>
        <v/>
      </c>
      <c r="F1976" s="319">
        <f>J1975</f>
        <v/>
      </c>
      <c r="G1976" s="319">
        <f>-PMT($D$1961/$D$1963,21,$F$1973,,0)</f>
        <v/>
      </c>
      <c r="H1976" s="319">
        <f>$D$1961/$D$1963*F1976</f>
        <v/>
      </c>
      <c r="I1976" s="319">
        <f>G1976-H1976</f>
        <v/>
      </c>
      <c r="J1976" s="319">
        <f>F1976-I1976</f>
        <v/>
      </c>
      <c r="K1976" s="516" t="n">
        <v>1100000</v>
      </c>
      <c r="L1976" s="516">
        <f>L1975+G1976-K1976</f>
        <v/>
      </c>
    </row>
    <row r="1977">
      <c r="B1977" s="1" t="n">
        <v>8</v>
      </c>
      <c r="C1977" s="24" t="n">
        <v>44986</v>
      </c>
      <c r="D1977" s="24" t="n">
        <v>45016</v>
      </c>
      <c r="E1977" s="25">
        <f>D1977-C1977+1</f>
        <v/>
      </c>
      <c r="F1977" s="319">
        <f>J1976</f>
        <v/>
      </c>
      <c r="G1977" s="319">
        <f>-PMT($D$1961/$D$1963,21,$F$1973,,0)</f>
        <v/>
      </c>
      <c r="H1977" s="319">
        <f>$D$1961/$D$1963*F1977</f>
        <v/>
      </c>
      <c r="I1977" s="319">
        <f>G1977-H1977</f>
        <v/>
      </c>
      <c r="J1977" s="319">
        <f>F1977-I1977</f>
        <v/>
      </c>
      <c r="K1977" s="516" t="n">
        <v>1300000</v>
      </c>
      <c r="L1977" s="516">
        <f>L1976+G1977-K1977</f>
        <v/>
      </c>
    </row>
    <row r="1978">
      <c r="B1978" s="1" t="n">
        <v>9</v>
      </c>
      <c r="C1978" s="24" t="n">
        <v>45017</v>
      </c>
      <c r="D1978" s="24" t="n">
        <v>45046</v>
      </c>
      <c r="E1978" s="25">
        <f>D1978-C1978+1</f>
        <v/>
      </c>
      <c r="F1978" s="319">
        <f>J1977</f>
        <v/>
      </c>
      <c r="G1978" s="319">
        <f>-PMT($D$1961/$D$1963,21,$F$1973,,0)</f>
        <v/>
      </c>
      <c r="H1978" s="319">
        <f>$D$1961/$D$1963*F1978</f>
        <v/>
      </c>
      <c r="I1978" s="319">
        <f>G1978-H1978</f>
        <v/>
      </c>
      <c r="J1978" s="319">
        <f>F1978-I1978</f>
        <v/>
      </c>
      <c r="K1978" s="516" t="n"/>
      <c r="L1978" s="516">
        <f>L1977+G1978-K1978</f>
        <v/>
      </c>
    </row>
    <row r="1979">
      <c r="B1979" s="1" t="n">
        <v>10</v>
      </c>
      <c r="C1979" s="24" t="n">
        <v>45047</v>
      </c>
      <c r="D1979" s="24" t="n">
        <v>45077</v>
      </c>
      <c r="E1979" s="25">
        <f>D1979-C1979+1</f>
        <v/>
      </c>
      <c r="F1979" s="319">
        <f>J1978</f>
        <v/>
      </c>
      <c r="G1979" s="319">
        <f>-PMT($D$1961/$D$1963,21,$F$1973,,0)</f>
        <v/>
      </c>
      <c r="H1979" s="319">
        <f>$D$1961/$D$1963*F1979</f>
        <v/>
      </c>
      <c r="I1979" s="319">
        <f>G1979-H1979</f>
        <v/>
      </c>
      <c r="J1979" s="319">
        <f>F1979-I1979</f>
        <v/>
      </c>
      <c r="K1979" s="516" t="n">
        <v>0</v>
      </c>
      <c r="L1979" s="516">
        <f>L1978+G1979-K1979</f>
        <v/>
      </c>
    </row>
    <row r="1980">
      <c r="B1980" s="1" t="n">
        <v>11</v>
      </c>
      <c r="C1980" s="24" t="n">
        <v>45078</v>
      </c>
      <c r="D1980" s="24" t="n">
        <v>45107</v>
      </c>
      <c r="E1980" s="25">
        <f>D1980-C1980+1</f>
        <v/>
      </c>
      <c r="F1980" s="319">
        <f>J1979</f>
        <v/>
      </c>
      <c r="G1980" s="319">
        <f>-PMT($D$1961/$D$1963,21,$F$1973,,0)</f>
        <v/>
      </c>
      <c r="H1980" s="319">
        <f>$D$1961/$D$1963*F1980</f>
        <v/>
      </c>
      <c r="I1980" s="319">
        <f>G1980-H1980</f>
        <v/>
      </c>
      <c r="J1980" s="319">
        <f>F1980-I1980</f>
        <v/>
      </c>
      <c r="K1980" s="516" t="n">
        <v>1300000</v>
      </c>
      <c r="L1980" s="519">
        <f>L1979+G1980-K1980</f>
        <v/>
      </c>
    </row>
    <row r="1981">
      <c r="B1981" s="1" t="n">
        <v>12</v>
      </c>
      <c r="C1981" s="24" t="n">
        <v>45108</v>
      </c>
      <c r="D1981" s="24" t="n">
        <v>45138</v>
      </c>
      <c r="E1981" s="25">
        <f>D1981-C1981+1</f>
        <v/>
      </c>
      <c r="F1981" s="319">
        <f>J1980</f>
        <v/>
      </c>
      <c r="G1981" s="319">
        <f>-PMT($D$1961/$D$1963,21,$F$1973,,0)</f>
        <v/>
      </c>
      <c r="H1981" s="319">
        <f>$D$1961/$D$1963*F1981</f>
        <v/>
      </c>
      <c r="I1981" s="319">
        <f>G1981-H1981</f>
        <v/>
      </c>
      <c r="J1981" s="319">
        <f>F1981-I1981</f>
        <v/>
      </c>
      <c r="K1981" s="516" t="n">
        <v>1300000</v>
      </c>
      <c r="L1981" s="516">
        <f>L1980+G1981-K1981</f>
        <v/>
      </c>
    </row>
    <row r="1982">
      <c r="B1982" s="1" t="n">
        <v>13</v>
      </c>
      <c r="C1982" s="24" t="n">
        <v>45139</v>
      </c>
      <c r="D1982" s="24" t="n">
        <v>45169</v>
      </c>
      <c r="E1982" s="25">
        <f>D1982-C1982+1</f>
        <v/>
      </c>
      <c r="F1982" s="319">
        <f>J1981</f>
        <v/>
      </c>
      <c r="G1982" s="319">
        <f>-PMT($D$1961/$D$1963,21,$F$1973,,0)</f>
        <v/>
      </c>
      <c r="H1982" s="319">
        <f>$D$1961/$D$1963*F1982</f>
        <v/>
      </c>
      <c r="I1982" s="319">
        <f>G1982-H1982</f>
        <v/>
      </c>
      <c r="J1982" s="319">
        <f>F1982-I1982</f>
        <v/>
      </c>
      <c r="K1982" s="516" t="n">
        <v>1000000</v>
      </c>
      <c r="L1982" s="516">
        <f>L1981+G1982-K1982</f>
        <v/>
      </c>
    </row>
    <row r="1983">
      <c r="B1983" s="1" t="n">
        <v>14</v>
      </c>
      <c r="C1983" s="24" t="n">
        <v>45170</v>
      </c>
      <c r="D1983" s="24" t="n">
        <v>45199</v>
      </c>
      <c r="E1983" s="25">
        <f>D1983-C1983+1</f>
        <v/>
      </c>
      <c r="F1983" s="319">
        <f>J1982</f>
        <v/>
      </c>
      <c r="G1983" s="319">
        <f>-PMT($D$1961/$D$1963,21,$F$1973,,0)</f>
        <v/>
      </c>
      <c r="H1983" s="319">
        <f>$D$1961/$D$1963*F1983</f>
        <v/>
      </c>
      <c r="I1983" s="319">
        <f>G1983-H1983</f>
        <v/>
      </c>
      <c r="J1983" s="319">
        <f>F1983-I1983</f>
        <v/>
      </c>
      <c r="K1983" s="516" t="n"/>
      <c r="L1983" s="516">
        <f>L1982+G1983-K1983</f>
        <v/>
      </c>
    </row>
    <row r="1984">
      <c r="B1984" s="1" t="n">
        <v>15</v>
      </c>
      <c r="C1984" s="24" t="n">
        <v>45200</v>
      </c>
      <c r="D1984" s="24" t="n">
        <v>45230</v>
      </c>
      <c r="E1984" s="25">
        <f>D1984-C1984+1</f>
        <v/>
      </c>
      <c r="F1984" s="319">
        <f>J1983</f>
        <v/>
      </c>
      <c r="G1984" s="319">
        <f>-PMT($D$1961/$D$1963,21,$F$1973,,0)</f>
        <v/>
      </c>
      <c r="H1984" s="319">
        <f>$D$1961/$D$1963*F1984</f>
        <v/>
      </c>
      <c r="I1984" s="319">
        <f>G1984-H1984</f>
        <v/>
      </c>
      <c r="J1984" s="319">
        <f>F1984-I1984</f>
        <v/>
      </c>
      <c r="K1984" s="516" t="n"/>
      <c r="L1984" s="516">
        <f>L1983+G1984-K1984</f>
        <v/>
      </c>
    </row>
    <row r="1985">
      <c r="B1985" s="1" t="n">
        <v>16</v>
      </c>
      <c r="C1985" s="24" t="n">
        <v>45231</v>
      </c>
      <c r="D1985" s="24" t="n">
        <v>45260</v>
      </c>
      <c r="E1985" s="25">
        <f>D1985-C1985+1</f>
        <v/>
      </c>
      <c r="F1985" s="319">
        <f>J1984</f>
        <v/>
      </c>
      <c r="G1985" s="319">
        <f>-PMT($D$1961/$D$1963,21,$F$1973,,0)</f>
        <v/>
      </c>
      <c r="H1985" s="319">
        <f>$D$1961/$D$1963*F1985</f>
        <v/>
      </c>
      <c r="I1985" s="319">
        <f>G1985-H1985</f>
        <v/>
      </c>
      <c r="J1985" s="319">
        <f>F1985-I1985</f>
        <v/>
      </c>
      <c r="K1985" s="516" t="n">
        <v>800000</v>
      </c>
      <c r="L1985" s="516">
        <f>L1984+G1985-K1985</f>
        <v/>
      </c>
    </row>
    <row r="1986">
      <c r="B1986" s="1" t="n">
        <v>17</v>
      </c>
      <c r="C1986" s="24" t="n">
        <v>45261</v>
      </c>
      <c r="D1986" s="24" t="n">
        <v>45291</v>
      </c>
      <c r="E1986" s="25">
        <f>D1986-C1986+1</f>
        <v/>
      </c>
      <c r="F1986" s="319">
        <f>J1985</f>
        <v/>
      </c>
      <c r="G1986" s="319">
        <f>-PMT($D$1961/$D$1963,21,$F$1973,,0)</f>
        <v/>
      </c>
      <c r="H1986" s="319">
        <f>$D$1961/$D$1963*F1986</f>
        <v/>
      </c>
      <c r="I1986" s="319">
        <f>G1986-H1986</f>
        <v/>
      </c>
      <c r="J1986" s="319">
        <f>F1986-I1986</f>
        <v/>
      </c>
      <c r="K1986" s="516" t="n">
        <v>1200000</v>
      </c>
      <c r="L1986" s="516">
        <f>L1985+G1986-K1986</f>
        <v/>
      </c>
    </row>
    <row r="1987">
      <c r="B1987" s="1" t="n">
        <v>18</v>
      </c>
      <c r="C1987" s="24" t="n">
        <v>45292</v>
      </c>
      <c r="D1987" s="24" t="n">
        <v>45322</v>
      </c>
      <c r="E1987" s="25">
        <f>D1987-C1987+1</f>
        <v/>
      </c>
      <c r="F1987" s="319">
        <f>J1986</f>
        <v/>
      </c>
      <c r="G1987" s="319">
        <f>-PMT($D$1961/$D$1963,21,$F$1973,,0)</f>
        <v/>
      </c>
      <c r="H1987" s="319">
        <f>$D$1961/$D$1963*F1987</f>
        <v/>
      </c>
      <c r="I1987" s="319">
        <f>G1987-H1987</f>
        <v/>
      </c>
      <c r="J1987" s="319">
        <f>F1987-I1987</f>
        <v/>
      </c>
      <c r="K1987" s="516" t="n">
        <v>5000000</v>
      </c>
      <c r="L1987" s="516">
        <f>L1986+G1987-K1987</f>
        <v/>
      </c>
    </row>
    <row r="1988">
      <c r="B1988" s="1" t="n">
        <v>19</v>
      </c>
      <c r="C1988" s="24" t="n">
        <v>45323</v>
      </c>
      <c r="D1988" s="24" t="n">
        <v>45351</v>
      </c>
      <c r="E1988" s="25">
        <f>D1988-C1988+1</f>
        <v/>
      </c>
      <c r="F1988" s="319">
        <f>J1987</f>
        <v/>
      </c>
      <c r="G1988" s="319">
        <f>-PMT($D$1961/$D$1963,21,$F$1973,,0)</f>
        <v/>
      </c>
      <c r="H1988" s="319">
        <f>$D$1961/$D$1963*F1988</f>
        <v/>
      </c>
      <c r="I1988" s="319">
        <f>G1988-H1988</f>
        <v/>
      </c>
      <c r="J1988" s="319">
        <f>F1988-I1988</f>
        <v/>
      </c>
      <c r="K1988" s="516" t="n"/>
      <c r="L1988" s="516">
        <f>L1987+G1988-K1988</f>
        <v/>
      </c>
    </row>
    <row r="1989">
      <c r="B1989" s="1" t="n">
        <v>20</v>
      </c>
      <c r="C1989" s="24" t="n">
        <v>45352</v>
      </c>
      <c r="D1989" s="24" t="n">
        <v>45382</v>
      </c>
      <c r="E1989" s="25">
        <f>D1989-C1989+1</f>
        <v/>
      </c>
      <c r="F1989" s="319">
        <f>J1988</f>
        <v/>
      </c>
      <c r="G1989" s="319">
        <f>-PMT($D$1961/$D$1963,21,$F$1973,,0)</f>
        <v/>
      </c>
      <c r="H1989" s="319">
        <f>$D$1961/$D$1963*F1989</f>
        <v/>
      </c>
      <c r="I1989" s="319">
        <f>G1989-H1989</f>
        <v/>
      </c>
      <c r="J1989" s="319">
        <f>F1989-I1989</f>
        <v/>
      </c>
      <c r="K1989" s="516">
        <f>1300000+2000000+500000</f>
        <v/>
      </c>
      <c r="L1989" s="516">
        <f>L1988+G1989-K1989</f>
        <v/>
      </c>
    </row>
    <row r="1990">
      <c r="B1990" s="1" t="n">
        <v>21</v>
      </c>
      <c r="C1990" s="24" t="n">
        <v>45383</v>
      </c>
      <c r="D1990" s="24" t="n">
        <v>45412</v>
      </c>
      <c r="E1990" s="25">
        <f>D1990-C1990+1</f>
        <v/>
      </c>
      <c r="F1990" s="319">
        <f>J1989</f>
        <v/>
      </c>
      <c r="G1990" s="319">
        <f>-PMT($D$1961/$D$1963,21,$F$1973,,0)</f>
        <v/>
      </c>
      <c r="H1990" s="319">
        <f>$D$1961/$D$1963*F1990</f>
        <v/>
      </c>
      <c r="I1990" s="319">
        <f>G1990-H1990</f>
        <v/>
      </c>
      <c r="J1990" s="319">
        <f>F1990-I1990</f>
        <v/>
      </c>
      <c r="K1990" s="516" t="n"/>
      <c r="L1990" s="516">
        <f>L1989+G1990-K1990</f>
        <v/>
      </c>
    </row>
    <row r="1991">
      <c r="B1991" s="1" t="n">
        <v>22</v>
      </c>
      <c r="C1991" s="24" t="n">
        <v>45413</v>
      </c>
      <c r="D1991" s="24" t="n">
        <v>45443</v>
      </c>
      <c r="E1991" s="25">
        <f>D1991-C1991+1</f>
        <v/>
      </c>
      <c r="F1991" s="319">
        <f>J1990</f>
        <v/>
      </c>
      <c r="G1991" s="319">
        <f>-PMT($D$1961/$D$1963,21,$F$1973,,0)</f>
        <v/>
      </c>
      <c r="H1991" s="319">
        <f>$D$1961/$D$1963*F1991</f>
        <v/>
      </c>
      <c r="I1991" s="319">
        <f>G1991-H1991</f>
        <v/>
      </c>
      <c r="J1991" s="319">
        <f>F1991-I1991</f>
        <v/>
      </c>
      <c r="K1991" s="516">
        <f>700000+700000</f>
        <v/>
      </c>
      <c r="L1991" s="516">
        <f>L1990+G1991-K1991</f>
        <v/>
      </c>
    </row>
    <row r="1992">
      <c r="B1992" s="1" t="n">
        <v>23</v>
      </c>
      <c r="C1992" s="24" t="n">
        <v>45444</v>
      </c>
      <c r="D1992" s="24" t="n">
        <v>45473</v>
      </c>
      <c r="E1992" s="25">
        <f>D1992-C1992+1</f>
        <v/>
      </c>
      <c r="F1992" s="319">
        <f>J1991</f>
        <v/>
      </c>
      <c r="G1992" s="319">
        <f>-PMT($D$1961/$D$1963,21,$F$1973,,0)</f>
        <v/>
      </c>
      <c r="H1992" s="319">
        <f>$D$1961/$D$1963*F1992</f>
        <v/>
      </c>
      <c r="I1992" s="319">
        <f>G1992-H1992</f>
        <v/>
      </c>
      <c r="J1992" s="319">
        <f>F1992-I1992</f>
        <v/>
      </c>
      <c r="K1992" s="516" t="n">
        <v>2205274.59</v>
      </c>
      <c r="L1992" s="516">
        <f>L1991+G1992-K1992</f>
        <v/>
      </c>
    </row>
    <row r="1993">
      <c r="B1993" s="1" t="n">
        <v>24</v>
      </c>
      <c r="C1993" s="24" t="n">
        <v>45474</v>
      </c>
      <c r="D1993" s="24" t="n">
        <v>45504</v>
      </c>
      <c r="E1993" s="25">
        <f>D1993-C1993+1</f>
        <v/>
      </c>
      <c r="F1993" s="319">
        <f>J1992</f>
        <v/>
      </c>
      <c r="G1993" s="319">
        <f>-PMT($D$1961/$D$1963,21,$F$1973,,0)</f>
        <v/>
      </c>
      <c r="H1993" s="319">
        <f>$D$1961/$D$1963*F1993</f>
        <v/>
      </c>
      <c r="I1993" s="319">
        <f>G1993-H1993</f>
        <v/>
      </c>
      <c r="J1993" s="319">
        <f>F1993-I1993</f>
        <v/>
      </c>
      <c r="K1993" s="516" t="n">
        <v>2585000</v>
      </c>
      <c r="L1993" s="523">
        <f>L1992+G1993-K1993</f>
        <v/>
      </c>
    </row>
    <row r="1994">
      <c r="B1994" s="1" t="n"/>
      <c r="C1994" s="24" t="n"/>
      <c r="D1994" s="24" t="n"/>
      <c r="E1994" s="25" t="n"/>
      <c r="F1994" s="319" t="n"/>
      <c r="G1994" s="319" t="n"/>
      <c r="H1994" s="319" t="n"/>
      <c r="I1994" s="319" t="n"/>
      <c r="J1994" s="319" t="n"/>
      <c r="K1994" s="516" t="n"/>
      <c r="L1994" s="516" t="n"/>
    </row>
    <row r="1995" ht="14.25" customHeight="1">
      <c r="B1995" s="1" t="n"/>
      <c r="C1995" s="1" t="n"/>
      <c r="D1995" s="1" t="n"/>
      <c r="E1995" s="30">
        <f>SUM(E1969:E1981)</f>
        <v/>
      </c>
      <c r="F1995" s="319" t="n"/>
      <c r="G1995" s="319" t="n"/>
      <c r="H1995" s="319" t="n"/>
      <c r="I1995" s="319" t="n"/>
      <c r="J1995" s="319" t="n"/>
      <c r="K1995" s="1" t="n"/>
      <c r="L1995" s="1" t="n"/>
    </row>
    <row r="2002">
      <c r="B2002" s="1" t="n"/>
      <c r="C2002" s="9" t="inlineStr">
        <is>
          <t>Favoured Farms</t>
        </is>
      </c>
      <c r="D2002" s="319" t="n"/>
      <c r="E2002" s="319" t="n"/>
      <c r="F2002" s="319" t="n"/>
      <c r="G2002" s="319" t="n"/>
      <c r="H2002" s="319" t="n"/>
      <c r="I2002" s="319" t="n"/>
      <c r="J2002" s="319" t="n"/>
      <c r="K2002" s="319" t="n"/>
      <c r="L2002" s="319" t="n"/>
      <c r="R2002" s="514" t="inlineStr">
        <is>
          <t>E-Banker account (Dupleix)</t>
        </is>
      </c>
      <c r="S2002" s="495">
        <f>IFERROR(INDEX('Blocks'!$I$2:$I$101,MATCH(35,'Blocks'!$A$2:$A$101,0)),"")</f>
        <v/>
      </c>
    </row>
    <row r="2003">
      <c r="B2003" s="1" t="n"/>
      <c r="C2003" s="1" t="n"/>
      <c r="D2003" s="319" t="n"/>
      <c r="E2003" s="319" t="n"/>
      <c r="F2003" s="319" t="n"/>
      <c r="G2003" s="319" t="n"/>
      <c r="H2003" s="319" t="n"/>
      <c r="I2003" s="319" t="n"/>
      <c r="J2003" s="319" t="n"/>
      <c r="K2003" s="319" t="n"/>
      <c r="L2003" s="319" t="n"/>
      <c r="R2003" s="514" t="inlineStr">
        <is>
          <t>Facility (Loan Book)</t>
        </is>
      </c>
      <c r="S2003" s="495">
        <f>IFERROR(INDEX('Blocks'!$H$2:$H$101,MATCH(35,'Blocks'!$A$2:$A$101,0)),"")</f>
        <v/>
      </c>
    </row>
    <row r="2004">
      <c r="B2004" s="1" t="n"/>
      <c r="C2004" s="10" t="inlineStr">
        <is>
          <t>Principal (MK)</t>
        </is>
      </c>
      <c r="D2004" s="11" t="n">
        <v>10000000</v>
      </c>
      <c r="E2004" s="319" t="n"/>
      <c r="F2004" s="319" t="n"/>
      <c r="G2004" s="319" t="n"/>
      <c r="H2004" s="319" t="n"/>
      <c r="I2004" s="319" t="n"/>
      <c r="J2004" s="319" t="n"/>
      <c r="K2004" s="319" t="n"/>
      <c r="L2004" s="319" t="n"/>
      <c r="R2004" s="514" t="inlineStr">
        <is>
          <t>Take-on posting 31 Jul 2024</t>
        </is>
      </c>
      <c r="S2004" s="496">
        <f>IFERROR(INDEX('E-Banker master'!$N$2:$N$186,MATCH(S2002,'E-Banker master'!$A$2:$A$186,0)),"")</f>
        <v/>
      </c>
    </row>
    <row r="2005">
      <c r="B2005" s="1" t="n"/>
      <c r="C2005" s="13" t="inlineStr">
        <is>
          <t>Rate</t>
        </is>
      </c>
      <c r="D2005" s="14" t="n">
        <v>0.1</v>
      </c>
      <c r="E2005" s="257" t="n"/>
      <c r="F2005" s="319" t="n"/>
      <c r="G2005" s="319" t="n"/>
      <c r="H2005" s="319" t="n"/>
      <c r="I2005" s="319" t="n"/>
      <c r="J2005" s="319" t="n"/>
      <c r="K2005" s="319" t="n"/>
      <c r="L2005" s="319" t="n"/>
      <c r="R2005" s="514" t="inlineStr">
        <is>
          <t>E-Banker balance 31 Oct 2024</t>
        </is>
      </c>
      <c r="S2005" s="496">
        <f>IFERROR(INDEX('E-Banker master'!$P$2:$P$186,MATCH(S2002,'E-Banker master'!$A$2:$A$186,0)),"")</f>
        <v/>
      </c>
    </row>
    <row r="2006">
      <c r="B2006" s="1" t="n"/>
      <c r="C2006" s="13" t="inlineStr">
        <is>
          <t>n</t>
        </is>
      </c>
      <c r="D2006" s="16" t="n">
        <v>2</v>
      </c>
      <c r="E2006" s="1" t="n"/>
      <c r="F2006" s="319" t="n"/>
      <c r="G2006" s="319" t="n"/>
      <c r="H2006" s="319" t="n"/>
      <c r="I2006" s="319" t="n"/>
      <c r="J2006" s="319" t="n"/>
      <c r="K2006" s="1" t="n"/>
      <c r="L2006" s="1" t="n"/>
    </row>
    <row r="2007">
      <c r="B2007" s="1" t="n"/>
      <c r="C2007" s="13" t="inlineStr">
        <is>
          <t>Per</t>
        </is>
      </c>
      <c r="D2007" s="16" t="n">
        <v>12</v>
      </c>
      <c r="E2007" s="1" t="n"/>
      <c r="F2007" s="319" t="n"/>
      <c r="G2007" s="319" t="n"/>
      <c r="H2007" s="319" t="n"/>
      <c r="I2007" s="319" t="n"/>
      <c r="J2007" s="319" t="n"/>
      <c r="K2007" s="1" t="n"/>
      <c r="L2007" s="1" t="n"/>
    </row>
    <row r="2008">
      <c r="B2008" s="1" t="n"/>
      <c r="C2008" s="13" t="inlineStr">
        <is>
          <t>nPer</t>
        </is>
      </c>
      <c r="D2008" s="515">
        <f>D2006*D2007</f>
        <v/>
      </c>
      <c r="E2008" s="1" t="n"/>
      <c r="F2008" s="319" t="n"/>
      <c r="G2008" s="319" t="n"/>
      <c r="H2008" s="319" t="n"/>
      <c r="I2008" s="319" t="n"/>
      <c r="J2008" s="319" t="n"/>
      <c r="K2008" s="1" t="n"/>
      <c r="L2008" s="1" t="n"/>
    </row>
    <row r="2009">
      <c r="B2009" s="1" t="n"/>
      <c r="C2009" s="13" t="inlineStr">
        <is>
          <t>Days in a year</t>
        </is>
      </c>
      <c r="D2009" s="18" t="n">
        <v>365</v>
      </c>
      <c r="E2009" s="1" t="n"/>
      <c r="F2009" s="319" t="n"/>
      <c r="G2009" s="319" t="n"/>
      <c r="H2009" s="319" t="n"/>
      <c r="I2009" s="319" t="n"/>
      <c r="J2009" s="319" t="n"/>
      <c r="K2009" s="1" t="n"/>
      <c r="L2009" s="1" t="n"/>
    </row>
    <row r="2010">
      <c r="B2010" s="1" t="n"/>
      <c r="C2010" s="19" t="inlineStr">
        <is>
          <t>Pmt (MK)</t>
        </is>
      </c>
      <c r="D2010" s="20">
        <f>-PMT(D2005/D2007,D2008,D2004,0,0)</f>
        <v/>
      </c>
      <c r="E2010" s="319" t="n"/>
      <c r="F2010" s="319" t="n"/>
      <c r="G2010" s="319" t="n"/>
      <c r="H2010" s="319" t="n"/>
      <c r="I2010" s="319" t="n"/>
      <c r="J2010" s="319" t="n"/>
      <c r="K2010" s="1" t="n"/>
      <c r="L2010" s="1" t="n"/>
    </row>
    <row r="2011">
      <c r="B2011" s="1" t="n"/>
      <c r="C2011" s="1" t="n"/>
      <c r="D2011" s="319" t="n"/>
      <c r="E2011" s="319" t="n"/>
      <c r="F2011" s="319" t="n"/>
      <c r="G2011" s="319" t="n"/>
      <c r="H2011" s="319" t="n"/>
      <c r="I2011" s="319" t="n"/>
      <c r="J2011" s="319" t="n"/>
      <c r="K2011" s="1" t="n"/>
      <c r="L2011" s="1" t="n"/>
    </row>
    <row r="2012">
      <c r="B2012" s="1" t="n"/>
      <c r="C2012" s="21" t="inlineStr">
        <is>
          <t>Period Start</t>
        </is>
      </c>
      <c r="D2012" s="22" t="inlineStr">
        <is>
          <t>Period End</t>
        </is>
      </c>
      <c r="E2012" s="22" t="inlineStr">
        <is>
          <t>Days</t>
        </is>
      </c>
      <c r="F2012" s="294" t="inlineStr">
        <is>
          <t>Opening bal.</t>
        </is>
      </c>
      <c r="G2012" s="294" t="inlineStr">
        <is>
          <t>Pmt</t>
        </is>
      </c>
      <c r="H2012" s="294" t="inlineStr">
        <is>
          <t>Interest</t>
        </is>
      </c>
      <c r="I2012" s="294" t="inlineStr">
        <is>
          <t>Principal</t>
        </is>
      </c>
      <c r="J2012" s="294" t="inlineStr">
        <is>
          <t>Closing balance</t>
        </is>
      </c>
      <c r="K2012" s="23" t="inlineStr">
        <is>
          <t>Amount Repaid</t>
        </is>
      </c>
      <c r="L2012" s="23" t="inlineStr">
        <is>
          <t>Accumulated Arrears</t>
        </is>
      </c>
    </row>
    <row r="2013">
      <c r="B2013" s="1" t="n">
        <v>0</v>
      </c>
      <c r="C2013" s="24" t="n">
        <v>44755</v>
      </c>
      <c r="D2013" s="24" t="n">
        <v>44773</v>
      </c>
      <c r="E2013" s="25">
        <f>D2013-C2013+1</f>
        <v/>
      </c>
      <c r="F2013" s="319">
        <f>D2004</f>
        <v/>
      </c>
      <c r="G2013" s="319" t="n"/>
      <c r="H2013" s="319">
        <f>$D$2005/$D$2007*F2013*E2013/30</f>
        <v/>
      </c>
      <c r="I2013" s="319">
        <f>G2013-H2013</f>
        <v/>
      </c>
      <c r="J2013" s="319">
        <f>F2013-I2013</f>
        <v/>
      </c>
      <c r="K2013" s="516" t="n"/>
      <c r="L2013" s="516" t="n"/>
    </row>
    <row r="2014">
      <c r="B2014" s="1" t="n">
        <v>1</v>
      </c>
      <c r="C2014" s="24" t="n">
        <v>44774</v>
      </c>
      <c r="D2014" s="24" t="n">
        <v>44804</v>
      </c>
      <c r="E2014" s="25">
        <f>D2014-C2014+1</f>
        <v/>
      </c>
      <c r="F2014" s="319">
        <f>J2013</f>
        <v/>
      </c>
      <c r="G2014" s="319" t="n"/>
      <c r="H2014" s="319">
        <f>$D$2005/$D$2007*F2014</f>
        <v/>
      </c>
      <c r="I2014" s="319">
        <f>G2014-H2014</f>
        <v/>
      </c>
      <c r="J2014" s="319">
        <f>F2014-I2014</f>
        <v/>
      </c>
      <c r="K2014" s="516" t="n"/>
      <c r="L2014" s="516" t="n"/>
    </row>
    <row r="2015">
      <c r="B2015" s="1" t="n">
        <v>2</v>
      </c>
      <c r="C2015" s="24" t="n">
        <v>44805</v>
      </c>
      <c r="D2015" s="24" t="n">
        <v>44834</v>
      </c>
      <c r="E2015" s="25">
        <f>D2015-C2015+1</f>
        <v/>
      </c>
      <c r="F2015" s="319">
        <f>J2014</f>
        <v/>
      </c>
      <c r="G2015" s="319" t="n"/>
      <c r="H2015" s="319">
        <f>$D$2005/$D$2007*F2015</f>
        <v/>
      </c>
      <c r="I2015" s="319">
        <f>G2015-H2015</f>
        <v/>
      </c>
      <c r="J2015" s="319">
        <f>F2015-I2015</f>
        <v/>
      </c>
    </row>
    <row r="2016">
      <c r="B2016" s="1" t="n">
        <v>3</v>
      </c>
      <c r="C2016" s="24" t="n">
        <v>44835</v>
      </c>
      <c r="D2016" s="24" t="n">
        <v>44865</v>
      </c>
      <c r="E2016" s="25">
        <f>D2016-C2016+1</f>
        <v/>
      </c>
      <c r="F2016" s="319">
        <f>J2015</f>
        <v/>
      </c>
      <c r="G2016" s="319" t="n"/>
      <c r="H2016" s="319">
        <f>$D$2005/$D$2007*F2016</f>
        <v/>
      </c>
      <c r="I2016" s="319">
        <f>G2016-H2016</f>
        <v/>
      </c>
      <c r="J2016" s="319">
        <f>F2016-I2016</f>
        <v/>
      </c>
      <c r="K2016" s="516" t="n"/>
      <c r="L2016" s="516" t="n"/>
    </row>
    <row r="2017">
      <c r="B2017" s="1" t="n">
        <v>4</v>
      </c>
      <c r="C2017" s="24" t="n">
        <v>44866</v>
      </c>
      <c r="D2017" s="24" t="n">
        <v>44895</v>
      </c>
      <c r="E2017" s="25">
        <f>D2017-C2017+1</f>
        <v/>
      </c>
      <c r="F2017" s="319">
        <f>J2016</f>
        <v/>
      </c>
      <c r="G2017" s="319">
        <f>-PMT($D$2005/$D$2007,21,$F$2017,,0)</f>
        <v/>
      </c>
      <c r="H2017" s="319">
        <f>$D$2005/$D$2007*F2017</f>
        <v/>
      </c>
      <c r="I2017" s="319">
        <f>G2017-H2017</f>
        <v/>
      </c>
      <c r="J2017" s="319">
        <f>F2017-I2017</f>
        <v/>
      </c>
      <c r="K2017" s="516" t="n">
        <v>537200</v>
      </c>
      <c r="L2017" s="516">
        <f>G2017-K2017</f>
        <v/>
      </c>
    </row>
    <row r="2018">
      <c r="B2018" s="1" t="n">
        <v>5</v>
      </c>
      <c r="C2018" s="24" t="n">
        <v>44896</v>
      </c>
      <c r="D2018" s="24" t="n">
        <v>44926</v>
      </c>
      <c r="E2018" s="25">
        <f>D2018-C2018+1</f>
        <v/>
      </c>
      <c r="F2018" s="319">
        <f>J2017</f>
        <v/>
      </c>
      <c r="G2018" s="319">
        <f>-PMT($D$2005/$D$2007,21,$F$2017,,0)</f>
        <v/>
      </c>
      <c r="H2018" s="319">
        <f>$D$2005/$D$2007*F2018</f>
        <v/>
      </c>
      <c r="I2018" s="319">
        <f>G2018-H2018</f>
        <v/>
      </c>
      <c r="J2018" s="319">
        <f>F2018-I2018</f>
        <v/>
      </c>
      <c r="K2018" s="516" t="n">
        <v>538000</v>
      </c>
      <c r="L2018" s="516">
        <f>L2017+G2018-K2018</f>
        <v/>
      </c>
    </row>
    <row r="2019">
      <c r="B2019" s="1" t="n">
        <v>6</v>
      </c>
      <c r="C2019" s="24" t="n">
        <v>44927</v>
      </c>
      <c r="D2019" s="24" t="n">
        <v>44957</v>
      </c>
      <c r="E2019" s="25">
        <f>D2019-C2019+1</f>
        <v/>
      </c>
      <c r="F2019" s="319">
        <f>J2018</f>
        <v/>
      </c>
      <c r="G2019" s="319">
        <f>-PMT($D$2005/$D$2007,21,$F$2017,,0)</f>
        <v/>
      </c>
      <c r="H2019" s="319">
        <f>$D$2005/$D$2007*F2019</f>
        <v/>
      </c>
      <c r="I2019" s="319">
        <f>G2019-H2019</f>
        <v/>
      </c>
      <c r="J2019" s="319">
        <f>F2019-I2019</f>
        <v/>
      </c>
      <c r="K2019" s="516" t="n">
        <v>540000</v>
      </c>
      <c r="L2019" s="516">
        <f>L2018+G2019-K2019</f>
        <v/>
      </c>
    </row>
    <row r="2020">
      <c r="B2020" s="1" t="n">
        <v>7</v>
      </c>
      <c r="C2020" s="24" t="n">
        <v>44958</v>
      </c>
      <c r="D2020" s="24" t="n">
        <v>44985</v>
      </c>
      <c r="E2020" s="25">
        <f>D2020-C2020+1</f>
        <v/>
      </c>
      <c r="F2020" s="319">
        <f>J2019</f>
        <v/>
      </c>
      <c r="G2020" s="319">
        <f>-PMT($D$2005/$D$2007,21,$F$2017,,0)</f>
        <v/>
      </c>
      <c r="H2020" s="319">
        <f>$D$2005/$D$2007*F2020</f>
        <v/>
      </c>
      <c r="I2020" s="319">
        <f>G2020-H2020</f>
        <v/>
      </c>
      <c r="J2020" s="319">
        <f>F2020-I2020</f>
        <v/>
      </c>
      <c r="K2020" s="516" t="n">
        <v>540000</v>
      </c>
      <c r="L2020" s="516">
        <f>L2019+G2020-K2020</f>
        <v/>
      </c>
    </row>
    <row r="2021">
      <c r="B2021" s="1" t="n">
        <v>8</v>
      </c>
      <c r="C2021" s="24" t="n">
        <v>44986</v>
      </c>
      <c r="D2021" s="24" t="n">
        <v>45016</v>
      </c>
      <c r="E2021" s="25">
        <f>D2021-C2021+1</f>
        <v/>
      </c>
      <c r="F2021" s="319">
        <f>J2020</f>
        <v/>
      </c>
      <c r="G2021" s="319">
        <f>-PMT($D$2005/$D$2007,21,$F$2017,,0)</f>
        <v/>
      </c>
      <c r="H2021" s="319">
        <f>$D$2005/$D$2007*F2021</f>
        <v/>
      </c>
      <c r="I2021" s="319">
        <f>G2021-H2021</f>
        <v/>
      </c>
      <c r="J2021" s="319">
        <f>F2021-I2021</f>
        <v/>
      </c>
      <c r="K2021" s="516" t="n">
        <v>540000</v>
      </c>
      <c r="L2021" s="516">
        <f>L2020+G2021-K2021</f>
        <v/>
      </c>
    </row>
    <row r="2022">
      <c r="B2022" s="1" t="n">
        <v>9</v>
      </c>
      <c r="C2022" s="24" t="n">
        <v>45017</v>
      </c>
      <c r="D2022" s="24" t="n">
        <v>45046</v>
      </c>
      <c r="E2022" s="25">
        <f>D2022-C2022+1</f>
        <v/>
      </c>
      <c r="F2022" s="319">
        <f>J2021</f>
        <v/>
      </c>
      <c r="G2022" s="319">
        <f>-PMT($D$2005/$D$2007,21,$F$2017,,0)</f>
        <v/>
      </c>
      <c r="H2022" s="319">
        <f>$D$2005/$D$2007*F2022</f>
        <v/>
      </c>
      <c r="I2022" s="319">
        <f>G2022-H2022</f>
        <v/>
      </c>
      <c r="J2022" s="319">
        <f>F2022-I2022</f>
        <v/>
      </c>
      <c r="K2022" s="516" t="n">
        <v>540000</v>
      </c>
      <c r="L2022" s="516">
        <f>L2021+G2022-K2022</f>
        <v/>
      </c>
    </row>
    <row r="2023">
      <c r="B2023" s="1" t="n">
        <v>10</v>
      </c>
      <c r="C2023" s="24" t="n">
        <v>45047</v>
      </c>
      <c r="D2023" s="24" t="n">
        <v>45077</v>
      </c>
      <c r="E2023" s="25">
        <f>D2023-C2023+1</f>
        <v/>
      </c>
      <c r="F2023" s="319">
        <f>J2022</f>
        <v/>
      </c>
      <c r="G2023" s="319">
        <f>-PMT($D$2005/$D$2007,21,$F$2017,,0)</f>
        <v/>
      </c>
      <c r="H2023" s="319">
        <f>$D$2005/$D$2007*F2023</f>
        <v/>
      </c>
      <c r="I2023" s="319">
        <f>G2023-H2023</f>
        <v/>
      </c>
      <c r="J2023" s="319">
        <f>F2023-I2023</f>
        <v/>
      </c>
      <c r="K2023" s="516" t="n">
        <v>540000</v>
      </c>
      <c r="L2023" s="516">
        <f>L2022+G2023-K2023</f>
        <v/>
      </c>
    </row>
    <row r="2024">
      <c r="B2024" s="1" t="n">
        <v>11</v>
      </c>
      <c r="C2024" s="24" t="n">
        <v>45078</v>
      </c>
      <c r="D2024" s="24" t="n">
        <v>45107</v>
      </c>
      <c r="E2024" s="25">
        <f>D2024-C2024+1</f>
        <v/>
      </c>
      <c r="F2024" s="319">
        <f>J2023</f>
        <v/>
      </c>
      <c r="G2024" s="319">
        <f>-PMT($D$2005/$D$2007,21,$F$2017,,0)</f>
        <v/>
      </c>
      <c r="H2024" s="319">
        <f>$D$2005/$D$2007*F2024</f>
        <v/>
      </c>
      <c r="I2024" s="319">
        <f>G2024-H2024</f>
        <v/>
      </c>
      <c r="J2024" s="319">
        <f>F2024-I2024</f>
        <v/>
      </c>
      <c r="K2024" s="516" t="n">
        <v>540000</v>
      </c>
      <c r="L2024" s="516">
        <f>L2023+G2024-K2024</f>
        <v/>
      </c>
    </row>
    <row r="2025">
      <c r="B2025" s="1" t="n">
        <v>12</v>
      </c>
      <c r="C2025" s="24" t="n">
        <v>45108</v>
      </c>
      <c r="D2025" s="24" t="n">
        <v>45138</v>
      </c>
      <c r="E2025" s="25">
        <f>D2025-C2025+1</f>
        <v/>
      </c>
      <c r="F2025" s="319">
        <f>J2024</f>
        <v/>
      </c>
      <c r="G2025" s="319">
        <f>-PMT($D$2005/$D$2007,21,$F$2017,,0)</f>
        <v/>
      </c>
      <c r="H2025" s="319">
        <f>$D$2005/$D$2007*F2025</f>
        <v/>
      </c>
      <c r="I2025" s="319">
        <f>G2025-H2025</f>
        <v/>
      </c>
      <c r="J2025" s="319">
        <f>F2025-I2025</f>
        <v/>
      </c>
      <c r="K2025" s="516" t="n">
        <v>540000</v>
      </c>
      <c r="L2025" s="516">
        <f>L2024+G2025-K2025</f>
        <v/>
      </c>
    </row>
    <row r="2026">
      <c r="B2026" s="1" t="n">
        <v>13</v>
      </c>
      <c r="C2026" s="24" t="n">
        <v>45139</v>
      </c>
      <c r="D2026" s="24" t="n">
        <v>45169</v>
      </c>
      <c r="E2026" s="25">
        <f>D2026-C2026+1</f>
        <v/>
      </c>
      <c r="F2026" s="319">
        <f>J2025</f>
        <v/>
      </c>
      <c r="G2026" s="319">
        <f>-PMT($D$2005/$D$2007,21,$F$2017,,0)</f>
        <v/>
      </c>
      <c r="H2026" s="319">
        <f>$D$2005/$D$2007*F2026</f>
        <v/>
      </c>
      <c r="I2026" s="319">
        <f>G2026-H2026</f>
        <v/>
      </c>
      <c r="J2026" s="319">
        <f>F2026-I2026</f>
        <v/>
      </c>
      <c r="K2026" s="516" t="n">
        <v>540000</v>
      </c>
      <c r="L2026" s="516">
        <f>L2025+G2026-K2026</f>
        <v/>
      </c>
    </row>
    <row r="2027">
      <c r="B2027" s="1" t="n">
        <v>14</v>
      </c>
      <c r="C2027" s="24" t="n">
        <v>45170</v>
      </c>
      <c r="D2027" s="24" t="n">
        <v>45199</v>
      </c>
      <c r="E2027" s="25">
        <f>D2027-C2027+1</f>
        <v/>
      </c>
      <c r="F2027" s="319">
        <f>J2026</f>
        <v/>
      </c>
      <c r="G2027" s="319">
        <f>-PMT($D$2005/$D$2007,21,$F$2017,,0)</f>
        <v/>
      </c>
      <c r="H2027" s="319">
        <f>$D$2005/$D$2007*F2027</f>
        <v/>
      </c>
      <c r="I2027" s="319">
        <f>G2027-H2027</f>
        <v/>
      </c>
      <c r="J2027" s="319">
        <f>F2027-I2027</f>
        <v/>
      </c>
      <c r="K2027" s="516" t="n">
        <v>540000</v>
      </c>
      <c r="L2027" s="516">
        <f>L2026+G2027-K2027</f>
        <v/>
      </c>
    </row>
    <row r="2028">
      <c r="B2028" s="1" t="n">
        <v>15</v>
      </c>
      <c r="C2028" s="24" t="n">
        <v>45200</v>
      </c>
      <c r="D2028" s="24" t="n">
        <v>45230</v>
      </c>
      <c r="E2028" s="25">
        <f>D2028-C2028+1</f>
        <v/>
      </c>
      <c r="F2028" s="319">
        <f>J2027</f>
        <v/>
      </c>
      <c r="G2028" s="319">
        <f>-PMT($D$2005/$D$2007,21,$F$2017,,0)</f>
        <v/>
      </c>
      <c r="H2028" s="319">
        <f>$D$2005/$D$2007*F2028</f>
        <v/>
      </c>
      <c r="I2028" s="319">
        <f>G2028-H2028</f>
        <v/>
      </c>
      <c r="J2028" s="319">
        <f>F2028-I2028</f>
        <v/>
      </c>
      <c r="K2028" s="516" t="n">
        <v>540000</v>
      </c>
      <c r="L2028" s="516">
        <f>L2027+G2028-K2028</f>
        <v/>
      </c>
    </row>
    <row r="2029">
      <c r="B2029" s="1" t="n">
        <v>16</v>
      </c>
      <c r="C2029" s="24" t="n">
        <v>45231</v>
      </c>
      <c r="D2029" s="24" t="n">
        <v>45260</v>
      </c>
      <c r="E2029" s="25">
        <f>D2029-C2029+1</f>
        <v/>
      </c>
      <c r="F2029" s="319">
        <f>J2028</f>
        <v/>
      </c>
      <c r="G2029" s="319">
        <f>-PMT($D$2005/$D$2007,21,$F$2017,,0)</f>
        <v/>
      </c>
      <c r="H2029" s="319">
        <f>$D$2005/$D$2007*F2029</f>
        <v/>
      </c>
      <c r="I2029" s="319">
        <f>G2029-H2029</f>
        <v/>
      </c>
      <c r="J2029" s="319">
        <f>F2029-I2029</f>
        <v/>
      </c>
      <c r="K2029" s="516" t="n">
        <v>540000</v>
      </c>
      <c r="L2029" s="516">
        <f>L2028+G2029-K2029</f>
        <v/>
      </c>
    </row>
    <row r="2030">
      <c r="B2030" s="1" t="n">
        <v>17</v>
      </c>
      <c r="C2030" s="24" t="n">
        <v>45261</v>
      </c>
      <c r="D2030" s="24" t="n">
        <v>45291</v>
      </c>
      <c r="E2030" s="25">
        <f>D2030-C2030+1</f>
        <v/>
      </c>
      <c r="F2030" s="319">
        <f>J2029</f>
        <v/>
      </c>
      <c r="G2030" s="319">
        <f>-PMT($D$2005/$D$2007,21,$F$2017,,0)</f>
        <v/>
      </c>
      <c r="H2030" s="319">
        <f>$D$2005/$D$2007*F2030</f>
        <v/>
      </c>
      <c r="I2030" s="319">
        <f>G2030-H2030</f>
        <v/>
      </c>
      <c r="J2030" s="319">
        <f>F2030-I2030</f>
        <v/>
      </c>
      <c r="K2030" s="516" t="n"/>
      <c r="L2030" s="516">
        <f>L2029+G2030-K2030</f>
        <v/>
      </c>
    </row>
    <row r="2031">
      <c r="B2031" s="1" t="n">
        <v>18</v>
      </c>
      <c r="C2031" s="24" t="n">
        <v>45292</v>
      </c>
      <c r="D2031" s="24" t="n">
        <v>45322</v>
      </c>
      <c r="E2031" s="25">
        <f>D2031-C2031+1</f>
        <v/>
      </c>
      <c r="F2031" s="319">
        <f>J2030</f>
        <v/>
      </c>
      <c r="G2031" s="319">
        <f>-PMT($D$2005/$D$2007,21,$F$2017,,0)</f>
        <v/>
      </c>
      <c r="H2031" s="319">
        <f>$D$2005/$D$2007*F2031</f>
        <v/>
      </c>
      <c r="I2031" s="319">
        <f>G2031-H2031</f>
        <v/>
      </c>
      <c r="J2031" s="319">
        <f>F2031-I2031</f>
        <v/>
      </c>
      <c r="K2031" s="516" t="n"/>
      <c r="L2031" s="516">
        <f>L2030+G2031-K2031</f>
        <v/>
      </c>
    </row>
    <row r="2032">
      <c r="B2032" s="1" t="n">
        <v>19</v>
      </c>
      <c r="C2032" s="24" t="n">
        <v>45323</v>
      </c>
      <c r="D2032" s="24" t="n">
        <v>45351</v>
      </c>
      <c r="E2032" s="25">
        <f>D2032-C2032+1</f>
        <v/>
      </c>
      <c r="F2032" s="319">
        <f>J2031</f>
        <v/>
      </c>
      <c r="G2032" s="319">
        <f>-PMT($D$2005/$D$2007,21,$F$2017,,0)</f>
        <v/>
      </c>
      <c r="H2032" s="319">
        <f>$D$2005/$D$2007*F2032</f>
        <v/>
      </c>
      <c r="I2032" s="319">
        <f>G2032-H2032</f>
        <v/>
      </c>
      <c r="J2032" s="319">
        <f>F2032-I2032</f>
        <v/>
      </c>
      <c r="K2032" s="516" t="n">
        <v>3099000</v>
      </c>
      <c r="L2032" s="516">
        <f>L2031+G2032-K2032</f>
        <v/>
      </c>
    </row>
    <row r="2033">
      <c r="B2033" s="1" t="n">
        <v>20</v>
      </c>
      <c r="C2033" s="24" t="n">
        <v>45352</v>
      </c>
      <c r="D2033" s="24" t="n">
        <v>45382</v>
      </c>
      <c r="E2033" s="25">
        <f>D2033-C2033+1</f>
        <v/>
      </c>
      <c r="F2033" s="319">
        <f>J2032</f>
        <v/>
      </c>
      <c r="G2033" s="319">
        <f>-PMT($D$2005/$D$2007,21,$F$2017,,0)</f>
        <v/>
      </c>
      <c r="H2033" s="354">
        <f>$D$2005/$D$2007*F2033*8/31</f>
        <v/>
      </c>
      <c r="I2033" s="319">
        <f>G2033-H2033</f>
        <v/>
      </c>
      <c r="J2033" s="319">
        <f>F2033-I2033</f>
        <v/>
      </c>
      <c r="K2033" s="516">
        <f>1071000+30000</f>
        <v/>
      </c>
      <c r="L2033" s="520">
        <f>L2032+G2033-K2033</f>
        <v/>
      </c>
    </row>
    <row r="2034">
      <c r="B2034" s="1" t="n">
        <v>21</v>
      </c>
      <c r="C2034" s="24" t="n">
        <v>45383</v>
      </c>
      <c r="D2034" s="24" t="n">
        <v>45412</v>
      </c>
      <c r="E2034" s="25">
        <f>D2034-C2034+1</f>
        <v/>
      </c>
      <c r="F2034" s="319">
        <f>J2033</f>
        <v/>
      </c>
      <c r="G2034" s="319">
        <f>-PMT($D$2005/$D$2007,21,$F$2017,,0)</f>
        <v/>
      </c>
      <c r="H2034" s="319">
        <f>$D$2005/$D$2007*F2034</f>
        <v/>
      </c>
      <c r="I2034" s="319">
        <f>G2034-H2034</f>
        <v/>
      </c>
      <c r="J2034" s="319">
        <f>F2034-I2034</f>
        <v/>
      </c>
      <c r="K2034" s="516" t="n"/>
      <c r="L2034" s="516" t="n"/>
    </row>
    <row r="2035">
      <c r="B2035" s="1" t="n">
        <v>22</v>
      </c>
      <c r="C2035" s="24" t="n">
        <v>45413</v>
      </c>
      <c r="D2035" s="24" t="n">
        <v>45443</v>
      </c>
      <c r="E2035" s="25">
        <f>D2035-C2035+1</f>
        <v/>
      </c>
      <c r="F2035" s="319">
        <f>J2034</f>
        <v/>
      </c>
      <c r="G2035" s="319">
        <f>-PMT($D$2005/$D$2007,21,$F$2017,,0)</f>
        <v/>
      </c>
      <c r="H2035" s="319">
        <f>$D$2005/$D$2007*F2035</f>
        <v/>
      </c>
      <c r="I2035" s="319">
        <f>G2035-H2035</f>
        <v/>
      </c>
      <c r="J2035" s="319">
        <f>F2035-I2035</f>
        <v/>
      </c>
      <c r="K2035" s="516" t="n"/>
      <c r="L2035" s="516" t="n"/>
    </row>
    <row r="2036">
      <c r="B2036" s="1" t="n">
        <v>23</v>
      </c>
      <c r="C2036" s="24" t="n">
        <v>45444</v>
      </c>
      <c r="D2036" s="24" t="n">
        <v>45473</v>
      </c>
      <c r="E2036" s="25">
        <f>D2036-C2036+1</f>
        <v/>
      </c>
      <c r="F2036" s="319">
        <f>J2035</f>
        <v/>
      </c>
      <c r="G2036" s="319">
        <f>-PMT($D$2005/$D$2007,21,$F$2017,,0)</f>
        <v/>
      </c>
      <c r="H2036" s="319">
        <f>$D$2005/$D$2007*F2036</f>
        <v/>
      </c>
      <c r="I2036" s="319">
        <f>G2036-H2036</f>
        <v/>
      </c>
      <c r="J2036" s="319">
        <f>F2036-I2036</f>
        <v/>
      </c>
      <c r="K2036" s="516" t="n"/>
      <c r="L2036" s="516" t="n"/>
    </row>
    <row r="2037">
      <c r="B2037" s="1" t="n">
        <v>24</v>
      </c>
      <c r="C2037" s="24" t="n">
        <v>45474</v>
      </c>
      <c r="D2037" s="24" t="n">
        <v>45504</v>
      </c>
      <c r="E2037" s="25">
        <f>D2037-C2037+1</f>
        <v/>
      </c>
      <c r="F2037" s="319">
        <f>J2036</f>
        <v/>
      </c>
      <c r="G2037" s="319">
        <f>-PMT($D$2005/$D$2007,21,$F$2017,,0)</f>
        <v/>
      </c>
      <c r="H2037" s="319">
        <f>$D$2005/$D$2007*F2037</f>
        <v/>
      </c>
      <c r="I2037" s="319">
        <f>G2037-H2037</f>
        <v/>
      </c>
      <c r="J2037" s="319">
        <f>F2037-I2037</f>
        <v/>
      </c>
      <c r="K2037" s="516" t="n"/>
      <c r="L2037" s="516" t="n"/>
    </row>
    <row r="2038">
      <c r="B2038" s="1" t="n"/>
      <c r="C2038" s="24" t="n"/>
      <c r="D2038" s="24" t="n"/>
      <c r="E2038" s="25" t="n"/>
      <c r="F2038" s="319" t="n"/>
      <c r="G2038" s="319" t="n"/>
      <c r="H2038" s="319" t="n"/>
      <c r="I2038" s="319" t="n"/>
      <c r="J2038" s="319" t="n"/>
      <c r="K2038" s="516" t="n"/>
      <c r="L2038" s="516" t="n"/>
    </row>
    <row r="2039" ht="14.25" customHeight="1">
      <c r="B2039" s="1" t="n"/>
      <c r="C2039" s="1" t="n"/>
      <c r="D2039" s="1" t="n"/>
      <c r="E2039" s="30">
        <f>SUM(E2013:E2025)</f>
        <v/>
      </c>
      <c r="F2039" s="319" t="n"/>
      <c r="G2039" s="319" t="n"/>
      <c r="H2039" s="319" t="n"/>
      <c r="I2039" s="319" t="n"/>
      <c r="J2039" s="319" t="n"/>
      <c r="K2039" s="1" t="n"/>
      <c r="L2039" s="1" t="n"/>
    </row>
    <row r="2043">
      <c r="B2043" s="1" t="n"/>
      <c r="C2043" s="9" t="inlineStr">
        <is>
          <t>Tac Maz Investment</t>
        </is>
      </c>
      <c r="D2043" s="319" t="n"/>
      <c r="E2043" s="319" t="n"/>
      <c r="F2043" s="319" t="n"/>
      <c r="G2043" s="319" t="n"/>
      <c r="H2043" s="319" t="n"/>
      <c r="I2043" s="319" t="n"/>
      <c r="J2043" s="319" t="n"/>
      <c r="K2043" s="319" t="n"/>
      <c r="L2043" s="319" t="n"/>
      <c r="R2043" s="514" t="inlineStr">
        <is>
          <t>E-Banker account (Dupleix)</t>
        </is>
      </c>
      <c r="S2043" s="495">
        <f>IFERROR(INDEX('Blocks'!$I$2:$I$101,MATCH(36,'Blocks'!$A$2:$A$101,0)),"")</f>
        <v/>
      </c>
    </row>
    <row r="2044">
      <c r="B2044" s="1" t="n"/>
      <c r="C2044" s="1" t="n"/>
      <c r="D2044" s="319" t="n"/>
      <c r="E2044" s="319" t="n"/>
      <c r="F2044" s="319" t="n"/>
      <c r="G2044" s="319" t="n"/>
      <c r="H2044" s="319" t="n"/>
      <c r="I2044" s="319" t="n"/>
      <c r="J2044" s="319" t="n"/>
      <c r="K2044" s="319" t="n"/>
      <c r="L2044" s="319" t="n"/>
      <c r="R2044" s="514" t="inlineStr">
        <is>
          <t>Facility (Loan Book)</t>
        </is>
      </c>
      <c r="S2044" s="495">
        <f>IFERROR(INDEX('Blocks'!$H$2:$H$101,MATCH(36,'Blocks'!$A$2:$A$101,0)),"")</f>
        <v/>
      </c>
    </row>
    <row r="2045">
      <c r="B2045" s="1" t="n"/>
      <c r="C2045" s="10" t="inlineStr">
        <is>
          <t>Principal (MK)</t>
        </is>
      </c>
      <c r="D2045" s="11" t="n">
        <v>10000000</v>
      </c>
      <c r="E2045" s="319" t="n"/>
      <c r="F2045" s="319" t="n"/>
      <c r="G2045" s="319" t="n"/>
      <c r="H2045" s="319" t="n"/>
      <c r="I2045" s="319" t="n"/>
      <c r="J2045" s="319" t="n"/>
      <c r="K2045" s="319" t="n"/>
      <c r="L2045" s="319" t="n"/>
      <c r="R2045" s="514" t="inlineStr">
        <is>
          <t>Take-on posting 31 Jul 2024</t>
        </is>
      </c>
      <c r="S2045" s="496">
        <f>IFERROR(INDEX('E-Banker master'!$N$2:$N$186,MATCH(S2043,'E-Banker master'!$A$2:$A$186,0)),"")</f>
        <v/>
      </c>
    </row>
    <row r="2046">
      <c r="B2046" s="1" t="n"/>
      <c r="C2046" s="13" t="inlineStr">
        <is>
          <t>Rate</t>
        </is>
      </c>
      <c r="D2046" s="14" t="n">
        <v>0.1</v>
      </c>
      <c r="E2046" s="257" t="n"/>
      <c r="F2046" s="319" t="n"/>
      <c r="G2046" s="319" t="n"/>
      <c r="H2046" s="319" t="n"/>
      <c r="I2046" s="319" t="n"/>
      <c r="J2046" s="319" t="n"/>
      <c r="K2046" s="319" t="n"/>
      <c r="L2046" s="319" t="n"/>
      <c r="R2046" s="514" t="inlineStr">
        <is>
          <t>E-Banker balance 31 Oct 2024</t>
        </is>
      </c>
      <c r="S2046" s="496">
        <f>IFERROR(INDEX('E-Banker master'!$P$2:$P$186,MATCH(S2043,'E-Banker master'!$A$2:$A$186,0)),"")</f>
        <v/>
      </c>
    </row>
    <row r="2047">
      <c r="B2047" s="1" t="n"/>
      <c r="C2047" s="13" t="inlineStr">
        <is>
          <t>n</t>
        </is>
      </c>
      <c r="D2047" s="16" t="n">
        <v>2</v>
      </c>
      <c r="E2047" s="1" t="n"/>
      <c r="F2047" s="319" t="n"/>
      <c r="G2047" s="319" t="n"/>
      <c r="H2047" s="319" t="n"/>
      <c r="I2047" s="319" t="n"/>
      <c r="J2047" s="319" t="n"/>
      <c r="K2047" s="1" t="n"/>
      <c r="L2047" s="1" t="n"/>
    </row>
    <row r="2048">
      <c r="B2048" s="1" t="n"/>
      <c r="C2048" s="13" t="inlineStr">
        <is>
          <t>Per</t>
        </is>
      </c>
      <c r="D2048" s="16" t="n">
        <v>12</v>
      </c>
      <c r="E2048" s="1" t="n"/>
      <c r="F2048" s="319" t="n"/>
      <c r="G2048" s="319" t="n"/>
      <c r="H2048" s="319" t="n"/>
      <c r="I2048" s="319" t="n"/>
      <c r="J2048" s="319" t="n"/>
      <c r="K2048" s="1" t="n"/>
      <c r="L2048" s="1" t="n"/>
    </row>
    <row r="2049">
      <c r="B2049" s="1" t="n"/>
      <c r="C2049" s="13" t="inlineStr">
        <is>
          <t>nPer</t>
        </is>
      </c>
      <c r="D2049" s="515">
        <f>D2047*D2048</f>
        <v/>
      </c>
      <c r="E2049" s="1" t="n"/>
      <c r="F2049" s="319" t="n"/>
      <c r="G2049" s="319" t="n"/>
      <c r="H2049" s="319" t="n"/>
      <c r="I2049" s="319" t="n"/>
      <c r="J2049" s="319" t="n"/>
      <c r="K2049" s="1" t="n"/>
      <c r="L2049" s="1" t="n"/>
    </row>
    <row r="2050">
      <c r="B2050" s="1" t="n"/>
      <c r="C2050" s="13" t="inlineStr">
        <is>
          <t>Days in a year</t>
        </is>
      </c>
      <c r="D2050" s="18" t="n">
        <v>365</v>
      </c>
      <c r="E2050" s="1" t="n"/>
      <c r="F2050" s="319" t="n"/>
      <c r="G2050" s="319" t="n"/>
      <c r="H2050" s="319" t="n"/>
      <c r="I2050" s="319" t="n"/>
      <c r="J2050" s="319" t="n"/>
      <c r="K2050" s="1" t="n"/>
      <c r="L2050" s="1" t="n"/>
    </row>
    <row r="2051">
      <c r="B2051" s="1" t="n"/>
      <c r="C2051" s="19" t="inlineStr">
        <is>
          <t>Pmt (MK)</t>
        </is>
      </c>
      <c r="D2051" s="20">
        <f>-PMT(D2046/D2048,D2049,D2045,0,0)</f>
        <v/>
      </c>
      <c r="E2051" s="319" t="n"/>
      <c r="F2051" s="319" t="n"/>
      <c r="G2051" s="319" t="n"/>
      <c r="H2051" s="319" t="n"/>
      <c r="I2051" s="319" t="n"/>
      <c r="J2051" s="319" t="n"/>
      <c r="K2051" s="1" t="n"/>
      <c r="L2051" s="1" t="n"/>
    </row>
    <row r="2052">
      <c r="B2052" s="1" t="n"/>
      <c r="C2052" s="1" t="n"/>
      <c r="D2052" s="319" t="n"/>
      <c r="E2052" s="319" t="n"/>
      <c r="F2052" s="319" t="n"/>
      <c r="G2052" s="319" t="n"/>
      <c r="H2052" s="319" t="n"/>
      <c r="I2052" s="319" t="n"/>
      <c r="J2052" s="319" t="n"/>
      <c r="K2052" s="1" t="n"/>
      <c r="L2052" s="1" t="n"/>
    </row>
    <row r="2053">
      <c r="B2053" s="1" t="n"/>
      <c r="C2053" s="21" t="inlineStr">
        <is>
          <t>Period Start</t>
        </is>
      </c>
      <c r="D2053" s="22" t="inlineStr">
        <is>
          <t>Period End</t>
        </is>
      </c>
      <c r="E2053" s="22" t="inlineStr">
        <is>
          <t>Days</t>
        </is>
      </c>
      <c r="F2053" s="294" t="inlineStr">
        <is>
          <t>Opening bal.</t>
        </is>
      </c>
      <c r="G2053" s="294" t="inlineStr">
        <is>
          <t>Pmt</t>
        </is>
      </c>
      <c r="H2053" s="294" t="inlineStr">
        <is>
          <t>Interest</t>
        </is>
      </c>
      <c r="I2053" s="294" t="inlineStr">
        <is>
          <t>Principal</t>
        </is>
      </c>
      <c r="J2053" s="294" t="inlineStr">
        <is>
          <t>Closing balance</t>
        </is>
      </c>
      <c r="K2053" s="23" t="inlineStr">
        <is>
          <t>Amount Repaid</t>
        </is>
      </c>
      <c r="L2053" s="23" t="inlineStr">
        <is>
          <t>Accumulated Arrears</t>
        </is>
      </c>
    </row>
    <row r="2054">
      <c r="B2054" s="1" t="n">
        <v>0</v>
      </c>
      <c r="C2054" s="24" t="n">
        <v>44755</v>
      </c>
      <c r="D2054" s="24" t="n">
        <v>44773</v>
      </c>
      <c r="E2054" s="25">
        <f>D2054-C2054+1</f>
        <v/>
      </c>
      <c r="F2054" s="319">
        <f>D2045</f>
        <v/>
      </c>
      <c r="G2054" s="319" t="n"/>
      <c r="H2054" s="319">
        <f>$D$2046/$D$2048*F2054*E2054/30</f>
        <v/>
      </c>
      <c r="I2054" s="319">
        <f>G2054-H2054</f>
        <v/>
      </c>
      <c r="J2054" s="319">
        <f>F2054-I2054</f>
        <v/>
      </c>
      <c r="K2054" s="516" t="n"/>
      <c r="L2054" s="516" t="n"/>
    </row>
    <row r="2055">
      <c r="B2055" s="1" t="n">
        <v>1</v>
      </c>
      <c r="C2055" s="24" t="n">
        <v>44774</v>
      </c>
      <c r="D2055" s="24" t="n">
        <v>44804</v>
      </c>
      <c r="E2055" s="25">
        <f>D2055-C2055+1</f>
        <v/>
      </c>
      <c r="F2055" s="319">
        <f>J2054</f>
        <v/>
      </c>
      <c r="G2055" s="319" t="n"/>
      <c r="H2055" s="319">
        <f>$D$2046/$D$2048*F2055</f>
        <v/>
      </c>
      <c r="I2055" s="319">
        <f>G2055-H2055</f>
        <v/>
      </c>
      <c r="J2055" s="319">
        <f>F2055-I2055</f>
        <v/>
      </c>
      <c r="K2055" s="516" t="n"/>
      <c r="L2055" s="516" t="n"/>
    </row>
    <row r="2056">
      <c r="B2056" s="1" t="n">
        <v>2</v>
      </c>
      <c r="C2056" s="24" t="n">
        <v>44805</v>
      </c>
      <c r="D2056" s="24" t="n">
        <v>44834</v>
      </c>
      <c r="E2056" s="25">
        <f>D2056-C2056+1</f>
        <v/>
      </c>
      <c r="F2056" s="319">
        <f>J2055</f>
        <v/>
      </c>
      <c r="G2056" s="319" t="n"/>
      <c r="H2056" s="319">
        <f>$D$2046/$D$2048*F2056</f>
        <v/>
      </c>
      <c r="I2056" s="319">
        <f>G2056-H2056</f>
        <v/>
      </c>
      <c r="J2056" s="319">
        <f>F2056-I2056</f>
        <v/>
      </c>
    </row>
    <row r="2057">
      <c r="B2057" s="1" t="n">
        <v>3</v>
      </c>
      <c r="C2057" s="24" t="n">
        <v>44835</v>
      </c>
      <c r="D2057" s="24" t="n">
        <v>44865</v>
      </c>
      <c r="E2057" s="25">
        <f>D2057-C2057+1</f>
        <v/>
      </c>
      <c r="F2057" s="319">
        <f>J2056</f>
        <v/>
      </c>
      <c r="G2057" s="319" t="n"/>
      <c r="H2057" s="319">
        <f>$D$2046/$D$2048*F2057</f>
        <v/>
      </c>
      <c r="I2057" s="319">
        <f>G2057-H2057</f>
        <v/>
      </c>
      <c r="J2057" s="319">
        <f>F2057-I2057</f>
        <v/>
      </c>
      <c r="K2057" s="516" t="n"/>
      <c r="L2057" s="516" t="n"/>
    </row>
    <row r="2058">
      <c r="B2058" s="1" t="n">
        <v>4</v>
      </c>
      <c r="C2058" s="24" t="n">
        <v>44866</v>
      </c>
      <c r="D2058" s="24" t="n">
        <v>44895</v>
      </c>
      <c r="E2058" s="25">
        <f>D2058-C2058+1</f>
        <v/>
      </c>
      <c r="F2058" s="319">
        <f>J2057</f>
        <v/>
      </c>
      <c r="G2058" s="319">
        <f>-PMT($D$2046/$D$2048,21,$F$2058,,0)</f>
        <v/>
      </c>
      <c r="H2058" s="319">
        <f>$D$2046/$D$2048*F2058</f>
        <v/>
      </c>
      <c r="I2058" s="319">
        <f>G2058-H2058</f>
        <v/>
      </c>
      <c r="J2058" s="319">
        <f>F2058-I2058</f>
        <v/>
      </c>
      <c r="K2058" s="516" t="n">
        <v>534000</v>
      </c>
      <c r="L2058" s="516">
        <f>G2058-K2058</f>
        <v/>
      </c>
    </row>
    <row r="2059">
      <c r="B2059" s="1" t="n">
        <v>5</v>
      </c>
      <c r="C2059" s="24" t="n">
        <v>44896</v>
      </c>
      <c r="D2059" s="24" t="n">
        <v>44926</v>
      </c>
      <c r="E2059" s="25">
        <f>D2059-C2059+1</f>
        <v/>
      </c>
      <c r="F2059" s="319">
        <f>J2058</f>
        <v/>
      </c>
      <c r="G2059" s="319">
        <f>-PMT($D$2046/$D$2048,21,$F$2058,,0)</f>
        <v/>
      </c>
      <c r="H2059" s="319">
        <f>$D$2046/$D$2048*F2059</f>
        <v/>
      </c>
      <c r="I2059" s="319">
        <f>G2059-H2059</f>
        <v/>
      </c>
      <c r="J2059" s="319">
        <f>F2059-I2059</f>
        <v/>
      </c>
      <c r="K2059" s="516" t="n">
        <v>0</v>
      </c>
      <c r="L2059" s="516">
        <f>L2058+G2059-K2059</f>
        <v/>
      </c>
    </row>
    <row r="2060">
      <c r="B2060" s="1" t="n">
        <v>6</v>
      </c>
      <c r="C2060" s="24" t="n">
        <v>44927</v>
      </c>
      <c r="D2060" s="24" t="n">
        <v>44957</v>
      </c>
      <c r="E2060" s="25">
        <f>D2060-C2060+1</f>
        <v/>
      </c>
      <c r="F2060" s="319">
        <f>J2059</f>
        <v/>
      </c>
      <c r="G2060" s="319">
        <f>-PMT($D$2046/$D$2048,21,$F$2058,,0)</f>
        <v/>
      </c>
      <c r="H2060" s="319">
        <f>$D$2046/$D$2048*F2060</f>
        <v/>
      </c>
      <c r="I2060" s="319">
        <f>G2060-H2060</f>
        <v/>
      </c>
      <c r="J2060" s="319">
        <f>F2060-I2060</f>
        <v/>
      </c>
      <c r="K2060" s="516" t="n">
        <v>0</v>
      </c>
      <c r="L2060" s="516">
        <f>L2059+G2060-K2060</f>
        <v/>
      </c>
    </row>
    <row r="2061">
      <c r="B2061" s="1" t="n">
        <v>7</v>
      </c>
      <c r="C2061" s="24" t="n">
        <v>44958</v>
      </c>
      <c r="D2061" s="24" t="n">
        <v>44985</v>
      </c>
      <c r="E2061" s="25">
        <f>D2061-C2061+1</f>
        <v/>
      </c>
      <c r="F2061" s="319">
        <f>J2060</f>
        <v/>
      </c>
      <c r="G2061" s="319">
        <f>-PMT($D$2046/$D$2048,21,$F$2058,,0)</f>
        <v/>
      </c>
      <c r="H2061" s="319">
        <f>$D$2046/$D$2048*F2061</f>
        <v/>
      </c>
      <c r="I2061" s="319">
        <f>G2061-H2061</f>
        <v/>
      </c>
      <c r="J2061" s="319">
        <f>F2061-I2061</f>
        <v/>
      </c>
      <c r="K2061" s="516" t="n">
        <v>540000</v>
      </c>
      <c r="L2061" s="516">
        <f>L2060+G2061-K2061</f>
        <v/>
      </c>
    </row>
    <row r="2062">
      <c r="B2062" s="1" t="n">
        <v>8</v>
      </c>
      <c r="C2062" s="24" t="n">
        <v>44986</v>
      </c>
      <c r="D2062" s="24" t="n">
        <v>45016</v>
      </c>
      <c r="E2062" s="25">
        <f>D2062-C2062+1</f>
        <v/>
      </c>
      <c r="F2062" s="319">
        <f>J2061+L2062</f>
        <v/>
      </c>
      <c r="G2062" s="319" t="n"/>
      <c r="H2062" s="321">
        <f>$D$2046/$D$2048*F2062</f>
        <v/>
      </c>
      <c r="I2062" s="319">
        <f>G2062-H2062</f>
        <v/>
      </c>
      <c r="J2062" s="319">
        <f>F2062-I2062</f>
        <v/>
      </c>
      <c r="K2062" s="516" t="n">
        <v>535000</v>
      </c>
      <c r="L2062" s="516">
        <f>L2061+G2062-K2062</f>
        <v/>
      </c>
    </row>
    <row r="2063">
      <c r="B2063" s="1" t="n">
        <v>9</v>
      </c>
      <c r="C2063" s="24" t="n">
        <v>45017</v>
      </c>
      <c r="D2063" s="24" t="n">
        <v>45046</v>
      </c>
      <c r="E2063" s="25">
        <f>D2063-C2063+1</f>
        <v/>
      </c>
      <c r="F2063" s="319">
        <f>J2062</f>
        <v/>
      </c>
      <c r="G2063" s="319" t="n"/>
      <c r="H2063" s="321">
        <f>$D$2046/$D$2048*F2063</f>
        <v/>
      </c>
      <c r="I2063" s="319">
        <f>G2063-H2063</f>
        <v/>
      </c>
      <c r="J2063" s="319">
        <f>F2063-I2063</f>
        <v/>
      </c>
      <c r="K2063" s="516" t="n"/>
      <c r="L2063" s="519" t="n"/>
    </row>
    <row r="2064">
      <c r="B2064" s="1" t="n">
        <v>10</v>
      </c>
      <c r="C2064" s="24" t="n">
        <v>45047</v>
      </c>
      <c r="D2064" s="24" t="n">
        <v>45077</v>
      </c>
      <c r="E2064" s="25">
        <f>D2064-C2064+1</f>
        <v/>
      </c>
      <c r="F2064" s="319">
        <f>J2063</f>
        <v/>
      </c>
      <c r="G2064" s="319" t="n"/>
      <c r="H2064" s="319">
        <f>$D$2046/$D$2048*F2064</f>
        <v/>
      </c>
      <c r="I2064" s="319">
        <f>G2064-H2064</f>
        <v/>
      </c>
      <c r="J2064" s="319">
        <f>F2064-I2064</f>
        <v/>
      </c>
      <c r="K2064" s="516" t="n"/>
      <c r="L2064" s="516" t="n"/>
    </row>
    <row r="2065">
      <c r="B2065" s="1" t="n">
        <v>11</v>
      </c>
      <c r="C2065" s="24" t="n">
        <v>45078</v>
      </c>
      <c r="D2065" s="24" t="n">
        <v>45107</v>
      </c>
      <c r="E2065" s="25">
        <f>D2065-C2065+1</f>
        <v/>
      </c>
      <c r="F2065" s="319">
        <f>J2064</f>
        <v/>
      </c>
      <c r="G2065" s="319" t="n"/>
      <c r="H2065" s="319">
        <f>$D$2046/$D$2048*F2065</f>
        <v/>
      </c>
      <c r="I2065" s="319">
        <f>G2065-H2065</f>
        <v/>
      </c>
      <c r="J2065" s="319">
        <f>F2065-I2065</f>
        <v/>
      </c>
      <c r="K2065" s="516" t="n"/>
      <c r="L2065" s="516" t="n"/>
    </row>
    <row r="2066">
      <c r="B2066" s="1" t="n">
        <v>12</v>
      </c>
      <c r="C2066" s="24" t="n">
        <v>45108</v>
      </c>
      <c r="D2066" s="24" t="n">
        <v>45138</v>
      </c>
      <c r="E2066" s="25">
        <f>D2066-C2066+1</f>
        <v/>
      </c>
      <c r="F2066" s="319">
        <f>J2065</f>
        <v/>
      </c>
      <c r="G2066" s="319">
        <f>-PMT($D$2046/$D$2048,17,$F$2066,,0)</f>
        <v/>
      </c>
      <c r="H2066" s="319">
        <f>$D$2046/$D$2048*F2066</f>
        <v/>
      </c>
      <c r="I2066" s="319">
        <f>G2066-H2066</f>
        <v/>
      </c>
      <c r="J2066" s="319">
        <f>F2066-I2066</f>
        <v/>
      </c>
      <c r="K2066" s="523" t="inlineStr">
        <is>
          <t>NEXT DUE IN JULY</t>
        </is>
      </c>
      <c r="L2066" s="516">
        <f>L2065+G2066</f>
        <v/>
      </c>
    </row>
    <row r="2067">
      <c r="B2067" s="1" t="n">
        <v>13</v>
      </c>
      <c r="C2067" s="24" t="n">
        <v>45139</v>
      </c>
      <c r="D2067" s="24" t="n">
        <v>45169</v>
      </c>
      <c r="E2067" s="25">
        <f>D2067-C2067+1</f>
        <v/>
      </c>
      <c r="F2067" s="319">
        <f>J2066</f>
        <v/>
      </c>
      <c r="G2067" s="319">
        <f>-PMT($D$2046/$D$2048,17,$F$2066,,0)</f>
        <v/>
      </c>
      <c r="H2067" s="319">
        <f>$D$2046/$D$2048*F2067</f>
        <v/>
      </c>
      <c r="I2067" s="319">
        <f>G2067-H2067</f>
        <v/>
      </c>
      <c r="J2067" s="319">
        <f>F2067-I2067</f>
        <v/>
      </c>
      <c r="K2067" s="516" t="n">
        <v>560000</v>
      </c>
      <c r="L2067" s="516">
        <f>L2066+G2067-K2067</f>
        <v/>
      </c>
    </row>
    <row r="2068">
      <c r="B2068" s="1" t="n">
        <v>14</v>
      </c>
      <c r="C2068" s="24" t="n">
        <v>45170</v>
      </c>
      <c r="D2068" s="24" t="n">
        <v>45199</v>
      </c>
      <c r="E2068" s="25">
        <f>D2068-C2068+1</f>
        <v/>
      </c>
      <c r="F2068" s="319">
        <f>J2067</f>
        <v/>
      </c>
      <c r="G2068" s="319">
        <f>-PMT($D$2046/$D$2048,17,$F$2066,,0)</f>
        <v/>
      </c>
      <c r="H2068" s="319">
        <f>$D$2046/$D$2048*F2068</f>
        <v/>
      </c>
      <c r="I2068" s="319">
        <f>G2068-H2068</f>
        <v/>
      </c>
      <c r="J2068" s="319">
        <f>F2068-I2068</f>
        <v/>
      </c>
      <c r="K2068" s="516" t="n"/>
      <c r="L2068" s="516">
        <f>L2067+G2068-K2068</f>
        <v/>
      </c>
    </row>
    <row r="2069">
      <c r="B2069" s="1" t="n">
        <v>15</v>
      </c>
      <c r="C2069" s="24" t="n">
        <v>45200</v>
      </c>
      <c r="D2069" s="24" t="n">
        <v>45230</v>
      </c>
      <c r="E2069" s="25">
        <f>D2069-C2069+1</f>
        <v/>
      </c>
      <c r="F2069" s="319">
        <f>J2068</f>
        <v/>
      </c>
      <c r="G2069" s="319">
        <f>-PMT($D$2046/$D$2048,17,$F$2066,,0)</f>
        <v/>
      </c>
      <c r="H2069" s="319">
        <f>$D$2046/$D$2048*F2069</f>
        <v/>
      </c>
      <c r="I2069" s="319">
        <f>G2069-H2069</f>
        <v/>
      </c>
      <c r="J2069" s="319">
        <f>F2069-I2069+L2069</f>
        <v/>
      </c>
      <c r="K2069" s="516" t="n">
        <v>600000</v>
      </c>
      <c r="L2069" s="516">
        <f>L2068+G2069-K2069</f>
        <v/>
      </c>
    </row>
    <row r="2070">
      <c r="B2070" s="1" t="n">
        <v>16</v>
      </c>
      <c r="C2070" s="24" t="n">
        <v>45231</v>
      </c>
      <c r="D2070" s="24" t="n">
        <v>45260</v>
      </c>
      <c r="E2070" s="25">
        <f>D2070-C2070+1</f>
        <v/>
      </c>
      <c r="F2070" s="319">
        <f>J2069</f>
        <v/>
      </c>
      <c r="G2070" s="319" t="n"/>
      <c r="H2070" s="319">
        <f>$D$2046/$D$2048*F2070</f>
        <v/>
      </c>
      <c r="I2070" s="319" t="n">
        <v>0</v>
      </c>
      <c r="J2070" s="319">
        <f>F2070-I2070</f>
        <v/>
      </c>
      <c r="K2070" s="516" t="n"/>
      <c r="L2070" s="516">
        <f>H2070</f>
        <v/>
      </c>
    </row>
    <row r="2071">
      <c r="B2071" s="1" t="n">
        <v>17</v>
      </c>
      <c r="C2071" s="24" t="n">
        <v>45261</v>
      </c>
      <c r="D2071" s="24" t="n">
        <v>45291</v>
      </c>
      <c r="E2071" s="25">
        <f>D2071-C2071+1</f>
        <v/>
      </c>
      <c r="F2071" s="319">
        <f>J2070</f>
        <v/>
      </c>
      <c r="G2071" s="319" t="n"/>
      <c r="H2071" s="319">
        <f>$D$2046/$D$2048*F2071</f>
        <v/>
      </c>
      <c r="I2071" s="319" t="n">
        <v>0</v>
      </c>
      <c r="J2071" s="319">
        <f>F2071-I2071</f>
        <v/>
      </c>
      <c r="K2071" s="516" t="n">
        <v>150000</v>
      </c>
      <c r="L2071" s="516">
        <f>L2070+H2071-K2071</f>
        <v/>
      </c>
    </row>
    <row r="2072">
      <c r="B2072" s="1" t="n">
        <v>18</v>
      </c>
      <c r="C2072" s="24" t="n">
        <v>45292</v>
      </c>
      <c r="D2072" s="24" t="n">
        <v>45322</v>
      </c>
      <c r="E2072" s="25">
        <f>D2072-C2072+1</f>
        <v/>
      </c>
      <c r="F2072" s="319">
        <f>J2071</f>
        <v/>
      </c>
      <c r="G2072" s="319" t="n"/>
      <c r="H2072" s="319">
        <f>$D$2046/$D$2048*F2072</f>
        <v/>
      </c>
      <c r="I2072" s="319" t="n">
        <v>0</v>
      </c>
      <c r="J2072" s="319">
        <f>F2072-I2072</f>
        <v/>
      </c>
      <c r="K2072" s="516" t="n"/>
      <c r="L2072" s="516">
        <f>L2071+H2072-K2072</f>
        <v/>
      </c>
    </row>
    <row r="2073">
      <c r="B2073" s="1" t="n">
        <v>19</v>
      </c>
      <c r="C2073" s="24" t="n">
        <v>45323</v>
      </c>
      <c r="D2073" s="24" t="n">
        <v>45351</v>
      </c>
      <c r="E2073" s="25">
        <f>D2073-C2073+1</f>
        <v/>
      </c>
      <c r="F2073" s="319">
        <f>J2072</f>
        <v/>
      </c>
      <c r="G2073" s="319">
        <f>-PMT($D$2046/$D$2048,13,$F$2073,,0)</f>
        <v/>
      </c>
      <c r="H2073" s="319">
        <f>$D$2046/$D$2048*F2073</f>
        <v/>
      </c>
      <c r="I2073" s="319">
        <f>G2073-H2073</f>
        <v/>
      </c>
      <c r="J2073" s="319">
        <f>F2073-I2073</f>
        <v/>
      </c>
      <c r="K2073" s="516" t="n"/>
      <c r="L2073" s="516">
        <f>L2072+G2073-K2073</f>
        <v/>
      </c>
    </row>
    <row r="2074">
      <c r="B2074" s="1" t="n">
        <v>20</v>
      </c>
      <c r="C2074" s="24" t="n">
        <v>45352</v>
      </c>
      <c r="D2074" s="24" t="n">
        <v>45382</v>
      </c>
      <c r="E2074" s="25">
        <f>D2074-C2074+1</f>
        <v/>
      </c>
      <c r="F2074" s="319">
        <f>J2073</f>
        <v/>
      </c>
      <c r="G2074" s="319">
        <f>-PMT($D$2046/$D$2048,13,$F$2073,,0)</f>
        <v/>
      </c>
      <c r="H2074" s="319">
        <f>$D$2046/$D$2048*F2074</f>
        <v/>
      </c>
      <c r="I2074" s="319">
        <f>G2074-H2074</f>
        <v/>
      </c>
      <c r="J2074" s="319">
        <f>F2074-I2074</f>
        <v/>
      </c>
      <c r="K2074" s="516" t="n">
        <v>300000</v>
      </c>
      <c r="L2074" s="516">
        <f>L2073+G2074-K2074</f>
        <v/>
      </c>
    </row>
    <row r="2075">
      <c r="B2075" s="1" t="n">
        <v>21</v>
      </c>
      <c r="C2075" s="24" t="n">
        <v>45383</v>
      </c>
      <c r="D2075" s="24" t="n">
        <v>45412</v>
      </c>
      <c r="E2075" s="25">
        <f>D2075-C2075+1</f>
        <v/>
      </c>
      <c r="F2075" s="319">
        <f>J2074</f>
        <v/>
      </c>
      <c r="G2075" s="319">
        <f>-PMT($D$2046/$D$2048,13,$F$2073,,0)</f>
        <v/>
      </c>
      <c r="H2075" s="319">
        <f>$D$2046/$D$2048*F2075</f>
        <v/>
      </c>
      <c r="I2075" s="319">
        <f>G2075-H2075</f>
        <v/>
      </c>
      <c r="J2075" s="319">
        <f>F2075-I2075</f>
        <v/>
      </c>
      <c r="K2075" s="516" t="n">
        <v>400000</v>
      </c>
      <c r="L2075" s="516">
        <f>L2074+G2075-K2075</f>
        <v/>
      </c>
    </row>
    <row r="2076">
      <c r="B2076" s="1" t="n">
        <v>22</v>
      </c>
      <c r="C2076" s="24" t="n">
        <v>45413</v>
      </c>
      <c r="D2076" s="24" t="n">
        <v>45443</v>
      </c>
      <c r="E2076" s="25">
        <f>D2076-C2076+1</f>
        <v/>
      </c>
      <c r="F2076" s="319">
        <f>J2075</f>
        <v/>
      </c>
      <c r="G2076" s="319">
        <f>-PMT($D$2046/$D$2048,13,$F$2073,,0)</f>
        <v/>
      </c>
      <c r="H2076" s="319">
        <f>$D$2046/$D$2048*F2076</f>
        <v/>
      </c>
      <c r="I2076" s="319">
        <f>G2076-H2076</f>
        <v/>
      </c>
      <c r="J2076" s="319">
        <f>F2076-I2076</f>
        <v/>
      </c>
      <c r="K2076" s="516" t="n">
        <v>400000</v>
      </c>
      <c r="L2076" s="516">
        <f>L2075+G2076-K2076</f>
        <v/>
      </c>
    </row>
    <row r="2077">
      <c r="B2077" s="1" t="n">
        <v>23</v>
      </c>
      <c r="C2077" s="24" t="n">
        <v>45444</v>
      </c>
      <c r="D2077" s="24" t="n">
        <v>45473</v>
      </c>
      <c r="E2077" s="25">
        <f>D2077-C2077+1</f>
        <v/>
      </c>
      <c r="F2077" s="319">
        <f>J2076</f>
        <v/>
      </c>
      <c r="G2077" s="319">
        <f>-PMT($D$2046/$D$2048,13,$F$2073,,0)</f>
        <v/>
      </c>
      <c r="H2077" s="319">
        <f>$D$2046/$D$2048*F2077</f>
        <v/>
      </c>
      <c r="I2077" s="319">
        <f>G2077-H2077</f>
        <v/>
      </c>
      <c r="J2077" s="319">
        <f>F2077-I2077</f>
        <v/>
      </c>
      <c r="K2077" s="516" t="n">
        <v>400000</v>
      </c>
      <c r="L2077" s="516">
        <f>L2076+G2077-K2077</f>
        <v/>
      </c>
    </row>
    <row r="2078">
      <c r="B2078" s="1" t="n">
        <v>24</v>
      </c>
      <c r="C2078" s="24" t="n">
        <v>45474</v>
      </c>
      <c r="D2078" s="24" t="n">
        <v>45504</v>
      </c>
      <c r="E2078" s="25">
        <f>D2078-C2078+1</f>
        <v/>
      </c>
      <c r="F2078" s="319">
        <f>J2077</f>
        <v/>
      </c>
      <c r="G2078" s="319">
        <f>-PMT($D$2046/$D$2048,13,$F$2073,,0)</f>
        <v/>
      </c>
      <c r="H2078" s="319">
        <f>$D$2046/$D$2048*F2078</f>
        <v/>
      </c>
      <c r="I2078" s="319">
        <f>G2078-H2078</f>
        <v/>
      </c>
      <c r="J2078" s="319">
        <f>F2078-I2078</f>
        <v/>
      </c>
      <c r="K2078" s="516" t="n">
        <v>400000</v>
      </c>
      <c r="L2078" s="516">
        <f>L2077+G2078-K2078</f>
        <v/>
      </c>
    </row>
    <row r="2079">
      <c r="B2079" s="1" t="n">
        <v>25</v>
      </c>
      <c r="C2079" s="24" t="n">
        <v>45505</v>
      </c>
      <c r="D2079" s="24" t="n">
        <v>45535</v>
      </c>
      <c r="E2079" s="25">
        <f>D2079-C2079+1</f>
        <v/>
      </c>
      <c r="F2079" s="319">
        <f>J2078</f>
        <v/>
      </c>
      <c r="G2079" s="319">
        <f>-PMT($D$2046/$D$2048,13,$F$2073,,0)</f>
        <v/>
      </c>
      <c r="H2079" s="319">
        <f>$D$2046/$D$2048*F2079</f>
        <v/>
      </c>
      <c r="I2079" s="319">
        <f>G2079-H2079</f>
        <v/>
      </c>
      <c r="J2079" s="319">
        <f>F2079-I2079</f>
        <v/>
      </c>
      <c r="K2079" s="516" t="n">
        <v>400000</v>
      </c>
      <c r="L2079" s="516">
        <f>L2078+G2079-K2079</f>
        <v/>
      </c>
    </row>
    <row r="2080">
      <c r="B2080" s="1" t="n">
        <v>26</v>
      </c>
      <c r="C2080" s="24" t="n">
        <v>45536</v>
      </c>
      <c r="D2080" s="24" t="n">
        <v>45565</v>
      </c>
      <c r="E2080" s="25">
        <f>D2080-C2080+1</f>
        <v/>
      </c>
      <c r="F2080" s="319">
        <f>J2079</f>
        <v/>
      </c>
      <c r="G2080" s="319">
        <f>-PMT($D$2046/$D$2048,13,$F$2073,,0)</f>
        <v/>
      </c>
      <c r="H2080" s="319">
        <f>$D$2046/$D$2048*F2080</f>
        <v/>
      </c>
      <c r="I2080" s="319">
        <f>G2080-H2080</f>
        <v/>
      </c>
      <c r="J2080" s="319">
        <f>F2080-I2080</f>
        <v/>
      </c>
      <c r="K2080" s="516" t="n">
        <v>400000</v>
      </c>
      <c r="L2080" s="516">
        <f>L2079+G2080-K2080</f>
        <v/>
      </c>
    </row>
    <row r="2081">
      <c r="B2081" s="1" t="n">
        <v>27</v>
      </c>
      <c r="C2081" s="24" t="n">
        <v>45566</v>
      </c>
      <c r="D2081" s="24" t="n">
        <v>45596</v>
      </c>
      <c r="E2081" s="25">
        <f>D2081-C2081+1</f>
        <v/>
      </c>
      <c r="F2081" s="319">
        <f>J2080</f>
        <v/>
      </c>
      <c r="G2081" s="319">
        <f>-PMT($D$2046/$D$2048,13,$F$2073,,0)</f>
        <v/>
      </c>
      <c r="H2081" s="319">
        <f>$D$2046/$D$2048*F2081</f>
        <v/>
      </c>
      <c r="I2081" s="319">
        <f>G2081-H2081</f>
        <v/>
      </c>
      <c r="J2081" s="319">
        <f>F2081-I2081</f>
        <v/>
      </c>
      <c r="K2081" s="516" t="n">
        <v>400000</v>
      </c>
      <c r="L2081" s="523">
        <f>L2080+G2081-K2081</f>
        <v/>
      </c>
    </row>
    <row r="2082">
      <c r="B2082" s="1" t="n">
        <v>28</v>
      </c>
      <c r="C2082" s="24" t="n">
        <v>45597</v>
      </c>
      <c r="D2082" s="24" t="n">
        <v>45626</v>
      </c>
      <c r="E2082" s="25">
        <f>D2082-C2082+1</f>
        <v/>
      </c>
      <c r="F2082" s="319">
        <f>J2081</f>
        <v/>
      </c>
      <c r="G2082" s="319">
        <f>-PMT($D$2046/$D$2048,13,$F$2073,,0)</f>
        <v/>
      </c>
      <c r="H2082" s="319">
        <f>$D$2046/$D$2048*F2082</f>
        <v/>
      </c>
      <c r="I2082" s="319">
        <f>G2082-H2082</f>
        <v/>
      </c>
      <c r="J2082" s="319">
        <f>F2082-I2082</f>
        <v/>
      </c>
      <c r="K2082" s="516" t="n"/>
      <c r="L2082" s="516" t="n"/>
    </row>
    <row r="2083">
      <c r="B2083" s="1" t="n">
        <v>29</v>
      </c>
      <c r="C2083" s="24" t="n">
        <v>45627</v>
      </c>
      <c r="D2083" s="24" t="n">
        <v>45657</v>
      </c>
      <c r="E2083" s="25">
        <f>D2083-C2083+1</f>
        <v/>
      </c>
      <c r="F2083" s="319">
        <f>J2082</f>
        <v/>
      </c>
      <c r="G2083" s="319">
        <f>-PMT($D$2046/$D$2048,13,$F$2073,,0)</f>
        <v/>
      </c>
      <c r="H2083" s="319">
        <f>$D$2046/$D$2048*F2083</f>
        <v/>
      </c>
      <c r="I2083" s="319">
        <f>G2083-H2083</f>
        <v/>
      </c>
      <c r="J2083" s="319">
        <f>F2083-I2083</f>
        <v/>
      </c>
      <c r="K2083" s="516" t="n"/>
      <c r="L2083" s="516" t="n"/>
    </row>
    <row r="2084">
      <c r="B2084" s="1" t="n">
        <v>30</v>
      </c>
      <c r="C2084" s="24" t="n">
        <v>45658</v>
      </c>
      <c r="D2084" s="24" t="n">
        <v>45688</v>
      </c>
      <c r="E2084" s="25">
        <f>D2084-C2084+1</f>
        <v/>
      </c>
      <c r="F2084" s="319">
        <f>J2083</f>
        <v/>
      </c>
      <c r="G2084" s="319">
        <f>-PMT($D$2046/$D$2048,13,$F$2073,,0)</f>
        <v/>
      </c>
      <c r="H2084" s="319">
        <f>$D$2046/$D$2048*F2084</f>
        <v/>
      </c>
      <c r="I2084" s="319">
        <f>G2084-H2084</f>
        <v/>
      </c>
      <c r="J2084" s="319">
        <f>F2084-I2084</f>
        <v/>
      </c>
      <c r="K2084" s="516" t="n"/>
      <c r="L2084" s="516" t="n"/>
    </row>
    <row r="2085">
      <c r="B2085" s="1" t="n">
        <v>31</v>
      </c>
      <c r="C2085" s="24" t="n">
        <v>45689</v>
      </c>
      <c r="D2085" s="24" t="n">
        <v>45716</v>
      </c>
      <c r="E2085" s="25">
        <f>D2085-C2085+1</f>
        <v/>
      </c>
      <c r="F2085" s="319">
        <f>J2084</f>
        <v/>
      </c>
      <c r="G2085" s="319">
        <f>-PMT($D$2046/$D$2048,13,$F$2073,,0)</f>
        <v/>
      </c>
      <c r="H2085" s="319">
        <f>$D$2046/$D$2048*F2085</f>
        <v/>
      </c>
      <c r="I2085" s="319">
        <f>G2085-H2085</f>
        <v/>
      </c>
      <c r="J2085" s="319">
        <f>F2085-I2085</f>
        <v/>
      </c>
      <c r="K2085" s="516" t="n"/>
      <c r="L2085" s="516" t="n"/>
    </row>
    <row r="2086">
      <c r="B2086" s="1" t="n"/>
      <c r="C2086" s="24" t="n"/>
      <c r="D2086" s="24" t="n"/>
      <c r="E2086" s="25" t="n"/>
      <c r="F2086" s="319" t="n"/>
      <c r="G2086" s="319" t="n"/>
      <c r="H2086" s="319" t="n"/>
      <c r="I2086" s="319" t="n"/>
      <c r="J2086" s="319" t="n"/>
      <c r="K2086" s="516" t="n"/>
      <c r="L2086" s="516" t="n"/>
    </row>
    <row r="2087" ht="14.25" customHeight="1">
      <c r="B2087" s="1" t="n"/>
      <c r="C2087" s="1" t="n"/>
      <c r="D2087" s="1" t="n"/>
      <c r="E2087" s="30">
        <f>SUM(E2054:E2066)</f>
        <v/>
      </c>
      <c r="F2087" s="319" t="n"/>
      <c r="G2087" s="319" t="n"/>
      <c r="H2087" s="319" t="n"/>
      <c r="I2087" s="319" t="n"/>
      <c r="J2087" s="319" t="n"/>
      <c r="K2087" s="1" t="n"/>
      <c r="L2087" s="1" t="n"/>
    </row>
    <row r="2091">
      <c r="B2091" s="1" t="n"/>
      <c r="C2091" s="9" t="inlineStr">
        <is>
          <t>G &amp; S Home Mart and Agrodealer</t>
        </is>
      </c>
      <c r="D2091" s="319" t="n"/>
      <c r="E2091" s="319" t="n"/>
      <c r="F2091" s="319" t="n"/>
      <c r="G2091" s="319" t="n"/>
      <c r="H2091" s="319" t="n"/>
      <c r="I2091" s="319" t="n"/>
      <c r="J2091" s="319" t="n"/>
      <c r="K2091" s="319" t="n"/>
      <c r="L2091" s="319" t="n"/>
      <c r="R2091" s="514" t="inlineStr">
        <is>
          <t>E-Banker account (Dupleix)</t>
        </is>
      </c>
      <c r="S2091" s="495">
        <f>IFERROR(INDEX('Blocks'!$I$2:$I$101,MATCH(37,'Blocks'!$A$2:$A$101,0)),"")</f>
        <v/>
      </c>
    </row>
    <row r="2092">
      <c r="B2092" s="1" t="n"/>
      <c r="C2092" s="1" t="n"/>
      <c r="D2092" s="319" t="n"/>
      <c r="E2092" s="319" t="n"/>
      <c r="F2092" s="319" t="n"/>
      <c r="G2092" s="319" t="n"/>
      <c r="H2092" s="319" t="n"/>
      <c r="I2092" s="319" t="n"/>
      <c r="J2092" s="319" t="n"/>
      <c r="K2092" s="319" t="n"/>
      <c r="L2092" s="319" t="n"/>
      <c r="R2092" s="514" t="inlineStr">
        <is>
          <t>Facility (Loan Book)</t>
        </is>
      </c>
      <c r="S2092" s="495">
        <f>IFERROR(INDEX('Blocks'!$H$2:$H$101,MATCH(37,'Blocks'!$A$2:$A$101,0)),"")</f>
        <v/>
      </c>
    </row>
    <row r="2093">
      <c r="B2093" s="1" t="n"/>
      <c r="C2093" s="10" t="inlineStr">
        <is>
          <t>Principal (MK)</t>
        </is>
      </c>
      <c r="D2093" s="11" t="n">
        <v>7000000</v>
      </c>
      <c r="E2093" s="319" t="n"/>
      <c r="F2093" s="319" t="n"/>
      <c r="G2093" s="319" t="n"/>
      <c r="H2093" s="319" t="n"/>
      <c r="I2093" s="319" t="n"/>
      <c r="J2093" s="319" t="n"/>
      <c r="K2093" s="319" t="n"/>
      <c r="L2093" s="319" t="n"/>
      <c r="R2093" s="514" t="inlineStr">
        <is>
          <t>Take-on posting 31 Jul 2024</t>
        </is>
      </c>
      <c r="S2093" s="496">
        <f>IFERROR(INDEX('E-Banker master'!$N$2:$N$186,MATCH(S2091,'E-Banker master'!$A$2:$A$186,0)),"")</f>
        <v/>
      </c>
    </row>
    <row r="2094">
      <c r="B2094" s="1" t="n"/>
      <c r="C2094" s="13" t="inlineStr">
        <is>
          <t>Rate</t>
        </is>
      </c>
      <c r="D2094" s="14" t="n">
        <v>0.1</v>
      </c>
      <c r="E2094" s="257" t="n"/>
      <c r="F2094" s="319" t="n"/>
      <c r="G2094" s="319" t="n"/>
      <c r="H2094" s="319" t="n"/>
      <c r="I2094" s="319" t="n"/>
      <c r="J2094" s="319" t="n"/>
      <c r="K2094" s="319" t="n"/>
      <c r="L2094" s="319" t="n"/>
      <c r="R2094" s="514" t="inlineStr">
        <is>
          <t>E-Banker balance 31 Oct 2024</t>
        </is>
      </c>
      <c r="S2094" s="496">
        <f>IFERROR(INDEX('E-Banker master'!$P$2:$P$186,MATCH(S2091,'E-Banker master'!$A$2:$A$186,0)),"")</f>
        <v/>
      </c>
    </row>
    <row r="2095">
      <c r="B2095" s="1" t="n"/>
      <c r="C2095" s="13" t="inlineStr">
        <is>
          <t>n</t>
        </is>
      </c>
      <c r="D2095" s="16" t="n">
        <v>2</v>
      </c>
      <c r="E2095" s="1" t="n"/>
      <c r="F2095" s="319" t="n"/>
      <c r="G2095" s="319" t="n"/>
      <c r="H2095" s="319" t="n"/>
      <c r="I2095" s="319" t="n"/>
      <c r="J2095" s="319" t="n"/>
      <c r="K2095" s="1" t="n"/>
      <c r="L2095" s="1" t="n"/>
    </row>
    <row r="2096">
      <c r="B2096" s="1" t="n"/>
      <c r="C2096" s="13" t="inlineStr">
        <is>
          <t>Per</t>
        </is>
      </c>
      <c r="D2096" s="16" t="n">
        <v>12</v>
      </c>
      <c r="E2096" s="1" t="n"/>
      <c r="F2096" s="319" t="n"/>
      <c r="G2096" s="319" t="n"/>
      <c r="H2096" s="319" t="n"/>
      <c r="I2096" s="319" t="n"/>
      <c r="J2096" s="319" t="n"/>
      <c r="K2096" s="1" t="n"/>
      <c r="L2096" s="1" t="n"/>
    </row>
    <row r="2097">
      <c r="B2097" s="1" t="n"/>
      <c r="C2097" s="13" t="inlineStr">
        <is>
          <t>nPer</t>
        </is>
      </c>
      <c r="D2097" s="515">
        <f>D2095*D2096</f>
        <v/>
      </c>
      <c r="E2097" s="1" t="n"/>
      <c r="F2097" s="319" t="n"/>
      <c r="G2097" s="319" t="n"/>
      <c r="H2097" s="319" t="n"/>
      <c r="I2097" s="319" t="n"/>
      <c r="J2097" s="319" t="n"/>
      <c r="K2097" s="1" t="n"/>
      <c r="L2097" s="1" t="n"/>
    </row>
    <row r="2098">
      <c r="B2098" s="1" t="n"/>
      <c r="C2098" s="13" t="inlineStr">
        <is>
          <t>Days in a year</t>
        </is>
      </c>
      <c r="D2098" s="18" t="n">
        <v>365</v>
      </c>
      <c r="E2098" s="1" t="n"/>
      <c r="F2098" s="319" t="n"/>
      <c r="G2098" s="319" t="n"/>
      <c r="H2098" s="319" t="n"/>
      <c r="I2098" s="319" t="n"/>
      <c r="J2098" s="319" t="n"/>
      <c r="K2098" s="1" t="n"/>
      <c r="L2098" s="1" t="n"/>
    </row>
    <row r="2099">
      <c r="B2099" s="1" t="n"/>
      <c r="C2099" s="19" t="inlineStr">
        <is>
          <t>Pmt (MK)</t>
        </is>
      </c>
      <c r="D2099" s="20">
        <f>-PMT(D2094/D2096,D2097,D2093,0,0)</f>
        <v/>
      </c>
      <c r="E2099" s="319" t="n"/>
      <c r="F2099" s="319" t="n"/>
      <c r="G2099" s="319" t="n"/>
      <c r="H2099" s="319" t="n"/>
      <c r="I2099" s="319" t="n"/>
      <c r="J2099" s="319" t="n"/>
      <c r="K2099" s="1" t="n"/>
      <c r="L2099" s="1" t="n"/>
    </row>
    <row r="2100">
      <c r="B2100" s="1" t="n"/>
      <c r="C2100" s="1" t="n"/>
      <c r="D2100" s="319" t="n"/>
      <c r="E2100" s="319" t="n"/>
      <c r="F2100" s="319" t="n"/>
      <c r="G2100" s="319" t="n"/>
      <c r="H2100" s="319" t="n"/>
      <c r="I2100" s="319" t="n"/>
      <c r="J2100" s="319" t="n"/>
      <c r="K2100" s="1" t="n"/>
      <c r="L2100" s="1" t="n"/>
    </row>
    <row r="2101">
      <c r="B2101" s="1" t="n"/>
      <c r="C2101" s="21" t="inlineStr">
        <is>
          <t>Period Start</t>
        </is>
      </c>
      <c r="D2101" s="22" t="inlineStr">
        <is>
          <t>Period End</t>
        </is>
      </c>
      <c r="E2101" s="22" t="inlineStr">
        <is>
          <t>Days</t>
        </is>
      </c>
      <c r="F2101" s="294" t="inlineStr">
        <is>
          <t>Opening bal.</t>
        </is>
      </c>
      <c r="G2101" s="294" t="inlineStr">
        <is>
          <t>Pmt</t>
        </is>
      </c>
      <c r="H2101" s="294" t="inlineStr">
        <is>
          <t>Interest</t>
        </is>
      </c>
      <c r="I2101" s="294" t="inlineStr">
        <is>
          <t>Principal</t>
        </is>
      </c>
      <c r="J2101" s="294" t="inlineStr">
        <is>
          <t>Closing balance</t>
        </is>
      </c>
      <c r="K2101" s="23" t="inlineStr">
        <is>
          <t>Amount Repaid</t>
        </is>
      </c>
      <c r="L2101" s="23" t="inlineStr">
        <is>
          <t>Accumulated Arrears</t>
        </is>
      </c>
    </row>
    <row r="2102">
      <c r="B2102" s="1" t="n">
        <v>0</v>
      </c>
      <c r="C2102" s="24" t="n">
        <v>44755</v>
      </c>
      <c r="D2102" s="24" t="n">
        <v>44773</v>
      </c>
      <c r="E2102" s="25">
        <f>D2102-C2102+1</f>
        <v/>
      </c>
      <c r="F2102" s="319">
        <f>D2093</f>
        <v/>
      </c>
      <c r="G2102" s="319" t="n"/>
      <c r="H2102" s="319">
        <f>$D$2094/$D$2096*F2102*E2102/30</f>
        <v/>
      </c>
      <c r="I2102" s="319">
        <f>G2102-H2102</f>
        <v/>
      </c>
      <c r="J2102" s="319">
        <f>F2102-I2102</f>
        <v/>
      </c>
      <c r="K2102" s="516" t="n"/>
      <c r="L2102" s="516" t="n"/>
    </row>
    <row r="2103">
      <c r="B2103" s="1" t="n">
        <v>1</v>
      </c>
      <c r="C2103" s="24" t="n">
        <v>44774</v>
      </c>
      <c r="D2103" s="24" t="n">
        <v>44804</v>
      </c>
      <c r="E2103" s="25">
        <f>D2103-C2103+1</f>
        <v/>
      </c>
      <c r="F2103" s="319">
        <f>J2102</f>
        <v/>
      </c>
      <c r="G2103" s="319" t="n"/>
      <c r="H2103" s="319">
        <f>$D$2094/$D$2096*F2103</f>
        <v/>
      </c>
      <c r="I2103" s="319">
        <f>G2103-H2103</f>
        <v/>
      </c>
      <c r="J2103" s="319">
        <f>F2103-I2103</f>
        <v/>
      </c>
      <c r="K2103" s="516" t="n"/>
      <c r="L2103" s="516" t="n"/>
    </row>
    <row r="2104">
      <c r="B2104" s="1" t="n">
        <v>2</v>
      </c>
      <c r="C2104" s="24" t="n">
        <v>44805</v>
      </c>
      <c r="D2104" s="24" t="n">
        <v>44834</v>
      </c>
      <c r="E2104" s="25">
        <f>D2104-C2104+1</f>
        <v/>
      </c>
      <c r="F2104" s="319">
        <f>J2103</f>
        <v/>
      </c>
      <c r="G2104" s="319" t="n"/>
      <c r="H2104" s="319">
        <f>$D$2094/$D$2096*F2104</f>
        <v/>
      </c>
      <c r="I2104" s="319">
        <f>G2104-H2104</f>
        <v/>
      </c>
      <c r="J2104" s="319">
        <f>F2104-I2104</f>
        <v/>
      </c>
    </row>
    <row r="2105">
      <c r="B2105" s="1" t="n">
        <v>3</v>
      </c>
      <c r="C2105" s="24" t="n">
        <v>44835</v>
      </c>
      <c r="D2105" s="24" t="n">
        <v>44865</v>
      </c>
      <c r="E2105" s="25">
        <f>D2105-C2105+1</f>
        <v/>
      </c>
      <c r="F2105" s="319">
        <f>J2104</f>
        <v/>
      </c>
      <c r="G2105" s="319" t="n"/>
      <c r="H2105" s="319">
        <f>$D$2094/$D$2096*F2105</f>
        <v/>
      </c>
      <c r="I2105" s="319">
        <f>G2105-H2105</f>
        <v/>
      </c>
      <c r="J2105" s="319">
        <f>F2105-I2105</f>
        <v/>
      </c>
      <c r="K2105" s="516" t="n"/>
      <c r="L2105" s="516" t="n"/>
    </row>
    <row r="2106">
      <c r="B2106" s="1" t="n">
        <v>4</v>
      </c>
      <c r="C2106" s="24" t="n">
        <v>44866</v>
      </c>
      <c r="D2106" s="24" t="n">
        <v>44895</v>
      </c>
      <c r="E2106" s="25">
        <f>D2106-C2106+1</f>
        <v/>
      </c>
      <c r="F2106" s="319">
        <f>J2105</f>
        <v/>
      </c>
      <c r="G2106" s="319">
        <f>-PMT($D$2094/$D$2096,21,$F$2106,,0)</f>
        <v/>
      </c>
      <c r="H2106" s="319">
        <f>$D$2094/$D$2096*F2106</f>
        <v/>
      </c>
      <c r="I2106" s="319">
        <f>G2106-H2106</f>
        <v/>
      </c>
      <c r="J2106" s="319">
        <f>F2106-I2106</f>
        <v/>
      </c>
      <c r="K2106" s="516" t="n">
        <v>0</v>
      </c>
      <c r="L2106" s="516">
        <f>G2106</f>
        <v/>
      </c>
    </row>
    <row r="2107">
      <c r="B2107" s="1" t="n">
        <v>5</v>
      </c>
      <c r="C2107" s="24" t="n">
        <v>44896</v>
      </c>
      <c r="D2107" s="24" t="n">
        <v>44926</v>
      </c>
      <c r="E2107" s="25">
        <f>D2107-C2107+1</f>
        <v/>
      </c>
      <c r="F2107" s="319">
        <f>J2106</f>
        <v/>
      </c>
      <c r="G2107" s="319">
        <f>-PMT($D$2094/$D$2096,21,$F$2106,,0)</f>
        <v/>
      </c>
      <c r="H2107" s="319">
        <f>$D$2094/$D$2096*F2107</f>
        <v/>
      </c>
      <c r="I2107" s="319">
        <f>G2107-H2107</f>
        <v/>
      </c>
      <c r="J2107" s="319">
        <f>F2107-I2107</f>
        <v/>
      </c>
      <c r="K2107" s="516" t="n"/>
      <c r="L2107" s="516">
        <f>L2106+G2107</f>
        <v/>
      </c>
    </row>
    <row r="2108">
      <c r="B2108" s="1" t="n">
        <v>6</v>
      </c>
      <c r="C2108" s="24" t="n">
        <v>44927</v>
      </c>
      <c r="D2108" s="24" t="n">
        <v>44957</v>
      </c>
      <c r="E2108" s="25">
        <f>D2108-C2108+1</f>
        <v/>
      </c>
      <c r="F2108" s="319">
        <f>J2107</f>
        <v/>
      </c>
      <c r="G2108" s="319">
        <f>-PMT($D$2094/$D$2096,21,$F$2106,,0)</f>
        <v/>
      </c>
      <c r="H2108" s="319">
        <f>$D$2094/$D$2096*F2108</f>
        <v/>
      </c>
      <c r="I2108" s="319">
        <f>G2108-H2108</f>
        <v/>
      </c>
      <c r="J2108" s="319">
        <f>F2108-I2108</f>
        <v/>
      </c>
      <c r="K2108" s="516" t="n">
        <v>2269000</v>
      </c>
      <c r="L2108" s="516">
        <f>L2107+G2108-K2108</f>
        <v/>
      </c>
    </row>
    <row r="2109">
      <c r="B2109" s="1" t="n">
        <v>7</v>
      </c>
      <c r="C2109" s="24" t="n">
        <v>44958</v>
      </c>
      <c r="D2109" s="24" t="n">
        <v>44985</v>
      </c>
      <c r="E2109" s="25">
        <f>D2109-C2109+1</f>
        <v/>
      </c>
      <c r="F2109" s="319">
        <f>J2108</f>
        <v/>
      </c>
      <c r="G2109" s="319">
        <f>-PMT($D$2094/$D$2096,21,$F$2106,,0)</f>
        <v/>
      </c>
      <c r="H2109" s="319">
        <f>$D$2094/$D$2096*F2109</f>
        <v/>
      </c>
      <c r="I2109" s="319">
        <f>G2109-H2109</f>
        <v/>
      </c>
      <c r="J2109" s="319">
        <f>F2109-I2109</f>
        <v/>
      </c>
      <c r="K2109" s="516" t="n"/>
      <c r="L2109" s="516">
        <f>L2108+G2109-K2109</f>
        <v/>
      </c>
    </row>
    <row r="2110">
      <c r="B2110" s="1" t="n">
        <v>8</v>
      </c>
      <c r="C2110" s="24" t="n">
        <v>44986</v>
      </c>
      <c r="D2110" s="24" t="n">
        <v>45016</v>
      </c>
      <c r="E2110" s="25">
        <f>D2110-C2110+1</f>
        <v/>
      </c>
      <c r="F2110" s="319">
        <f>J2109</f>
        <v/>
      </c>
      <c r="G2110" s="319">
        <f>-PMT($D$2094/$D$2096,21,$F$2106,,0)</f>
        <v/>
      </c>
      <c r="H2110" s="319">
        <f>$D$2094/$D$2096*F2110</f>
        <v/>
      </c>
      <c r="I2110" s="319">
        <f>G2110-H2110</f>
        <v/>
      </c>
      <c r="J2110" s="319">
        <f>F2110-I2110</f>
        <v/>
      </c>
      <c r="K2110" s="516" t="n"/>
      <c r="L2110" s="516">
        <f>L2109+G2110-K2110</f>
        <v/>
      </c>
    </row>
    <row r="2111">
      <c r="B2111" s="1" t="n">
        <v>9</v>
      </c>
      <c r="C2111" s="24" t="n">
        <v>45017</v>
      </c>
      <c r="D2111" s="24" t="n">
        <v>45046</v>
      </c>
      <c r="E2111" s="25">
        <f>D2111-C2111+1</f>
        <v/>
      </c>
      <c r="F2111" s="319">
        <f>J2110</f>
        <v/>
      </c>
      <c r="G2111" s="319">
        <f>-PMT($D$2094/$D$2096,21,$F$2106,,0)</f>
        <v/>
      </c>
      <c r="H2111" s="319">
        <f>$D$2094/$D$2096*F2111</f>
        <v/>
      </c>
      <c r="I2111" s="319">
        <f>G2111-H2111</f>
        <v/>
      </c>
      <c r="J2111" s="319">
        <f>F2111-I2111</f>
        <v/>
      </c>
      <c r="K2111" s="516" t="n"/>
      <c r="L2111" s="516">
        <f>L2110+G2111-K2111</f>
        <v/>
      </c>
    </row>
    <row r="2112">
      <c r="B2112" s="1" t="n">
        <v>10</v>
      </c>
      <c r="C2112" s="24" t="n">
        <v>45047</v>
      </c>
      <c r="D2112" s="24" t="n">
        <v>45077</v>
      </c>
      <c r="E2112" s="25">
        <f>D2112-C2112+1</f>
        <v/>
      </c>
      <c r="F2112" s="319">
        <f>J2111</f>
        <v/>
      </c>
      <c r="G2112" s="319">
        <f>-PMT($D$2094/$D$2096,21,$F$2106,,0)</f>
        <v/>
      </c>
      <c r="H2112" s="319">
        <f>$D$2094/$D$2096*F2112</f>
        <v/>
      </c>
      <c r="I2112" s="319">
        <f>G2112-H2112</f>
        <v/>
      </c>
      <c r="J2112" s="319">
        <f>F2112-I2112</f>
        <v/>
      </c>
      <c r="K2112" s="516" t="n">
        <v>1100000</v>
      </c>
      <c r="L2112" s="516">
        <f>L2111+G2112-K2112</f>
        <v/>
      </c>
    </row>
    <row r="2113">
      <c r="B2113" s="1" t="n">
        <v>11</v>
      </c>
      <c r="C2113" s="24" t="n">
        <v>45078</v>
      </c>
      <c r="D2113" s="24" t="n">
        <v>45107</v>
      </c>
      <c r="E2113" s="25">
        <f>D2113-C2113+1</f>
        <v/>
      </c>
      <c r="F2113" s="319">
        <f>J2112</f>
        <v/>
      </c>
      <c r="G2113" s="319">
        <f>-PMT($D$2094/$D$2096,21,$F$2106,,0)</f>
        <v/>
      </c>
      <c r="H2113" s="319">
        <f>$D$2094/$D$2096*F2113</f>
        <v/>
      </c>
      <c r="I2113" s="319">
        <f>G2113-H2113</f>
        <v/>
      </c>
      <c r="J2113" s="319">
        <f>F2113-I2113</f>
        <v/>
      </c>
      <c r="K2113" s="516" t="n"/>
      <c r="L2113" s="516">
        <f>L2112+G2113-K2113</f>
        <v/>
      </c>
    </row>
    <row r="2114">
      <c r="B2114" s="1" t="n">
        <v>12</v>
      </c>
      <c r="C2114" s="24" t="n">
        <v>45108</v>
      </c>
      <c r="D2114" s="24" t="n">
        <v>45138</v>
      </c>
      <c r="E2114" s="25">
        <f>D2114-C2114+1</f>
        <v/>
      </c>
      <c r="F2114" s="319">
        <f>J2113</f>
        <v/>
      </c>
      <c r="G2114" s="319">
        <f>-PMT($D$2094/$D$2096,21,$F$2106,,0)</f>
        <v/>
      </c>
      <c r="H2114" s="319">
        <f>$D$2094/$D$2096*F2114</f>
        <v/>
      </c>
      <c r="I2114" s="319">
        <f>G2114-H2114</f>
        <v/>
      </c>
      <c r="J2114" s="319">
        <f>F2114-I2114</f>
        <v/>
      </c>
      <c r="K2114" s="516" t="n"/>
      <c r="L2114" s="516">
        <f>L2113+G2114-K2114</f>
        <v/>
      </c>
    </row>
    <row r="2115">
      <c r="B2115" s="1" t="n">
        <v>13</v>
      </c>
      <c r="C2115" s="24" t="n">
        <v>45139</v>
      </c>
      <c r="D2115" s="24" t="n">
        <v>45169</v>
      </c>
      <c r="E2115" s="25">
        <f>D2115-C2115+1</f>
        <v/>
      </c>
      <c r="F2115" s="319">
        <f>J2114</f>
        <v/>
      </c>
      <c r="G2115" s="319">
        <f>-PMT($D$2094/$D$2096,21,$F$2106,,0)</f>
        <v/>
      </c>
      <c r="H2115" s="319">
        <f>$D$2094/$D$2096*F2115</f>
        <v/>
      </c>
      <c r="I2115" s="319">
        <f>G2115-H2115</f>
        <v/>
      </c>
      <c r="J2115" s="319">
        <f>F2115-I2115</f>
        <v/>
      </c>
      <c r="K2115" s="516" t="n"/>
      <c r="L2115" s="516">
        <f>L2114+G2115-K2115</f>
        <v/>
      </c>
    </row>
    <row r="2116">
      <c r="B2116" s="1" t="n">
        <v>14</v>
      </c>
      <c r="C2116" s="24" t="n">
        <v>45170</v>
      </c>
      <c r="D2116" s="24" t="n">
        <v>45199</v>
      </c>
      <c r="E2116" s="25">
        <f>D2116-C2116+1</f>
        <v/>
      </c>
      <c r="F2116" s="319">
        <f>J2115</f>
        <v/>
      </c>
      <c r="G2116" s="319">
        <f>-PMT($D$2094/$D$2096,21,$F$2106,,0)</f>
        <v/>
      </c>
      <c r="H2116" s="319">
        <f>$D$2094/$D$2096*F2116</f>
        <v/>
      </c>
      <c r="I2116" s="319">
        <f>G2116-H2116</f>
        <v/>
      </c>
      <c r="J2116" s="319">
        <f>F2116-I2116</f>
        <v/>
      </c>
      <c r="K2116" s="516" t="n"/>
      <c r="L2116" s="516">
        <f>L2115+G2116-K2116</f>
        <v/>
      </c>
    </row>
    <row r="2117">
      <c r="B2117" s="1" t="n">
        <v>15</v>
      </c>
      <c r="C2117" s="24" t="n">
        <v>45200</v>
      </c>
      <c r="D2117" s="24" t="n">
        <v>45230</v>
      </c>
      <c r="E2117" s="25">
        <f>D2117-C2117+1</f>
        <v/>
      </c>
      <c r="F2117" s="319">
        <f>J2116</f>
        <v/>
      </c>
      <c r="G2117" s="319">
        <f>-PMT($D$2094/$D$2096,21,$F$2106,,0)</f>
        <v/>
      </c>
      <c r="H2117" s="319">
        <f>$D$2094/$D$2096*F2117</f>
        <v/>
      </c>
      <c r="I2117" s="319">
        <f>G2117-H2117</f>
        <v/>
      </c>
      <c r="J2117" s="319">
        <f>F2117-I2117</f>
        <v/>
      </c>
      <c r="K2117" s="516" t="n"/>
      <c r="L2117" s="516">
        <f>L2116+G2117-K2117</f>
        <v/>
      </c>
    </row>
    <row r="2118">
      <c r="B2118" s="1" t="n">
        <v>16</v>
      </c>
      <c r="C2118" s="24" t="n">
        <v>45231</v>
      </c>
      <c r="D2118" s="24" t="n">
        <v>45260</v>
      </c>
      <c r="E2118" s="25">
        <f>D2118-C2118+1</f>
        <v/>
      </c>
      <c r="F2118" s="319">
        <f>J2117</f>
        <v/>
      </c>
      <c r="G2118" s="319">
        <f>-PMT($D$2094/$D$2096,21,$F$2106,,0)</f>
        <v/>
      </c>
      <c r="H2118" s="319">
        <f>$D$2094/$D$2096*F2118</f>
        <v/>
      </c>
      <c r="I2118" s="319">
        <f>G2118-H2118</f>
        <v/>
      </c>
      <c r="J2118" s="319">
        <f>F2118-I2118</f>
        <v/>
      </c>
      <c r="K2118" s="516" t="n"/>
      <c r="L2118" s="516">
        <f>L2117+G2118-K2118</f>
        <v/>
      </c>
    </row>
    <row r="2119">
      <c r="B2119" s="1" t="n">
        <v>17</v>
      </c>
      <c r="C2119" s="24" t="n">
        <v>45261</v>
      </c>
      <c r="D2119" s="24" t="n">
        <v>45291</v>
      </c>
      <c r="E2119" s="25">
        <f>D2119-C2119+1</f>
        <v/>
      </c>
      <c r="F2119" s="319">
        <f>J2118</f>
        <v/>
      </c>
      <c r="G2119" s="319">
        <f>-PMT($D$2094/$D$2096,21,$F$2106,,0)</f>
        <v/>
      </c>
      <c r="H2119" s="319">
        <f>$D$2094/$D$2096*F2119</f>
        <v/>
      </c>
      <c r="I2119" s="319">
        <f>G2119-H2119</f>
        <v/>
      </c>
      <c r="J2119" s="319">
        <f>F2119-I2119</f>
        <v/>
      </c>
      <c r="K2119" s="516" t="n"/>
      <c r="L2119" s="516">
        <f>L2118+G2119-K2119</f>
        <v/>
      </c>
    </row>
    <row r="2120">
      <c r="B2120" s="1" t="n">
        <v>18</v>
      </c>
      <c r="C2120" s="24" t="n">
        <v>45292</v>
      </c>
      <c r="D2120" s="24" t="n">
        <v>45322</v>
      </c>
      <c r="E2120" s="25">
        <f>D2120-C2120+1</f>
        <v/>
      </c>
      <c r="F2120" s="319">
        <f>J2119</f>
        <v/>
      </c>
      <c r="G2120" s="319">
        <f>-PMT($D$2094/$D$2096,21,$F$2106,,0)</f>
        <v/>
      </c>
      <c r="H2120" s="319">
        <f>$D$2094/$D$2096*F2120</f>
        <v/>
      </c>
      <c r="I2120" s="319">
        <f>G2120-H2120</f>
        <v/>
      </c>
      <c r="J2120" s="319">
        <f>F2120-I2120</f>
        <v/>
      </c>
      <c r="K2120" s="516" t="n">
        <v>1000000</v>
      </c>
      <c r="L2120" s="516">
        <f>L2119+G2120-K2120</f>
        <v/>
      </c>
    </row>
    <row r="2121">
      <c r="B2121" s="1" t="n">
        <v>19</v>
      </c>
      <c r="C2121" s="24">
        <f>+C2120+31</f>
        <v/>
      </c>
      <c r="D2121" s="24">
        <f>+C2121+28</f>
        <v/>
      </c>
      <c r="E2121" s="25">
        <f>D2121-C2121+1</f>
        <v/>
      </c>
      <c r="F2121" s="319">
        <f>J2120</f>
        <v/>
      </c>
      <c r="G2121" s="319">
        <f>-PMT($D$2094/$D$2096,21,$F$2106,,0)</f>
        <v/>
      </c>
      <c r="H2121" s="319">
        <f>$D$2094/$D$2096*F2121</f>
        <v/>
      </c>
      <c r="I2121" s="319">
        <f>G2121-H2121</f>
        <v/>
      </c>
      <c r="J2121" s="319">
        <f>F2121-I2121</f>
        <v/>
      </c>
      <c r="K2121" s="516" t="n">
        <v>500000</v>
      </c>
      <c r="L2121" s="516">
        <f>L2120+G2121-K2121</f>
        <v/>
      </c>
    </row>
    <row r="2122">
      <c r="B2122" s="1" t="n">
        <v>20</v>
      </c>
      <c r="C2122" s="24">
        <f>+C2121+29</f>
        <v/>
      </c>
      <c r="D2122" s="24">
        <f>+C2122+30</f>
        <v/>
      </c>
      <c r="E2122" s="25">
        <f>D2122-C2122+1</f>
        <v/>
      </c>
      <c r="F2122" s="319">
        <f>J2121</f>
        <v/>
      </c>
      <c r="G2122" s="319">
        <f>-PMT($D$2094/$D$2096,21,$F$2106,,0)</f>
        <v/>
      </c>
      <c r="H2122" s="319">
        <f>$D$2094/$D$2096*F2122</f>
        <v/>
      </c>
      <c r="I2122" s="319">
        <f>G2122-H2122</f>
        <v/>
      </c>
      <c r="J2122" s="319">
        <f>F2122-I2122</f>
        <v/>
      </c>
      <c r="K2122" s="516" t="n"/>
      <c r="L2122" s="516">
        <f>L2121+G2122-K2122</f>
        <v/>
      </c>
    </row>
    <row r="2123">
      <c r="B2123" s="1" t="n">
        <v>21</v>
      </c>
      <c r="C2123" s="24">
        <f>+C2122+31</f>
        <v/>
      </c>
      <c r="D2123" s="24">
        <f>+C2123+29</f>
        <v/>
      </c>
      <c r="E2123" s="25">
        <f>D2123-C2123+1</f>
        <v/>
      </c>
      <c r="F2123" s="319">
        <f>J2122</f>
        <v/>
      </c>
      <c r="G2123" s="319">
        <f>-PMT($D$2094/$D$2096,21,$F$2106,,0)</f>
        <v/>
      </c>
      <c r="H2123" s="319">
        <f>$D$2094/$D$2096*F2123</f>
        <v/>
      </c>
      <c r="I2123" s="319">
        <f>G2123-H2123</f>
        <v/>
      </c>
      <c r="J2123" s="319">
        <f>F2123-I2123</f>
        <v/>
      </c>
      <c r="K2123" s="516" t="n">
        <v>500000</v>
      </c>
      <c r="L2123" s="516">
        <f>L2122+G2123-K2123</f>
        <v/>
      </c>
    </row>
    <row r="2124">
      <c r="B2124" s="1" t="n">
        <v>22</v>
      </c>
      <c r="C2124" s="24">
        <f>+C2123+30</f>
        <v/>
      </c>
      <c r="D2124" s="24">
        <f>+C2124+30</f>
        <v/>
      </c>
      <c r="E2124" s="25">
        <f>D2124-C2124+1</f>
        <v/>
      </c>
      <c r="F2124" s="319">
        <f>J2123</f>
        <v/>
      </c>
      <c r="G2124" s="319">
        <f>-PMT($D$2094/$D$2096,21,$F$2106,,0)</f>
        <v/>
      </c>
      <c r="H2124" s="319">
        <f>$D$2094/$D$2096*F2124</f>
        <v/>
      </c>
      <c r="I2124" s="319">
        <f>G2124-H2124</f>
        <v/>
      </c>
      <c r="J2124" s="319">
        <f>F2124-I2124</f>
        <v/>
      </c>
      <c r="K2124" s="516">
        <f>1390000+500000</f>
        <v/>
      </c>
      <c r="L2124" s="516">
        <f>L2123+G2124-K2124</f>
        <v/>
      </c>
    </row>
    <row r="2125">
      <c r="B2125" s="1" t="n">
        <v>23</v>
      </c>
      <c r="C2125" s="24">
        <f>+C2124+31</f>
        <v/>
      </c>
      <c r="D2125" s="24">
        <f>+C2125+29</f>
        <v/>
      </c>
      <c r="E2125" s="25">
        <f>D2125-C2125+1</f>
        <v/>
      </c>
      <c r="F2125" s="319">
        <f>J2124</f>
        <v/>
      </c>
      <c r="G2125" s="319">
        <f>-PMT($D$2094/$D$2096,21,$F$2106,,0)</f>
        <v/>
      </c>
      <c r="H2125" s="319">
        <f>$D$2094/$D$2096*F2125</f>
        <v/>
      </c>
      <c r="I2125" s="319">
        <f>G2125-H2125</f>
        <v/>
      </c>
      <c r="J2125" s="319">
        <f>F2125-I2125</f>
        <v/>
      </c>
      <c r="K2125" s="516">
        <f>614000+22000</f>
        <v/>
      </c>
      <c r="L2125" s="523">
        <f>L2124+G2125-K2125</f>
        <v/>
      </c>
    </row>
    <row r="2126">
      <c r="B2126" s="1" t="n">
        <v>24</v>
      </c>
      <c r="C2126" s="24">
        <f>+C2125+30</f>
        <v/>
      </c>
      <c r="D2126" s="24">
        <f>+C2126+30</f>
        <v/>
      </c>
      <c r="E2126" s="25">
        <f>D2126-C2126+1</f>
        <v/>
      </c>
      <c r="F2126" s="319">
        <f>J2125</f>
        <v/>
      </c>
      <c r="G2126" s="319">
        <f>-PMT($D$2094/$D$2096,21,$F$2106,,0)</f>
        <v/>
      </c>
      <c r="H2126" s="319">
        <f>$D$2094/$D$2096*F2126</f>
        <v/>
      </c>
      <c r="I2126" s="319">
        <f>G2126-H2126</f>
        <v/>
      </c>
      <c r="J2126" s="319">
        <f>F2126-I2126</f>
        <v/>
      </c>
      <c r="K2126" s="516" t="n"/>
      <c r="L2126" s="516" t="n"/>
    </row>
    <row r="2127">
      <c r="B2127" s="1" t="n"/>
      <c r="C2127" s="24" t="n"/>
      <c r="D2127" s="24" t="n"/>
      <c r="E2127" s="25" t="n"/>
      <c r="F2127" s="319" t="n"/>
      <c r="G2127" s="319" t="n"/>
      <c r="H2127" s="319" t="n"/>
      <c r="I2127" s="319" t="n"/>
      <c r="J2127" s="319" t="n"/>
      <c r="K2127" s="516" t="n"/>
      <c r="L2127" s="516" t="n"/>
    </row>
    <row r="2128" ht="14.25" customHeight="1">
      <c r="B2128" s="1" t="n"/>
      <c r="C2128" s="1" t="n"/>
      <c r="D2128" s="1" t="n"/>
      <c r="E2128" s="30">
        <f>SUM(E2102:E2114)</f>
        <v/>
      </c>
      <c r="F2128" s="319" t="n"/>
      <c r="G2128" s="319" t="n"/>
      <c r="H2128" s="319" t="n"/>
      <c r="I2128" s="319" t="n"/>
      <c r="J2128" s="319" t="n"/>
      <c r="K2128" s="1" t="n"/>
      <c r="L2128" s="1" t="n"/>
    </row>
    <row r="2133">
      <c r="B2133" s="1" t="n"/>
      <c r="C2133" s="9" t="inlineStr">
        <is>
          <t>Ziweto Enterprise</t>
        </is>
      </c>
      <c r="D2133" s="319" t="n"/>
      <c r="E2133" s="319" t="n"/>
      <c r="F2133" s="319" t="n"/>
      <c r="G2133" s="290" t="inlineStr">
        <is>
          <t>13.9 to 16.6%</t>
        </is>
      </c>
      <c r="H2133" s="319" t="inlineStr">
        <is>
          <t>16.6% to 17.3%</t>
        </is>
      </c>
      <c r="I2133" s="290" t="inlineStr">
        <is>
          <t>17.3% to 20%</t>
        </is>
      </c>
      <c r="J2133" s="290" t="inlineStr">
        <is>
          <t>20% to 21.40%</t>
        </is>
      </c>
      <c r="K2133" s="290" t="inlineStr">
        <is>
          <t>21.40 to 22.70%</t>
        </is>
      </c>
      <c r="L2133" s="290" t="inlineStr">
        <is>
          <t>22.70% to 23.40%</t>
        </is>
      </c>
      <c r="R2133" s="514" t="inlineStr">
        <is>
          <t>E-Banker account (Dupleix)</t>
        </is>
      </c>
      <c r="S2133" s="495">
        <f>IFERROR(INDEX('Blocks'!$I$2:$I$101,MATCH(38,'Blocks'!$A$2:$A$101,0)),"")</f>
        <v/>
      </c>
    </row>
    <row r="2134">
      <c r="B2134" s="1" t="n"/>
      <c r="C2134" s="1" t="n"/>
      <c r="D2134" s="319" t="n"/>
      <c r="E2134" s="319" t="n"/>
      <c r="F2134" s="248" t="n">
        <v>44805</v>
      </c>
      <c r="G2134" s="290" t="n">
        <v>44866</v>
      </c>
      <c r="H2134" s="248" t="n">
        <v>44896</v>
      </c>
      <c r="I2134" s="290" t="n">
        <v>45047</v>
      </c>
      <c r="J2134" s="248" t="n">
        <v>45108</v>
      </c>
      <c r="K2134" s="248" t="n">
        <v>45139</v>
      </c>
      <c r="L2134" s="248" t="n">
        <v>45170</v>
      </c>
      <c r="R2134" s="514" t="inlineStr">
        <is>
          <t>Facility (Loan Book)</t>
        </is>
      </c>
      <c r="S2134" s="495">
        <f>IFERROR(INDEX('Blocks'!$H$2:$H$101,MATCH(38,'Blocks'!$A$2:$A$101,0)),"")</f>
        <v/>
      </c>
    </row>
    <row r="2135">
      <c r="B2135" s="1" t="n"/>
      <c r="C2135" s="10" t="inlineStr">
        <is>
          <t>Principal (MK)</t>
        </is>
      </c>
      <c r="D2135" s="11" t="n">
        <v>152910000</v>
      </c>
      <c r="E2135" s="319" t="n"/>
      <c r="F2135" s="290" t="inlineStr">
        <is>
          <t>Rate Adj</t>
        </is>
      </c>
      <c r="G2135" s="290" t="inlineStr">
        <is>
          <t>Rate Adj</t>
        </is>
      </c>
      <c r="H2135" s="290" t="inlineStr">
        <is>
          <t>Rate Adj</t>
        </is>
      </c>
      <c r="I2135" s="290" t="inlineStr">
        <is>
          <t>Rate Adj</t>
        </is>
      </c>
      <c r="J2135" s="290" t="inlineStr">
        <is>
          <t>Rate Adj</t>
        </is>
      </c>
      <c r="K2135" s="290" t="inlineStr">
        <is>
          <t>Rate Adj</t>
        </is>
      </c>
      <c r="L2135" s="290" t="inlineStr">
        <is>
          <t>Rate Adj</t>
        </is>
      </c>
      <c r="R2135" s="514" t="inlineStr">
        <is>
          <t>Take-on posting 31 Jul 2024</t>
        </is>
      </c>
      <c r="S2135" s="496">
        <f>IFERROR(INDEX('E-Banker master'!$N$2:$N$186,MATCH(S2133,'E-Banker master'!$A$2:$A$186,0)),"")</f>
        <v/>
      </c>
    </row>
    <row r="2136">
      <c r="B2136" s="1" t="n"/>
      <c r="C2136" s="13" t="inlineStr">
        <is>
          <t>Rate</t>
        </is>
      </c>
      <c r="D2136" s="14" t="n">
        <v>0.2075</v>
      </c>
      <c r="E2136" s="257" t="n"/>
      <c r="F2136" s="257">
        <f>D2136+0.4%</f>
        <v/>
      </c>
      <c r="G2136" s="319">
        <f>F2136+2.7%</f>
        <v/>
      </c>
      <c r="H2136" s="257">
        <f>G2136+0.7%</f>
        <v/>
      </c>
      <c r="I2136" s="319">
        <f>H2136+2.7%</f>
        <v/>
      </c>
      <c r="J2136" s="257">
        <f>I2136+1.4%</f>
        <v/>
      </c>
      <c r="K2136" s="257">
        <f>J2136+1.3%</f>
        <v/>
      </c>
      <c r="L2136" s="279">
        <f>K2136+0.7%</f>
        <v/>
      </c>
      <c r="R2136" s="514" t="inlineStr">
        <is>
          <t>E-Banker balance 31 Oct 2024</t>
        </is>
      </c>
      <c r="S2136" s="496">
        <f>IFERROR(INDEX('E-Banker master'!$P$2:$P$186,MATCH(S2133,'E-Banker master'!$A$2:$A$186,0)),"")</f>
        <v/>
      </c>
    </row>
    <row r="2137">
      <c r="B2137" s="1" t="n"/>
      <c r="C2137" s="13" t="inlineStr">
        <is>
          <t>n</t>
        </is>
      </c>
      <c r="D2137" s="16" t="n">
        <v>4</v>
      </c>
      <c r="E2137" s="1" t="n"/>
      <c r="F2137" s="319" t="n"/>
      <c r="G2137" s="319" t="n"/>
      <c r="H2137" s="319" t="n"/>
      <c r="I2137" s="319" t="n"/>
      <c r="J2137" s="319" t="n"/>
      <c r="K2137" s="1" t="n"/>
      <c r="L2137" s="1" t="n"/>
    </row>
    <row r="2138">
      <c r="B2138" s="1" t="n"/>
      <c r="C2138" s="13" t="inlineStr">
        <is>
          <t>Per</t>
        </is>
      </c>
      <c r="D2138" s="16" t="n">
        <v>12</v>
      </c>
      <c r="E2138" s="1" t="n"/>
      <c r="F2138" s="290" t="inlineStr">
        <is>
          <t>23.40% to 23.50%</t>
        </is>
      </c>
      <c r="G2138" s="290" t="inlineStr">
        <is>
          <t>23.50% to 23.60%</t>
        </is>
      </c>
      <c r="H2138" s="383" t="inlineStr">
        <is>
          <t>24.90% to 25.00%</t>
        </is>
      </c>
      <c r="I2138" s="319" t="n"/>
      <c r="J2138" s="319" t="n"/>
      <c r="K2138" s="1" t="n"/>
      <c r="L2138" s="1" t="n"/>
    </row>
    <row r="2139">
      <c r="B2139" s="1" t="n"/>
      <c r="C2139" s="13" t="inlineStr">
        <is>
          <t>nPer</t>
        </is>
      </c>
      <c r="D2139" s="515">
        <f>D2137*D2138</f>
        <v/>
      </c>
      <c r="E2139" s="1" t="n"/>
      <c r="F2139" s="248" t="n">
        <v>45200</v>
      </c>
      <c r="G2139" s="290" t="n">
        <v>45261</v>
      </c>
      <c r="H2139" s="384" t="n">
        <v>45413</v>
      </c>
      <c r="I2139" s="319" t="n"/>
      <c r="J2139" s="319" t="n"/>
      <c r="K2139" s="1" t="n"/>
      <c r="L2139" s="1" t="n"/>
    </row>
    <row r="2140">
      <c r="B2140" s="1" t="n"/>
      <c r="C2140" s="13" t="inlineStr">
        <is>
          <t>Days in a year</t>
        </is>
      </c>
      <c r="D2140" s="18" t="n">
        <v>365</v>
      </c>
      <c r="E2140" s="1" t="n"/>
      <c r="F2140" s="290" t="inlineStr">
        <is>
          <t>Rate Adj</t>
        </is>
      </c>
      <c r="G2140" s="290" t="inlineStr">
        <is>
          <t>Rate Adj</t>
        </is>
      </c>
      <c r="H2140" s="383" t="inlineStr">
        <is>
          <t>Rate Adj</t>
        </is>
      </c>
      <c r="I2140" s="319" t="n"/>
      <c r="J2140" s="319" t="n"/>
      <c r="K2140" s="1" t="n"/>
      <c r="L2140" s="1" t="n"/>
    </row>
    <row r="2141">
      <c r="B2141" s="1" t="n"/>
      <c r="C2141" s="19" t="inlineStr">
        <is>
          <t>Pmt (MK)</t>
        </is>
      </c>
      <c r="D2141" s="20">
        <f>-PMT(D2136/D2138,D2139,D2135,0,0)</f>
        <v/>
      </c>
      <c r="E2141" s="319" t="n"/>
      <c r="F2141" s="279">
        <f>L2136+0.1%</f>
        <v/>
      </c>
      <c r="G2141" s="319">
        <f>F2141+0.1%</f>
        <v/>
      </c>
      <c r="H2141" s="379">
        <f>+G2141+0.1%</f>
        <v/>
      </c>
      <c r="I2141" s="319" t="n"/>
      <c r="J2141" s="319" t="n"/>
      <c r="K2141" s="1" t="n"/>
      <c r="L2141" s="1" t="n"/>
    </row>
    <row r="2142">
      <c r="B2142" s="1" t="n"/>
      <c r="C2142" s="1" t="n"/>
      <c r="D2142" s="319" t="n"/>
      <c r="E2142" s="319" t="n"/>
      <c r="F2142" s="319" t="n"/>
      <c r="G2142" s="319" t="n"/>
      <c r="H2142" s="319" t="n"/>
      <c r="I2142" s="319" t="n"/>
      <c r="J2142" s="319" t="n"/>
      <c r="K2142" s="1" t="n"/>
      <c r="L2142" s="1" t="n"/>
    </row>
    <row r="2143">
      <c r="B2143" s="1" t="n"/>
      <c r="C2143" s="21" t="inlineStr">
        <is>
          <t>Period Start</t>
        </is>
      </c>
      <c r="D2143" s="22" t="inlineStr">
        <is>
          <t>Period End</t>
        </is>
      </c>
      <c r="E2143" s="22" t="inlineStr">
        <is>
          <t>Days</t>
        </is>
      </c>
      <c r="F2143" s="294" t="inlineStr">
        <is>
          <t>Opening bal.</t>
        </is>
      </c>
      <c r="G2143" s="294" t="inlineStr">
        <is>
          <t>Pmt</t>
        </is>
      </c>
      <c r="H2143" s="294" t="inlineStr">
        <is>
          <t>Interest</t>
        </is>
      </c>
      <c r="I2143" s="294" t="inlineStr">
        <is>
          <t>Principal</t>
        </is>
      </c>
      <c r="J2143" s="294" t="inlineStr">
        <is>
          <t>Closing balance</t>
        </is>
      </c>
      <c r="K2143" s="23" t="inlineStr">
        <is>
          <t>Amount Repaid</t>
        </is>
      </c>
      <c r="L2143" s="23" t="inlineStr">
        <is>
          <t>Accumulated Arrears</t>
        </is>
      </c>
    </row>
    <row r="2144">
      <c r="B2144" s="1" t="n">
        <v>0</v>
      </c>
      <c r="C2144" s="24" t="n">
        <v>44761</v>
      </c>
      <c r="D2144" s="24" t="n">
        <v>44773</v>
      </c>
      <c r="E2144" s="25">
        <f>D2144-C2144+1</f>
        <v/>
      </c>
      <c r="F2144" s="319">
        <f>D2135</f>
        <v/>
      </c>
      <c r="G2144" s="295">
        <f>H2144</f>
        <v/>
      </c>
      <c r="H2144" s="295">
        <f>$D$2136/$D$2138*F2144*E2144/31</f>
        <v/>
      </c>
      <c r="I2144" s="295">
        <f>G2144-H2144</f>
        <v/>
      </c>
      <c r="J2144" s="295">
        <f>F2144-I2144</f>
        <v/>
      </c>
      <c r="K2144" s="517" t="n"/>
      <c r="L2144" s="517">
        <f>G2144</f>
        <v/>
      </c>
    </row>
    <row r="2145">
      <c r="B2145" s="1" t="n">
        <v>1</v>
      </c>
      <c r="C2145" s="24" t="n">
        <v>44774</v>
      </c>
      <c r="D2145" s="24" t="n">
        <v>44804</v>
      </c>
      <c r="E2145" s="25">
        <f>D2145-C2145+1</f>
        <v/>
      </c>
      <c r="F2145" s="319">
        <f>J2144</f>
        <v/>
      </c>
      <c r="G2145" s="295">
        <f>H2145</f>
        <v/>
      </c>
      <c r="H2145" s="295">
        <f>$D$2136/$D$2138*F2145</f>
        <v/>
      </c>
      <c r="I2145" s="295">
        <f>G2145-H2145</f>
        <v/>
      </c>
      <c r="J2145" s="295">
        <f>F2145-I2145</f>
        <v/>
      </c>
      <c r="K2145" s="517" t="n"/>
      <c r="L2145" s="517">
        <f>L2144+G2145</f>
        <v/>
      </c>
    </row>
    <row r="2146">
      <c r="B2146" s="1" t="n">
        <v>2</v>
      </c>
      <c r="C2146" s="24" t="n">
        <v>44805</v>
      </c>
      <c r="D2146" s="24" t="n">
        <v>44834</v>
      </c>
      <c r="E2146" s="25">
        <f>D2146-C2146+1</f>
        <v/>
      </c>
      <c r="F2146" s="319">
        <f>J2145</f>
        <v/>
      </c>
      <c r="G2146" s="295">
        <f>H2146</f>
        <v/>
      </c>
      <c r="H2146" s="295">
        <f>$F$2136/$D$2138*F2146</f>
        <v/>
      </c>
      <c r="I2146" s="295">
        <f>G2146-H2146</f>
        <v/>
      </c>
      <c r="J2146" s="295">
        <f>F2146-I2146</f>
        <v/>
      </c>
      <c r="K2146" s="517" t="n">
        <v>3752871.77</v>
      </c>
      <c r="L2146" s="517">
        <f>L2145+G2146-K2146</f>
        <v/>
      </c>
    </row>
    <row r="2147">
      <c r="B2147" s="1" t="n">
        <v>3</v>
      </c>
      <c r="C2147" s="24" t="n">
        <v>44835</v>
      </c>
      <c r="D2147" s="24" t="n">
        <v>44865</v>
      </c>
      <c r="E2147" s="25">
        <f>D2147-C2147+1</f>
        <v/>
      </c>
      <c r="F2147" s="319">
        <f>J2146</f>
        <v/>
      </c>
      <c r="G2147" s="295">
        <f>H2147</f>
        <v/>
      </c>
      <c r="H2147" s="295">
        <f>$F$2136/$D$2138*F2147</f>
        <v/>
      </c>
      <c r="I2147" s="295">
        <f>G2147-H2147</f>
        <v/>
      </c>
      <c r="J2147" s="295">
        <f>F2147-I2147</f>
        <v/>
      </c>
      <c r="K2147" s="517" t="n">
        <v>2695038</v>
      </c>
      <c r="L2147" s="517">
        <f>L2146+G2147-K2147</f>
        <v/>
      </c>
    </row>
    <row r="2148">
      <c r="B2148" s="1" t="n">
        <v>4</v>
      </c>
      <c r="C2148" s="24" t="n">
        <v>44866</v>
      </c>
      <c r="D2148" s="24" t="n">
        <v>44895</v>
      </c>
      <c r="E2148" s="25">
        <f>D2148-C2148+1</f>
        <v/>
      </c>
      <c r="F2148" s="319">
        <f>J2147</f>
        <v/>
      </c>
      <c r="G2148" s="295">
        <f>H2148</f>
        <v/>
      </c>
      <c r="H2148" s="295">
        <f>$G$2136/$D$2138*F2148</f>
        <v/>
      </c>
      <c r="I2148" s="295">
        <f>G2148-H2148</f>
        <v/>
      </c>
      <c r="J2148" s="295">
        <f>F2148-I2148</f>
        <v/>
      </c>
      <c r="K2148" s="517" t="n">
        <v>2695039.5</v>
      </c>
      <c r="L2148" s="517">
        <f>L2147+G2148-K2148</f>
        <v/>
      </c>
    </row>
    <row r="2149">
      <c r="B2149" s="1" t="n">
        <v>5</v>
      </c>
      <c r="C2149" s="24" t="n">
        <v>44896</v>
      </c>
      <c r="D2149" s="24" t="n">
        <v>44926</v>
      </c>
      <c r="E2149" s="25">
        <f>D2149-C2149+1</f>
        <v/>
      </c>
      <c r="F2149" s="319">
        <f>J2148</f>
        <v/>
      </c>
      <c r="G2149" s="295">
        <f>H2149</f>
        <v/>
      </c>
      <c r="H2149" s="295">
        <f>$H$2136/$D$2138*F2149</f>
        <v/>
      </c>
      <c r="I2149" s="295">
        <f>G2149-H2149</f>
        <v/>
      </c>
      <c r="J2149" s="295">
        <f>F2149-I2149</f>
        <v/>
      </c>
      <c r="K2149" s="517" t="n">
        <v>3039086.25</v>
      </c>
      <c r="L2149" s="517">
        <f>L2148+G2149-K2149</f>
        <v/>
      </c>
    </row>
    <row r="2150">
      <c r="B2150" s="1" t="n">
        <v>6</v>
      </c>
      <c r="C2150" s="24" t="n">
        <v>44927</v>
      </c>
      <c r="D2150" s="24" t="n">
        <v>44957</v>
      </c>
      <c r="E2150" s="25">
        <f>D2150-C2150+1</f>
        <v/>
      </c>
      <c r="F2150" s="319">
        <f>J2149</f>
        <v/>
      </c>
      <c r="G2150" s="295">
        <f>H2150</f>
        <v/>
      </c>
      <c r="H2150" s="295">
        <f>$H$2136/$D$2138*F2150</f>
        <v/>
      </c>
      <c r="I2150" s="295">
        <f>G2150-H2150</f>
        <v/>
      </c>
      <c r="J2150" s="295">
        <f>F2150-I2150</f>
        <v/>
      </c>
      <c r="K2150" s="517" t="n">
        <v>2695038.75</v>
      </c>
      <c r="L2150" s="517">
        <f>L2149+G2150-K2150</f>
        <v/>
      </c>
    </row>
    <row r="2151">
      <c r="B2151" s="1" t="n">
        <v>7</v>
      </c>
      <c r="C2151" s="24" t="n">
        <v>44958</v>
      </c>
      <c r="D2151" s="24" t="n">
        <v>44985</v>
      </c>
      <c r="E2151" s="25">
        <f>D2151-C2151+1</f>
        <v/>
      </c>
      <c r="F2151" s="319">
        <f>J2150</f>
        <v/>
      </c>
      <c r="G2151" s="295">
        <f>H2151</f>
        <v/>
      </c>
      <c r="H2151" s="295">
        <f>$H$2136/$D$2138*F2151</f>
        <v/>
      </c>
      <c r="I2151" s="295">
        <f>G2151-H2151</f>
        <v/>
      </c>
      <c r="J2151" s="295">
        <f>F2151-I2151</f>
        <v/>
      </c>
      <c r="K2151" s="517" t="n">
        <v>3561528.75</v>
      </c>
      <c r="L2151" s="517">
        <f>L2150+G2151-K2151</f>
        <v/>
      </c>
    </row>
    <row r="2152">
      <c r="B2152" s="1" t="n">
        <v>8</v>
      </c>
      <c r="C2152" s="24" t="n">
        <v>44986</v>
      </c>
      <c r="D2152" s="24" t="n">
        <v>45016</v>
      </c>
      <c r="E2152" s="25">
        <f>D2152-C2152+1</f>
        <v/>
      </c>
      <c r="F2152" s="319">
        <f>J2151</f>
        <v/>
      </c>
      <c r="G2152" s="295">
        <f>H2152</f>
        <v/>
      </c>
      <c r="H2152" s="295">
        <f>$H$2136/$D$2138*F2152</f>
        <v/>
      </c>
      <c r="I2152" s="295">
        <f>G2152-H2152</f>
        <v/>
      </c>
      <c r="J2152" s="295">
        <f>F2152-I2152</f>
        <v/>
      </c>
      <c r="K2152" s="517" t="n">
        <v>3128283.75</v>
      </c>
      <c r="L2152" s="517">
        <f>L2151+G2152-K2152</f>
        <v/>
      </c>
    </row>
    <row r="2153">
      <c r="B2153" s="1" t="n">
        <v>9</v>
      </c>
      <c r="C2153" s="24" t="n">
        <v>45017</v>
      </c>
      <c r="D2153" s="24" t="n">
        <v>45046</v>
      </c>
      <c r="E2153" s="25">
        <f>D2153-C2153+1</f>
        <v/>
      </c>
      <c r="F2153" s="319">
        <f>J2152</f>
        <v/>
      </c>
      <c r="G2153" s="295">
        <f>H2153</f>
        <v/>
      </c>
      <c r="H2153" s="295">
        <f>$H$2136/$D$2138*F2153</f>
        <v/>
      </c>
      <c r="I2153" s="295">
        <f>G2153-H2153</f>
        <v/>
      </c>
      <c r="J2153" s="295">
        <f>F2153-I2153</f>
        <v/>
      </c>
      <c r="K2153" s="517" t="n"/>
      <c r="L2153" s="517">
        <f>L2152+G2153-K2153</f>
        <v/>
      </c>
    </row>
    <row r="2154">
      <c r="B2154" s="1" t="n">
        <v>10</v>
      </c>
      <c r="C2154" s="24" t="n">
        <v>45047</v>
      </c>
      <c r="D2154" s="24" t="n">
        <v>45077</v>
      </c>
      <c r="E2154" s="25">
        <f>D2154-C2154+1</f>
        <v/>
      </c>
      <c r="F2154" s="319">
        <f>J2153</f>
        <v/>
      </c>
      <c r="G2154" s="295">
        <f>H2154</f>
        <v/>
      </c>
      <c r="H2154" s="295">
        <f>$I$2136/$D$2138*F2154</f>
        <v/>
      </c>
      <c r="I2154" s="295">
        <f>G2154-H2154</f>
        <v/>
      </c>
      <c r="J2154" s="295">
        <f>F2154-I2154</f>
        <v/>
      </c>
      <c r="K2154" s="517" t="n">
        <v>3128283.75</v>
      </c>
      <c r="L2154" s="517">
        <f>L2153+G2154-K2154</f>
        <v/>
      </c>
    </row>
    <row r="2155">
      <c r="B2155" s="1" t="n">
        <v>11</v>
      </c>
      <c r="C2155" s="24" t="n">
        <v>45078</v>
      </c>
      <c r="D2155" s="24" t="n">
        <v>45107</v>
      </c>
      <c r="E2155" s="25">
        <f>D2155-C2155+1</f>
        <v/>
      </c>
      <c r="F2155" s="319">
        <f>J2154</f>
        <v/>
      </c>
      <c r="G2155" s="319">
        <f>H2155</f>
        <v/>
      </c>
      <c r="H2155" s="319">
        <f>$I$2136/$D$2138*F2155</f>
        <v/>
      </c>
      <c r="I2155" s="319">
        <f>G2155-H2155</f>
        <v/>
      </c>
      <c r="J2155" s="319">
        <f>F2155-I2155</f>
        <v/>
      </c>
      <c r="K2155" s="516">
        <f>3472331.25+3493360.41</f>
        <v/>
      </c>
      <c r="L2155" s="519">
        <f>L2154+G2155-K2155</f>
        <v/>
      </c>
    </row>
    <row r="2156">
      <c r="B2156" s="1" t="n">
        <v>12</v>
      </c>
      <c r="C2156" s="24" t="n">
        <v>45108</v>
      </c>
      <c r="D2156" s="24" t="n">
        <v>45138</v>
      </c>
      <c r="E2156" s="25">
        <f>D2156-C2156+1</f>
        <v/>
      </c>
      <c r="F2156" s="319">
        <f>J2155</f>
        <v/>
      </c>
      <c r="G2156" s="319">
        <f>H2156</f>
        <v/>
      </c>
      <c r="H2156" s="319">
        <f>$J$2136/$D$2138*F2156</f>
        <v/>
      </c>
      <c r="I2156" s="319">
        <f>G2156-H2156</f>
        <v/>
      </c>
      <c r="J2156" s="319">
        <f>F2156-I2156</f>
        <v/>
      </c>
      <c r="K2156" s="517" t="n">
        <v>3128283.75</v>
      </c>
      <c r="L2156" s="519">
        <f>L2155+G2156-K2156</f>
        <v/>
      </c>
    </row>
    <row r="2157">
      <c r="B2157" s="1" t="n">
        <v>13</v>
      </c>
      <c r="C2157" s="24" t="n">
        <v>45139</v>
      </c>
      <c r="D2157" s="24" t="n">
        <v>45169</v>
      </c>
      <c r="E2157" s="25">
        <f>D2157-C2157+1</f>
        <v/>
      </c>
      <c r="F2157" s="319">
        <f>J2156</f>
        <v/>
      </c>
      <c r="G2157" s="319">
        <f>-PMT($K$2136/$D$2138,36,$F$2157,,0)</f>
        <v/>
      </c>
      <c r="H2157" s="319">
        <f>$K$2136/$D$2138*F2157</f>
        <v/>
      </c>
      <c r="I2157" s="319">
        <f>G2157-H2157</f>
        <v/>
      </c>
      <c r="J2157" s="319">
        <f>F2157-I2157</f>
        <v/>
      </c>
      <c r="K2157" s="516" t="n">
        <v>6269481.22</v>
      </c>
      <c r="L2157" s="516">
        <f>L2156+G2157-K2157</f>
        <v/>
      </c>
    </row>
    <row r="2158">
      <c r="B2158" s="1" t="n">
        <v>14</v>
      </c>
      <c r="C2158" s="24" t="n">
        <v>45170</v>
      </c>
      <c r="D2158" s="24" t="n">
        <v>45199</v>
      </c>
      <c r="E2158" s="25">
        <f>D2158-C2158+1</f>
        <v/>
      </c>
      <c r="F2158" s="319">
        <f>J2157+L2157</f>
        <v/>
      </c>
      <c r="G2158" s="319" t="n"/>
      <c r="H2158" s="319">
        <f>($L$2136/$D$2138*F2158)/30*19</f>
        <v/>
      </c>
      <c r="I2158" s="319" t="n"/>
      <c r="J2158" s="319">
        <f>F2158+H2158</f>
        <v/>
      </c>
      <c r="K2158" s="516">
        <f>141863975.21+14000000+715184.09</f>
        <v/>
      </c>
      <c r="L2158" s="520">
        <f>J2158-K2158</f>
        <v/>
      </c>
    </row>
    <row r="2159">
      <c r="B2159" s="1" t="n">
        <v>15</v>
      </c>
      <c r="C2159" s="24" t="n">
        <v>45200</v>
      </c>
      <c r="D2159" s="24" t="n">
        <v>45230</v>
      </c>
      <c r="E2159" s="25">
        <f>D2159-C2159+1</f>
        <v/>
      </c>
      <c r="F2159" s="319">
        <f>J2158</f>
        <v/>
      </c>
      <c r="G2159" s="319">
        <f>-PMT($L$2136/$D$2138,35,$F$2158,,0)</f>
        <v/>
      </c>
      <c r="H2159" s="319">
        <f>$L$2136/$D$2138*F2159</f>
        <v/>
      </c>
      <c r="I2159" s="319">
        <f>G2159-H2159</f>
        <v/>
      </c>
      <c r="J2159" s="319">
        <f>F2159-I2159</f>
        <v/>
      </c>
      <c r="K2159" s="516" t="n"/>
      <c r="L2159" s="516" t="n"/>
    </row>
    <row r="2160">
      <c r="B2160" s="1" t="n">
        <v>16</v>
      </c>
      <c r="C2160" s="24" t="n">
        <v>45231</v>
      </c>
      <c r="D2160" s="24" t="n">
        <v>45260</v>
      </c>
      <c r="E2160" s="25">
        <f>D2160-C2160+1</f>
        <v/>
      </c>
      <c r="F2160" s="319">
        <f>J2159</f>
        <v/>
      </c>
      <c r="G2160" s="319">
        <f>-PMT($L$2136/$D$2138,35,$F$2158,,0)</f>
        <v/>
      </c>
      <c r="H2160" s="319">
        <f>$L$2136/$D$2138*F2160</f>
        <v/>
      </c>
      <c r="I2160" s="319">
        <f>G2160-H2160</f>
        <v/>
      </c>
      <c r="J2160" s="319">
        <f>F2160-I2160</f>
        <v/>
      </c>
      <c r="K2160" s="516" t="n"/>
      <c r="L2160" s="516" t="n"/>
    </row>
    <row r="2161">
      <c r="B2161" s="1" t="n">
        <v>17</v>
      </c>
      <c r="C2161" s="24" t="n">
        <v>45261</v>
      </c>
      <c r="D2161" s="24" t="n">
        <v>45291</v>
      </c>
      <c r="E2161" s="25">
        <f>D2161-C2161+1</f>
        <v/>
      </c>
      <c r="F2161" s="319">
        <f>J2160</f>
        <v/>
      </c>
      <c r="G2161" s="319">
        <f>-PMT($L$2136/$D$2138,35,$F$2158,,0)</f>
        <v/>
      </c>
      <c r="H2161" s="319">
        <f>$L$2136/$D$2138*F2161</f>
        <v/>
      </c>
      <c r="I2161" s="319">
        <f>G2161-H2161</f>
        <v/>
      </c>
      <c r="J2161" s="319">
        <f>F2161-I2161</f>
        <v/>
      </c>
      <c r="K2161" s="516" t="n"/>
      <c r="L2161" s="516" t="n"/>
    </row>
    <row r="2162">
      <c r="B2162" s="1" t="n">
        <v>18</v>
      </c>
      <c r="C2162" s="24" t="n">
        <v>45292</v>
      </c>
      <c r="D2162" s="24" t="n">
        <v>45322</v>
      </c>
      <c r="E2162" s="25">
        <f>D2162-C2162+1</f>
        <v/>
      </c>
      <c r="F2162" s="319">
        <f>J2161</f>
        <v/>
      </c>
      <c r="G2162" s="319">
        <f>-PMT($L$2136/$D$2138,35,$F$2158,,0)</f>
        <v/>
      </c>
      <c r="H2162" s="319">
        <f>$L$2136/$D$2138*F2162</f>
        <v/>
      </c>
      <c r="I2162" s="319">
        <f>G2162-H2162</f>
        <v/>
      </c>
      <c r="J2162" s="319">
        <f>F2162-I2162</f>
        <v/>
      </c>
      <c r="K2162" s="516" t="n"/>
      <c r="L2162" s="516" t="n"/>
    </row>
    <row r="2163">
      <c r="B2163" s="1" t="n">
        <v>19</v>
      </c>
      <c r="C2163" s="24" t="n">
        <v>45323</v>
      </c>
      <c r="D2163" s="24" t="n">
        <v>45351</v>
      </c>
      <c r="E2163" s="25">
        <f>D2163-C2163+1</f>
        <v/>
      </c>
      <c r="F2163" s="319">
        <f>J2162</f>
        <v/>
      </c>
      <c r="G2163" s="319">
        <f>-PMT($L$2136/$D$2138,35,$F$2158,,0)</f>
        <v/>
      </c>
      <c r="H2163" s="319">
        <f>$L$2136/$D$2138*F2163</f>
        <v/>
      </c>
      <c r="I2163" s="319">
        <f>G2163-H2163</f>
        <v/>
      </c>
      <c r="J2163" s="319">
        <f>F2163-I2163</f>
        <v/>
      </c>
      <c r="K2163" s="516" t="n"/>
      <c r="L2163" s="516" t="n"/>
    </row>
    <row r="2164">
      <c r="B2164" s="1" t="n">
        <v>20</v>
      </c>
      <c r="C2164" s="24" t="n">
        <v>45352</v>
      </c>
      <c r="D2164" s="24" t="n">
        <v>45382</v>
      </c>
      <c r="E2164" s="25">
        <f>D2164-C2164+1</f>
        <v/>
      </c>
      <c r="F2164" s="319">
        <f>J2163</f>
        <v/>
      </c>
      <c r="G2164" s="319">
        <f>-PMT($L$2136/$D$2138,35,$F$2158,,0)</f>
        <v/>
      </c>
      <c r="H2164" s="319">
        <f>$L$2136/$D$2138*F2164</f>
        <v/>
      </c>
      <c r="I2164" s="319">
        <f>G2164-H2164</f>
        <v/>
      </c>
      <c r="J2164" s="319">
        <f>F2164-I2164</f>
        <v/>
      </c>
      <c r="K2164" s="516" t="n"/>
      <c r="L2164" s="516" t="n"/>
    </row>
    <row r="2165">
      <c r="B2165" s="1" t="n">
        <v>21</v>
      </c>
      <c r="C2165" s="24" t="n">
        <v>45383</v>
      </c>
      <c r="D2165" s="24" t="n">
        <v>45412</v>
      </c>
      <c r="E2165" s="25">
        <f>D2165-C2165+1</f>
        <v/>
      </c>
      <c r="F2165" s="319">
        <f>J2164</f>
        <v/>
      </c>
      <c r="G2165" s="319">
        <f>-PMT($L$2136/$D$2138,35,$F$2158,,0)</f>
        <v/>
      </c>
      <c r="H2165" s="319">
        <f>$L$2136/$D$2138*F2165</f>
        <v/>
      </c>
      <c r="I2165" s="319">
        <f>G2165-H2165</f>
        <v/>
      </c>
      <c r="J2165" s="319">
        <f>F2165-I2165</f>
        <v/>
      </c>
      <c r="K2165" s="516" t="n"/>
      <c r="L2165" s="516" t="n"/>
    </row>
    <row r="2166">
      <c r="B2166" s="1" t="n">
        <v>22</v>
      </c>
      <c r="C2166" s="24" t="n">
        <v>45413</v>
      </c>
      <c r="D2166" s="24" t="n">
        <v>45443</v>
      </c>
      <c r="E2166" s="25">
        <f>D2166-C2166+1</f>
        <v/>
      </c>
      <c r="F2166" s="319">
        <f>J2165</f>
        <v/>
      </c>
      <c r="G2166" s="319">
        <f>-PMT($L$2136/$D$2138,35,$F$2158,,0)</f>
        <v/>
      </c>
      <c r="H2166" s="319">
        <f>$L$2136/$D$2138*F2166</f>
        <v/>
      </c>
      <c r="I2166" s="319">
        <f>G2166-H2166</f>
        <v/>
      </c>
      <c r="J2166" s="319">
        <f>F2166-I2166</f>
        <v/>
      </c>
      <c r="K2166" s="516" t="n"/>
      <c r="L2166" s="516" t="n"/>
    </row>
    <row r="2167">
      <c r="B2167" s="1" t="n">
        <v>23</v>
      </c>
      <c r="C2167" s="24" t="n">
        <v>45444</v>
      </c>
      <c r="D2167" s="24" t="n">
        <v>45473</v>
      </c>
      <c r="E2167" s="25">
        <f>D2167-C2167+1</f>
        <v/>
      </c>
      <c r="F2167" s="319">
        <f>J2166</f>
        <v/>
      </c>
      <c r="G2167" s="319">
        <f>-PMT($L$2136/$D$2138,35,$F$2158,,0)</f>
        <v/>
      </c>
      <c r="H2167" s="319">
        <f>$L$2136/$D$2138*F2167</f>
        <v/>
      </c>
      <c r="I2167" s="319">
        <f>G2167-H2167</f>
        <v/>
      </c>
      <c r="J2167" s="319">
        <f>F2167-I2167</f>
        <v/>
      </c>
      <c r="K2167" s="516" t="n"/>
      <c r="L2167" s="516" t="n"/>
    </row>
    <row r="2168">
      <c r="B2168" s="1" t="n">
        <v>24</v>
      </c>
      <c r="C2168" s="24" t="n">
        <v>45474</v>
      </c>
      <c r="D2168" s="24" t="n">
        <v>45504</v>
      </c>
      <c r="E2168" s="25">
        <f>D2168-C2168+1</f>
        <v/>
      </c>
      <c r="F2168" s="319">
        <f>J2167</f>
        <v/>
      </c>
      <c r="G2168" s="319">
        <f>-PMT($L$2136/$D$2138,35,$F$2158,,0)</f>
        <v/>
      </c>
      <c r="H2168" s="319">
        <f>$L$2136/$D$2138*F2168</f>
        <v/>
      </c>
      <c r="I2168" s="319">
        <f>G2168-H2168</f>
        <v/>
      </c>
      <c r="J2168" s="319">
        <f>F2168-I2168</f>
        <v/>
      </c>
      <c r="K2168" s="516" t="n"/>
      <c r="L2168" s="516" t="n"/>
    </row>
    <row r="2169">
      <c r="B2169" s="1" t="n">
        <v>25</v>
      </c>
      <c r="C2169" s="24" t="n">
        <v>45505</v>
      </c>
      <c r="D2169" s="24" t="n">
        <v>45535</v>
      </c>
      <c r="E2169" s="25">
        <f>D2169-C2169+1</f>
        <v/>
      </c>
      <c r="F2169" s="319">
        <f>J2168</f>
        <v/>
      </c>
      <c r="G2169" s="319">
        <f>-PMT($L$2136/$D$2138,35,$F$2158,,0)</f>
        <v/>
      </c>
      <c r="H2169" s="319">
        <f>$L$2136/$D$2138*F2169</f>
        <v/>
      </c>
      <c r="I2169" s="319">
        <f>G2169-H2169</f>
        <v/>
      </c>
      <c r="J2169" s="319">
        <f>F2169-I2169</f>
        <v/>
      </c>
      <c r="K2169" s="516" t="n"/>
      <c r="L2169" s="516" t="n"/>
    </row>
    <row r="2170">
      <c r="B2170" s="1" t="n">
        <v>26</v>
      </c>
      <c r="C2170" s="24" t="n">
        <v>45536</v>
      </c>
      <c r="D2170" s="24" t="n">
        <v>45565</v>
      </c>
      <c r="E2170" s="25">
        <f>D2170-C2170+1</f>
        <v/>
      </c>
      <c r="F2170" s="319">
        <f>J2169</f>
        <v/>
      </c>
      <c r="G2170" s="319">
        <f>-PMT($L$2136/$D$2138,35,$F$2158,,0)</f>
        <v/>
      </c>
      <c r="H2170" s="319">
        <f>$L$2136/$D$2138*F2170</f>
        <v/>
      </c>
      <c r="I2170" s="319">
        <f>G2170-H2170</f>
        <v/>
      </c>
      <c r="J2170" s="319">
        <f>F2170-I2170</f>
        <v/>
      </c>
      <c r="K2170" s="516" t="n"/>
      <c r="L2170" s="516" t="n"/>
    </row>
    <row r="2171">
      <c r="B2171" s="1" t="n">
        <v>27</v>
      </c>
      <c r="C2171" s="24" t="n">
        <v>45566</v>
      </c>
      <c r="D2171" s="24" t="n">
        <v>45596</v>
      </c>
      <c r="E2171" s="25">
        <f>D2171-C2171+1</f>
        <v/>
      </c>
      <c r="F2171" s="319">
        <f>J2170</f>
        <v/>
      </c>
      <c r="G2171" s="319">
        <f>-PMT($L$2136/$D$2138,35,$F$2158,,0)</f>
        <v/>
      </c>
      <c r="H2171" s="319">
        <f>$L$2136/$D$2138*F2171</f>
        <v/>
      </c>
      <c r="I2171" s="319">
        <f>G2171-H2171</f>
        <v/>
      </c>
      <c r="J2171" s="319">
        <f>F2171-I2171</f>
        <v/>
      </c>
      <c r="K2171" s="516" t="n"/>
      <c r="L2171" s="516" t="n"/>
    </row>
    <row r="2172">
      <c r="B2172" s="1" t="n">
        <v>28</v>
      </c>
      <c r="C2172" s="24" t="n">
        <v>45597</v>
      </c>
      <c r="D2172" s="24" t="n">
        <v>45626</v>
      </c>
      <c r="E2172" s="25">
        <f>D2172-C2172+1</f>
        <v/>
      </c>
      <c r="F2172" s="319">
        <f>J2171</f>
        <v/>
      </c>
      <c r="G2172" s="319">
        <f>-PMT($L$2136/$D$2138,35,$F$2158,,0)</f>
        <v/>
      </c>
      <c r="H2172" s="319">
        <f>$L$2136/$D$2138*F2172</f>
        <v/>
      </c>
      <c r="I2172" s="319">
        <f>G2172-H2172</f>
        <v/>
      </c>
      <c r="J2172" s="319">
        <f>F2172-I2172</f>
        <v/>
      </c>
      <c r="K2172" s="516" t="n"/>
      <c r="L2172" s="516" t="n"/>
    </row>
    <row r="2173">
      <c r="B2173" s="1" t="n">
        <v>29</v>
      </c>
      <c r="C2173" s="24" t="n">
        <v>45627</v>
      </c>
      <c r="D2173" s="24" t="n">
        <v>45657</v>
      </c>
      <c r="E2173" s="25">
        <f>D2173-C2173+1</f>
        <v/>
      </c>
      <c r="F2173" s="319">
        <f>J2172</f>
        <v/>
      </c>
      <c r="G2173" s="319">
        <f>-PMT($L$2136/$D$2138,35,$F$2158,,0)</f>
        <v/>
      </c>
      <c r="H2173" s="319">
        <f>$L$2136/$D$2138*F2173</f>
        <v/>
      </c>
      <c r="I2173" s="319">
        <f>G2173-H2173</f>
        <v/>
      </c>
      <c r="J2173" s="319">
        <f>F2173-I2173</f>
        <v/>
      </c>
      <c r="K2173" s="516" t="n"/>
      <c r="L2173" s="516" t="n"/>
    </row>
    <row r="2174">
      <c r="B2174" s="1" t="n">
        <v>30</v>
      </c>
      <c r="C2174" s="24" t="n">
        <v>45658</v>
      </c>
      <c r="D2174" s="24" t="n">
        <v>45688</v>
      </c>
      <c r="E2174" s="25">
        <f>D2174-C2174+1</f>
        <v/>
      </c>
      <c r="F2174" s="319">
        <f>J2173</f>
        <v/>
      </c>
      <c r="G2174" s="319">
        <f>-PMT($L$2136/$D$2138,35,$F$2158,,0)</f>
        <v/>
      </c>
      <c r="H2174" s="319">
        <f>$L$2136/$D$2138*F2174</f>
        <v/>
      </c>
      <c r="I2174" s="319">
        <f>G2174-H2174</f>
        <v/>
      </c>
      <c r="J2174" s="319">
        <f>F2174-I2174</f>
        <v/>
      </c>
      <c r="K2174" s="516" t="n"/>
      <c r="L2174" s="516" t="n"/>
    </row>
    <row r="2175">
      <c r="B2175" s="1" t="n">
        <v>31</v>
      </c>
      <c r="C2175" s="24" t="n">
        <v>45689</v>
      </c>
      <c r="D2175" s="24" t="n">
        <v>45716</v>
      </c>
      <c r="E2175" s="25">
        <f>D2175-C2175+1</f>
        <v/>
      </c>
      <c r="F2175" s="319">
        <f>J2174</f>
        <v/>
      </c>
      <c r="G2175" s="319">
        <f>-PMT($L$2136/$D$2138,35,$F$2158,,0)</f>
        <v/>
      </c>
      <c r="H2175" s="319">
        <f>$L$2136/$D$2138*F2175</f>
        <v/>
      </c>
      <c r="I2175" s="319">
        <f>G2175-H2175</f>
        <v/>
      </c>
      <c r="J2175" s="319">
        <f>F2175-I2175</f>
        <v/>
      </c>
      <c r="K2175" s="516" t="n"/>
      <c r="L2175" s="516" t="n"/>
    </row>
    <row r="2176">
      <c r="B2176" s="1" t="n">
        <v>32</v>
      </c>
      <c r="C2176" s="24" t="n">
        <v>45717</v>
      </c>
      <c r="D2176" s="24" t="n">
        <v>45747</v>
      </c>
      <c r="E2176" s="25">
        <f>D2176-C2176+1</f>
        <v/>
      </c>
      <c r="F2176" s="319">
        <f>J2175</f>
        <v/>
      </c>
      <c r="G2176" s="319">
        <f>-PMT($L$2136/$D$2138,35,$F$2158,,0)</f>
        <v/>
      </c>
      <c r="H2176" s="319">
        <f>$L$2136/$D$2138*F2176</f>
        <v/>
      </c>
      <c r="I2176" s="319">
        <f>G2176-H2176</f>
        <v/>
      </c>
      <c r="J2176" s="319">
        <f>F2176-I2176</f>
        <v/>
      </c>
      <c r="K2176" s="516" t="n"/>
      <c r="L2176" s="516" t="n"/>
    </row>
    <row r="2177">
      <c r="B2177" s="1" t="n">
        <v>33</v>
      </c>
      <c r="C2177" s="24" t="n">
        <v>45748</v>
      </c>
      <c r="D2177" s="24" t="n">
        <v>45777</v>
      </c>
      <c r="E2177" s="25">
        <f>D2177-C2177+1</f>
        <v/>
      </c>
      <c r="F2177" s="319">
        <f>J2176</f>
        <v/>
      </c>
      <c r="G2177" s="319">
        <f>-PMT($L$2136/$D$2138,35,$F$2158,,0)</f>
        <v/>
      </c>
      <c r="H2177" s="319">
        <f>$L$2136/$D$2138*F2177</f>
        <v/>
      </c>
      <c r="I2177" s="319">
        <f>G2177-H2177</f>
        <v/>
      </c>
      <c r="J2177" s="319">
        <f>F2177-I2177</f>
        <v/>
      </c>
      <c r="K2177" s="516" t="n"/>
      <c r="L2177" s="516" t="n"/>
    </row>
    <row r="2178">
      <c r="B2178" s="1" t="n">
        <v>34</v>
      </c>
      <c r="C2178" s="24" t="n">
        <v>45778</v>
      </c>
      <c r="D2178" s="24" t="n">
        <v>45808</v>
      </c>
      <c r="E2178" s="25">
        <f>D2178-C2178+1</f>
        <v/>
      </c>
      <c r="F2178" s="319">
        <f>J2177</f>
        <v/>
      </c>
      <c r="G2178" s="319">
        <f>-PMT($L$2136/$D$2138,35,$F$2158,,0)</f>
        <v/>
      </c>
      <c r="H2178" s="319">
        <f>$L$2136/$D$2138*F2178</f>
        <v/>
      </c>
      <c r="I2178" s="319">
        <f>G2178-H2178</f>
        <v/>
      </c>
      <c r="J2178" s="319">
        <f>F2178-I2178</f>
        <v/>
      </c>
      <c r="K2178" s="516" t="n"/>
      <c r="L2178" s="516" t="n"/>
    </row>
    <row r="2179">
      <c r="B2179" s="1" t="n">
        <v>35</v>
      </c>
      <c r="C2179" s="24" t="n">
        <v>45809</v>
      </c>
      <c r="D2179" s="24" t="n">
        <v>45838</v>
      </c>
      <c r="E2179" s="25">
        <f>D2179-C2179+1</f>
        <v/>
      </c>
      <c r="F2179" s="319">
        <f>J2178</f>
        <v/>
      </c>
      <c r="G2179" s="319">
        <f>-PMT($L$2136/$D$2138,35,$F$2158,,0)</f>
        <v/>
      </c>
      <c r="H2179" s="319">
        <f>$L$2136/$D$2138*F2179</f>
        <v/>
      </c>
      <c r="I2179" s="319">
        <f>G2179-H2179</f>
        <v/>
      </c>
      <c r="J2179" s="319">
        <f>F2179-I2179</f>
        <v/>
      </c>
      <c r="K2179" s="516" t="n"/>
      <c r="L2179" s="516" t="n"/>
    </row>
    <row r="2180">
      <c r="B2180" s="1" t="n">
        <v>36</v>
      </c>
      <c r="C2180" s="24" t="n">
        <v>45839</v>
      </c>
      <c r="D2180" s="24" t="n">
        <v>45869</v>
      </c>
      <c r="E2180" s="25">
        <f>D2180-C2180+1</f>
        <v/>
      </c>
      <c r="F2180" s="319">
        <f>J2179</f>
        <v/>
      </c>
      <c r="G2180" s="319">
        <f>-PMT($L$2136/$D$2138,35,$F$2158,,0)</f>
        <v/>
      </c>
      <c r="H2180" s="319">
        <f>$L$2136/$D$2138*F2180</f>
        <v/>
      </c>
      <c r="I2180" s="319">
        <f>G2180-H2180</f>
        <v/>
      </c>
      <c r="J2180" s="319">
        <f>F2180-I2180</f>
        <v/>
      </c>
      <c r="K2180" s="516" t="n"/>
      <c r="L2180" s="516" t="n"/>
    </row>
    <row r="2181">
      <c r="B2181" s="1" t="n">
        <v>37</v>
      </c>
      <c r="C2181" s="24" t="n">
        <v>45870</v>
      </c>
      <c r="D2181" s="24" t="n">
        <v>45900</v>
      </c>
      <c r="E2181" s="25">
        <f>D2181-C2181+1</f>
        <v/>
      </c>
      <c r="F2181" s="319">
        <f>J2180</f>
        <v/>
      </c>
      <c r="G2181" s="319">
        <f>-PMT($L$2136/$D$2138,35,$F$2158,,0)</f>
        <v/>
      </c>
      <c r="H2181" s="319">
        <f>$L$2136/$D$2138*F2181</f>
        <v/>
      </c>
      <c r="I2181" s="319">
        <f>G2181-H2181</f>
        <v/>
      </c>
      <c r="J2181" s="319">
        <f>F2181-I2181</f>
        <v/>
      </c>
      <c r="K2181" s="516" t="n"/>
      <c r="L2181" s="516" t="n"/>
    </row>
    <row r="2182">
      <c r="B2182" s="1" t="n">
        <v>38</v>
      </c>
      <c r="C2182" s="24" t="n">
        <v>45901</v>
      </c>
      <c r="D2182" s="24" t="n">
        <v>45930</v>
      </c>
      <c r="E2182" s="25">
        <f>D2182-C2182+1</f>
        <v/>
      </c>
      <c r="F2182" s="319">
        <f>J2181</f>
        <v/>
      </c>
      <c r="G2182" s="319">
        <f>-PMT($L$2136/$D$2138,35,$F$2158,,0)</f>
        <v/>
      </c>
      <c r="H2182" s="319">
        <f>$L$2136/$D$2138*F2182</f>
        <v/>
      </c>
      <c r="I2182" s="319">
        <f>G2182-H2182</f>
        <v/>
      </c>
      <c r="J2182" s="319">
        <f>F2182-I2182</f>
        <v/>
      </c>
      <c r="K2182" s="516" t="n"/>
      <c r="L2182" s="516" t="n"/>
    </row>
    <row r="2183">
      <c r="B2183" s="1" t="n">
        <v>39</v>
      </c>
      <c r="C2183" s="24" t="n">
        <v>45931</v>
      </c>
      <c r="D2183" s="24" t="n">
        <v>45961</v>
      </c>
      <c r="E2183" s="25">
        <f>D2183-C2183+1</f>
        <v/>
      </c>
      <c r="F2183" s="319">
        <f>J2182</f>
        <v/>
      </c>
      <c r="G2183" s="319">
        <f>-PMT($L$2136/$D$2138,35,$F$2158,,0)</f>
        <v/>
      </c>
      <c r="H2183" s="319">
        <f>$L$2136/$D$2138*F2183</f>
        <v/>
      </c>
      <c r="I2183" s="319">
        <f>G2183-H2183</f>
        <v/>
      </c>
      <c r="J2183" s="319">
        <f>F2183-I2183</f>
        <v/>
      </c>
      <c r="K2183" s="516" t="n"/>
      <c r="L2183" s="516" t="n"/>
    </row>
    <row r="2184">
      <c r="B2184" s="1" t="n">
        <v>40</v>
      </c>
      <c r="C2184" s="24" t="n">
        <v>45962</v>
      </c>
      <c r="D2184" s="24" t="n">
        <v>45991</v>
      </c>
      <c r="E2184" s="25">
        <f>D2184-C2184+1</f>
        <v/>
      </c>
      <c r="F2184" s="319">
        <f>J2183</f>
        <v/>
      </c>
      <c r="G2184" s="319">
        <f>-PMT($L$2136/$D$2138,35,$F$2158,,0)</f>
        <v/>
      </c>
      <c r="H2184" s="319">
        <f>$L$2136/$D$2138*F2184</f>
        <v/>
      </c>
      <c r="I2184" s="319">
        <f>G2184-H2184</f>
        <v/>
      </c>
      <c r="J2184" s="319">
        <f>F2184-I2184</f>
        <v/>
      </c>
      <c r="K2184" s="516" t="n"/>
      <c r="L2184" s="516" t="n"/>
    </row>
    <row r="2185">
      <c r="B2185" s="1" t="n">
        <v>41</v>
      </c>
      <c r="C2185" s="24" t="n">
        <v>45992</v>
      </c>
      <c r="D2185" s="24" t="n">
        <v>46022</v>
      </c>
      <c r="E2185" s="25">
        <f>D2185-C2185+1</f>
        <v/>
      </c>
      <c r="F2185" s="319">
        <f>J2184</f>
        <v/>
      </c>
      <c r="G2185" s="319">
        <f>-PMT($L$2136/$D$2138,35,$F$2158,,0)</f>
        <v/>
      </c>
      <c r="H2185" s="319">
        <f>$L$2136/$D$2138*F2185</f>
        <v/>
      </c>
      <c r="I2185" s="319">
        <f>G2185-H2185</f>
        <v/>
      </c>
      <c r="J2185" s="319">
        <f>F2185-I2185</f>
        <v/>
      </c>
      <c r="K2185" s="516" t="n"/>
      <c r="L2185" s="516" t="n"/>
    </row>
    <row r="2186">
      <c r="B2186" s="1" t="n">
        <v>42</v>
      </c>
      <c r="C2186" s="24" t="n">
        <v>46023</v>
      </c>
      <c r="D2186" s="24" t="n">
        <v>46053</v>
      </c>
      <c r="E2186" s="25">
        <f>D2186-C2186+1</f>
        <v/>
      </c>
      <c r="F2186" s="319">
        <f>J2185</f>
        <v/>
      </c>
      <c r="G2186" s="319">
        <f>-PMT($L$2136/$D$2138,35,$F$2158,,0)</f>
        <v/>
      </c>
      <c r="H2186" s="319">
        <f>$L$2136/$D$2138*F2186</f>
        <v/>
      </c>
      <c r="I2186" s="319">
        <f>G2186-H2186</f>
        <v/>
      </c>
      <c r="J2186" s="319">
        <f>F2186-I2186</f>
        <v/>
      </c>
      <c r="K2186" s="516" t="n"/>
      <c r="L2186" s="516" t="n"/>
    </row>
    <row r="2187">
      <c r="B2187" s="1" t="n">
        <v>43</v>
      </c>
      <c r="C2187" s="24" t="n">
        <v>46054</v>
      </c>
      <c r="D2187" s="24" t="n">
        <v>46081</v>
      </c>
      <c r="E2187" s="25">
        <f>D2187-C2187+1</f>
        <v/>
      </c>
      <c r="F2187" s="319">
        <f>J2186</f>
        <v/>
      </c>
      <c r="G2187" s="319">
        <f>-PMT($L$2136/$D$2138,35,$F$2158,,0)</f>
        <v/>
      </c>
      <c r="H2187" s="319">
        <f>$L$2136/$D$2138*F2187</f>
        <v/>
      </c>
      <c r="I2187" s="319">
        <f>G2187-H2187</f>
        <v/>
      </c>
      <c r="J2187" s="319">
        <f>F2187-I2187</f>
        <v/>
      </c>
      <c r="K2187" s="516" t="n"/>
      <c r="L2187" s="516" t="n"/>
    </row>
    <row r="2188">
      <c r="B2188" s="1" t="n">
        <v>44</v>
      </c>
      <c r="C2188" s="24" t="n">
        <v>46082</v>
      </c>
      <c r="D2188" s="24" t="n">
        <v>46112</v>
      </c>
      <c r="E2188" s="25">
        <f>D2188-C2188+1</f>
        <v/>
      </c>
      <c r="F2188" s="319">
        <f>J2187</f>
        <v/>
      </c>
      <c r="G2188" s="319">
        <f>-PMT($L$2136/$D$2138,35,$F$2158,,0)</f>
        <v/>
      </c>
      <c r="H2188" s="319">
        <f>$L$2136/$D$2138*F2188</f>
        <v/>
      </c>
      <c r="I2188" s="319">
        <f>G2188-H2188</f>
        <v/>
      </c>
      <c r="J2188" s="319">
        <f>F2188-I2188</f>
        <v/>
      </c>
      <c r="K2188" s="516" t="n"/>
      <c r="L2188" s="516" t="n"/>
    </row>
    <row r="2189">
      <c r="B2189" s="1" t="n">
        <v>45</v>
      </c>
      <c r="C2189" s="24" t="n">
        <v>46113</v>
      </c>
      <c r="D2189" s="24" t="n">
        <v>46142</v>
      </c>
      <c r="E2189" s="25">
        <f>D2189-C2189+1</f>
        <v/>
      </c>
      <c r="F2189" s="319">
        <f>J2188</f>
        <v/>
      </c>
      <c r="G2189" s="319">
        <f>-PMT($L$2136/$D$2138,35,$F$2158,,0)</f>
        <v/>
      </c>
      <c r="H2189" s="319">
        <f>$L$2136/$D$2138*F2189</f>
        <v/>
      </c>
      <c r="I2189" s="319">
        <f>G2189-H2189</f>
        <v/>
      </c>
      <c r="J2189" s="319">
        <f>F2189-I2189</f>
        <v/>
      </c>
      <c r="K2189" s="516" t="n"/>
      <c r="L2189" s="516" t="n"/>
    </row>
    <row r="2190">
      <c r="B2190" s="1" t="n">
        <v>46</v>
      </c>
      <c r="C2190" s="24" t="n">
        <v>46143</v>
      </c>
      <c r="D2190" s="24" t="n">
        <v>46173</v>
      </c>
      <c r="E2190" s="25">
        <f>D2190-C2190+1</f>
        <v/>
      </c>
      <c r="F2190" s="319">
        <f>J2189</f>
        <v/>
      </c>
      <c r="G2190" s="319">
        <f>-PMT($L$2136/$D$2138,35,$F$2158,,0)</f>
        <v/>
      </c>
      <c r="H2190" s="319">
        <f>$L$2136/$D$2138*F2190</f>
        <v/>
      </c>
      <c r="I2190" s="319">
        <f>G2190-H2190</f>
        <v/>
      </c>
      <c r="J2190" s="319">
        <f>F2190-I2190</f>
        <v/>
      </c>
      <c r="K2190" s="516" t="n"/>
      <c r="L2190" s="516" t="n"/>
    </row>
    <row r="2191">
      <c r="B2191" s="1" t="n">
        <v>47</v>
      </c>
      <c r="C2191" s="24" t="n">
        <v>46174</v>
      </c>
      <c r="D2191" s="24" t="n">
        <v>46203</v>
      </c>
      <c r="E2191" s="25">
        <f>D2191-C2191+1</f>
        <v/>
      </c>
      <c r="F2191" s="319">
        <f>J2190</f>
        <v/>
      </c>
      <c r="G2191" s="319">
        <f>-PMT($L$2136/$D$2138,35,$F$2158,,0)</f>
        <v/>
      </c>
      <c r="H2191" s="319">
        <f>$L$2136/$D$2138*F2191</f>
        <v/>
      </c>
      <c r="I2191" s="319">
        <f>G2191-H2191</f>
        <v/>
      </c>
      <c r="J2191" s="319">
        <f>F2191-I2191</f>
        <v/>
      </c>
      <c r="K2191" s="516" t="n"/>
      <c r="L2191" s="516" t="n"/>
    </row>
    <row r="2192">
      <c r="B2192" s="1" t="n">
        <v>48</v>
      </c>
      <c r="C2192" s="24" t="n">
        <v>46204</v>
      </c>
      <c r="D2192" s="24" t="n">
        <v>46234</v>
      </c>
      <c r="E2192" s="25">
        <f>D2192-C2192+1</f>
        <v/>
      </c>
      <c r="F2192" s="319">
        <f>J2191</f>
        <v/>
      </c>
      <c r="G2192" s="319">
        <f>-PMT($L$2136/$D$2138,35,$F$2158,,0)</f>
        <v/>
      </c>
      <c r="H2192" s="319">
        <f>$L$2136/$D$2138*F2192</f>
        <v/>
      </c>
      <c r="I2192" s="319">
        <f>G2192-H2192</f>
        <v/>
      </c>
      <c r="J2192" s="319">
        <f>F2192-I2192</f>
        <v/>
      </c>
      <c r="K2192" s="516" t="n"/>
      <c r="L2192" s="516" t="n"/>
    </row>
    <row r="2193">
      <c r="B2193" s="1" t="n"/>
      <c r="C2193" s="24" t="n"/>
      <c r="D2193" s="24" t="n"/>
      <c r="E2193" s="25" t="n"/>
      <c r="F2193" s="319" t="n"/>
      <c r="G2193" s="319" t="n"/>
      <c r="H2193" s="319" t="n"/>
      <c r="I2193" s="319" t="n"/>
      <c r="J2193" s="319" t="n"/>
      <c r="K2193" s="516" t="n"/>
      <c r="L2193" s="516" t="n"/>
    </row>
    <row r="2194" ht="14.25" customHeight="1">
      <c r="B2194" s="1" t="n"/>
      <c r="C2194" s="1" t="n"/>
      <c r="D2194" s="1" t="n"/>
      <c r="E2194" s="30">
        <f>SUM(E2144:E2156)</f>
        <v/>
      </c>
      <c r="F2194" s="319" t="n"/>
      <c r="G2194" s="319" t="n"/>
      <c r="H2194" s="319" t="n"/>
      <c r="I2194" s="319" t="n"/>
      <c r="J2194" s="319" t="n"/>
      <c r="K2194" s="1" t="n"/>
      <c r="L2194" s="1" t="n"/>
    </row>
    <row r="2197">
      <c r="B2197" s="1" t="n"/>
      <c r="C2197" s="9" t="inlineStr">
        <is>
          <t>Mtengo Wa Kumunda</t>
        </is>
      </c>
      <c r="D2197" s="319" t="n"/>
      <c r="E2197" s="319" t="n"/>
      <c r="F2197" s="319" t="n"/>
      <c r="G2197" s="319" t="n"/>
      <c r="H2197" s="319" t="n"/>
      <c r="I2197" s="319" t="n"/>
      <c r="J2197" s="319" t="n"/>
      <c r="K2197" s="319" t="n"/>
      <c r="L2197" s="319" t="n"/>
    </row>
    <row r="2198">
      <c r="B2198" s="1" t="n"/>
      <c r="C2198" s="1" t="inlineStr">
        <is>
          <t>First draw down</t>
        </is>
      </c>
      <c r="D2198" s="319" t="n"/>
      <c r="E2198" s="319" t="n"/>
      <c r="F2198" s="319" t="inlineStr">
        <is>
          <t>Second draw down</t>
        </is>
      </c>
      <c r="G2198" s="319" t="inlineStr">
        <is>
          <t>Third draw down</t>
        </is>
      </c>
      <c r="H2198" s="319" t="n"/>
      <c r="I2198" s="319" t="n"/>
      <c r="J2198" s="319" t="n"/>
      <c r="K2198" s="319" t="n"/>
      <c r="L2198" s="319" t="n"/>
      <c r="R2198" s="514" t="inlineStr">
        <is>
          <t>E-Banker account (Dupleix)</t>
        </is>
      </c>
      <c r="S2198" s="495">
        <f>IFERROR(INDEX('Blocks'!$I$2:$I$101,MATCH(39,'Blocks'!$A$2:$A$101,0)),"")</f>
        <v/>
      </c>
    </row>
    <row r="2199">
      <c r="B2199" s="1" t="n"/>
      <c r="C2199" s="10" t="inlineStr">
        <is>
          <t>Principal (MK)</t>
        </is>
      </c>
      <c r="D2199" s="11" t="n">
        <v>4546920</v>
      </c>
      <c r="E2199" s="319" t="n"/>
      <c r="F2199" s="319" t="n">
        <v>3100000</v>
      </c>
      <c r="G2199" s="319" t="n">
        <v>4353080</v>
      </c>
      <c r="H2199" s="319" t="n"/>
      <c r="I2199" s="319" t="n"/>
      <c r="J2199" s="319" t="n"/>
      <c r="K2199" s="319" t="n"/>
      <c r="L2199" s="319" t="n"/>
      <c r="R2199" s="514" t="inlineStr">
        <is>
          <t>Facility (Loan Book)</t>
        </is>
      </c>
      <c r="S2199" s="495">
        <f>IFERROR(INDEX('Blocks'!$H$2:$H$101,MATCH(39,'Blocks'!$A$2:$A$101,0)),"")</f>
        <v/>
      </c>
    </row>
    <row r="2200">
      <c r="B2200" s="1" t="n"/>
      <c r="C2200" s="13" t="inlineStr">
        <is>
          <t>Rate</t>
        </is>
      </c>
      <c r="D2200" s="14" t="n">
        <v>0.1</v>
      </c>
      <c r="E2200" s="257" t="n"/>
      <c r="F2200" s="319" t="n"/>
      <c r="G2200" s="319" t="n"/>
      <c r="H2200" s="319" t="n"/>
      <c r="I2200" s="319" t="n"/>
      <c r="J2200" s="319" t="n"/>
      <c r="K2200" s="319" t="n"/>
      <c r="L2200" s="319" t="n"/>
      <c r="R2200" s="514" t="inlineStr">
        <is>
          <t>Take-on posting 31 Jul 2024</t>
        </is>
      </c>
      <c r="S2200" s="496">
        <f>IFERROR(INDEX('E-Banker master'!$N$2:$N$186,MATCH(S2198,'E-Banker master'!$A$2:$A$186,0)),"")</f>
        <v/>
      </c>
    </row>
    <row r="2201">
      <c r="B2201" s="1" t="n"/>
      <c r="C2201" s="13" t="inlineStr">
        <is>
          <t>n</t>
        </is>
      </c>
      <c r="D2201" s="16" t="n">
        <v>2</v>
      </c>
      <c r="E2201" s="1" t="n"/>
      <c r="F2201" s="319" t="n"/>
      <c r="G2201" s="319" t="n"/>
      <c r="H2201" s="319" t="n"/>
      <c r="I2201" s="319" t="n"/>
      <c r="J2201" s="319" t="n"/>
      <c r="K2201" s="1" t="n"/>
      <c r="L2201" s="1" t="n"/>
      <c r="R2201" s="514" t="inlineStr">
        <is>
          <t>E-Banker balance 31 Oct 2024</t>
        </is>
      </c>
      <c r="S2201" s="496">
        <f>IFERROR(INDEX('E-Banker master'!$P$2:$P$186,MATCH(S2198,'E-Banker master'!$A$2:$A$186,0)),"")</f>
        <v/>
      </c>
    </row>
    <row r="2202">
      <c r="B2202" s="1" t="n"/>
      <c r="C2202" s="13" t="inlineStr">
        <is>
          <t>Per</t>
        </is>
      </c>
      <c r="D2202" s="16" t="n">
        <v>12</v>
      </c>
      <c r="E2202" s="1" t="n"/>
      <c r="F2202" s="319" t="n"/>
      <c r="G2202" s="319" t="n"/>
      <c r="H2202" s="319" t="n"/>
      <c r="I2202" s="319" t="n"/>
      <c r="J2202" s="319" t="n"/>
      <c r="K2202" s="1" t="n"/>
      <c r="L2202" s="1" t="n"/>
    </row>
    <row r="2203">
      <c r="B2203" s="1" t="n"/>
      <c r="C2203" s="13" t="inlineStr">
        <is>
          <t>nPer</t>
        </is>
      </c>
      <c r="D2203" s="515">
        <f>D2201*D2202</f>
        <v/>
      </c>
      <c r="E2203" s="1" t="n"/>
      <c r="F2203" s="319" t="n"/>
      <c r="G2203" s="319" t="n"/>
      <c r="H2203" s="319" t="n"/>
      <c r="I2203" s="319" t="n"/>
      <c r="J2203" s="319" t="n"/>
      <c r="K2203" s="1" t="n"/>
      <c r="L2203" s="1" t="n"/>
    </row>
    <row r="2204">
      <c r="B2204" s="1" t="n"/>
      <c r="C2204" s="13" t="inlineStr">
        <is>
          <t>Days in a year</t>
        </is>
      </c>
      <c r="D2204" s="18" t="n">
        <v>365</v>
      </c>
      <c r="E2204" s="1" t="n"/>
      <c r="F2204" s="319" t="n"/>
      <c r="G2204" s="319" t="n"/>
      <c r="H2204" s="319" t="n"/>
      <c r="I2204" s="319" t="n"/>
      <c r="J2204" s="319" t="n"/>
      <c r="K2204" s="1" t="n"/>
      <c r="L2204" s="1" t="n"/>
    </row>
    <row r="2205">
      <c r="B2205" s="1" t="n"/>
      <c r="C2205" s="19" t="inlineStr">
        <is>
          <t>Pmt (MK)</t>
        </is>
      </c>
      <c r="D2205" s="20">
        <f>-PMT(D2200/D2202,D2203,D2199,0,0)</f>
        <v/>
      </c>
      <c r="E2205" s="319" t="n"/>
      <c r="F2205" s="319" t="n"/>
      <c r="G2205" s="319" t="n"/>
      <c r="H2205" s="319" t="n"/>
      <c r="I2205" s="319" t="n"/>
      <c r="J2205" s="319" t="n"/>
      <c r="K2205" s="1" t="n"/>
      <c r="L2205" s="1" t="n"/>
    </row>
    <row r="2206">
      <c r="B2206" s="1" t="n"/>
      <c r="C2206" s="1" t="n"/>
      <c r="D2206" s="319" t="n"/>
      <c r="E2206" s="319" t="n"/>
      <c r="F2206" s="319" t="n"/>
      <c r="G2206" s="319" t="n"/>
      <c r="H2206" s="319" t="n"/>
      <c r="I2206" s="319" t="n"/>
      <c r="J2206" s="319" t="n"/>
      <c r="K2206" s="1" t="n"/>
      <c r="L2206" s="1" t="n"/>
    </row>
    <row r="2207">
      <c r="B2207" s="1" t="n"/>
      <c r="C2207" s="21" t="inlineStr">
        <is>
          <t>Period Start</t>
        </is>
      </c>
      <c r="D2207" s="22" t="inlineStr">
        <is>
          <t>Period End</t>
        </is>
      </c>
      <c r="E2207" s="22" t="inlineStr">
        <is>
          <t>Days</t>
        </is>
      </c>
      <c r="F2207" s="294" t="inlineStr">
        <is>
          <t>Opening bal.</t>
        </is>
      </c>
      <c r="G2207" s="294" t="inlineStr">
        <is>
          <t>Pmt</t>
        </is>
      </c>
      <c r="H2207" s="294" t="inlineStr">
        <is>
          <t>Interest</t>
        </is>
      </c>
      <c r="I2207" s="294" t="inlineStr">
        <is>
          <t>Principal</t>
        </is>
      </c>
      <c r="J2207" s="294" t="inlineStr">
        <is>
          <t>Closing balance</t>
        </is>
      </c>
      <c r="K2207" s="23" t="inlineStr">
        <is>
          <t>Amount Repaid</t>
        </is>
      </c>
      <c r="L2207" s="23" t="inlineStr">
        <is>
          <t>Accumulated Arrears</t>
        </is>
      </c>
    </row>
    <row r="2208">
      <c r="B2208" s="1" t="n">
        <v>0</v>
      </c>
      <c r="C2208" s="24" t="n">
        <v>44747</v>
      </c>
      <c r="D2208" s="24" t="n">
        <v>44773</v>
      </c>
      <c r="E2208" s="25">
        <f>D2208-C2208+1</f>
        <v/>
      </c>
      <c r="F2208" s="319">
        <f>D2199</f>
        <v/>
      </c>
      <c r="G2208" s="319" t="n"/>
      <c r="H2208" s="319">
        <f>($D$2200/$D$2202*F2208*E2208/31)+(F2199*D2200/D2202*4/31)</f>
        <v/>
      </c>
      <c r="I2208" s="319">
        <f>G2208-H2208</f>
        <v/>
      </c>
      <c r="J2208" s="319">
        <f>F2208+F2199-I2208</f>
        <v/>
      </c>
      <c r="K2208" s="516" t="n"/>
      <c r="L2208" s="516" t="n"/>
    </row>
    <row r="2209">
      <c r="B2209" s="1" t="n">
        <v>1</v>
      </c>
      <c r="C2209" s="24" t="n">
        <v>44774</v>
      </c>
      <c r="D2209" s="24" t="n">
        <v>44804</v>
      </c>
      <c r="E2209" s="25">
        <f>D2209-C2209+1</f>
        <v/>
      </c>
      <c r="F2209" s="319">
        <f>J2208</f>
        <v/>
      </c>
      <c r="G2209" s="319" t="n"/>
      <c r="H2209" s="319">
        <f>($D$2200/$D$2202*F2209)+(G2199*D2200/D2202*16/31)</f>
        <v/>
      </c>
      <c r="I2209" s="319">
        <f>G2209-H2209</f>
        <v/>
      </c>
      <c r="J2209" s="319">
        <f>F2209+G2199-I2209</f>
        <v/>
      </c>
      <c r="K2209" s="516" t="n"/>
      <c r="L2209" s="516" t="n"/>
    </row>
    <row r="2210">
      <c r="B2210" s="1" t="n">
        <v>2</v>
      </c>
      <c r="C2210" s="24" t="n">
        <v>44805</v>
      </c>
      <c r="D2210" s="24" t="n">
        <v>44834</v>
      </c>
      <c r="E2210" s="25">
        <f>D2210-C2210+1</f>
        <v/>
      </c>
      <c r="F2210" s="319">
        <f>J2209</f>
        <v/>
      </c>
      <c r="G2210" s="319" t="n"/>
      <c r="H2210" s="319">
        <f>$D$2200/$D$2202*F2210</f>
        <v/>
      </c>
      <c r="I2210" s="319">
        <f>G2210-H2210</f>
        <v/>
      </c>
      <c r="J2210" s="319">
        <f>F2210-I2210</f>
        <v/>
      </c>
    </row>
    <row r="2211">
      <c r="B2211" s="1" t="n">
        <v>3</v>
      </c>
      <c r="C2211" s="24" t="n">
        <v>44835</v>
      </c>
      <c r="D2211" s="24" t="n">
        <v>44865</v>
      </c>
      <c r="E2211" s="25">
        <f>D2211-C2211+1</f>
        <v/>
      </c>
      <c r="F2211" s="319">
        <f>J2210</f>
        <v/>
      </c>
      <c r="G2211" s="319" t="n"/>
      <c r="H2211" s="319">
        <f>$D$2200/$D$2202*F2211</f>
        <v/>
      </c>
      <c r="I2211" s="319">
        <f>G2211-H2211</f>
        <v/>
      </c>
      <c r="J2211" s="319">
        <f>F2211-I2211</f>
        <v/>
      </c>
      <c r="K2211" s="516" t="n"/>
      <c r="L2211" s="516" t="n"/>
    </row>
    <row r="2212">
      <c r="B2212" s="1" t="n">
        <v>4</v>
      </c>
      <c r="C2212" s="24" t="n">
        <v>44866</v>
      </c>
      <c r="D2212" s="24" t="n">
        <v>44895</v>
      </c>
      <c r="E2212" s="25">
        <f>D2212-C2212+1</f>
        <v/>
      </c>
      <c r="F2212" s="319">
        <f>J2211</f>
        <v/>
      </c>
      <c r="G2212" s="319">
        <f>-PMT($D$2200/$D$2202,21,$F$2212,,0)</f>
        <v/>
      </c>
      <c r="H2212" s="319">
        <f>$D$2200/$D$2202*F2212</f>
        <v/>
      </c>
      <c r="I2212" s="319">
        <f>G2212-H2212</f>
        <v/>
      </c>
      <c r="J2212" s="319">
        <f>F2212-I2212</f>
        <v/>
      </c>
      <c r="K2212" s="516" t="n">
        <v>0</v>
      </c>
      <c r="L2212" s="516">
        <f>G2212</f>
        <v/>
      </c>
    </row>
    <row r="2213">
      <c r="B2213" s="1" t="n">
        <v>5</v>
      </c>
      <c r="C2213" s="24" t="n">
        <v>44896</v>
      </c>
      <c r="D2213" s="24" t="n">
        <v>44926</v>
      </c>
      <c r="E2213" s="25">
        <f>D2213-C2213+1</f>
        <v/>
      </c>
      <c r="F2213" s="319">
        <f>J2212</f>
        <v/>
      </c>
      <c r="G2213" s="319">
        <f>-PMT($D$2200/$D$2202,21,$F$2212,,0)</f>
        <v/>
      </c>
      <c r="H2213" s="319">
        <f>$D$2200/$D$2202*F2213</f>
        <v/>
      </c>
      <c r="I2213" s="319">
        <f>G2213-H2213</f>
        <v/>
      </c>
      <c r="J2213" s="319">
        <f>F2213-I2213</f>
        <v/>
      </c>
      <c r="K2213" s="516" t="n"/>
      <c r="L2213" s="516">
        <f>L2212+G2213</f>
        <v/>
      </c>
    </row>
    <row r="2214">
      <c r="B2214" s="1" t="n">
        <v>6</v>
      </c>
      <c r="C2214" s="24" t="n">
        <v>44927</v>
      </c>
      <c r="D2214" s="24" t="n">
        <v>44957</v>
      </c>
      <c r="E2214" s="25">
        <f>D2214-C2214+1</f>
        <v/>
      </c>
      <c r="F2214" s="319">
        <f>J2213</f>
        <v/>
      </c>
      <c r="G2214" s="319">
        <f>-PMT($D$2200/$D$2202,21,$F$2212,,0)</f>
        <v/>
      </c>
      <c r="H2214" s="319">
        <f>$D$2200/$D$2202*F2214</f>
        <v/>
      </c>
      <c r="I2214" s="319">
        <f>G2214-H2214</f>
        <v/>
      </c>
      <c r="J2214" s="319">
        <f>F2214-I2214</f>
        <v/>
      </c>
      <c r="K2214" s="516">
        <f>102682.6+539350</f>
        <v/>
      </c>
      <c r="L2214" s="516">
        <f>L2213+G2214-K2214</f>
        <v/>
      </c>
    </row>
    <row r="2215">
      <c r="B2215" s="1" t="n">
        <v>7</v>
      </c>
      <c r="C2215" s="24" t="n">
        <v>44958</v>
      </c>
      <c r="D2215" s="24" t="n">
        <v>44985</v>
      </c>
      <c r="E2215" s="25">
        <f>D2215-C2215+1</f>
        <v/>
      </c>
      <c r="F2215" s="319">
        <f>J2214</f>
        <v/>
      </c>
      <c r="G2215" s="319">
        <f>-PMT($D$2200/$D$2202,21,$F$2212,,0)</f>
        <v/>
      </c>
      <c r="H2215" s="319">
        <f>$D$2200/$D$2202*F2215</f>
        <v/>
      </c>
      <c r="I2215" s="319">
        <f>G2215-H2215</f>
        <v/>
      </c>
      <c r="J2215" s="319">
        <f>F2215-I2215</f>
        <v/>
      </c>
      <c r="K2215" s="516" t="n">
        <v>1645200</v>
      </c>
      <c r="L2215" s="516">
        <f>L2214+G2215-K2215</f>
        <v/>
      </c>
    </row>
    <row r="2216">
      <c r="B2216" s="1" t="n">
        <v>8</v>
      </c>
      <c r="C2216" s="24" t="n">
        <v>44986</v>
      </c>
      <c r="D2216" s="24" t="n">
        <v>45016</v>
      </c>
      <c r="E2216" s="25">
        <f>D2216-C2216+1</f>
        <v/>
      </c>
      <c r="F2216" s="319">
        <f>J2215</f>
        <v/>
      </c>
      <c r="G2216" s="319">
        <f>-PMT($D$2200/$D$2202,21,$F$2212,,0)</f>
        <v/>
      </c>
      <c r="H2216" s="319">
        <f>$D$2200/$D$2202*F2216</f>
        <v/>
      </c>
      <c r="I2216" s="319">
        <f>G2216-H2216</f>
        <v/>
      </c>
      <c r="J2216" s="319">
        <f>F2216-I2216</f>
        <v/>
      </c>
      <c r="K2216" s="516" t="n">
        <v>98200</v>
      </c>
      <c r="L2216" s="516">
        <f>L2215+G2216-K2216</f>
        <v/>
      </c>
    </row>
    <row r="2217">
      <c r="B2217" s="1" t="n">
        <v>9</v>
      </c>
      <c r="C2217" s="24" t="n">
        <v>45017</v>
      </c>
      <c r="D2217" s="24" t="n">
        <v>45046</v>
      </c>
      <c r="E2217" s="25">
        <f>D2217-C2217+1</f>
        <v/>
      </c>
      <c r="F2217" s="319">
        <f>J2216</f>
        <v/>
      </c>
      <c r="G2217" s="319">
        <f>-PMT($D$2200/$D$2202,21,$F$2212,,0)</f>
        <v/>
      </c>
      <c r="H2217" s="319">
        <f>$D$2200/$D$2202*F2217</f>
        <v/>
      </c>
      <c r="I2217" s="319">
        <f>G2217-H2217</f>
        <v/>
      </c>
      <c r="J2217" s="319">
        <f>F2217-I2217</f>
        <v/>
      </c>
      <c r="K2217" s="516" t="n">
        <v>94000</v>
      </c>
      <c r="L2217" s="516">
        <f>L2216+G2217-K2217</f>
        <v/>
      </c>
    </row>
    <row r="2218">
      <c r="B2218" s="1" t="n">
        <v>10</v>
      </c>
      <c r="C2218" s="24" t="n">
        <v>45047</v>
      </c>
      <c r="D2218" s="24" t="n">
        <v>45077</v>
      </c>
      <c r="E2218" s="25">
        <f>D2218-C2218+1</f>
        <v/>
      </c>
      <c r="F2218" s="319">
        <f>J2217</f>
        <v/>
      </c>
      <c r="G2218" s="319">
        <f>-PMT($D$2200/$D$2202,21,$F$2212,,0)</f>
        <v/>
      </c>
      <c r="H2218" s="319">
        <f>$D$2200/$D$2202*F2218</f>
        <v/>
      </c>
      <c r="I2218" s="319">
        <f>G2218-H2218</f>
        <v/>
      </c>
      <c r="J2218" s="319">
        <f>F2218-I2218</f>
        <v/>
      </c>
      <c r="K2218" s="516" t="n">
        <v>1119800</v>
      </c>
      <c r="L2218" s="516">
        <f>L2217+G2218-K2218</f>
        <v/>
      </c>
    </row>
    <row r="2219">
      <c r="B2219" s="1" t="n">
        <v>11</v>
      </c>
      <c r="C2219" s="24" t="n">
        <v>45078</v>
      </c>
      <c r="D2219" s="24" t="n">
        <v>45107</v>
      </c>
      <c r="E2219" s="25">
        <f>D2219-C2219+1</f>
        <v/>
      </c>
      <c r="F2219" s="319">
        <f>J2218</f>
        <v/>
      </c>
      <c r="G2219" s="319">
        <f>-PMT($D$2200/$D$2202,21,$F$2212,,0)</f>
        <v/>
      </c>
      <c r="H2219" s="319">
        <f>$D$2200/$D$2202*F2219</f>
        <v/>
      </c>
      <c r="I2219" s="319">
        <f>G2219-H2219</f>
        <v/>
      </c>
      <c r="J2219" s="319">
        <f>F2219-I2219</f>
        <v/>
      </c>
      <c r="K2219" s="516" t="n">
        <v>567000</v>
      </c>
      <c r="L2219" s="519">
        <f>L2218+G2219-K2219</f>
        <v/>
      </c>
    </row>
    <row r="2220">
      <c r="B2220" s="1" t="n">
        <v>12</v>
      </c>
      <c r="C2220" s="24" t="n">
        <v>45108</v>
      </c>
      <c r="D2220" s="24" t="n">
        <v>45138</v>
      </c>
      <c r="E2220" s="25">
        <f>D2220-C2220+1</f>
        <v/>
      </c>
      <c r="F2220" s="319">
        <f>J2219</f>
        <v/>
      </c>
      <c r="G2220" s="319">
        <f>-PMT($D$2200/$D$2202,21,$F$2212,,0)</f>
        <v/>
      </c>
      <c r="H2220" s="319">
        <f>$D$2200/$D$2202*F2220</f>
        <v/>
      </c>
      <c r="I2220" s="319">
        <f>G2220-H2220</f>
        <v/>
      </c>
      <c r="J2220" s="319">
        <f>F2220-I2220</f>
        <v/>
      </c>
      <c r="K2220" s="516" t="n">
        <v>40000</v>
      </c>
      <c r="L2220" s="516">
        <f>L2219+G2220-K2220</f>
        <v/>
      </c>
    </row>
    <row r="2221">
      <c r="B2221" s="1" t="n">
        <v>13</v>
      </c>
      <c r="C2221" s="24" t="n">
        <v>45139</v>
      </c>
      <c r="D2221" s="24" t="n">
        <v>45169</v>
      </c>
      <c r="E2221" s="25">
        <f>D2221-C2221+1</f>
        <v/>
      </c>
      <c r="F2221" s="319">
        <f>J2220</f>
        <v/>
      </c>
      <c r="G2221" s="319">
        <f>-PMT($D$2200/$D$2202,21,$F$2212,,0)</f>
        <v/>
      </c>
      <c r="H2221" s="319">
        <f>$D$2200/$D$2202*F2221</f>
        <v/>
      </c>
      <c r="I2221" s="319">
        <f>G2221-H2221</f>
        <v/>
      </c>
      <c r="J2221" s="319">
        <f>F2221-I2221</f>
        <v/>
      </c>
      <c r="K2221" s="516" t="n"/>
      <c r="L2221" s="516">
        <f>L2220+G2221-K2221</f>
        <v/>
      </c>
    </row>
    <row r="2222">
      <c r="B2222" s="1" t="n">
        <v>14</v>
      </c>
      <c r="C2222" s="24" t="n">
        <v>45170</v>
      </c>
      <c r="D2222" s="24" t="n">
        <v>45199</v>
      </c>
      <c r="E2222" s="25">
        <f>D2222-C2222+1</f>
        <v/>
      </c>
      <c r="F2222" s="319">
        <f>J2221</f>
        <v/>
      </c>
      <c r="G2222" s="319">
        <f>-PMT($D$2200/$D$2202,21,$F$2212,,0)</f>
        <v/>
      </c>
      <c r="H2222" s="319">
        <f>$D$2200/$D$2202*F2222</f>
        <v/>
      </c>
      <c r="I2222" s="319">
        <f>G2222-H2222</f>
        <v/>
      </c>
      <c r="J2222" s="319">
        <f>F2222-I2222</f>
        <v/>
      </c>
      <c r="K2222" s="516" t="n">
        <v>100000</v>
      </c>
      <c r="L2222" s="516">
        <f>L2221+G2222-K2222</f>
        <v/>
      </c>
    </row>
    <row r="2223">
      <c r="B2223" s="1" t="n">
        <v>15</v>
      </c>
      <c r="C2223" s="24" t="n">
        <v>45200</v>
      </c>
      <c r="D2223" s="24" t="n">
        <v>45230</v>
      </c>
      <c r="E2223" s="25">
        <f>D2223-C2223+1</f>
        <v/>
      </c>
      <c r="F2223" s="319">
        <f>J2222</f>
        <v/>
      </c>
      <c r="G2223" s="319">
        <f>-PMT($D$2200/$D$2202,21,$F$2212,,0)</f>
        <v/>
      </c>
      <c r="H2223" s="319">
        <f>$D$2200/$D$2202*F2223</f>
        <v/>
      </c>
      <c r="I2223" s="319">
        <f>G2223-H2223</f>
        <v/>
      </c>
      <c r="J2223" s="319">
        <f>F2223-I2223</f>
        <v/>
      </c>
      <c r="K2223" s="516" t="n">
        <v>500000</v>
      </c>
      <c r="L2223" s="516">
        <f>L2222+G2223-K2223</f>
        <v/>
      </c>
    </row>
    <row r="2224">
      <c r="B2224" s="1" t="n">
        <v>16</v>
      </c>
      <c r="C2224" s="24" t="n">
        <v>45231</v>
      </c>
      <c r="D2224" s="24" t="n">
        <v>45260</v>
      </c>
      <c r="E2224" s="25">
        <f>D2224-C2224+1</f>
        <v/>
      </c>
      <c r="F2224" s="319">
        <f>J2223</f>
        <v/>
      </c>
      <c r="G2224" s="319">
        <f>-PMT($D$2200/$D$2202,21,$F$2212,,0)</f>
        <v/>
      </c>
      <c r="H2224" s="319">
        <f>$D$2200/$D$2202*F2224</f>
        <v/>
      </c>
      <c r="I2224" s="319">
        <f>G2224-H2224</f>
        <v/>
      </c>
      <c r="J2224" s="319">
        <f>F2224-I2224</f>
        <v/>
      </c>
      <c r="K2224" s="516" t="n">
        <v>500000</v>
      </c>
      <c r="L2224" s="516">
        <f>L2223+G2224-K2224</f>
        <v/>
      </c>
    </row>
    <row r="2225">
      <c r="B2225" s="1" t="n">
        <v>17</v>
      </c>
      <c r="C2225" s="24" t="n">
        <v>45261</v>
      </c>
      <c r="D2225" s="24" t="n">
        <v>45291</v>
      </c>
      <c r="E2225" s="25">
        <f>D2225-C2225+1</f>
        <v/>
      </c>
      <c r="F2225" s="319">
        <f>J2224</f>
        <v/>
      </c>
      <c r="G2225" s="319">
        <f>-PMT($D$2200/$D$2202,21,$F$2212,,0)</f>
        <v/>
      </c>
      <c r="H2225" s="319">
        <f>$D$2200/$D$2202*F2225</f>
        <v/>
      </c>
      <c r="I2225" s="319">
        <f>G2225-H2225</f>
        <v/>
      </c>
      <c r="J2225" s="319">
        <f>F2225-I2225</f>
        <v/>
      </c>
      <c r="K2225" s="516" t="n">
        <v>500000</v>
      </c>
      <c r="L2225" s="516">
        <f>L2224+G2225-K2225</f>
        <v/>
      </c>
    </row>
    <row r="2226">
      <c r="B2226" s="1" t="n">
        <v>18</v>
      </c>
      <c r="C2226" s="24" t="n">
        <v>45292</v>
      </c>
      <c r="D2226" s="24" t="n">
        <v>45322</v>
      </c>
      <c r="E2226" s="25">
        <f>D2226-C2226+1</f>
        <v/>
      </c>
      <c r="F2226" s="319">
        <f>J2225</f>
        <v/>
      </c>
      <c r="G2226" s="319">
        <f>-PMT($D$2200/$D$2202,21,$F$2212,,0)</f>
        <v/>
      </c>
      <c r="H2226" s="319">
        <f>$D$2200/$D$2202*F2226</f>
        <v/>
      </c>
      <c r="I2226" s="319">
        <f>G2226-H2226</f>
        <v/>
      </c>
      <c r="J2226" s="319">
        <f>F2226-I2226</f>
        <v/>
      </c>
      <c r="K2226" s="516" t="n">
        <v>600000</v>
      </c>
      <c r="L2226" s="516">
        <f>L2225+G2226-K2226</f>
        <v/>
      </c>
    </row>
    <row r="2227">
      <c r="B2227" s="1" t="n">
        <v>19</v>
      </c>
      <c r="C2227" s="24" t="n">
        <v>45323</v>
      </c>
      <c r="D2227" s="24" t="n">
        <v>45351</v>
      </c>
      <c r="E2227" s="25">
        <f>D2227-C2227+1</f>
        <v/>
      </c>
      <c r="F2227" s="319">
        <f>J2226</f>
        <v/>
      </c>
      <c r="G2227" s="319">
        <f>-PMT($D$2200/$D$2202,21,$F$2212,,0)</f>
        <v/>
      </c>
      <c r="H2227" s="319">
        <f>$D$2200/$D$2202*F2227</f>
        <v/>
      </c>
      <c r="I2227" s="319">
        <f>G2227-H2227</f>
        <v/>
      </c>
      <c r="J2227" s="319">
        <f>F2227-I2227</f>
        <v/>
      </c>
      <c r="K2227" s="516" t="n">
        <v>600000</v>
      </c>
      <c r="L2227" s="516">
        <f>L2226+G2227-K2227</f>
        <v/>
      </c>
    </row>
    <row r="2228">
      <c r="B2228" s="1" t="n">
        <v>20</v>
      </c>
      <c r="C2228" s="24" t="n">
        <v>45352</v>
      </c>
      <c r="D2228" s="24" t="n">
        <v>45382</v>
      </c>
      <c r="E2228" s="25">
        <f>D2228-C2228+1</f>
        <v/>
      </c>
      <c r="F2228" s="319">
        <f>J2227</f>
        <v/>
      </c>
      <c r="G2228" s="319">
        <f>-PMT($D$2200/$D$2202,21,$F$2212,,0)</f>
        <v/>
      </c>
      <c r="H2228" s="319">
        <f>$D$2200/$D$2202*F2228</f>
        <v/>
      </c>
      <c r="I2228" s="319">
        <f>G2228-H2228</f>
        <v/>
      </c>
      <c r="J2228" s="319">
        <f>F2228-I2228</f>
        <v/>
      </c>
      <c r="K2228" s="516" t="n"/>
      <c r="L2228" s="516">
        <f>L2227+G2228-K2228</f>
        <v/>
      </c>
    </row>
    <row r="2229">
      <c r="B2229" s="1" t="n">
        <v>21</v>
      </c>
      <c r="C2229" s="24" t="n">
        <v>45383</v>
      </c>
      <c r="D2229" s="24" t="n">
        <v>45412</v>
      </c>
      <c r="E2229" s="25">
        <f>D2229-C2229+1</f>
        <v/>
      </c>
      <c r="F2229" s="319">
        <f>J2228</f>
        <v/>
      </c>
      <c r="G2229" s="319">
        <f>-PMT($D$2200/$D$2202,21,$F$2212,,0)</f>
        <v/>
      </c>
      <c r="H2229" s="319">
        <f>$D$2200/$D$2202*F2229</f>
        <v/>
      </c>
      <c r="I2229" s="319">
        <f>G2229-H2229</f>
        <v/>
      </c>
      <c r="J2229" s="319">
        <f>F2229-I2229</f>
        <v/>
      </c>
      <c r="K2229" s="516" t="n">
        <v>3000000</v>
      </c>
      <c r="L2229" s="516">
        <f>L2228+G2229-K2229</f>
        <v/>
      </c>
    </row>
    <row r="2230">
      <c r="B2230" s="1" t="n">
        <v>22</v>
      </c>
      <c r="C2230" s="24" t="n">
        <v>45413</v>
      </c>
      <c r="D2230" s="24" t="n">
        <v>45443</v>
      </c>
      <c r="E2230" s="25">
        <f>D2230-C2230+1</f>
        <v/>
      </c>
      <c r="F2230" s="319">
        <f>J2229</f>
        <v/>
      </c>
      <c r="G2230" s="319">
        <f>-PMT($D$2200/$D$2202,21,$F$2212,,0)</f>
        <v/>
      </c>
      <c r="H2230" s="319">
        <f>$D$2200/$D$2202*F2230</f>
        <v/>
      </c>
      <c r="I2230" s="319">
        <f>G2230-H2230</f>
        <v/>
      </c>
      <c r="J2230" s="319">
        <f>F2230-I2230</f>
        <v/>
      </c>
      <c r="K2230" s="516" t="n"/>
      <c r="L2230" s="516">
        <f>L2229+G2230-K2230</f>
        <v/>
      </c>
    </row>
    <row r="2231">
      <c r="B2231" s="1" t="n">
        <v>23</v>
      </c>
      <c r="C2231" s="24" t="n">
        <v>45444</v>
      </c>
      <c r="D2231" s="24" t="n">
        <v>45473</v>
      </c>
      <c r="E2231" s="25">
        <f>D2231-C2231+1</f>
        <v/>
      </c>
      <c r="F2231" s="319">
        <f>J2230</f>
        <v/>
      </c>
      <c r="G2231" s="319">
        <f>-PMT($D$2200/$D$2202,21,$F$2212,,0)</f>
        <v/>
      </c>
      <c r="H2231" s="319">
        <f>$D$2200/$D$2202*F2231</f>
        <v/>
      </c>
      <c r="I2231" s="319">
        <f>G2231-H2231</f>
        <v/>
      </c>
      <c r="J2231" s="319">
        <f>F2231-I2231</f>
        <v/>
      </c>
      <c r="K2231" s="516" t="n"/>
      <c r="L2231" s="516">
        <f>L2230+G2231-K2231</f>
        <v/>
      </c>
    </row>
    <row r="2232">
      <c r="B2232" s="1" t="n">
        <v>24</v>
      </c>
      <c r="C2232" s="24" t="n">
        <v>45474</v>
      </c>
      <c r="D2232" s="24" t="n">
        <v>45504</v>
      </c>
      <c r="E2232" s="25">
        <f>D2232-C2232+1</f>
        <v/>
      </c>
      <c r="F2232" s="319">
        <f>J2231</f>
        <v/>
      </c>
      <c r="G2232" s="319">
        <f>-PMT($D$2200/$D$2202,21,$F$2212,,0)</f>
        <v/>
      </c>
      <c r="H2232" s="319">
        <f>$D$2200/$D$2202*F2232</f>
        <v/>
      </c>
      <c r="I2232" s="319">
        <f>G2232-H2232</f>
        <v/>
      </c>
      <c r="J2232" s="319">
        <f>F2232-I2232</f>
        <v/>
      </c>
      <c r="K2232" s="516">
        <f>465000+1000000+2011500</f>
        <v/>
      </c>
      <c r="L2232" s="523">
        <f>L2231+G2232-K2232</f>
        <v/>
      </c>
    </row>
    <row r="2233">
      <c r="B2233" s="1" t="n"/>
      <c r="C2233" s="24" t="n"/>
      <c r="D2233" s="24" t="n"/>
      <c r="E2233" s="25" t="n"/>
      <c r="F2233" s="319" t="n"/>
      <c r="G2233" s="319" t="n"/>
      <c r="H2233" s="319" t="n"/>
      <c r="I2233" s="319" t="n"/>
      <c r="J2233" s="319" t="n"/>
      <c r="K2233" s="516" t="n"/>
      <c r="L2233" s="516" t="n"/>
    </row>
    <row r="2234" ht="14.25" customHeight="1">
      <c r="B2234" s="1" t="n"/>
      <c r="C2234" s="1" t="n"/>
      <c r="D2234" s="1" t="n"/>
      <c r="E2234" s="30">
        <f>SUM(E2208:E2220)</f>
        <v/>
      </c>
      <c r="F2234" s="319" t="n"/>
      <c r="G2234" s="319" t="n"/>
      <c r="H2234" s="319" t="n"/>
      <c r="I2234" s="319" t="n"/>
      <c r="J2234" s="319" t="n"/>
      <c r="K2234" s="1" t="n"/>
      <c r="L2234" s="1" t="n"/>
    </row>
    <row r="2237">
      <c r="B2237" s="1" t="n"/>
      <c r="C2237" s="9" t="inlineStr">
        <is>
          <t>Kadava Investment</t>
        </is>
      </c>
      <c r="D2237" s="319" t="n"/>
      <c r="E2237" s="319" t="n"/>
      <c r="F2237" s="319" t="n"/>
      <c r="G2237" s="319" t="n"/>
      <c r="H2237" s="319" t="n"/>
      <c r="I2237" s="319" t="n"/>
      <c r="J2237" s="319" t="n"/>
      <c r="K2237" s="319" t="n"/>
      <c r="L2237" s="319" t="n"/>
    </row>
    <row r="2238">
      <c r="B2238" s="1" t="n"/>
      <c r="C2238" s="1" t="inlineStr">
        <is>
          <t>First draw down</t>
        </is>
      </c>
      <c r="D2238" s="319" t="n"/>
      <c r="E2238" s="319" t="n"/>
      <c r="F2238" s="319" t="inlineStr">
        <is>
          <t>Second draw down</t>
        </is>
      </c>
      <c r="G2238" s="319" t="n"/>
      <c r="H2238" s="319" t="n"/>
      <c r="I2238" s="319" t="n"/>
      <c r="J2238" s="319" t="n"/>
      <c r="K2238" s="319" t="n"/>
      <c r="L2238" s="319" t="n"/>
      <c r="R2238" s="514" t="inlineStr">
        <is>
          <t>E-Banker account (Dupleix)</t>
        </is>
      </c>
      <c r="S2238" s="495">
        <f>IFERROR(INDEX('Blocks'!$I$2:$I$101,MATCH(40,'Blocks'!$A$2:$A$101,0)),"")</f>
        <v/>
      </c>
    </row>
    <row r="2239">
      <c r="B2239" s="1" t="n"/>
      <c r="C2239" s="10" t="inlineStr">
        <is>
          <t>Principal (MK)</t>
        </is>
      </c>
      <c r="D2239" s="11" t="n">
        <v>5635580</v>
      </c>
      <c r="E2239" s="319" t="n"/>
      <c r="F2239" s="319" t="n">
        <v>6364420</v>
      </c>
      <c r="G2239" s="319" t="n"/>
      <c r="H2239" s="319" t="n"/>
      <c r="I2239" s="319" t="n"/>
      <c r="J2239" s="319" t="n"/>
      <c r="K2239" s="319" t="n"/>
      <c r="L2239" s="319" t="n"/>
      <c r="R2239" s="514" t="inlineStr">
        <is>
          <t>Facility (Loan Book)</t>
        </is>
      </c>
      <c r="S2239" s="495">
        <f>IFERROR(INDEX('Blocks'!$H$2:$H$101,MATCH(40,'Blocks'!$A$2:$A$101,0)),"")</f>
        <v/>
      </c>
    </row>
    <row r="2240">
      <c r="B2240" s="1" t="n"/>
      <c r="C2240" s="13" t="inlineStr">
        <is>
          <t>Rate</t>
        </is>
      </c>
      <c r="D2240" s="14" t="n">
        <v>0.1</v>
      </c>
      <c r="E2240" s="257" t="n"/>
      <c r="F2240" s="319" t="n"/>
      <c r="G2240" s="319" t="n"/>
      <c r="H2240" s="319" t="n"/>
      <c r="I2240" s="319" t="n"/>
      <c r="J2240" s="319" t="n"/>
      <c r="K2240" s="319" t="n"/>
      <c r="L2240" s="319" t="n"/>
      <c r="R2240" s="514" t="inlineStr">
        <is>
          <t>Take-on posting 31 Jul 2024</t>
        </is>
      </c>
      <c r="S2240" s="496">
        <f>IFERROR(INDEX('E-Banker master'!$N$2:$N$186,MATCH(S2238,'E-Banker master'!$A$2:$A$186,0)),"")</f>
        <v/>
      </c>
    </row>
    <row r="2241">
      <c r="B2241" s="1" t="n"/>
      <c r="C2241" s="13" t="inlineStr">
        <is>
          <t>n</t>
        </is>
      </c>
      <c r="D2241" s="16" t="n">
        <v>2</v>
      </c>
      <c r="E2241" s="1" t="n"/>
      <c r="F2241" s="319" t="n"/>
      <c r="G2241" s="319" t="n"/>
      <c r="H2241" s="319" t="n"/>
      <c r="I2241" s="319" t="n"/>
      <c r="J2241" s="319" t="n"/>
      <c r="K2241" s="1" t="n"/>
      <c r="L2241" s="1" t="n"/>
      <c r="R2241" s="514" t="inlineStr">
        <is>
          <t>E-Banker balance 31 Oct 2024</t>
        </is>
      </c>
      <c r="S2241" s="496">
        <f>IFERROR(INDEX('E-Banker master'!$P$2:$P$186,MATCH(S2238,'E-Banker master'!$A$2:$A$186,0)),"")</f>
        <v/>
      </c>
    </row>
    <row r="2242">
      <c r="B2242" s="1" t="n"/>
      <c r="C2242" s="13" t="inlineStr">
        <is>
          <t>Per</t>
        </is>
      </c>
      <c r="D2242" s="16" t="n">
        <v>12</v>
      </c>
      <c r="E2242" s="1" t="n"/>
      <c r="F2242" s="319" t="n"/>
      <c r="G2242" s="319" t="n"/>
      <c r="H2242" s="319" t="n"/>
      <c r="I2242" s="319" t="n"/>
      <c r="J2242" s="319" t="n"/>
      <c r="K2242" s="1" t="n"/>
      <c r="L2242" s="1" t="n"/>
    </row>
    <row r="2243">
      <c r="B2243" s="1" t="n"/>
      <c r="C2243" s="13" t="inlineStr">
        <is>
          <t>nPer</t>
        </is>
      </c>
      <c r="D2243" s="515">
        <f>D2241*D2242</f>
        <v/>
      </c>
      <c r="E2243" s="1" t="n"/>
      <c r="F2243" s="319" t="n"/>
      <c r="G2243" s="319" t="n"/>
      <c r="H2243" s="319" t="n"/>
      <c r="I2243" s="319" t="n"/>
      <c r="J2243" s="319" t="n"/>
      <c r="K2243" s="1" t="n"/>
      <c r="L2243" s="1" t="n"/>
    </row>
    <row r="2244">
      <c r="B2244" s="1" t="n"/>
      <c r="C2244" s="13" t="inlineStr">
        <is>
          <t>Days in a year</t>
        </is>
      </c>
      <c r="D2244" s="18" t="n">
        <v>365</v>
      </c>
      <c r="E2244" s="1" t="n"/>
      <c r="F2244" s="319" t="n"/>
      <c r="G2244" s="319" t="n"/>
      <c r="H2244" s="319" t="n"/>
      <c r="I2244" s="319" t="n"/>
      <c r="J2244" s="319" t="n"/>
      <c r="K2244" s="1" t="n"/>
      <c r="L2244" s="1" t="n"/>
    </row>
    <row r="2245">
      <c r="B2245" s="1" t="n"/>
      <c r="C2245" s="19" t="inlineStr">
        <is>
          <t>Pmt (MK)</t>
        </is>
      </c>
      <c r="D2245" s="20">
        <f>-PMT(D2240/D2242,D2243,D2239,0,0)</f>
        <v/>
      </c>
      <c r="E2245" s="319" t="n"/>
      <c r="F2245" s="319" t="n"/>
      <c r="G2245" s="319" t="n"/>
      <c r="H2245" s="319" t="n"/>
      <c r="I2245" s="319" t="n"/>
      <c r="J2245" s="319" t="n"/>
      <c r="K2245" s="1" t="n"/>
      <c r="L2245" s="1" t="n"/>
    </row>
    <row r="2246">
      <c r="B2246" s="1" t="n"/>
      <c r="C2246" s="1" t="n"/>
      <c r="D2246" s="319" t="n"/>
      <c r="E2246" s="319" t="n"/>
      <c r="F2246" s="319" t="n"/>
      <c r="G2246" s="319" t="n"/>
      <c r="H2246" s="319" t="n"/>
      <c r="I2246" s="319" t="n"/>
      <c r="J2246" s="319" t="n"/>
      <c r="K2246" s="1" t="n"/>
      <c r="L2246" s="1" t="n"/>
    </row>
    <row r="2247">
      <c r="B2247" s="1" t="n"/>
      <c r="C2247" s="21" t="inlineStr">
        <is>
          <t>Period Start</t>
        </is>
      </c>
      <c r="D2247" s="22" t="inlineStr">
        <is>
          <t>Period End</t>
        </is>
      </c>
      <c r="E2247" s="22" t="inlineStr">
        <is>
          <t>Days</t>
        </is>
      </c>
      <c r="F2247" s="294" t="inlineStr">
        <is>
          <t>Opening bal.</t>
        </is>
      </c>
      <c r="G2247" s="294" t="inlineStr">
        <is>
          <t>Pmt</t>
        </is>
      </c>
      <c r="H2247" s="294" t="inlineStr">
        <is>
          <t>Interest</t>
        </is>
      </c>
      <c r="I2247" s="294" t="inlineStr">
        <is>
          <t>Principal</t>
        </is>
      </c>
      <c r="J2247" s="294" t="inlineStr">
        <is>
          <t>Closing balance</t>
        </is>
      </c>
      <c r="K2247" s="23" t="inlineStr">
        <is>
          <t>Amount Repaid</t>
        </is>
      </c>
      <c r="L2247" s="23" t="inlineStr">
        <is>
          <t>Accumulated Arrears</t>
        </is>
      </c>
    </row>
    <row r="2248">
      <c r="B2248" s="1" t="n">
        <v>0</v>
      </c>
      <c r="C2248" s="24" t="n">
        <v>44775</v>
      </c>
      <c r="D2248" s="24" t="n">
        <v>44804</v>
      </c>
      <c r="E2248" s="25">
        <f>D2248-C2248+1</f>
        <v/>
      </c>
      <c r="F2248" s="319">
        <f>D2239</f>
        <v/>
      </c>
      <c r="G2248" s="319" t="n"/>
      <c r="H2248" s="319">
        <f>($D$2240/$D$2242*F2248*E2248/31)+(F2239*D2240/D2242*19/31)</f>
        <v/>
      </c>
      <c r="I2248" s="319">
        <f>G2248-H2248</f>
        <v/>
      </c>
      <c r="J2248" s="319">
        <f>F2248+F2239-I2248</f>
        <v/>
      </c>
      <c r="K2248" s="516" t="n"/>
      <c r="L2248" s="516" t="n"/>
    </row>
    <row r="2249">
      <c r="B2249" s="1" t="n">
        <v>1</v>
      </c>
      <c r="C2249" s="24" t="n">
        <v>44805</v>
      </c>
      <c r="D2249" s="24" t="n">
        <v>44834</v>
      </c>
      <c r="E2249" s="25">
        <f>D2249-C2249+1</f>
        <v/>
      </c>
      <c r="F2249" s="319">
        <f>J2248</f>
        <v/>
      </c>
      <c r="G2249" s="319" t="n"/>
      <c r="H2249" s="319">
        <f>$D$2240/$D$2242*F2249</f>
        <v/>
      </c>
      <c r="I2249" s="319">
        <f>G2249-H2249</f>
        <v/>
      </c>
      <c r="J2249" s="319">
        <f>F2249-I2249</f>
        <v/>
      </c>
      <c r="K2249" s="516" t="n"/>
      <c r="L2249" s="516" t="n"/>
    </row>
    <row r="2250">
      <c r="B2250" s="1" t="n">
        <v>2</v>
      </c>
      <c r="C2250" s="24" t="n">
        <v>44835</v>
      </c>
      <c r="D2250" s="24" t="n">
        <v>44865</v>
      </c>
      <c r="E2250" s="25">
        <f>D2250-C2250+1</f>
        <v/>
      </c>
      <c r="F2250" s="319">
        <f>J2249</f>
        <v/>
      </c>
      <c r="G2250" s="319" t="n"/>
      <c r="H2250" s="319">
        <f>$D$2240/$D$2242*F2250</f>
        <v/>
      </c>
      <c r="I2250" s="319">
        <f>G2250-H2250</f>
        <v/>
      </c>
      <c r="J2250" s="319">
        <f>F2250-I2250</f>
        <v/>
      </c>
    </row>
    <row r="2251">
      <c r="B2251" s="1" t="n">
        <v>3</v>
      </c>
      <c r="C2251" s="24" t="n">
        <v>44866</v>
      </c>
      <c r="D2251" s="24" t="n">
        <v>44895</v>
      </c>
      <c r="E2251" s="25">
        <f>D2251-C2251+1</f>
        <v/>
      </c>
      <c r="F2251" s="319">
        <f>J2250</f>
        <v/>
      </c>
      <c r="G2251" s="319" t="n"/>
      <c r="H2251" s="319">
        <f>$D$2240/$D$2242*F2251</f>
        <v/>
      </c>
      <c r="I2251" s="319">
        <f>G2251-H2251</f>
        <v/>
      </c>
      <c r="J2251" s="319">
        <f>F2251-I2251</f>
        <v/>
      </c>
      <c r="K2251" s="516" t="n"/>
      <c r="L2251" s="516" t="n"/>
    </row>
    <row r="2252">
      <c r="B2252" s="1" t="n">
        <v>4</v>
      </c>
      <c r="C2252" s="24" t="n">
        <v>44896</v>
      </c>
      <c r="D2252" s="24" t="n">
        <v>44926</v>
      </c>
      <c r="E2252" s="25">
        <f>D2252-C2252+1</f>
        <v/>
      </c>
      <c r="F2252" s="319">
        <f>J2251</f>
        <v/>
      </c>
      <c r="G2252" s="319">
        <f>-PMT($D$2240/$D$2242,21,$F$2252,,0)</f>
        <v/>
      </c>
      <c r="H2252" s="319">
        <f>$D$2240/$D$2242*F2252</f>
        <v/>
      </c>
      <c r="I2252" s="319">
        <f>G2252-H2252</f>
        <v/>
      </c>
      <c r="J2252" s="319">
        <f>F2252-I2252</f>
        <v/>
      </c>
      <c r="K2252" s="516" t="n">
        <v>641000</v>
      </c>
      <c r="L2252" s="516">
        <f>G2252-K2252</f>
        <v/>
      </c>
    </row>
    <row r="2253">
      <c r="B2253" s="1" t="n">
        <v>5</v>
      </c>
      <c r="C2253" s="24" t="n">
        <v>44927</v>
      </c>
      <c r="D2253" s="24" t="n">
        <v>44957</v>
      </c>
      <c r="E2253" s="25">
        <f>D2253-C2253+1</f>
        <v/>
      </c>
      <c r="F2253" s="319">
        <f>J2252</f>
        <v/>
      </c>
      <c r="G2253" s="319">
        <f>-PMT($D$2240/$D$2242,21,$F$2252,,0)</f>
        <v/>
      </c>
      <c r="H2253" s="319">
        <f>$D$2240/$D$2242*F2253</f>
        <v/>
      </c>
      <c r="I2253" s="319">
        <f>G2253-H2253</f>
        <v/>
      </c>
      <c r="J2253" s="319">
        <f>F2253-I2253</f>
        <v/>
      </c>
      <c r="K2253" s="516" t="n">
        <v>0</v>
      </c>
      <c r="L2253" s="516">
        <f>L2252+G2253-K2253</f>
        <v/>
      </c>
    </row>
    <row r="2254">
      <c r="B2254" s="1" t="n">
        <v>6</v>
      </c>
      <c r="C2254" s="24" t="n">
        <v>44958</v>
      </c>
      <c r="D2254" s="24" t="n">
        <v>44985</v>
      </c>
      <c r="E2254" s="25">
        <f>D2254-C2254+1</f>
        <v/>
      </c>
      <c r="F2254" s="319">
        <f>J2253</f>
        <v/>
      </c>
      <c r="G2254" s="319">
        <f>-PMT($D$2240/$D$2242,21,$F$2252,,0)</f>
        <v/>
      </c>
      <c r="H2254" s="319">
        <f>$D$2240/$D$2242*F2254</f>
        <v/>
      </c>
      <c r="I2254" s="319">
        <f>G2254-H2254</f>
        <v/>
      </c>
      <c r="J2254" s="319">
        <f>F2254-I2254</f>
        <v/>
      </c>
      <c r="K2254" s="516" t="n">
        <v>0</v>
      </c>
      <c r="L2254" s="516">
        <f>L2253+G2254-K2254</f>
        <v/>
      </c>
    </row>
    <row r="2255">
      <c r="B2255" s="1" t="n">
        <v>7</v>
      </c>
      <c r="C2255" s="24" t="n">
        <v>44986</v>
      </c>
      <c r="D2255" s="24" t="n">
        <v>45016</v>
      </c>
      <c r="E2255" s="25">
        <f>D2255-C2255+1</f>
        <v/>
      </c>
      <c r="F2255" s="319">
        <f>J2254</f>
        <v/>
      </c>
      <c r="G2255" s="390">
        <f>-PMT($D$2240/$D$2242,21,$F$2252,,0)</f>
        <v/>
      </c>
      <c r="H2255" s="319">
        <f>$D$2240/$D$2242*F2255</f>
        <v/>
      </c>
      <c r="I2255" s="319">
        <f>G2255-H2255</f>
        <v/>
      </c>
      <c r="J2255" s="319">
        <f>F2255-I2255</f>
        <v/>
      </c>
      <c r="K2255" s="516" t="n"/>
      <c r="L2255" s="516">
        <f>L2254+G2255-K2255</f>
        <v/>
      </c>
    </row>
    <row r="2256">
      <c r="B2256" s="1" t="n">
        <v>8</v>
      </c>
      <c r="C2256" s="24" t="n">
        <v>45017</v>
      </c>
      <c r="D2256" s="24" t="n">
        <v>45046</v>
      </c>
      <c r="E2256" s="25">
        <f>D2256-C2256+1</f>
        <v/>
      </c>
      <c r="F2256" s="319">
        <f>J2255</f>
        <v/>
      </c>
      <c r="G2256" s="390">
        <f>-PMT($D$2240/$D$2242,21,$F$2252,,0)</f>
        <v/>
      </c>
      <c r="H2256" s="319">
        <f>$D$2240/$D$2242*F2256</f>
        <v/>
      </c>
      <c r="I2256" s="319">
        <f>G2256-H2256</f>
        <v/>
      </c>
      <c r="J2256" s="319">
        <f>F2256-I2256</f>
        <v/>
      </c>
      <c r="K2256" s="516" t="n"/>
      <c r="L2256" s="516">
        <f>L2255+G2256-K2256</f>
        <v/>
      </c>
    </row>
    <row r="2257">
      <c r="B2257" s="1" t="n">
        <v>9</v>
      </c>
      <c r="C2257" s="24" t="n">
        <v>45047</v>
      </c>
      <c r="D2257" s="24" t="n">
        <v>45077</v>
      </c>
      <c r="E2257" s="25">
        <f>D2257-C2257+1</f>
        <v/>
      </c>
      <c r="F2257" s="319">
        <f>J2256</f>
        <v/>
      </c>
      <c r="G2257" s="390">
        <f>-PMT($D$2240/$D$2242,21,$F$2252,,0)</f>
        <v/>
      </c>
      <c r="H2257" s="319">
        <f>$D$2240/$D$2242*F2257</f>
        <v/>
      </c>
      <c r="I2257" s="319">
        <f>G2257-H2257</f>
        <v/>
      </c>
      <c r="J2257" s="319">
        <f>F2257-I2257</f>
        <v/>
      </c>
      <c r="K2257" s="516" t="n"/>
      <c r="L2257" s="516">
        <f>L2256+G2257-K2257</f>
        <v/>
      </c>
    </row>
    <row r="2258">
      <c r="B2258" s="1" t="n">
        <v>10</v>
      </c>
      <c r="C2258" s="24" t="n">
        <v>45078</v>
      </c>
      <c r="D2258" s="24" t="n">
        <v>45107</v>
      </c>
      <c r="E2258" s="25">
        <f>D2258-C2258+1</f>
        <v/>
      </c>
      <c r="F2258" s="319">
        <f>J2257</f>
        <v/>
      </c>
      <c r="G2258" s="390">
        <f>-PMT($D$2240/$D$2242,21,$F$2252,,0)</f>
        <v/>
      </c>
      <c r="H2258" s="319">
        <f>$D$2240/$D$2242*F2258</f>
        <v/>
      </c>
      <c r="I2258" s="319">
        <f>G2258-H2258</f>
        <v/>
      </c>
      <c r="J2258" s="319">
        <f>F2258-I2258</f>
        <v/>
      </c>
      <c r="K2258" s="516" t="n"/>
      <c r="L2258" s="519">
        <f>L2257+G2258-K2258</f>
        <v/>
      </c>
    </row>
    <row r="2259">
      <c r="B2259" s="1" t="n">
        <v>11</v>
      </c>
      <c r="C2259" s="24" t="n">
        <v>45108</v>
      </c>
      <c r="D2259" s="24" t="n">
        <v>45138</v>
      </c>
      <c r="E2259" s="25">
        <f>D2259-C2259+1</f>
        <v/>
      </c>
      <c r="F2259" s="319">
        <f>J2258</f>
        <v/>
      </c>
      <c r="G2259" s="390">
        <f>-PMT($D$2240/$D$2242,21,$F$2252,,0)</f>
        <v/>
      </c>
      <c r="H2259" s="319">
        <f>$D$2240/$D$2242*F2259</f>
        <v/>
      </c>
      <c r="I2259" s="319">
        <f>G2259-H2259</f>
        <v/>
      </c>
      <c r="J2259" s="319">
        <f>F2259-I2259</f>
        <v/>
      </c>
      <c r="K2259" s="516" t="n">
        <v>0</v>
      </c>
      <c r="L2259" s="516">
        <f>L2258+G2259-K2259</f>
        <v/>
      </c>
    </row>
    <row r="2260">
      <c r="B2260" s="1" t="n">
        <v>12</v>
      </c>
      <c r="C2260" s="24" t="n">
        <v>45139</v>
      </c>
      <c r="D2260" s="24" t="n">
        <v>45169</v>
      </c>
      <c r="E2260" s="25">
        <f>D2260-C2260+1</f>
        <v/>
      </c>
      <c r="F2260" s="319">
        <f>J2259</f>
        <v/>
      </c>
      <c r="G2260" s="390">
        <f>-PMT($D$2240/$D$2242,21,$F$2252,,0)</f>
        <v/>
      </c>
      <c r="H2260" s="319">
        <f>$D$2240/$D$2242*F2260</f>
        <v/>
      </c>
      <c r="I2260" s="319">
        <f>G2260-H2260</f>
        <v/>
      </c>
      <c r="J2260" s="319">
        <f>F2260-I2260</f>
        <v/>
      </c>
      <c r="K2260" s="516" t="n">
        <v>1000000</v>
      </c>
      <c r="L2260" s="516">
        <f>L2259+G2260-K2260</f>
        <v/>
      </c>
    </row>
    <row r="2261">
      <c r="B2261" s="1" t="n">
        <v>13</v>
      </c>
      <c r="C2261" s="24" t="n">
        <v>45170</v>
      </c>
      <c r="D2261" s="24" t="n">
        <v>45199</v>
      </c>
      <c r="E2261" s="25">
        <f>D2261-C2261+1</f>
        <v/>
      </c>
      <c r="F2261" s="319">
        <f>J2260</f>
        <v/>
      </c>
      <c r="G2261" s="390">
        <f>-PMT($D$2240/$D$2242,21,$F$2252,,0)</f>
        <v/>
      </c>
      <c r="H2261" s="319">
        <f>$D$2240/$D$2242*F2261</f>
        <v/>
      </c>
      <c r="I2261" s="319">
        <f>G2261-H2261</f>
        <v/>
      </c>
      <c r="J2261" s="319">
        <f>F2261-I2261</f>
        <v/>
      </c>
      <c r="K2261" s="516" t="n"/>
      <c r="L2261" s="516">
        <f>L2260+G2261-K2261</f>
        <v/>
      </c>
    </row>
    <row r="2262">
      <c r="B2262" s="1" t="n">
        <v>14</v>
      </c>
      <c r="C2262" s="24" t="n">
        <v>45200</v>
      </c>
      <c r="D2262" s="24" t="n">
        <v>45230</v>
      </c>
      <c r="E2262" s="25">
        <f>D2262-C2262+1</f>
        <v/>
      </c>
      <c r="F2262" s="319">
        <f>J2261</f>
        <v/>
      </c>
      <c r="G2262" s="390">
        <f>-PMT($D$2240/$D$2242,21,$F$2252,,0)</f>
        <v/>
      </c>
      <c r="H2262" s="319">
        <f>$D$2240/$D$2242*F2262</f>
        <v/>
      </c>
      <c r="I2262" s="319">
        <f>G2262-H2262</f>
        <v/>
      </c>
      <c r="J2262" s="319">
        <f>F2262-I2262</f>
        <v/>
      </c>
      <c r="K2262" s="516" t="n"/>
      <c r="L2262" s="516">
        <f>L2261+G2262-K2262</f>
        <v/>
      </c>
    </row>
    <row r="2263">
      <c r="B2263" s="1" t="n">
        <v>15</v>
      </c>
      <c r="C2263" s="24" t="n">
        <v>45231</v>
      </c>
      <c r="D2263" s="24" t="n">
        <v>45260</v>
      </c>
      <c r="E2263" s="25">
        <f>D2263-C2263+1</f>
        <v/>
      </c>
      <c r="F2263" s="319">
        <f>J2262</f>
        <v/>
      </c>
      <c r="G2263" s="390">
        <f>-PMT($D$2240/$D$2242,21,$F$2252,,0)</f>
        <v/>
      </c>
      <c r="H2263" s="319">
        <f>$D$2240/$D$2242*F2263</f>
        <v/>
      </c>
      <c r="I2263" s="319">
        <f>G2263-H2263</f>
        <v/>
      </c>
      <c r="J2263" s="319">
        <f>F2263-I2263</f>
        <v/>
      </c>
      <c r="K2263" s="516" t="n">
        <v>300000</v>
      </c>
      <c r="L2263" s="516">
        <f>L2262+G2263-K2263</f>
        <v/>
      </c>
    </row>
    <row r="2264">
      <c r="B2264" s="1" t="n">
        <v>16</v>
      </c>
      <c r="C2264" s="24" t="n">
        <v>45261</v>
      </c>
      <c r="D2264" s="24" t="n">
        <v>45291</v>
      </c>
      <c r="E2264" s="25">
        <f>D2264-C2264+1</f>
        <v/>
      </c>
      <c r="F2264" s="319">
        <f>J2263</f>
        <v/>
      </c>
      <c r="G2264" s="390">
        <f>-PMT($D$2240/$D$2242,21,$F$2252,,0)</f>
        <v/>
      </c>
      <c r="H2264" s="319">
        <f>$D$2240/$D$2242*F2264</f>
        <v/>
      </c>
      <c r="I2264" s="319">
        <f>G2264-H2264</f>
        <v/>
      </c>
      <c r="J2264" s="319">
        <f>F2264-I2264</f>
        <v/>
      </c>
      <c r="K2264" s="516" t="n"/>
      <c r="L2264" s="516">
        <f>L2263+G2264-K2264</f>
        <v/>
      </c>
    </row>
    <row r="2265">
      <c r="B2265" s="1" t="n">
        <v>17</v>
      </c>
      <c r="C2265" s="24" t="n">
        <v>45292</v>
      </c>
      <c r="D2265" s="24" t="n">
        <v>45322</v>
      </c>
      <c r="E2265" s="25">
        <f>D2265-C2265+1</f>
        <v/>
      </c>
      <c r="F2265" s="319">
        <f>J2264</f>
        <v/>
      </c>
      <c r="G2265" s="390">
        <f>-PMT($D$2240/$D$2242,21,$F$2252,,0)</f>
        <v/>
      </c>
      <c r="H2265" s="319">
        <f>$D$2240/$D$2242*F2265</f>
        <v/>
      </c>
      <c r="I2265" s="319">
        <f>G2265-H2265</f>
        <v/>
      </c>
      <c r="J2265" s="319">
        <f>F2265-I2265</f>
        <v/>
      </c>
      <c r="K2265" s="516" t="n"/>
      <c r="L2265" s="516">
        <f>L2264+G2265-K2265</f>
        <v/>
      </c>
    </row>
    <row r="2266">
      <c r="B2266" s="1" t="n">
        <v>18</v>
      </c>
      <c r="C2266" s="24" t="n">
        <v>45323</v>
      </c>
      <c r="D2266" s="24" t="n">
        <v>45351</v>
      </c>
      <c r="E2266" s="25">
        <f>D2266-C2266+1</f>
        <v/>
      </c>
      <c r="F2266" s="319">
        <f>J2265</f>
        <v/>
      </c>
      <c r="G2266" s="390">
        <f>-PMT($D$2240/$D$2242,21,$F$2252,,0)</f>
        <v/>
      </c>
      <c r="H2266" s="319">
        <f>$D$2240/$D$2242*F2266</f>
        <v/>
      </c>
      <c r="I2266" s="319">
        <f>G2266-H2266</f>
        <v/>
      </c>
      <c r="J2266" s="319">
        <f>F2266-I2266</f>
        <v/>
      </c>
      <c r="K2266" s="516" t="n"/>
      <c r="L2266" s="516">
        <f>L2265+G2266-K2266</f>
        <v/>
      </c>
    </row>
    <row r="2267">
      <c r="B2267" s="1" t="n">
        <v>19</v>
      </c>
      <c r="C2267" s="24" t="n">
        <v>45352</v>
      </c>
      <c r="D2267" s="24" t="n">
        <v>45382</v>
      </c>
      <c r="E2267" s="25">
        <f>D2267-C2267+1</f>
        <v/>
      </c>
      <c r="F2267" s="319">
        <f>J2266</f>
        <v/>
      </c>
      <c r="G2267" s="390">
        <f>-PMT($D$2240/$D$2242,21,$F$2252,,0)</f>
        <v/>
      </c>
      <c r="H2267" s="319">
        <f>$D$2240/$D$2242*F2267</f>
        <v/>
      </c>
      <c r="I2267" s="319">
        <f>G2267-H2267</f>
        <v/>
      </c>
      <c r="J2267" s="319">
        <f>F2267-I2267</f>
        <v/>
      </c>
      <c r="K2267" s="516" t="n"/>
      <c r="L2267" s="516">
        <f>L2266+G2267-K2267</f>
        <v/>
      </c>
    </row>
    <row r="2268">
      <c r="B2268" s="1" t="n">
        <v>20</v>
      </c>
      <c r="C2268" s="24" t="n">
        <v>45383</v>
      </c>
      <c r="D2268" s="24" t="n">
        <v>45412</v>
      </c>
      <c r="E2268" s="25">
        <f>D2268-C2268+1</f>
        <v/>
      </c>
      <c r="F2268" s="319">
        <f>J2267</f>
        <v/>
      </c>
      <c r="G2268" s="390">
        <f>-PMT($D$2240/$D$2242,21,$F$2252,,0)</f>
        <v/>
      </c>
      <c r="H2268" s="319">
        <f>$D$2240/$D$2242*F2268</f>
        <v/>
      </c>
      <c r="I2268" s="319">
        <f>G2268-H2268</f>
        <v/>
      </c>
      <c r="J2268" s="319">
        <f>F2268-I2268</f>
        <v/>
      </c>
      <c r="K2268" s="516" t="n"/>
      <c r="L2268" s="516">
        <f>L2267+G2268-K2268</f>
        <v/>
      </c>
    </row>
    <row r="2269">
      <c r="B2269" s="1" t="n">
        <v>21</v>
      </c>
      <c r="C2269" s="24" t="n">
        <v>45413</v>
      </c>
      <c r="D2269" s="24" t="n">
        <v>45443</v>
      </c>
      <c r="E2269" s="25">
        <f>D2269-C2269+1</f>
        <v/>
      </c>
      <c r="F2269" s="319">
        <f>J2268</f>
        <v/>
      </c>
      <c r="G2269" s="390">
        <f>-PMT($D$2240/$D$2242,21,$F$2252,,0)</f>
        <v/>
      </c>
      <c r="H2269" s="319">
        <f>$D$2240/$D$2242*F2269</f>
        <v/>
      </c>
      <c r="I2269" s="319">
        <f>G2269-H2269</f>
        <v/>
      </c>
      <c r="J2269" s="319">
        <f>F2269-I2269</f>
        <v/>
      </c>
      <c r="K2269" s="516" t="n"/>
      <c r="L2269" s="516">
        <f>L2268+G2269-K2269</f>
        <v/>
      </c>
    </row>
    <row r="2270">
      <c r="B2270" s="1" t="n">
        <v>22</v>
      </c>
      <c r="C2270" s="24" t="n">
        <v>45444</v>
      </c>
      <c r="D2270" s="24" t="n">
        <v>45473</v>
      </c>
      <c r="E2270" s="25">
        <f>D2270-C2270+1</f>
        <v/>
      </c>
      <c r="F2270" s="319">
        <f>J2269</f>
        <v/>
      </c>
      <c r="G2270" s="319">
        <f>-PMT($D$2240/$D$2242,21,$F$2252,,0)</f>
        <v/>
      </c>
      <c r="H2270" s="319">
        <f>$D$2240/$D$2242*F2270</f>
        <v/>
      </c>
      <c r="I2270" s="319">
        <f>G2270-H2270</f>
        <v/>
      </c>
      <c r="J2270" s="319">
        <f>F2270-I2270</f>
        <v/>
      </c>
      <c r="K2270" s="516" t="n"/>
      <c r="L2270" s="516">
        <f>L2269+G2270-K2270</f>
        <v/>
      </c>
    </row>
    <row r="2271">
      <c r="B2271" s="1" t="n">
        <v>23</v>
      </c>
      <c r="C2271" s="24" t="n">
        <v>45474</v>
      </c>
      <c r="D2271" s="24" t="n">
        <v>45504</v>
      </c>
      <c r="E2271" s="25">
        <f>D2271-C2271+1</f>
        <v/>
      </c>
      <c r="F2271" s="319">
        <f>J2270</f>
        <v/>
      </c>
      <c r="G2271" s="319">
        <f>-PMT($D$2240/$D$2242,21,$F$2252,,0)</f>
        <v/>
      </c>
      <c r="H2271" s="319">
        <f>$D$2240/$D$2242*F2271</f>
        <v/>
      </c>
      <c r="I2271" s="319">
        <f>G2271-H2271</f>
        <v/>
      </c>
      <c r="J2271" s="319">
        <f>F2271-I2271</f>
        <v/>
      </c>
      <c r="K2271" s="516">
        <f>3000000+2000000</f>
        <v/>
      </c>
      <c r="L2271" s="516">
        <f>L2270+G2271-K2271</f>
        <v/>
      </c>
    </row>
    <row r="2272">
      <c r="B2272" s="1" t="n">
        <v>24</v>
      </c>
      <c r="C2272" s="24" t="n">
        <v>45505</v>
      </c>
      <c r="D2272" s="24" t="n">
        <v>45535</v>
      </c>
      <c r="E2272" s="25">
        <f>D2272-C2272+1</f>
        <v/>
      </c>
      <c r="F2272" s="319">
        <f>J2271</f>
        <v/>
      </c>
      <c r="G2272" s="319">
        <f>-PMT($D$2240/$D$2242,21,$F$2252,,0)</f>
        <v/>
      </c>
      <c r="H2272" s="319">
        <f>$D$2240/$D$2242*F2272</f>
        <v/>
      </c>
      <c r="I2272" s="319">
        <f>G2272-H2272</f>
        <v/>
      </c>
      <c r="J2272" s="319">
        <f>F2272-I2272</f>
        <v/>
      </c>
      <c r="K2272" s="516">
        <f>250000+250000+250000+250000+250000+250000+250000+250000+250000+250000</f>
        <v/>
      </c>
      <c r="L2272" s="524">
        <f>L2271+G2272-K2272</f>
        <v/>
      </c>
    </row>
    <row r="2273">
      <c r="B2273" s="1" t="n"/>
      <c r="C2273" s="24" t="n"/>
      <c r="D2273" s="24" t="n"/>
      <c r="E2273" s="25" t="n"/>
      <c r="F2273" s="319" t="n"/>
      <c r="G2273" s="319" t="n"/>
      <c r="H2273" s="319" t="n"/>
      <c r="I2273" s="319" t="n"/>
      <c r="J2273" s="319" t="n"/>
      <c r="K2273" s="516" t="n"/>
      <c r="L2273" s="516" t="n"/>
    </row>
    <row r="2274" ht="14.25" customHeight="1">
      <c r="B2274" s="1" t="n"/>
      <c r="C2274" s="1" t="n"/>
      <c r="D2274" s="1" t="n"/>
      <c r="E2274" s="30">
        <f>SUM(E2248:E2260)</f>
        <v/>
      </c>
      <c r="F2274" s="319" t="n"/>
      <c r="G2274" s="319" t="n"/>
      <c r="H2274" s="319" t="n"/>
      <c r="I2274" s="319" t="n"/>
      <c r="J2274" s="319" t="n"/>
      <c r="K2274" s="1" t="n"/>
      <c r="L2274" s="1" t="n"/>
    </row>
    <row r="2278">
      <c r="B2278" s="1" t="n"/>
      <c r="C2278" s="9" t="inlineStr">
        <is>
          <t>Zikometso</t>
        </is>
      </c>
      <c r="D2278" s="319" t="n"/>
      <c r="E2278" s="319" t="n"/>
      <c r="F2278" s="319" t="n"/>
      <c r="G2278" s="319" t="n"/>
      <c r="H2278" s="319" t="n"/>
      <c r="I2278" s="319" t="n"/>
      <c r="J2278" s="319" t="n"/>
      <c r="K2278" s="319" t="n"/>
      <c r="L2278" s="319" t="n"/>
    </row>
    <row r="2279">
      <c r="B2279" s="1" t="n"/>
      <c r="C2279" s="1" t="inlineStr">
        <is>
          <t>First draw down</t>
        </is>
      </c>
      <c r="D2279" s="319" t="n"/>
      <c r="E2279" s="319" t="n"/>
      <c r="F2279" s="319" t="inlineStr">
        <is>
          <t>Second draw down</t>
        </is>
      </c>
      <c r="G2279" s="319" t="n"/>
      <c r="H2279" s="319" t="n"/>
      <c r="I2279" s="319" t="n"/>
      <c r="J2279" s="319" t="n"/>
      <c r="K2279" s="319" t="n"/>
      <c r="L2279" s="319" t="n"/>
      <c r="R2279" s="514" t="inlineStr">
        <is>
          <t>E-Banker account (Dupleix)</t>
        </is>
      </c>
      <c r="S2279" s="495">
        <f>IFERROR(INDEX('Blocks'!$I$2:$I$101,MATCH(41,'Blocks'!$A$2:$A$101,0)),"")</f>
        <v/>
      </c>
    </row>
    <row r="2280">
      <c r="B2280" s="1" t="n"/>
      <c r="C2280" s="10" t="inlineStr">
        <is>
          <t>Principal (MK)</t>
        </is>
      </c>
      <c r="D2280" s="11" t="n">
        <v>11423340</v>
      </c>
      <c r="E2280" s="319" t="n"/>
      <c r="F2280" s="319" t="n"/>
      <c r="G2280" s="319" t="n"/>
      <c r="H2280" s="319" t="n"/>
      <c r="I2280" s="319" t="n"/>
      <c r="J2280" s="319" t="n"/>
      <c r="K2280" s="319" t="n"/>
      <c r="L2280" s="319" t="n"/>
      <c r="R2280" s="514" t="inlineStr">
        <is>
          <t>Facility (Loan Book)</t>
        </is>
      </c>
      <c r="S2280" s="495">
        <f>IFERROR(INDEX('Blocks'!$H$2:$H$101,MATCH(41,'Blocks'!$A$2:$A$101,0)),"")</f>
        <v/>
      </c>
    </row>
    <row r="2281">
      <c r="B2281" s="1" t="n"/>
      <c r="C2281" s="13" t="inlineStr">
        <is>
          <t>Rate</t>
        </is>
      </c>
      <c r="D2281" s="14" t="n">
        <v>0.1</v>
      </c>
      <c r="E2281" s="257" t="n"/>
      <c r="F2281" s="319" t="n"/>
      <c r="G2281" s="319" t="n"/>
      <c r="H2281" s="319" t="n"/>
      <c r="I2281" s="319" t="n"/>
      <c r="J2281" s="319" t="n"/>
      <c r="K2281" s="319" t="n"/>
      <c r="L2281" s="319" t="n"/>
      <c r="R2281" s="514" t="inlineStr">
        <is>
          <t>Take-on posting 31 Jul 2024</t>
        </is>
      </c>
      <c r="S2281" s="496">
        <f>IFERROR(INDEX('E-Banker master'!$N$2:$N$186,MATCH(S2279,'E-Banker master'!$A$2:$A$186,0)),"")</f>
        <v/>
      </c>
    </row>
    <row r="2282">
      <c r="B2282" s="1" t="n"/>
      <c r="C2282" s="13" t="inlineStr">
        <is>
          <t>n</t>
        </is>
      </c>
      <c r="D2282" s="16" t="n">
        <v>2</v>
      </c>
      <c r="E2282" s="1" t="n"/>
      <c r="F2282" s="319" t="n"/>
      <c r="G2282" s="319" t="n"/>
      <c r="H2282" s="319" t="n"/>
      <c r="I2282" s="319" t="n"/>
      <c r="J2282" s="319" t="n"/>
      <c r="K2282" s="1" t="n"/>
      <c r="L2282" s="1" t="n"/>
      <c r="R2282" s="514" t="inlineStr">
        <is>
          <t>E-Banker balance 31 Oct 2024</t>
        </is>
      </c>
      <c r="S2282" s="496">
        <f>IFERROR(INDEX('E-Banker master'!$P$2:$P$186,MATCH(S2279,'E-Banker master'!$A$2:$A$186,0)),"")</f>
        <v/>
      </c>
    </row>
    <row r="2283">
      <c r="B2283" s="1" t="n"/>
      <c r="C2283" s="13" t="inlineStr">
        <is>
          <t>Per</t>
        </is>
      </c>
      <c r="D2283" s="16" t="n">
        <v>12</v>
      </c>
      <c r="E2283" s="1" t="n"/>
      <c r="F2283" s="319" t="n"/>
      <c r="G2283" s="319" t="n"/>
      <c r="H2283" s="319" t="n"/>
      <c r="I2283" s="319" t="n"/>
      <c r="J2283" s="319" t="n"/>
      <c r="K2283" s="1" t="n"/>
      <c r="L2283" s="1" t="n"/>
    </row>
    <row r="2284">
      <c r="B2284" s="1" t="n"/>
      <c r="C2284" s="13" t="inlineStr">
        <is>
          <t>nPer</t>
        </is>
      </c>
      <c r="D2284" s="515">
        <f>D2282*D2283</f>
        <v/>
      </c>
      <c r="E2284" s="1" t="n"/>
      <c r="F2284" s="319" t="n"/>
      <c r="G2284" s="319" t="n"/>
      <c r="H2284" s="319" t="n"/>
      <c r="I2284" s="319" t="n"/>
      <c r="J2284" s="319" t="n"/>
      <c r="K2284" s="1" t="n"/>
      <c r="L2284" s="1" t="n"/>
    </row>
    <row r="2285">
      <c r="B2285" s="1" t="n"/>
      <c r="C2285" s="13" t="inlineStr">
        <is>
          <t>Days in a year</t>
        </is>
      </c>
      <c r="D2285" s="18" t="n">
        <v>365</v>
      </c>
      <c r="E2285" s="1" t="n"/>
      <c r="F2285" s="319" t="n"/>
      <c r="G2285" s="319" t="n"/>
      <c r="H2285" s="319" t="n"/>
      <c r="I2285" s="319" t="n"/>
      <c r="J2285" s="319" t="n"/>
      <c r="K2285" s="1" t="n"/>
      <c r="L2285" s="1" t="n"/>
    </row>
    <row r="2286">
      <c r="B2286" s="1" t="n"/>
      <c r="C2286" s="19" t="inlineStr">
        <is>
          <t>Pmt (MK)</t>
        </is>
      </c>
      <c r="D2286" s="20">
        <f>-PMT(D2281/D2283,D2284,D2280,0,0)</f>
        <v/>
      </c>
      <c r="E2286" s="319" t="n"/>
      <c r="F2286" s="319" t="n"/>
      <c r="G2286" s="319" t="n"/>
      <c r="H2286" s="319" t="n"/>
      <c r="I2286" s="319" t="n"/>
      <c r="J2286" s="319" t="n"/>
      <c r="K2286" s="1" t="n"/>
      <c r="L2286" s="1" t="n"/>
    </row>
    <row r="2287">
      <c r="B2287" s="1" t="n"/>
      <c r="C2287" s="1" t="n"/>
      <c r="D2287" s="319" t="n"/>
      <c r="E2287" s="319" t="n"/>
      <c r="F2287" s="319" t="n"/>
      <c r="G2287" s="319" t="n"/>
      <c r="H2287" s="319" t="n"/>
      <c r="I2287" s="319" t="n"/>
      <c r="J2287" s="319" t="n"/>
      <c r="K2287" s="1" t="n"/>
      <c r="L2287" s="1" t="n"/>
    </row>
    <row r="2288">
      <c r="B2288" s="1" t="n"/>
      <c r="C2288" s="21" t="inlineStr">
        <is>
          <t>Period Start</t>
        </is>
      </c>
      <c r="D2288" s="22" t="inlineStr">
        <is>
          <t>Period End</t>
        </is>
      </c>
      <c r="E2288" s="22" t="inlineStr">
        <is>
          <t>Days</t>
        </is>
      </c>
      <c r="F2288" s="294" t="inlineStr">
        <is>
          <t>Opening bal.</t>
        </is>
      </c>
      <c r="G2288" s="294" t="inlineStr">
        <is>
          <t>Pmt</t>
        </is>
      </c>
      <c r="H2288" s="294" t="inlineStr">
        <is>
          <t>Interest</t>
        </is>
      </c>
      <c r="I2288" s="294" t="inlineStr">
        <is>
          <t>Principal</t>
        </is>
      </c>
      <c r="J2288" s="294" t="inlineStr">
        <is>
          <t>Closing balance</t>
        </is>
      </c>
      <c r="K2288" s="23" t="inlineStr">
        <is>
          <t>Amount Repaid</t>
        </is>
      </c>
      <c r="L2288" s="23" t="inlineStr">
        <is>
          <t>Accumulated Arrears</t>
        </is>
      </c>
    </row>
    <row r="2289">
      <c r="B2289" s="1" t="n">
        <v>0</v>
      </c>
      <c r="C2289" s="24" t="n">
        <v>44775</v>
      </c>
      <c r="D2289" s="24" t="n">
        <v>44804</v>
      </c>
      <c r="E2289" s="25">
        <f>D2289-C2289+1</f>
        <v/>
      </c>
      <c r="F2289" s="319">
        <f>D2280</f>
        <v/>
      </c>
      <c r="G2289" s="319" t="n"/>
      <c r="H2289" s="319">
        <f>($D$2200/$D$2202*F2289*E2289/31)+(F2280*D2281/D2283*19/31)</f>
        <v/>
      </c>
      <c r="I2289" s="319">
        <f>G2289-H2289</f>
        <v/>
      </c>
      <c r="J2289" s="319">
        <f>F2289+F2280-I2289</f>
        <v/>
      </c>
      <c r="K2289" s="516" t="n"/>
      <c r="L2289" s="516" t="n"/>
    </row>
    <row r="2290">
      <c r="B2290" s="1" t="n">
        <v>1</v>
      </c>
      <c r="C2290" s="24" t="n">
        <v>44805</v>
      </c>
      <c r="D2290" s="24" t="n">
        <v>44834</v>
      </c>
      <c r="E2290" s="25">
        <f>D2290-C2290+1</f>
        <v/>
      </c>
      <c r="F2290" s="319">
        <f>J2289</f>
        <v/>
      </c>
      <c r="G2290" s="319" t="n"/>
      <c r="H2290" s="319">
        <f>$D$2281/$D$2283*F2290</f>
        <v/>
      </c>
      <c r="I2290" s="319">
        <f>G2290-H2290</f>
        <v/>
      </c>
      <c r="J2290" s="319">
        <f>F2290-I2290</f>
        <v/>
      </c>
      <c r="K2290" s="516" t="n"/>
      <c r="L2290" s="516" t="n"/>
    </row>
    <row r="2291">
      <c r="B2291" s="1" t="n">
        <v>2</v>
      </c>
      <c r="C2291" s="24" t="n">
        <v>44835</v>
      </c>
      <c r="D2291" s="24" t="n">
        <v>44865</v>
      </c>
      <c r="E2291" s="25">
        <f>D2291-C2291+1</f>
        <v/>
      </c>
      <c r="F2291" s="319">
        <f>J2290</f>
        <v/>
      </c>
      <c r="G2291" s="319" t="n"/>
      <c r="H2291" s="319">
        <f>$D$2281/$D$2283*F2291</f>
        <v/>
      </c>
      <c r="I2291" s="319">
        <f>G2291-H2291</f>
        <v/>
      </c>
      <c r="J2291" s="319">
        <f>F2291-I2291</f>
        <v/>
      </c>
    </row>
    <row r="2292">
      <c r="B2292" s="1" t="n">
        <v>3</v>
      </c>
      <c r="C2292" s="24" t="n">
        <v>44866</v>
      </c>
      <c r="D2292" s="24" t="n">
        <v>44895</v>
      </c>
      <c r="E2292" s="25">
        <f>D2292-C2292+1</f>
        <v/>
      </c>
      <c r="F2292" s="319">
        <f>J2291</f>
        <v/>
      </c>
      <c r="G2292" s="319" t="n"/>
      <c r="H2292" s="319">
        <f>$D$2281/$D$2283*F2292</f>
        <v/>
      </c>
      <c r="I2292" s="319">
        <f>G2292-H2292</f>
        <v/>
      </c>
      <c r="J2292" s="319">
        <f>F2292-I2292</f>
        <v/>
      </c>
      <c r="K2292" s="516" t="n"/>
      <c r="L2292" s="516" t="n"/>
    </row>
    <row r="2293">
      <c r="B2293" s="1" t="n">
        <v>4</v>
      </c>
      <c r="C2293" s="24" t="n">
        <v>44896</v>
      </c>
      <c r="D2293" s="24" t="n">
        <v>44926</v>
      </c>
      <c r="E2293" s="25">
        <f>D2293-C2293+1</f>
        <v/>
      </c>
      <c r="F2293" s="319">
        <f>J2292</f>
        <v/>
      </c>
      <c r="G2293" s="319">
        <f>-PMT($D$2281/$D$2283,21,$F$2293,,0)</f>
        <v/>
      </c>
      <c r="H2293" s="319">
        <f>$D$2281/$D$2283*F2293</f>
        <v/>
      </c>
      <c r="I2293" s="319">
        <f>G2293-H2293</f>
        <v/>
      </c>
      <c r="J2293" s="319">
        <f>F2293-I2293</f>
        <v/>
      </c>
      <c r="K2293" s="516" t="n"/>
      <c r="L2293" s="516">
        <f>G2293</f>
        <v/>
      </c>
    </row>
    <row r="2294">
      <c r="B2294" s="1" t="n">
        <v>5</v>
      </c>
      <c r="C2294" s="24" t="n">
        <v>44927</v>
      </c>
      <c r="D2294" s="24" t="n">
        <v>44957</v>
      </c>
      <c r="E2294" s="25">
        <f>D2294-C2294+1</f>
        <v/>
      </c>
      <c r="F2294" s="319">
        <f>J2293</f>
        <v/>
      </c>
      <c r="G2294" s="319">
        <f>-PMT($D$2281/$D$2283,21,$F$2293,,0)</f>
        <v/>
      </c>
      <c r="H2294" s="319">
        <f>$D$2281/$D$2283*F2294</f>
        <v/>
      </c>
      <c r="I2294" s="319">
        <f>G2294-H2294</f>
        <v/>
      </c>
      <c r="J2294" s="319">
        <f>F2294-I2294</f>
        <v/>
      </c>
      <c r="K2294" s="516" t="n"/>
      <c r="L2294" s="516">
        <f>L2293+G2294-K2294</f>
        <v/>
      </c>
    </row>
    <row r="2295">
      <c r="B2295" s="1" t="n">
        <v>6</v>
      </c>
      <c r="C2295" s="24" t="n">
        <v>44958</v>
      </c>
      <c r="D2295" s="24" t="n">
        <v>44985</v>
      </c>
      <c r="E2295" s="25">
        <f>D2295-C2295+1</f>
        <v/>
      </c>
      <c r="F2295" s="319">
        <f>J2294</f>
        <v/>
      </c>
      <c r="G2295" s="319">
        <f>-PMT($D$2281/$D$2283,21,$F$2293,,0)</f>
        <v/>
      </c>
      <c r="H2295" s="319">
        <f>$D$2281/$D$2283*F2295</f>
        <v/>
      </c>
      <c r="I2295" s="319">
        <f>G2295-H2295</f>
        <v/>
      </c>
      <c r="J2295" s="319">
        <f>F2295-I2295</f>
        <v/>
      </c>
      <c r="K2295" s="516" t="n">
        <v>615150</v>
      </c>
      <c r="L2295" s="516">
        <f>L2294+G2295-K2295</f>
        <v/>
      </c>
    </row>
    <row r="2296">
      <c r="B2296" s="1" t="n">
        <v>7</v>
      </c>
      <c r="C2296" s="24" t="n">
        <v>44986</v>
      </c>
      <c r="D2296" s="24" t="n">
        <v>45016</v>
      </c>
      <c r="E2296" s="25">
        <f>D2296-C2296+1</f>
        <v/>
      </c>
      <c r="F2296" s="319">
        <f>J2295</f>
        <v/>
      </c>
      <c r="G2296" s="319">
        <f>-PMT($D$2281/$D$2283,21,$F$2293,,0)</f>
        <v/>
      </c>
      <c r="H2296" s="319">
        <f>$D$2281/$D$2283*F2296</f>
        <v/>
      </c>
      <c r="I2296" s="319">
        <f>G2296-H2296</f>
        <v/>
      </c>
      <c r="J2296" s="319">
        <f>F2296-I2296</f>
        <v/>
      </c>
      <c r="K2296" s="516">
        <f>615150+615150</f>
        <v/>
      </c>
      <c r="L2296" s="516">
        <f>L2295+G2296-K2296</f>
        <v/>
      </c>
    </row>
    <row r="2297">
      <c r="B2297" s="1" t="n">
        <v>8</v>
      </c>
      <c r="C2297" s="24" t="n">
        <v>45017</v>
      </c>
      <c r="D2297" s="24" t="n">
        <v>45046</v>
      </c>
      <c r="E2297" s="25">
        <f>D2297-C2297+1</f>
        <v/>
      </c>
      <c r="F2297" s="319">
        <f>J2296</f>
        <v/>
      </c>
      <c r="G2297" s="319">
        <f>-PMT($D$2281/$D$2283,21,$F$2293,,0)</f>
        <v/>
      </c>
      <c r="H2297" s="319">
        <f>$D$2281/$D$2283*F2297</f>
        <v/>
      </c>
      <c r="I2297" s="319">
        <f>G2297-H2297</f>
        <v/>
      </c>
      <c r="J2297" s="319">
        <f>F2297-I2297</f>
        <v/>
      </c>
      <c r="K2297" s="516" t="n">
        <v>615150</v>
      </c>
      <c r="L2297" s="516">
        <f>L2296+G2297-K2297</f>
        <v/>
      </c>
    </row>
    <row r="2298">
      <c r="B2298" s="1" t="n">
        <v>9</v>
      </c>
      <c r="C2298" s="24" t="n">
        <v>45047</v>
      </c>
      <c r="D2298" s="24" t="n">
        <v>45077</v>
      </c>
      <c r="E2298" s="25">
        <f>D2298-C2298+1</f>
        <v/>
      </c>
      <c r="F2298" s="319">
        <f>J2297</f>
        <v/>
      </c>
      <c r="G2298" s="319">
        <f>-PMT($D$2281/$D$2283,21,$F$2293,,0)</f>
        <v/>
      </c>
      <c r="H2298" s="319">
        <f>$D$2281/$D$2283*F2298</f>
        <v/>
      </c>
      <c r="I2298" s="319">
        <f>G2298-H2298</f>
        <v/>
      </c>
      <c r="J2298" s="319">
        <f>F2298-I2298</f>
        <v/>
      </c>
      <c r="K2298" s="516" t="n">
        <v>615150</v>
      </c>
      <c r="L2298" s="516">
        <f>L2297+G2298-K2298</f>
        <v/>
      </c>
    </row>
    <row r="2299">
      <c r="B2299" s="1" t="n">
        <v>10</v>
      </c>
      <c r="C2299" s="24" t="n">
        <v>45078</v>
      </c>
      <c r="D2299" s="24" t="n">
        <v>45107</v>
      </c>
      <c r="E2299" s="25">
        <f>D2299-C2299+1</f>
        <v/>
      </c>
      <c r="F2299" s="319">
        <f>J2298</f>
        <v/>
      </c>
      <c r="G2299" s="319">
        <f>-PMT($D$2281/$D$2283,21,$F$2293,,0)</f>
        <v/>
      </c>
      <c r="H2299" s="319">
        <f>$D$2281/$D$2283*F2299</f>
        <v/>
      </c>
      <c r="I2299" s="319">
        <f>G2299-H2299</f>
        <v/>
      </c>
      <c r="J2299" s="319">
        <f>F2299-I2299</f>
        <v/>
      </c>
      <c r="K2299" s="516" t="n">
        <v>615150</v>
      </c>
      <c r="L2299" s="519">
        <f>L2298+G2299-K2299</f>
        <v/>
      </c>
    </row>
    <row r="2300">
      <c r="B2300" s="1" t="n">
        <v>11</v>
      </c>
      <c r="C2300" s="24" t="n">
        <v>45108</v>
      </c>
      <c r="D2300" s="24" t="n">
        <v>45138</v>
      </c>
      <c r="E2300" s="25">
        <f>D2300-C2300+1</f>
        <v/>
      </c>
      <c r="F2300" s="319">
        <f>J2299</f>
        <v/>
      </c>
      <c r="G2300" s="319">
        <f>-PMT($D$2281/$D$2283,21,$F$2293,,0)</f>
        <v/>
      </c>
      <c r="H2300" s="319">
        <f>$D$2281/$D$2283*F2300</f>
        <v/>
      </c>
      <c r="I2300" s="319">
        <f>G2300-H2300</f>
        <v/>
      </c>
      <c r="J2300" s="319">
        <f>F2300-I2300</f>
        <v/>
      </c>
      <c r="K2300" s="516">
        <f>615150+615150</f>
        <v/>
      </c>
      <c r="L2300" s="516">
        <f>L2299+G2300-K2300</f>
        <v/>
      </c>
    </row>
    <row r="2301">
      <c r="B2301" s="1" t="n">
        <v>12</v>
      </c>
      <c r="C2301" s="24" t="n">
        <v>45139</v>
      </c>
      <c r="D2301" s="24" t="n">
        <v>45169</v>
      </c>
      <c r="E2301" s="25">
        <f>D2301-C2301+1</f>
        <v/>
      </c>
      <c r="F2301" s="319">
        <f>J2300</f>
        <v/>
      </c>
      <c r="G2301" s="319">
        <f>-PMT($D$2281/$D$2283,21,$F$2293,,0)</f>
        <v/>
      </c>
      <c r="H2301" s="319">
        <f>$D$2281/$D$2283*F2301</f>
        <v/>
      </c>
      <c r="I2301" s="319">
        <f>G2301-H2301</f>
        <v/>
      </c>
      <c r="J2301" s="319">
        <f>F2301-I2301</f>
        <v/>
      </c>
      <c r="K2301" s="516" t="n">
        <v>0</v>
      </c>
      <c r="L2301" s="516">
        <f>L2300+G2301-K2301</f>
        <v/>
      </c>
    </row>
    <row r="2302">
      <c r="B2302" s="1" t="n">
        <v>13</v>
      </c>
      <c r="C2302" s="24" t="n">
        <v>45170</v>
      </c>
      <c r="D2302" s="24" t="n">
        <v>45199</v>
      </c>
      <c r="E2302" s="25">
        <f>D2302-C2302+1</f>
        <v/>
      </c>
      <c r="F2302" s="319">
        <f>J2301</f>
        <v/>
      </c>
      <c r="G2302" s="319">
        <f>-PMT($D$2281/$D$2283,21,$F$2293,,0)</f>
        <v/>
      </c>
      <c r="H2302" s="319">
        <f>$D$2281/$D$2283*F2302</f>
        <v/>
      </c>
      <c r="I2302" s="319">
        <f>G2302-H2302</f>
        <v/>
      </c>
      <c r="J2302" s="319">
        <f>F2302-I2302</f>
        <v/>
      </c>
      <c r="K2302" s="516" t="n">
        <v>615150</v>
      </c>
      <c r="L2302" s="516">
        <f>L2301+G2302-K2302</f>
        <v/>
      </c>
    </row>
    <row r="2303">
      <c r="B2303" s="1" t="n">
        <v>14</v>
      </c>
      <c r="C2303" s="24" t="n">
        <v>45200</v>
      </c>
      <c r="D2303" s="24" t="n">
        <v>45230</v>
      </c>
      <c r="E2303" s="25">
        <f>D2303-C2303+1</f>
        <v/>
      </c>
      <c r="F2303" s="319">
        <f>J2302</f>
        <v/>
      </c>
      <c r="G2303" s="319">
        <f>-PMT($D$2281/$D$2283,21,$F$2293,,0)</f>
        <v/>
      </c>
      <c r="H2303" s="319">
        <f>$D$2281/$D$2283*F2303</f>
        <v/>
      </c>
      <c r="I2303" s="319">
        <f>G2303-H2303</f>
        <v/>
      </c>
      <c r="J2303" s="319">
        <f>F2303-I2303</f>
        <v/>
      </c>
      <c r="K2303" s="516" t="n">
        <v>615150</v>
      </c>
      <c r="L2303" s="516">
        <f>L2302+G2303-K2303</f>
        <v/>
      </c>
    </row>
    <row r="2304">
      <c r="B2304" s="1" t="n">
        <v>15</v>
      </c>
      <c r="C2304" s="24" t="n">
        <v>45231</v>
      </c>
      <c r="D2304" s="24" t="n">
        <v>45260</v>
      </c>
      <c r="E2304" s="25">
        <f>D2304-C2304+1</f>
        <v/>
      </c>
      <c r="F2304" s="319">
        <f>J2303</f>
        <v/>
      </c>
      <c r="G2304" s="319">
        <f>-PMT($D$2281/$D$2283,21,$F$2293,,0)</f>
        <v/>
      </c>
      <c r="H2304" s="319">
        <f>$D$2281/$D$2283*F2304</f>
        <v/>
      </c>
      <c r="I2304" s="319">
        <f>G2304-H2304</f>
        <v/>
      </c>
      <c r="J2304" s="319">
        <f>F2304-I2304</f>
        <v/>
      </c>
      <c r="K2304" s="516">
        <f>615150+615150</f>
        <v/>
      </c>
      <c r="L2304" s="516">
        <f>L2303+G2304-K2304</f>
        <v/>
      </c>
    </row>
    <row r="2305">
      <c r="B2305" s="1" t="n">
        <v>16</v>
      </c>
      <c r="C2305" s="24" t="n">
        <v>45261</v>
      </c>
      <c r="D2305" s="24" t="n">
        <v>45291</v>
      </c>
      <c r="E2305" s="25">
        <f>D2305-C2305+1</f>
        <v/>
      </c>
      <c r="F2305" s="319">
        <f>J2304</f>
        <v/>
      </c>
      <c r="G2305" s="319">
        <f>-PMT($D$2281/$D$2283,21,$F$2293,,0)</f>
        <v/>
      </c>
      <c r="H2305" s="319">
        <f>$D$2281/$D$2283*F2305</f>
        <v/>
      </c>
      <c r="I2305" s="319">
        <f>G2305-H2305</f>
        <v/>
      </c>
      <c r="J2305" s="319">
        <f>F2305-I2305</f>
        <v/>
      </c>
      <c r="K2305" s="533" t="n">
        <v>-615150</v>
      </c>
      <c r="L2305" s="516">
        <f>L2304+G2305-K2305</f>
        <v/>
      </c>
    </row>
    <row r="2306">
      <c r="B2306" s="1" t="n">
        <v>17</v>
      </c>
      <c r="C2306" s="24" t="n">
        <v>45292</v>
      </c>
      <c r="D2306" s="24" t="n">
        <v>45322</v>
      </c>
      <c r="E2306" s="25">
        <f>D2306-C2306+1</f>
        <v/>
      </c>
      <c r="F2306" s="319">
        <f>J2305</f>
        <v/>
      </c>
      <c r="G2306" s="319">
        <f>-PMT($D$2281/$D$2283,21,$F$2293,,0)</f>
        <v/>
      </c>
      <c r="H2306" s="319">
        <f>$D$2281/$D$2283*F2306</f>
        <v/>
      </c>
      <c r="I2306" s="319">
        <f>G2306-H2306</f>
        <v/>
      </c>
      <c r="J2306" s="319">
        <f>F2306-I2306</f>
        <v/>
      </c>
      <c r="K2306" s="516" t="n">
        <v>615150</v>
      </c>
      <c r="L2306" s="516">
        <f>L2305+G2306-K2306</f>
        <v/>
      </c>
    </row>
    <row r="2307">
      <c r="B2307" s="1" t="n">
        <v>18</v>
      </c>
      <c r="C2307" s="24" t="n">
        <v>45323</v>
      </c>
      <c r="D2307" s="24" t="n">
        <v>45351</v>
      </c>
      <c r="E2307" s="25">
        <f>D2307-C2307+1</f>
        <v/>
      </c>
      <c r="F2307" s="319">
        <f>J2306</f>
        <v/>
      </c>
      <c r="G2307" s="319">
        <f>-PMT($D$2281/$D$2283,21,$F$2293,,0)</f>
        <v/>
      </c>
      <c r="H2307" s="319">
        <f>$D$2281/$D$2283*F2307</f>
        <v/>
      </c>
      <c r="I2307" s="319">
        <f>G2307-H2307</f>
        <v/>
      </c>
      <c r="J2307" s="319">
        <f>F2307-I2307</f>
        <v/>
      </c>
      <c r="K2307" s="516" t="n">
        <v>1230274</v>
      </c>
      <c r="L2307" s="516">
        <f>L2306+G2307-K2307</f>
        <v/>
      </c>
    </row>
    <row r="2308">
      <c r="B2308" s="1" t="n">
        <v>19</v>
      </c>
      <c r="C2308" s="24" t="n">
        <v>45352</v>
      </c>
      <c r="D2308" s="24" t="n">
        <v>45382</v>
      </c>
      <c r="E2308" s="25">
        <f>D2308-C2308+1</f>
        <v/>
      </c>
      <c r="F2308" s="319">
        <f>J2307</f>
        <v/>
      </c>
      <c r="G2308" s="319">
        <f>-PMT($D$2281/$D$2283,21,$F$2293,,0)</f>
        <v/>
      </c>
      <c r="H2308" s="319">
        <f>$D$2281/$D$2283*F2308</f>
        <v/>
      </c>
      <c r="I2308" s="319">
        <f>G2308-H2308</f>
        <v/>
      </c>
      <c r="J2308" s="319">
        <f>F2308-I2308</f>
        <v/>
      </c>
      <c r="K2308" s="516" t="n"/>
      <c r="L2308" s="516">
        <f>L2307+G2308-K2308</f>
        <v/>
      </c>
    </row>
    <row r="2309">
      <c r="B2309" s="1" t="n">
        <v>20</v>
      </c>
      <c r="C2309" s="24" t="n">
        <v>45383</v>
      </c>
      <c r="D2309" s="24" t="n">
        <v>45412</v>
      </c>
      <c r="E2309" s="25">
        <f>D2309-C2309+1</f>
        <v/>
      </c>
      <c r="F2309" s="319">
        <f>J2308</f>
        <v/>
      </c>
      <c r="G2309" s="319">
        <f>-PMT($D$2281/$D$2283,21,$F$2293,,0)</f>
        <v/>
      </c>
      <c r="H2309" s="319">
        <f>$D$2281/$D$2283*F2309</f>
        <v/>
      </c>
      <c r="I2309" s="319">
        <f>G2309-H2309</f>
        <v/>
      </c>
      <c r="J2309" s="319">
        <f>F2309-I2309</f>
        <v/>
      </c>
      <c r="K2309" s="516" t="n">
        <v>1230300</v>
      </c>
      <c r="L2309" s="516">
        <f>L2308+G2309-K2309</f>
        <v/>
      </c>
    </row>
    <row r="2310">
      <c r="B2310" s="1" t="n">
        <v>21</v>
      </c>
      <c r="C2310" s="24" t="n">
        <v>45413</v>
      </c>
      <c r="D2310" s="24" t="n">
        <v>45443</v>
      </c>
      <c r="E2310" s="25">
        <f>D2310-C2310+1</f>
        <v/>
      </c>
      <c r="F2310" s="319">
        <f>J2309</f>
        <v/>
      </c>
      <c r="G2310" s="319">
        <f>-PMT($D$2281/$D$2283,21,$F$2293,,0)</f>
        <v/>
      </c>
      <c r="H2310" s="319">
        <f>$D$2281/$D$2283*F2310</f>
        <v/>
      </c>
      <c r="I2310" s="319">
        <f>G2310-H2310</f>
        <v/>
      </c>
      <c r="J2310" s="319">
        <f>F2310-I2310</f>
        <v/>
      </c>
      <c r="K2310" s="516" t="n"/>
      <c r="L2310" s="516">
        <f>L2309+G2310-K2310</f>
        <v/>
      </c>
    </row>
    <row r="2311">
      <c r="B2311" s="1" t="n">
        <v>22</v>
      </c>
      <c r="C2311" s="24" t="n">
        <v>45444</v>
      </c>
      <c r="D2311" s="24" t="n">
        <v>45473</v>
      </c>
      <c r="E2311" s="25">
        <f>D2311-C2311+1</f>
        <v/>
      </c>
      <c r="F2311" s="319">
        <f>J2310</f>
        <v/>
      </c>
      <c r="G2311" s="319">
        <f>-PMT($D$2281/$D$2283,21,$F$2293,,0)</f>
        <v/>
      </c>
      <c r="H2311" s="319">
        <f>$D$2281/$D$2283*F2311</f>
        <v/>
      </c>
      <c r="I2311" s="319">
        <f>G2311-H2311</f>
        <v/>
      </c>
      <c r="J2311" s="319">
        <f>F2311-I2311</f>
        <v/>
      </c>
      <c r="K2311" s="516">
        <f>615150*2</f>
        <v/>
      </c>
      <c r="L2311" s="516">
        <f>L2310+G2311-K2311</f>
        <v/>
      </c>
    </row>
    <row r="2312">
      <c r="B2312" s="1" t="n">
        <v>23</v>
      </c>
      <c r="C2312" s="24" t="n">
        <v>45474</v>
      </c>
      <c r="D2312" s="24" t="n">
        <v>45504</v>
      </c>
      <c r="E2312" s="25">
        <f>D2312-C2312+1</f>
        <v/>
      </c>
      <c r="F2312" s="319">
        <f>J2311</f>
        <v/>
      </c>
      <c r="G2312" s="319">
        <f>-PMT($D$2281/$D$2283,21,$F$2293,,0)</f>
        <v/>
      </c>
      <c r="H2312" s="319">
        <f>$D$2281/$D$2283*F2312</f>
        <v/>
      </c>
      <c r="I2312" s="319">
        <f>G2312-H2312</f>
        <v/>
      </c>
      <c r="J2312" s="319">
        <f>F2312-I2312</f>
        <v/>
      </c>
      <c r="K2312" s="516" t="n">
        <v>612000</v>
      </c>
      <c r="L2312" s="516">
        <f>L2311+G2312-K2312</f>
        <v/>
      </c>
    </row>
    <row r="2313">
      <c r="B2313" s="1" t="n">
        <v>24</v>
      </c>
      <c r="C2313" s="24" t="n">
        <v>45505</v>
      </c>
      <c r="D2313" s="24" t="n">
        <v>45535</v>
      </c>
      <c r="E2313" s="25">
        <f>D2313-C2313+1</f>
        <v/>
      </c>
      <c r="F2313" s="319">
        <f>J2312</f>
        <v/>
      </c>
      <c r="G2313" s="319">
        <f>-PMT($D$2281/$D$2283,21,$F$2293,,0)</f>
        <v/>
      </c>
      <c r="H2313" s="319">
        <f>$D$2281/$D$2283*F2313</f>
        <v/>
      </c>
      <c r="I2313" s="319">
        <f>G2313-H2313</f>
        <v/>
      </c>
      <c r="J2313" s="319">
        <f>F2313-I2313</f>
        <v/>
      </c>
      <c r="K2313" s="516">
        <f>615000+615000+3200</f>
        <v/>
      </c>
      <c r="L2313" s="520">
        <f>L2312+G2313-K2313</f>
        <v/>
      </c>
    </row>
    <row r="2314">
      <c r="B2314" s="1" t="n"/>
      <c r="C2314" s="24" t="n"/>
      <c r="D2314" s="24" t="n"/>
      <c r="E2314" s="25" t="n"/>
      <c r="F2314" s="319" t="n"/>
      <c r="G2314" s="319" t="n"/>
      <c r="H2314" s="319" t="n"/>
      <c r="I2314" s="319" t="n"/>
      <c r="J2314" s="319" t="n"/>
      <c r="K2314" s="516" t="n"/>
      <c r="L2314" s="516" t="n"/>
    </row>
    <row r="2315" ht="14.25" customHeight="1">
      <c r="B2315" s="1" t="n"/>
      <c r="C2315" s="1" t="n"/>
      <c r="D2315" s="1" t="n"/>
      <c r="E2315" s="30">
        <f>SUM(E2289:E2301)</f>
        <v/>
      </c>
      <c r="F2315" s="319" t="n"/>
      <c r="G2315" s="319" t="n"/>
      <c r="H2315" s="319" t="n"/>
      <c r="I2315" s="319" t="n"/>
      <c r="J2315" s="319" t="n"/>
      <c r="K2315" s="1" t="n"/>
      <c r="L2315" s="1" t="n"/>
    </row>
    <row r="2318">
      <c r="B2318" s="1" t="n"/>
      <c r="C2318" s="9" t="inlineStr">
        <is>
          <t>The Food Empire</t>
        </is>
      </c>
      <c r="D2318" s="319" t="n"/>
      <c r="E2318" s="319" t="n"/>
      <c r="F2318" s="319" t="n"/>
      <c r="G2318" s="290" t="inlineStr">
        <is>
          <t>13.9 to 16.6%</t>
        </is>
      </c>
      <c r="H2318" s="319" t="inlineStr">
        <is>
          <t>16.6% to 17.3%</t>
        </is>
      </c>
      <c r="I2318" s="290" t="inlineStr">
        <is>
          <t>17.3% to 20%</t>
        </is>
      </c>
      <c r="J2318" s="290" t="inlineStr">
        <is>
          <t>20% to 21.40%</t>
        </is>
      </c>
      <c r="K2318" s="290" t="inlineStr">
        <is>
          <t>21.40 to 22.70%</t>
        </is>
      </c>
      <c r="L2318" s="290" t="inlineStr">
        <is>
          <t>22.70% to 23.40%</t>
        </is>
      </c>
      <c r="R2318" s="514" t="inlineStr">
        <is>
          <t>E-Banker account (Dupleix)</t>
        </is>
      </c>
      <c r="S2318" s="495">
        <f>IFERROR(INDEX('Blocks'!$I$2:$I$101,MATCH(42,'Blocks'!$A$2:$A$101,0)),"")</f>
        <v/>
      </c>
    </row>
    <row r="2319">
      <c r="B2319" s="1" t="n"/>
      <c r="C2319" s="1" t="n"/>
      <c r="D2319" s="319" t="n"/>
      <c r="E2319" s="319" t="n"/>
      <c r="F2319" s="248" t="n">
        <v>44805</v>
      </c>
      <c r="G2319" s="290" t="n">
        <v>44866</v>
      </c>
      <c r="H2319" s="248" t="n">
        <v>44896</v>
      </c>
      <c r="I2319" s="290" t="n">
        <v>45047</v>
      </c>
      <c r="J2319" s="248" t="n">
        <v>45108</v>
      </c>
      <c r="K2319" s="248" t="n">
        <v>45139</v>
      </c>
      <c r="L2319" s="248" t="n">
        <v>45170</v>
      </c>
      <c r="R2319" s="514" t="inlineStr">
        <is>
          <t>Facility (Loan Book)</t>
        </is>
      </c>
      <c r="S2319" s="495">
        <f>IFERROR(INDEX('Blocks'!$H$2:$H$101,MATCH(42,'Blocks'!$A$2:$A$101,0)),"")</f>
        <v/>
      </c>
    </row>
    <row r="2320">
      <c r="B2320" s="1" t="n"/>
      <c r="C2320" s="10" t="inlineStr">
        <is>
          <t>Principal (MK)</t>
        </is>
      </c>
      <c r="D2320" s="11" t="n">
        <v>154724500</v>
      </c>
      <c r="E2320" s="319" t="n"/>
      <c r="F2320" s="290" t="inlineStr">
        <is>
          <t>Int Adj</t>
        </is>
      </c>
      <c r="G2320" s="290" t="inlineStr">
        <is>
          <t>Rate Adj</t>
        </is>
      </c>
      <c r="H2320" s="290" t="inlineStr">
        <is>
          <t>Rate Adj</t>
        </is>
      </c>
      <c r="I2320" s="290" t="inlineStr">
        <is>
          <t>Rate Adj</t>
        </is>
      </c>
      <c r="J2320" s="290" t="inlineStr">
        <is>
          <t>Rate Adj</t>
        </is>
      </c>
      <c r="K2320" s="290" t="inlineStr">
        <is>
          <t>Rate Adj</t>
        </is>
      </c>
      <c r="L2320" s="290" t="inlineStr">
        <is>
          <t>Rate Adj</t>
        </is>
      </c>
      <c r="R2320" s="514" t="inlineStr">
        <is>
          <t>Take-on posting 31 Jul 2024</t>
        </is>
      </c>
      <c r="S2320" s="496">
        <f>IFERROR(INDEX('E-Banker master'!$N$2:$N$186,MATCH(S2318,'E-Banker master'!$A$2:$A$186,0)),"")</f>
        <v/>
      </c>
    </row>
    <row r="2321">
      <c r="B2321" s="1" t="n"/>
      <c r="C2321" s="13" t="inlineStr">
        <is>
          <t>Rate</t>
        </is>
      </c>
      <c r="D2321" s="14" t="n">
        <v>0.219</v>
      </c>
      <c r="E2321" s="257" t="n"/>
      <c r="F2321" s="257">
        <f>D2321+0.4%</f>
        <v/>
      </c>
      <c r="G2321" s="319">
        <f>F2321+2.7%</f>
        <v/>
      </c>
      <c r="H2321" s="257">
        <f>G2321+0.7%</f>
        <v/>
      </c>
      <c r="I2321" s="319">
        <f>H2321+2.7%</f>
        <v/>
      </c>
      <c r="J2321" s="257">
        <f>I2321+1.4%</f>
        <v/>
      </c>
      <c r="K2321" s="257">
        <f>J2321+1.3%</f>
        <v/>
      </c>
      <c r="L2321" s="279">
        <f>K2321+0.7%</f>
        <v/>
      </c>
      <c r="R2321" s="514" t="inlineStr">
        <is>
          <t>E-Banker balance 31 Oct 2024</t>
        </is>
      </c>
      <c r="S2321" s="496">
        <f>IFERROR(INDEX('E-Banker master'!$P$2:$P$186,MATCH(S2318,'E-Banker master'!$A$2:$A$186,0)),"")</f>
        <v/>
      </c>
    </row>
    <row r="2322">
      <c r="B2322" s="1" t="n"/>
      <c r="C2322" s="13" t="inlineStr">
        <is>
          <t>n</t>
        </is>
      </c>
      <c r="D2322" s="16" t="n">
        <v>4</v>
      </c>
      <c r="E2322" s="1" t="n"/>
      <c r="F2322" s="319" t="n"/>
      <c r="G2322" s="319" t="n"/>
      <c r="H2322" s="319" t="n"/>
      <c r="I2322" s="319" t="n"/>
      <c r="J2322" s="319" t="n"/>
      <c r="K2322" s="1" t="n"/>
      <c r="L2322" s="1" t="n"/>
    </row>
    <row r="2323">
      <c r="B2323" s="1" t="n"/>
      <c r="C2323" s="13" t="inlineStr">
        <is>
          <t>Per</t>
        </is>
      </c>
      <c r="D2323" s="16" t="n">
        <v>12</v>
      </c>
      <c r="E2323" s="1" t="n"/>
      <c r="F2323" s="290" t="inlineStr">
        <is>
          <t>23.40% to 23.50%</t>
        </is>
      </c>
      <c r="G2323" s="290" t="inlineStr">
        <is>
          <t>23.50% to 23.60%</t>
        </is>
      </c>
      <c r="H2323" s="290" t="inlineStr">
        <is>
          <t>23.60% to 24.90%</t>
        </is>
      </c>
      <c r="I2323" s="383" t="inlineStr">
        <is>
          <t>24.90% to 25.00%</t>
        </is>
      </c>
      <c r="J2323" s="383" t="inlineStr">
        <is>
          <t>25% to 25.10%</t>
        </is>
      </c>
      <c r="K2323" s="383" t="inlineStr">
        <is>
          <t>25% to 25.10%</t>
        </is>
      </c>
      <c r="L2323" s="383" t="inlineStr">
        <is>
          <t>25.10% to 25.140%</t>
        </is>
      </c>
    </row>
    <row r="2324">
      <c r="B2324" s="1" t="n"/>
      <c r="C2324" s="13" t="inlineStr">
        <is>
          <t>nPer</t>
        </is>
      </c>
      <c r="D2324" s="515">
        <f>D2322*D2323</f>
        <v/>
      </c>
      <c r="E2324" s="1" t="n"/>
      <c r="F2324" s="248" t="n">
        <v>45200</v>
      </c>
      <c r="G2324" s="290" t="n">
        <v>45261</v>
      </c>
      <c r="H2324" s="248" t="n">
        <v>44958</v>
      </c>
      <c r="I2324" s="384" t="n">
        <v>45413</v>
      </c>
      <c r="J2324" s="384" t="n">
        <v>45444</v>
      </c>
      <c r="K2324" s="384" t="n">
        <v>45444</v>
      </c>
      <c r="L2324" s="384" t="n">
        <v>45444</v>
      </c>
    </row>
    <row r="2325">
      <c r="B2325" s="1" t="n"/>
      <c r="C2325" s="13" t="inlineStr">
        <is>
          <t>Days in a year</t>
        </is>
      </c>
      <c r="D2325" s="18" t="n">
        <v>365</v>
      </c>
      <c r="E2325" s="1" t="n"/>
      <c r="F2325" s="290" t="inlineStr">
        <is>
          <t>Rate Adj</t>
        </is>
      </c>
      <c r="G2325" s="290" t="inlineStr">
        <is>
          <t>Rate Adj</t>
        </is>
      </c>
      <c r="H2325" s="290" t="inlineStr">
        <is>
          <t>Rate Adj</t>
        </is>
      </c>
      <c r="I2325" s="383" t="inlineStr">
        <is>
          <t>Rate Adj</t>
        </is>
      </c>
      <c r="J2325" s="383" t="inlineStr">
        <is>
          <t>Rate Adj</t>
        </is>
      </c>
      <c r="K2325" s="383" t="inlineStr">
        <is>
          <t>Rate Adj</t>
        </is>
      </c>
      <c r="L2325" s="383" t="inlineStr">
        <is>
          <t>Rate Adj</t>
        </is>
      </c>
    </row>
    <row r="2326">
      <c r="B2326" s="1" t="n"/>
      <c r="C2326" s="19" t="inlineStr">
        <is>
          <t>Pmt (MK)</t>
        </is>
      </c>
      <c r="D2326" s="534">
        <f>-PMT(D2321/D2323,D2324,D2320,0,0)</f>
        <v/>
      </c>
      <c r="E2326" s="319" t="n"/>
      <c r="F2326" s="279">
        <f>L2321+0.1%</f>
        <v/>
      </c>
      <c r="G2326" s="319">
        <f>F2326+0.1%</f>
        <v/>
      </c>
      <c r="H2326" s="257">
        <f>G2326+1.3%</f>
        <v/>
      </c>
      <c r="I2326" s="379">
        <f>+H2326+0.1%</f>
        <v/>
      </c>
      <c r="J2326" s="379">
        <f>+I2326+0.1%</f>
        <v/>
      </c>
      <c r="K2326" s="379">
        <f>+J2326+0.1%</f>
        <v/>
      </c>
      <c r="L2326" s="379">
        <f>+K2326+0.3%</f>
        <v/>
      </c>
    </row>
    <row r="2327">
      <c r="B2327" s="1" t="n"/>
      <c r="C2327" s="1" t="n"/>
      <c r="D2327" s="319" t="n"/>
      <c r="E2327" s="319" t="n"/>
      <c r="F2327" s="319" t="n"/>
      <c r="G2327" s="319" t="n"/>
      <c r="H2327" s="319" t="n"/>
      <c r="I2327" s="319" t="n"/>
      <c r="J2327" s="319" t="n"/>
      <c r="K2327" s="1" t="n"/>
      <c r="L2327" s="1" t="n"/>
    </row>
    <row r="2328">
      <c r="B2328" s="1" t="n"/>
      <c r="C2328" s="21" t="inlineStr">
        <is>
          <t>Period Start</t>
        </is>
      </c>
      <c r="D2328" s="22" t="inlineStr">
        <is>
          <t>Period End</t>
        </is>
      </c>
      <c r="E2328" s="22" t="inlineStr">
        <is>
          <t>Days</t>
        </is>
      </c>
      <c r="F2328" s="294" t="inlineStr">
        <is>
          <t>Opening bal.</t>
        </is>
      </c>
      <c r="G2328" s="294" t="inlineStr">
        <is>
          <t>Pmt</t>
        </is>
      </c>
      <c r="H2328" s="294" t="inlineStr">
        <is>
          <t>Interest</t>
        </is>
      </c>
      <c r="I2328" s="294" t="inlineStr">
        <is>
          <t>Principal</t>
        </is>
      </c>
      <c r="J2328" s="294" t="inlineStr">
        <is>
          <t>Closing balance</t>
        </is>
      </c>
      <c r="K2328" s="23" t="inlineStr">
        <is>
          <t>Amount Repaid</t>
        </is>
      </c>
      <c r="L2328" s="23" t="inlineStr">
        <is>
          <t>Accumulated Arrears</t>
        </is>
      </c>
    </row>
    <row r="2329">
      <c r="B2329" s="1" t="n">
        <v>0</v>
      </c>
      <c r="C2329" s="24" t="n">
        <v>44785</v>
      </c>
      <c r="D2329" s="24" t="n">
        <v>44804</v>
      </c>
      <c r="E2329" s="25">
        <f>D2329-C2329+1</f>
        <v/>
      </c>
      <c r="F2329" s="319">
        <f>D2320</f>
        <v/>
      </c>
      <c r="G2329" s="319">
        <f>H2329</f>
        <v/>
      </c>
      <c r="H2329" s="295">
        <f>$D$2321/$D$2323*F2329*E2329/31</f>
        <v/>
      </c>
      <c r="I2329" s="319">
        <f>G2329-H2329</f>
        <v/>
      </c>
      <c r="J2329" s="319">
        <f>F2329-I2329</f>
        <v/>
      </c>
      <c r="K2329" s="516" t="n"/>
      <c r="L2329" s="516" t="n">
        <v>1821756.21</v>
      </c>
    </row>
    <row r="2330">
      <c r="B2330" s="1" t="n">
        <v>1</v>
      </c>
      <c r="C2330" s="24" t="n">
        <v>44805</v>
      </c>
      <c r="D2330" s="24" t="n">
        <v>44834</v>
      </c>
      <c r="E2330" s="25">
        <f>D2330-C2330+1</f>
        <v/>
      </c>
      <c r="F2330" s="319">
        <f>J2329</f>
        <v/>
      </c>
      <c r="G2330" s="319">
        <f>H2330</f>
        <v/>
      </c>
      <c r="H2330" s="295">
        <f>$F$2321/$D$2323*F2330</f>
        <v/>
      </c>
      <c r="I2330" s="319">
        <f>G2330-H2330</f>
        <v/>
      </c>
      <c r="J2330" s="319">
        <f>F2330-I2330</f>
        <v/>
      </c>
      <c r="K2330" s="295" t="n">
        <v>1821756.21</v>
      </c>
      <c r="L2330" s="516">
        <f>L2329+H2330-K2330</f>
        <v/>
      </c>
    </row>
    <row r="2331">
      <c r="B2331" s="1" t="n">
        <v>2</v>
      </c>
      <c r="C2331" s="24" t="n">
        <v>44835</v>
      </c>
      <c r="D2331" s="24" t="n">
        <v>44865</v>
      </c>
      <c r="E2331" s="25">
        <f>D2331-C2331+1</f>
        <v/>
      </c>
      <c r="F2331" s="319">
        <f>J2330</f>
        <v/>
      </c>
      <c r="G2331" s="319">
        <f>H2331</f>
        <v/>
      </c>
      <c r="H2331" s="295">
        <f>$F$2321/$D$2323*F2331</f>
        <v/>
      </c>
      <c r="I2331" s="319">
        <f>G2331-H2331</f>
        <v/>
      </c>
      <c r="J2331" s="319">
        <f>F2331-I2331</f>
        <v/>
      </c>
      <c r="K2331" s="319">
        <f>2823722.13+2823722.13</f>
        <v/>
      </c>
      <c r="L2331" s="516">
        <f>L2330+H2331-K2331</f>
        <v/>
      </c>
    </row>
    <row r="2332">
      <c r="B2332" s="1" t="n">
        <v>3</v>
      </c>
      <c r="C2332" s="24" t="n">
        <v>44866</v>
      </c>
      <c r="D2332" s="24" t="n">
        <v>44895</v>
      </c>
      <c r="E2332" s="25">
        <f>D2332-C2332+1</f>
        <v/>
      </c>
      <c r="F2332" s="319">
        <f>J2331</f>
        <v/>
      </c>
      <c r="G2332" s="319">
        <f>H2332</f>
        <v/>
      </c>
      <c r="H2332" s="295">
        <f>$G$2321/$D$2323*F2332</f>
        <v/>
      </c>
      <c r="I2332" s="319">
        <f>G2332-H2332</f>
        <v/>
      </c>
      <c r="J2332" s="319">
        <f>F2332-I2332</f>
        <v/>
      </c>
      <c r="K2332" s="319">
        <f>103149.66+2875296.96</f>
        <v/>
      </c>
      <c r="L2332" s="516">
        <f>L2331+H2332-K2332</f>
        <v/>
      </c>
    </row>
    <row r="2333">
      <c r="B2333" s="1" t="n">
        <v>4</v>
      </c>
      <c r="C2333" s="24" t="n">
        <v>44896</v>
      </c>
      <c r="D2333" s="24" t="n">
        <v>44926</v>
      </c>
      <c r="E2333" s="25">
        <f>D2333-C2333+1</f>
        <v/>
      </c>
      <c r="F2333" s="319">
        <f>J2332</f>
        <v/>
      </c>
      <c r="G2333" s="319">
        <f>H2333</f>
        <v/>
      </c>
      <c r="H2333" s="295">
        <f>$H$2321/$D$2323*F2333</f>
        <v/>
      </c>
      <c r="I2333" s="319">
        <f>G2333-H2333</f>
        <v/>
      </c>
      <c r="J2333" s="319">
        <f>F2333-I2333</f>
        <v/>
      </c>
      <c r="K2333" s="319" t="n">
        <v>3223427.08</v>
      </c>
      <c r="L2333" s="516">
        <f>L2332+H2333-K2333</f>
        <v/>
      </c>
    </row>
    <row r="2334">
      <c r="B2334" s="1" t="n">
        <v>5</v>
      </c>
      <c r="C2334" s="24" t="n">
        <v>44927</v>
      </c>
      <c r="D2334" s="24" t="n">
        <v>44957</v>
      </c>
      <c r="E2334" s="25">
        <f>D2334-C2334+1</f>
        <v/>
      </c>
      <c r="F2334" s="319">
        <f>J2333</f>
        <v/>
      </c>
      <c r="G2334" s="319">
        <f>H2334</f>
        <v/>
      </c>
      <c r="H2334" s="295">
        <f>$H$2321/$D$2323*F2334</f>
        <v/>
      </c>
      <c r="I2334" s="319">
        <f>G2334-H2334</f>
        <v/>
      </c>
      <c r="J2334" s="319">
        <f>F2334-I2334</f>
        <v/>
      </c>
      <c r="K2334" s="319">
        <f>3313683.04+438386.08</f>
        <v/>
      </c>
      <c r="L2334" s="516">
        <f>L2333+H2334-K2334</f>
        <v/>
      </c>
    </row>
    <row r="2335">
      <c r="B2335" s="1" t="n">
        <v>6</v>
      </c>
      <c r="C2335" s="24" t="n">
        <v>44958</v>
      </c>
      <c r="D2335" s="24" t="n">
        <v>44985</v>
      </c>
      <c r="E2335" s="25">
        <f>D2335-C2335+1</f>
        <v/>
      </c>
      <c r="F2335" s="319">
        <f>J2334</f>
        <v/>
      </c>
      <c r="G2335" s="319">
        <f>H2335</f>
        <v/>
      </c>
      <c r="H2335" s="295">
        <f>$H$2321/$D$2323*F2335</f>
        <v/>
      </c>
      <c r="I2335" s="319">
        <f>G2335-H2335</f>
        <v/>
      </c>
      <c r="J2335" s="319">
        <f>F2335-I2335</f>
        <v/>
      </c>
      <c r="K2335" s="319" t="n">
        <v>3313683.04</v>
      </c>
      <c r="L2335" s="516">
        <f>L2334+H2335-K2335</f>
        <v/>
      </c>
    </row>
    <row r="2336">
      <c r="B2336" s="1" t="n">
        <v>7</v>
      </c>
      <c r="C2336" s="24" t="n">
        <v>44986</v>
      </c>
      <c r="D2336" s="24" t="n">
        <v>45016</v>
      </c>
      <c r="E2336" s="25">
        <f>D2336-C2336+1</f>
        <v/>
      </c>
      <c r="F2336" s="319">
        <f>J2335</f>
        <v/>
      </c>
      <c r="G2336" s="319">
        <f>-PMT($H$2321/$D$2323,42,$F$2336,,0)</f>
        <v/>
      </c>
      <c r="H2336" s="319">
        <f>$H$2321/$D$2323*F2336</f>
        <v/>
      </c>
      <c r="I2336" s="319">
        <f>G2336-H2336</f>
        <v/>
      </c>
      <c r="J2336" s="319">
        <f>F2336-I2336</f>
        <v/>
      </c>
      <c r="K2336" s="319" t="n">
        <v>5622648.65</v>
      </c>
      <c r="L2336" s="516">
        <f>L2335+G2336-K2336</f>
        <v/>
      </c>
    </row>
    <row r="2337">
      <c r="B2337" s="1" t="n">
        <v>8</v>
      </c>
      <c r="C2337" s="24" t="n">
        <v>45017</v>
      </c>
      <c r="D2337" s="24" t="n">
        <v>45046</v>
      </c>
      <c r="E2337" s="25">
        <f>D2337-C2337+1</f>
        <v/>
      </c>
      <c r="F2337" s="319">
        <f>J2336</f>
        <v/>
      </c>
      <c r="G2337" s="319">
        <f>-PMT($H$2321/$D$2323,42,$F$2336,,0)</f>
        <v/>
      </c>
      <c r="H2337" s="319">
        <f>$H$2321/$D$2323*F2337</f>
        <v/>
      </c>
      <c r="I2337" s="319">
        <f>G2337-H2337</f>
        <v/>
      </c>
      <c r="J2337" s="319">
        <f>F2337-I2337</f>
        <v/>
      </c>
      <c r="K2337" s="319" t="n"/>
      <c r="L2337" s="516">
        <f>L2336+G2337-K2337</f>
        <v/>
      </c>
    </row>
    <row r="2338">
      <c r="B2338" s="1" t="n">
        <v>9</v>
      </c>
      <c r="C2338" s="24" t="n">
        <v>45047</v>
      </c>
      <c r="D2338" s="24" t="n">
        <v>45077</v>
      </c>
      <c r="E2338" s="25">
        <f>D2338-C2338+1</f>
        <v/>
      </c>
      <c r="F2338" s="319">
        <f>J2337</f>
        <v/>
      </c>
      <c r="G2338" s="319">
        <f>-PMT($I$2321/$D$2323,40,$F$2338,,0)</f>
        <v/>
      </c>
      <c r="H2338" s="319">
        <f>$I$2321/$D$2323*F2338</f>
        <v/>
      </c>
      <c r="I2338" s="319">
        <f>G2338-H2338</f>
        <v/>
      </c>
      <c r="J2338" s="319">
        <f>F2338-I2338</f>
        <v/>
      </c>
      <c r="K2338" s="319" t="n">
        <v>5563642.39</v>
      </c>
      <c r="L2338" s="516">
        <f>L2337+G2338-K2338</f>
        <v/>
      </c>
    </row>
    <row r="2339">
      <c r="B2339" s="1" t="n">
        <v>10</v>
      </c>
      <c r="C2339" s="24" t="n">
        <v>45078</v>
      </c>
      <c r="D2339" s="24" t="n">
        <v>45107</v>
      </c>
      <c r="E2339" s="25">
        <f>D2339-C2339+1</f>
        <v/>
      </c>
      <c r="F2339" s="319">
        <f>J2338</f>
        <v/>
      </c>
      <c r="G2339" s="319">
        <f>-PMT($I$2321/$D$2323,40,$F$2338,,0)</f>
        <v/>
      </c>
      <c r="H2339" s="319">
        <f>$I$2321/$D$2323*F2339</f>
        <v/>
      </c>
      <c r="I2339" s="319">
        <f>G2339-H2339</f>
        <v/>
      </c>
      <c r="J2339" s="319">
        <f>F2339-I2339</f>
        <v/>
      </c>
      <c r="K2339" s="319">
        <f>5844263.41+5844263.41</f>
        <v/>
      </c>
      <c r="L2339" s="519">
        <f>L2338+G2339-K2339</f>
        <v/>
      </c>
    </row>
    <row r="2340">
      <c r="B2340" s="1" t="n">
        <v>11</v>
      </c>
      <c r="C2340" s="24" t="n">
        <v>45108</v>
      </c>
      <c r="D2340" s="24" t="n">
        <v>45138</v>
      </c>
      <c r="E2340" s="25">
        <f>D2340-C2340+1</f>
        <v/>
      </c>
      <c r="F2340" s="319">
        <f>J2339</f>
        <v/>
      </c>
      <c r="G2340" s="319">
        <f>-PMT($J$2321/$D$2323,38,$F$2340,,0)</f>
        <v/>
      </c>
      <c r="H2340" s="319">
        <f>$J$2321/$D$2323*F2340</f>
        <v/>
      </c>
      <c r="I2340" s="319">
        <f>G2340-H2340</f>
        <v/>
      </c>
      <c r="J2340" s="319">
        <f>F2340-I2340</f>
        <v/>
      </c>
      <c r="K2340" s="319" t="n">
        <v>5956211.33</v>
      </c>
      <c r="L2340" s="516">
        <f>L2339+G2340-K2340</f>
        <v/>
      </c>
    </row>
    <row r="2341">
      <c r="B2341" s="1" t="n">
        <v>12</v>
      </c>
      <c r="C2341" s="24" t="n">
        <v>45139</v>
      </c>
      <c r="D2341" s="24" t="n">
        <v>45169</v>
      </c>
      <c r="E2341" s="25">
        <f>D2341-C2341+1</f>
        <v/>
      </c>
      <c r="F2341" s="319">
        <f>J2340</f>
        <v/>
      </c>
      <c r="G2341" s="319">
        <f>-PMT($K$2321/$D$2323,37,$F$2341,,0)</f>
        <v/>
      </c>
      <c r="H2341" s="319">
        <f>$K$2321/$D$2323*F2341</f>
        <v/>
      </c>
      <c r="I2341" s="319">
        <f>G2341-H2341</f>
        <v/>
      </c>
      <c r="J2341" s="319">
        <f>F2341-I2341</f>
        <v/>
      </c>
      <c r="K2341" s="319" t="n">
        <v>5956211.33</v>
      </c>
      <c r="L2341" s="516">
        <f>L2340+G2341-K2341</f>
        <v/>
      </c>
    </row>
    <row r="2342">
      <c r="B2342" s="1" t="n">
        <v>13</v>
      </c>
      <c r="C2342" s="24" t="n">
        <v>45170</v>
      </c>
      <c r="D2342" s="24" t="n">
        <v>45199</v>
      </c>
      <c r="E2342" s="25">
        <f>D2342-C2342+1</f>
        <v/>
      </c>
      <c r="F2342" s="319">
        <f>J2341</f>
        <v/>
      </c>
      <c r="G2342" s="319">
        <f>-PMT($L$2321/$D$2323,36,$F$2342,,0)</f>
        <v/>
      </c>
      <c r="H2342" s="319">
        <f>$L$2321/$D$2323*F2342</f>
        <v/>
      </c>
      <c r="I2342" s="319">
        <f>G2342-H2342</f>
        <v/>
      </c>
      <c r="J2342" s="319">
        <f>F2342-I2342</f>
        <v/>
      </c>
      <c r="K2342" s="319" t="n">
        <v>5956211.33</v>
      </c>
      <c r="L2342" s="516">
        <f>L2341+G2342-K2342</f>
        <v/>
      </c>
    </row>
    <row r="2343">
      <c r="B2343" s="1" t="n">
        <v>14</v>
      </c>
      <c r="C2343" s="24" t="n">
        <v>45200</v>
      </c>
      <c r="D2343" s="24" t="n">
        <v>45230</v>
      </c>
      <c r="E2343" s="25">
        <f>D2343-C2343+1</f>
        <v/>
      </c>
      <c r="F2343" s="319">
        <f>J2342</f>
        <v/>
      </c>
      <c r="G2343" s="319">
        <f>-PMT($F$2326/$D$2323,35,$F$2343,,0)</f>
        <v/>
      </c>
      <c r="H2343" s="319">
        <f>$F$2326/$D$2323*F2343</f>
        <v/>
      </c>
      <c r="I2343" s="319">
        <f>G2343-H2343</f>
        <v/>
      </c>
      <c r="J2343" s="319">
        <f>F2343-I2343</f>
        <v/>
      </c>
      <c r="K2343" s="319" t="n">
        <v>5956211.33</v>
      </c>
      <c r="L2343" s="516">
        <f>L2342+G2343-K2343</f>
        <v/>
      </c>
    </row>
    <row r="2344">
      <c r="B2344" s="1" t="n">
        <v>15</v>
      </c>
      <c r="C2344" s="24" t="n">
        <v>45231</v>
      </c>
      <c r="D2344" s="24" t="n">
        <v>45260</v>
      </c>
      <c r="E2344" s="25">
        <f>D2344-C2344+1</f>
        <v/>
      </c>
      <c r="F2344" s="319">
        <f>J2343</f>
        <v/>
      </c>
      <c r="G2344" s="319">
        <f>-PMT($F$2326/$D$2323,35,$F$2343,,0)</f>
        <v/>
      </c>
      <c r="H2344" s="319">
        <f>$F$2326/$D$2323*F2344</f>
        <v/>
      </c>
      <c r="I2344" s="319">
        <f>G2344-H2344</f>
        <v/>
      </c>
      <c r="J2344" s="319">
        <f>F2344-I2344</f>
        <v/>
      </c>
      <c r="K2344" s="319" t="n">
        <v>5956211.33</v>
      </c>
      <c r="L2344" s="516">
        <f>L2343+G2344-K2344</f>
        <v/>
      </c>
    </row>
    <row r="2345">
      <c r="B2345" s="1" t="n">
        <v>16</v>
      </c>
      <c r="C2345" s="24" t="n">
        <v>45261</v>
      </c>
      <c r="D2345" s="24" t="n">
        <v>45291</v>
      </c>
      <c r="E2345" s="25">
        <f>D2345-C2345+1</f>
        <v/>
      </c>
      <c r="F2345" s="319">
        <f>J2344</f>
        <v/>
      </c>
      <c r="G2345" s="319">
        <f>-PMT($G$2326/$D$2323,33,$F$2345,,0)</f>
        <v/>
      </c>
      <c r="H2345" s="319">
        <f>$G$2326/$D$2323*F2345</f>
        <v/>
      </c>
      <c r="I2345" s="319">
        <f>G2345-H2345</f>
        <v/>
      </c>
      <c r="J2345" s="319">
        <f>F2345-I2345</f>
        <v/>
      </c>
      <c r="K2345" s="319" t="n"/>
      <c r="L2345" s="516">
        <f>L2344+G2345-K2345</f>
        <v/>
      </c>
    </row>
    <row r="2346">
      <c r="B2346" s="1" t="n">
        <v>17</v>
      </c>
      <c r="C2346" s="24" t="n">
        <v>45292</v>
      </c>
      <c r="D2346" s="24" t="n">
        <v>45322</v>
      </c>
      <c r="E2346" s="25">
        <f>D2346-C2346+1</f>
        <v/>
      </c>
      <c r="F2346" s="319">
        <f>J2345</f>
        <v/>
      </c>
      <c r="G2346" s="319">
        <f>-PMT($G$2326/$D$2323,33,$F$2345,,0)</f>
        <v/>
      </c>
      <c r="H2346" s="319">
        <f>$G$2326/$D$2323*F2346</f>
        <v/>
      </c>
      <c r="I2346" s="319">
        <f>G2346-H2346</f>
        <v/>
      </c>
      <c r="J2346" s="319">
        <f>F2346-I2346</f>
        <v/>
      </c>
      <c r="K2346" s="424">
        <f>6121038.13+6121038.13</f>
        <v/>
      </c>
      <c r="L2346" s="516">
        <f>L2345+G2346-K2346</f>
        <v/>
      </c>
    </row>
    <row r="2347">
      <c r="B2347" s="1" t="n">
        <v>18</v>
      </c>
      <c r="C2347" s="24" t="n">
        <v>45323</v>
      </c>
      <c r="D2347" s="24" t="n">
        <v>45351</v>
      </c>
      <c r="E2347" s="25">
        <f>D2347-C2347+1</f>
        <v/>
      </c>
      <c r="F2347" s="319">
        <f>J2346</f>
        <v/>
      </c>
      <c r="G2347" s="319">
        <f>-PMT($H$2326/$D$2323,31,$F$2347,,0)</f>
        <v/>
      </c>
      <c r="H2347" s="319">
        <f>$H$2326/$D$2323*F2347</f>
        <v/>
      </c>
      <c r="I2347" s="319">
        <f>G2347-H2347</f>
        <v/>
      </c>
      <c r="J2347" s="319">
        <f>F2347-I2347</f>
        <v/>
      </c>
      <c r="K2347" s="319" t="n">
        <v>13706890</v>
      </c>
      <c r="L2347" s="516">
        <f>L2346+G2347-K2347</f>
        <v/>
      </c>
    </row>
    <row r="2348">
      <c r="B2348" s="1" t="n">
        <v>19</v>
      </c>
      <c r="C2348" s="24" t="n">
        <v>45352</v>
      </c>
      <c r="D2348" s="24" t="n">
        <v>45382</v>
      </c>
      <c r="E2348" s="25">
        <f>D2348-C2348+1</f>
        <v/>
      </c>
      <c r="F2348" s="319">
        <f>J2347</f>
        <v/>
      </c>
      <c r="G2348" s="319">
        <f>-PMT($H$2326/$D$2323,31,$F$2347,,0)</f>
        <v/>
      </c>
      <c r="H2348" s="319">
        <f>$H$2326/$D$2323*F2348</f>
        <v/>
      </c>
      <c r="I2348" s="319">
        <f>G2348-H2348</f>
        <v/>
      </c>
      <c r="J2348" s="319">
        <f>F2348-I2348</f>
        <v/>
      </c>
      <c r="K2348" s="319" t="n">
        <v>6218667.75</v>
      </c>
      <c r="L2348" s="516">
        <f>L2347+G2348-K2348</f>
        <v/>
      </c>
    </row>
    <row r="2349">
      <c r="B2349" s="1" t="n">
        <v>20</v>
      </c>
      <c r="C2349" s="24" t="n">
        <v>45383</v>
      </c>
      <c r="D2349" s="24" t="n">
        <v>45412</v>
      </c>
      <c r="E2349" s="25">
        <f>D2349-C2349+1</f>
        <v/>
      </c>
      <c r="F2349" s="319">
        <f>J2348</f>
        <v/>
      </c>
      <c r="G2349" s="319">
        <f>-PMT($H$2326/$D$2323,31,$F$2347,,0)</f>
        <v/>
      </c>
      <c r="H2349" s="319">
        <f>$H$2326/$D$2323*F2349</f>
        <v/>
      </c>
      <c r="I2349" s="319">
        <f>G2349-H2349</f>
        <v/>
      </c>
      <c r="J2349" s="319">
        <f>F2349-I2349</f>
        <v/>
      </c>
      <c r="K2349" s="319" t="n"/>
      <c r="L2349" s="516">
        <f>L2348+G2349-K2349</f>
        <v/>
      </c>
    </row>
    <row r="2350">
      <c r="B2350" s="1" t="n">
        <v>21</v>
      </c>
      <c r="C2350" s="24" t="n">
        <v>45413</v>
      </c>
      <c r="D2350" s="24" t="n">
        <v>45443</v>
      </c>
      <c r="E2350" s="25">
        <f>D2350-C2350+1</f>
        <v/>
      </c>
      <c r="F2350" s="319">
        <f>J2349</f>
        <v/>
      </c>
      <c r="G2350" s="319">
        <f>-PMT($I$2326/$D$2323,28,$F$2350,,0)</f>
        <v/>
      </c>
      <c r="H2350" s="319">
        <f>$I$2326/$D$2323*F2350</f>
        <v/>
      </c>
      <c r="I2350" s="319">
        <f>G2350-H2350</f>
        <v/>
      </c>
      <c r="J2350" s="319">
        <f>F2350-I2350</f>
        <v/>
      </c>
      <c r="K2350" s="319" t="n">
        <v>6225088.89</v>
      </c>
      <c r="L2350" s="516">
        <f>L2349+G2350-K2350</f>
        <v/>
      </c>
    </row>
    <row r="2351">
      <c r="B2351" s="1" t="n">
        <v>22</v>
      </c>
      <c r="C2351" s="24" t="n">
        <v>45444</v>
      </c>
      <c r="D2351" s="24" t="n">
        <v>45473</v>
      </c>
      <c r="E2351" s="25">
        <f>D2351-C2351+1</f>
        <v/>
      </c>
      <c r="F2351" s="319">
        <f>J2350</f>
        <v/>
      </c>
      <c r="G2351" s="319">
        <f>-PMT($J$2326/$D$2323,27,$F$2351,,0)</f>
        <v/>
      </c>
      <c r="H2351" s="319">
        <f>$J$2326/$D$2323*F2351</f>
        <v/>
      </c>
      <c r="I2351" s="319">
        <f>G2351-H2351</f>
        <v/>
      </c>
      <c r="J2351" s="319">
        <f>F2351-I2351</f>
        <v/>
      </c>
      <c r="K2351" s="319" t="n"/>
      <c r="L2351" s="516">
        <f>L2350+G2351-K2351</f>
        <v/>
      </c>
    </row>
    <row r="2352">
      <c r="B2352" s="1" t="n">
        <v>23</v>
      </c>
      <c r="C2352" s="24" t="n">
        <v>45474</v>
      </c>
      <c r="D2352" s="24" t="n">
        <v>45504</v>
      </c>
      <c r="E2352" s="25">
        <f>D2352-C2352+1</f>
        <v/>
      </c>
      <c r="F2352" s="319">
        <f>J2351</f>
        <v/>
      </c>
      <c r="G2352" s="319">
        <f>-PMT($K$2326/$D$2323,26,$F$2352,,0)</f>
        <v/>
      </c>
      <c r="H2352" s="319">
        <f>$K$2326/$D$2323*F2352</f>
        <v/>
      </c>
      <c r="I2352" s="319">
        <f>G2352-H2352</f>
        <v/>
      </c>
      <c r="J2352" s="319">
        <f>F2352-I2352</f>
        <v/>
      </c>
      <c r="K2352" s="319">
        <f>6225088.89+6225088.89</f>
        <v/>
      </c>
      <c r="L2352" s="516">
        <f>L2351+G2352-K2352</f>
        <v/>
      </c>
    </row>
    <row r="2353">
      <c r="B2353" s="1" t="n">
        <v>24</v>
      </c>
      <c r="C2353" s="24" t="n">
        <v>45505</v>
      </c>
      <c r="D2353" s="24" t="n">
        <v>45535</v>
      </c>
      <c r="E2353" s="25">
        <f>D2353-C2353+1</f>
        <v/>
      </c>
      <c r="F2353" s="319">
        <f>J2352</f>
        <v/>
      </c>
      <c r="G2353" s="319">
        <f>-PMT($K$2326/$D$2323,26,$F$2352,,0)</f>
        <v/>
      </c>
      <c r="H2353" s="319">
        <f>$K$2326/$D$2323*F2353</f>
        <v/>
      </c>
      <c r="I2353" s="319">
        <f>G2353-H2353</f>
        <v/>
      </c>
      <c r="J2353" s="319">
        <f>F2353-I2353</f>
        <v/>
      </c>
      <c r="K2353" s="516" t="n">
        <v>6225088.89</v>
      </c>
      <c r="L2353" s="516">
        <f>L2352+G2353-K2353</f>
        <v/>
      </c>
    </row>
    <row r="2354">
      <c r="B2354" s="1" t="n">
        <v>25</v>
      </c>
      <c r="C2354" s="24" t="n">
        <v>45536</v>
      </c>
      <c r="D2354" s="24" t="n">
        <v>45565</v>
      </c>
      <c r="E2354" s="25">
        <f>D2354-C2354+1</f>
        <v/>
      </c>
      <c r="F2354" s="319">
        <f>J2353</f>
        <v/>
      </c>
      <c r="G2354" s="319">
        <f>-PMT($K$2326/$D$2323,26,$F$2352,,0)</f>
        <v/>
      </c>
      <c r="H2354" s="319">
        <f>$K$2326/$D$2323*F2354</f>
        <v/>
      </c>
      <c r="I2354" s="319">
        <f>G2354-H2354</f>
        <v/>
      </c>
      <c r="J2354" s="319">
        <f>F2354-I2354</f>
        <v/>
      </c>
      <c r="K2354" s="516" t="n">
        <v>6225088.89</v>
      </c>
      <c r="L2354" s="516">
        <f>L2353+G2354-K2354</f>
        <v/>
      </c>
    </row>
    <row r="2355">
      <c r="B2355" s="1" t="n">
        <v>26</v>
      </c>
      <c r="C2355" s="24" t="n">
        <v>45566</v>
      </c>
      <c r="D2355" s="24" t="n">
        <v>45596</v>
      </c>
      <c r="E2355" s="25">
        <f>D2355-C2355+1</f>
        <v/>
      </c>
      <c r="F2355" s="319">
        <f>J2354</f>
        <v/>
      </c>
      <c r="G2355" s="319">
        <f>-PMT($K$2326/$D$2323,26,$F$2352,,0)</f>
        <v/>
      </c>
      <c r="H2355" s="319">
        <f>$K$2326/$D$2323*F2355</f>
        <v/>
      </c>
      <c r="I2355" s="319">
        <f>G2355-H2355</f>
        <v/>
      </c>
      <c r="J2355" s="319">
        <f>F2355-I2355</f>
        <v/>
      </c>
      <c r="K2355" s="516" t="n">
        <v>6225088.89</v>
      </c>
      <c r="L2355" s="520">
        <f>L2354+G2355-K2355</f>
        <v/>
      </c>
    </row>
    <row r="2356">
      <c r="B2356" s="1" t="n">
        <v>27</v>
      </c>
      <c r="C2356" s="24" t="n">
        <v>45597</v>
      </c>
      <c r="D2356" s="24" t="n">
        <v>45626</v>
      </c>
      <c r="E2356" s="25">
        <f>D2356-C2356+1</f>
        <v/>
      </c>
      <c r="F2356" s="319">
        <f>J2355</f>
        <v/>
      </c>
      <c r="G2356" s="319">
        <f>-PMT($K$2326/$D$2323,26,$F$2352,,0)</f>
        <v/>
      </c>
      <c r="H2356" s="319">
        <f>$K$2326/$D$2323*F2356</f>
        <v/>
      </c>
      <c r="I2356" s="319">
        <f>G2356-H2356</f>
        <v/>
      </c>
      <c r="J2356" s="319">
        <f>F2356-I2356</f>
        <v/>
      </c>
      <c r="K2356" s="516" t="n"/>
      <c r="L2356" s="516" t="n"/>
    </row>
    <row r="2357">
      <c r="B2357" s="1" t="n">
        <v>28</v>
      </c>
      <c r="C2357" s="24" t="n">
        <v>45627</v>
      </c>
      <c r="D2357" s="24" t="n">
        <v>45657</v>
      </c>
      <c r="E2357" s="25">
        <f>D2357-C2357+1</f>
        <v/>
      </c>
      <c r="F2357" s="319">
        <f>J2356</f>
        <v/>
      </c>
      <c r="G2357" s="319">
        <f>-PMT($K$2326/$D$2323,26,$F$2352,,0)</f>
        <v/>
      </c>
      <c r="H2357" s="319">
        <f>$K$2326/$D$2323*F2357</f>
        <v/>
      </c>
      <c r="I2357" s="319">
        <f>G2357-H2357</f>
        <v/>
      </c>
      <c r="J2357" s="319">
        <f>F2357-I2357</f>
        <v/>
      </c>
      <c r="K2357" s="516" t="n"/>
      <c r="L2357" s="516" t="n"/>
    </row>
    <row r="2358">
      <c r="B2358" s="1" t="n">
        <v>29</v>
      </c>
      <c r="C2358" s="24" t="n">
        <v>45658</v>
      </c>
      <c r="D2358" s="24" t="n">
        <v>45688</v>
      </c>
      <c r="E2358" s="25">
        <f>D2358-C2358+1</f>
        <v/>
      </c>
      <c r="F2358" s="319">
        <f>J2357</f>
        <v/>
      </c>
      <c r="G2358" s="319">
        <f>-PMT($K$2326/$D$2323,26,$F$2352,,0)</f>
        <v/>
      </c>
      <c r="H2358" s="319">
        <f>$K$2326/$D$2323*F2358</f>
        <v/>
      </c>
      <c r="I2358" s="319">
        <f>G2358-H2358</f>
        <v/>
      </c>
      <c r="J2358" s="319">
        <f>F2358-I2358</f>
        <v/>
      </c>
      <c r="K2358" s="516" t="n"/>
      <c r="L2358" s="516" t="n"/>
    </row>
    <row r="2359">
      <c r="B2359" s="1" t="n">
        <v>30</v>
      </c>
      <c r="C2359" s="24" t="n">
        <v>45689</v>
      </c>
      <c r="D2359" s="24" t="n">
        <v>45716</v>
      </c>
      <c r="E2359" s="25">
        <f>D2359-C2359+1</f>
        <v/>
      </c>
      <c r="F2359" s="319">
        <f>J2358</f>
        <v/>
      </c>
      <c r="G2359" s="319">
        <f>-PMT($K$2326/$D$2323,26,$F$2352,,0)</f>
        <v/>
      </c>
      <c r="H2359" s="319">
        <f>$K$2326/$D$2323*F2359</f>
        <v/>
      </c>
      <c r="I2359" s="319">
        <f>G2359-H2359</f>
        <v/>
      </c>
      <c r="J2359" s="319">
        <f>F2359-I2359</f>
        <v/>
      </c>
      <c r="K2359" s="516" t="n"/>
      <c r="L2359" s="516" t="n"/>
    </row>
    <row r="2360">
      <c r="B2360" s="1" t="n">
        <v>31</v>
      </c>
      <c r="C2360" s="24" t="n">
        <v>45717</v>
      </c>
      <c r="D2360" s="24" t="n">
        <v>45747</v>
      </c>
      <c r="E2360" s="25">
        <f>D2360-C2360+1</f>
        <v/>
      </c>
      <c r="F2360" s="319">
        <f>J2359</f>
        <v/>
      </c>
      <c r="G2360" s="319">
        <f>-PMT($K$2326/$D$2323,26,$F$2352,,0)</f>
        <v/>
      </c>
      <c r="H2360" s="319">
        <f>$K$2326/$D$2323*F2360</f>
        <v/>
      </c>
      <c r="I2360" s="319">
        <f>G2360-H2360</f>
        <v/>
      </c>
      <c r="J2360" s="319">
        <f>F2360-I2360</f>
        <v/>
      </c>
      <c r="K2360" s="516" t="n"/>
      <c r="L2360" s="516" t="n"/>
    </row>
    <row r="2361">
      <c r="B2361" s="1" t="n">
        <v>32</v>
      </c>
      <c r="C2361" s="24" t="n">
        <v>45748</v>
      </c>
      <c r="D2361" s="24" t="n">
        <v>45777</v>
      </c>
      <c r="E2361" s="25">
        <f>D2361-C2361+1</f>
        <v/>
      </c>
      <c r="F2361" s="319">
        <f>J2360</f>
        <v/>
      </c>
      <c r="G2361" s="319">
        <f>-PMT($K$2326/$D$2323,26,$F$2352,,0)</f>
        <v/>
      </c>
      <c r="H2361" s="319">
        <f>$K$2326/$D$2323*F2361</f>
        <v/>
      </c>
      <c r="I2361" s="319">
        <f>G2361-H2361</f>
        <v/>
      </c>
      <c r="J2361" s="319">
        <f>F2361-I2361</f>
        <v/>
      </c>
      <c r="K2361" s="516" t="n"/>
      <c r="L2361" s="516" t="n"/>
    </row>
    <row r="2362">
      <c r="B2362" s="1" t="n">
        <v>33</v>
      </c>
      <c r="C2362" s="24" t="n">
        <v>45778</v>
      </c>
      <c r="D2362" s="24" t="n">
        <v>45808</v>
      </c>
      <c r="E2362" s="25">
        <f>D2362-C2362+1</f>
        <v/>
      </c>
      <c r="F2362" s="319">
        <f>J2361</f>
        <v/>
      </c>
      <c r="G2362" s="319">
        <f>-PMT($K$2326/$D$2323,26,$F$2352,,0)</f>
        <v/>
      </c>
      <c r="H2362" s="319">
        <f>$K$2326/$D$2323*F2362</f>
        <v/>
      </c>
      <c r="I2362" s="319">
        <f>G2362-H2362</f>
        <v/>
      </c>
      <c r="J2362" s="319">
        <f>F2362-I2362</f>
        <v/>
      </c>
      <c r="K2362" s="516" t="n"/>
      <c r="L2362" s="516" t="n"/>
    </row>
    <row r="2363">
      <c r="B2363" s="1" t="n">
        <v>34</v>
      </c>
      <c r="C2363" s="24" t="n">
        <v>45809</v>
      </c>
      <c r="D2363" s="24" t="n">
        <v>45838</v>
      </c>
      <c r="E2363" s="25">
        <f>D2363-C2363+1</f>
        <v/>
      </c>
      <c r="F2363" s="319">
        <f>J2362</f>
        <v/>
      </c>
      <c r="G2363" s="319">
        <f>-PMT($K$2326/$D$2323,26,$F$2352,,0)</f>
        <v/>
      </c>
      <c r="H2363" s="319">
        <f>$K$2326/$D$2323*F2363</f>
        <v/>
      </c>
      <c r="I2363" s="319">
        <f>G2363-H2363</f>
        <v/>
      </c>
      <c r="J2363" s="319">
        <f>F2363-I2363</f>
        <v/>
      </c>
      <c r="K2363" s="516" t="n"/>
      <c r="L2363" s="516" t="n"/>
    </row>
    <row r="2364">
      <c r="B2364" s="1" t="n">
        <v>35</v>
      </c>
      <c r="C2364" s="24" t="n">
        <v>45839</v>
      </c>
      <c r="D2364" s="24" t="n">
        <v>45869</v>
      </c>
      <c r="E2364" s="25">
        <f>D2364-C2364+1</f>
        <v/>
      </c>
      <c r="F2364" s="319">
        <f>J2363</f>
        <v/>
      </c>
      <c r="G2364" s="319">
        <f>-PMT($K$2326/$D$2323,26,$F$2352,,0)</f>
        <v/>
      </c>
      <c r="H2364" s="319">
        <f>$K$2326/$D$2323*F2364</f>
        <v/>
      </c>
      <c r="I2364" s="319">
        <f>G2364-H2364</f>
        <v/>
      </c>
      <c r="J2364" s="319">
        <f>F2364-I2364</f>
        <v/>
      </c>
      <c r="K2364" s="516" t="n"/>
      <c r="L2364" s="516" t="n"/>
    </row>
    <row r="2365">
      <c r="B2365" s="1" t="n">
        <v>36</v>
      </c>
      <c r="C2365" s="24" t="n">
        <v>45870</v>
      </c>
      <c r="D2365" s="24" t="n">
        <v>45900</v>
      </c>
      <c r="E2365" s="25">
        <f>D2365-C2365+1</f>
        <v/>
      </c>
      <c r="F2365" s="319">
        <f>J2364</f>
        <v/>
      </c>
      <c r="G2365" s="319">
        <f>-PMT($K$2326/$D$2323,26,$F$2352,,0)</f>
        <v/>
      </c>
      <c r="H2365" s="319">
        <f>$K$2326/$D$2323*F2365</f>
        <v/>
      </c>
      <c r="I2365" s="319">
        <f>G2365-H2365</f>
        <v/>
      </c>
      <c r="J2365" s="319">
        <f>F2365-I2365</f>
        <v/>
      </c>
      <c r="K2365" s="516" t="n"/>
      <c r="L2365" s="516" t="n"/>
    </row>
    <row r="2366">
      <c r="B2366" s="1" t="n">
        <v>37</v>
      </c>
      <c r="C2366" s="24" t="n">
        <v>45901</v>
      </c>
      <c r="D2366" s="24" t="n">
        <v>45930</v>
      </c>
      <c r="E2366" s="25">
        <f>D2366-C2366+1</f>
        <v/>
      </c>
      <c r="F2366" s="319">
        <f>J2365</f>
        <v/>
      </c>
      <c r="G2366" s="319">
        <f>-PMT($K$2326/$D$2323,26,$F$2352,,0)</f>
        <v/>
      </c>
      <c r="H2366" s="319">
        <f>$K$2326/$D$2323*F2366</f>
        <v/>
      </c>
      <c r="I2366" s="319">
        <f>G2366-H2366</f>
        <v/>
      </c>
      <c r="J2366" s="319">
        <f>F2366-I2366</f>
        <v/>
      </c>
      <c r="K2366" s="516" t="n"/>
      <c r="L2366" s="516" t="n"/>
    </row>
    <row r="2367">
      <c r="B2367" s="1" t="n">
        <v>38</v>
      </c>
      <c r="C2367" s="24" t="n">
        <v>45931</v>
      </c>
      <c r="D2367" s="24" t="n">
        <v>45961</v>
      </c>
      <c r="E2367" s="25">
        <f>D2367-C2367+1</f>
        <v/>
      </c>
      <c r="F2367" s="319">
        <f>J2366</f>
        <v/>
      </c>
      <c r="G2367" s="319">
        <f>-PMT($K$2326/$D$2323,26,$F$2352,,0)</f>
        <v/>
      </c>
      <c r="H2367" s="319">
        <f>$K$2326/$D$2323*F2367</f>
        <v/>
      </c>
      <c r="I2367" s="319">
        <f>G2367-H2367</f>
        <v/>
      </c>
      <c r="J2367" s="319">
        <f>F2367-I2367</f>
        <v/>
      </c>
      <c r="K2367" s="516" t="n"/>
      <c r="L2367" s="516" t="n"/>
    </row>
    <row r="2368">
      <c r="B2368" s="1" t="n">
        <v>39</v>
      </c>
      <c r="C2368" s="24" t="n">
        <v>45962</v>
      </c>
      <c r="D2368" s="24" t="n">
        <v>45991</v>
      </c>
      <c r="E2368" s="25">
        <f>D2368-C2368+1</f>
        <v/>
      </c>
      <c r="F2368" s="319">
        <f>J2367</f>
        <v/>
      </c>
      <c r="G2368" s="319">
        <f>-PMT($K$2326/$D$2323,26,$F$2352,,0)</f>
        <v/>
      </c>
      <c r="H2368" s="319">
        <f>$K$2326/$D$2323*F2368</f>
        <v/>
      </c>
      <c r="I2368" s="319">
        <f>G2368-H2368</f>
        <v/>
      </c>
      <c r="J2368" s="319">
        <f>F2368-I2368</f>
        <v/>
      </c>
      <c r="K2368" s="516" t="n"/>
      <c r="L2368" s="516" t="n"/>
    </row>
    <row r="2369">
      <c r="B2369" s="1" t="n">
        <v>40</v>
      </c>
      <c r="C2369" s="24" t="n">
        <v>45992</v>
      </c>
      <c r="D2369" s="24" t="n">
        <v>46022</v>
      </c>
      <c r="E2369" s="25">
        <f>D2369-C2369+1</f>
        <v/>
      </c>
      <c r="F2369" s="319">
        <f>J2368</f>
        <v/>
      </c>
      <c r="G2369" s="319">
        <f>-PMT($K$2326/$D$2323,26,$F$2352,,0)</f>
        <v/>
      </c>
      <c r="H2369" s="319">
        <f>$K$2326/$D$2323*F2369</f>
        <v/>
      </c>
      <c r="I2369" s="319">
        <f>G2369-H2369</f>
        <v/>
      </c>
      <c r="J2369" s="319">
        <f>F2369-I2369</f>
        <v/>
      </c>
      <c r="K2369" s="516" t="n"/>
      <c r="L2369" s="516" t="n"/>
    </row>
    <row r="2370">
      <c r="B2370" s="1" t="n">
        <v>41</v>
      </c>
      <c r="C2370" s="24" t="n">
        <v>46023</v>
      </c>
      <c r="D2370" s="24" t="n">
        <v>46053</v>
      </c>
      <c r="E2370" s="25">
        <f>D2370-C2370+1</f>
        <v/>
      </c>
      <c r="F2370" s="319">
        <f>J2369</f>
        <v/>
      </c>
      <c r="G2370" s="319">
        <f>-PMT($K$2326/$D$2323,26,$F$2352,,0)</f>
        <v/>
      </c>
      <c r="H2370" s="319">
        <f>$K$2326/$D$2323*F2370</f>
        <v/>
      </c>
      <c r="I2370" s="319">
        <f>G2370-H2370</f>
        <v/>
      </c>
      <c r="J2370" s="319">
        <f>F2370-I2370</f>
        <v/>
      </c>
      <c r="K2370" s="516" t="n"/>
      <c r="L2370" s="516" t="n"/>
    </row>
    <row r="2371">
      <c r="B2371" s="1" t="n">
        <v>42</v>
      </c>
      <c r="C2371" s="24" t="n">
        <v>46054</v>
      </c>
      <c r="D2371" s="24" t="n">
        <v>46081</v>
      </c>
      <c r="E2371" s="25">
        <f>D2371-C2371+1</f>
        <v/>
      </c>
      <c r="F2371" s="319">
        <f>J2370</f>
        <v/>
      </c>
      <c r="G2371" s="319">
        <f>-PMT($K$2326/$D$2323,26,$F$2352,,0)</f>
        <v/>
      </c>
      <c r="H2371" s="319">
        <f>$K$2326/$D$2323*F2371</f>
        <v/>
      </c>
      <c r="I2371" s="319">
        <f>G2371-H2371</f>
        <v/>
      </c>
      <c r="J2371" s="319">
        <f>F2371-I2371</f>
        <v/>
      </c>
      <c r="K2371" s="516" t="n"/>
      <c r="L2371" s="516" t="n"/>
    </row>
    <row r="2372">
      <c r="B2372" s="1" t="n">
        <v>43</v>
      </c>
      <c r="C2372" s="24" t="n">
        <v>46082</v>
      </c>
      <c r="D2372" s="24" t="n">
        <v>46112</v>
      </c>
      <c r="E2372" s="25">
        <f>D2372-C2372+1</f>
        <v/>
      </c>
      <c r="F2372" s="319">
        <f>J2371</f>
        <v/>
      </c>
      <c r="G2372" s="319">
        <f>-PMT($K$2326/$D$2323,26,$F$2352,,0)</f>
        <v/>
      </c>
      <c r="H2372" s="319">
        <f>$K$2326/$D$2323*F2372</f>
        <v/>
      </c>
      <c r="I2372" s="319">
        <f>G2372-H2372</f>
        <v/>
      </c>
      <c r="J2372" s="319">
        <f>F2372-I2372</f>
        <v/>
      </c>
      <c r="K2372" s="516" t="n"/>
      <c r="L2372" s="516" t="n"/>
    </row>
    <row r="2373">
      <c r="B2373" s="1" t="n">
        <v>44</v>
      </c>
      <c r="C2373" s="24" t="n">
        <v>46113</v>
      </c>
      <c r="D2373" s="24" t="n">
        <v>46142</v>
      </c>
      <c r="E2373" s="25">
        <f>D2373-C2373+1</f>
        <v/>
      </c>
      <c r="F2373" s="319">
        <f>J2372</f>
        <v/>
      </c>
      <c r="G2373" s="319">
        <f>-PMT($K$2326/$D$2323,26,$F$2352,,0)</f>
        <v/>
      </c>
      <c r="H2373" s="319">
        <f>$K$2326/$D$2323*F2373</f>
        <v/>
      </c>
      <c r="I2373" s="319">
        <f>G2373-H2373</f>
        <v/>
      </c>
      <c r="J2373" s="319">
        <f>F2373-I2373</f>
        <v/>
      </c>
      <c r="K2373" s="516" t="n"/>
      <c r="L2373" s="516" t="n"/>
    </row>
    <row r="2374">
      <c r="B2374" s="1" t="n">
        <v>45</v>
      </c>
      <c r="C2374" s="24" t="n">
        <v>46143</v>
      </c>
      <c r="D2374" s="24" t="n">
        <v>46173</v>
      </c>
      <c r="E2374" s="25">
        <f>D2374-C2374+1</f>
        <v/>
      </c>
      <c r="F2374" s="319">
        <f>J2373</f>
        <v/>
      </c>
      <c r="G2374" s="319">
        <f>-PMT($K$2326/$D$2323,26,$F$2352,,0)</f>
        <v/>
      </c>
      <c r="H2374" s="319">
        <f>$K$2326/$D$2323*F2374</f>
        <v/>
      </c>
      <c r="I2374" s="319">
        <f>G2374-H2374</f>
        <v/>
      </c>
      <c r="J2374" s="319">
        <f>F2374-I2374</f>
        <v/>
      </c>
      <c r="K2374" s="516" t="n"/>
      <c r="L2374" s="516" t="n"/>
    </row>
    <row r="2375">
      <c r="B2375" s="1" t="n">
        <v>46</v>
      </c>
      <c r="C2375" s="24" t="n">
        <v>46174</v>
      </c>
      <c r="D2375" s="24" t="n">
        <v>46203</v>
      </c>
      <c r="E2375" s="25">
        <f>D2375-C2375+1</f>
        <v/>
      </c>
      <c r="F2375" s="319">
        <f>J2374</f>
        <v/>
      </c>
      <c r="G2375" s="319">
        <f>-PMT($K$2326/$D$2323,26,$F$2352,,0)</f>
        <v/>
      </c>
      <c r="H2375" s="319">
        <f>$K$2326/$D$2323*F2375</f>
        <v/>
      </c>
      <c r="I2375" s="319">
        <f>G2375-H2375</f>
        <v/>
      </c>
      <c r="J2375" s="319">
        <f>F2375-I2375</f>
        <v/>
      </c>
      <c r="K2375" s="516" t="n"/>
      <c r="L2375" s="516" t="n"/>
    </row>
    <row r="2376">
      <c r="B2376" s="1" t="n">
        <v>47</v>
      </c>
      <c r="C2376" s="24" t="n">
        <v>46204</v>
      </c>
      <c r="D2376" s="24" t="n">
        <v>46234</v>
      </c>
      <c r="E2376" s="25">
        <f>D2376-C2376+1</f>
        <v/>
      </c>
      <c r="F2376" s="319">
        <f>J2375</f>
        <v/>
      </c>
      <c r="G2376" s="319">
        <f>-PMT($K$2326/$D$2323,26,$F$2352,,0)</f>
        <v/>
      </c>
      <c r="H2376" s="319">
        <f>$K$2326/$D$2323*F2376</f>
        <v/>
      </c>
      <c r="I2376" s="319">
        <f>G2376-H2376</f>
        <v/>
      </c>
      <c r="J2376" s="319">
        <f>F2376-I2376</f>
        <v/>
      </c>
      <c r="K2376" s="516" t="n"/>
      <c r="L2376" s="516" t="n"/>
    </row>
    <row r="2377">
      <c r="B2377" s="1" t="n">
        <v>48</v>
      </c>
      <c r="C2377" s="24" t="n">
        <v>46235</v>
      </c>
      <c r="D2377" s="24" t="n">
        <v>46265</v>
      </c>
      <c r="E2377" s="25">
        <f>D2377-C2377+1</f>
        <v/>
      </c>
      <c r="F2377" s="319">
        <f>J2376</f>
        <v/>
      </c>
      <c r="G2377" s="319">
        <f>-PMT($K$2326/$D$2323,26,$F$2352,,0)</f>
        <v/>
      </c>
      <c r="H2377" s="319">
        <f>$K$2326/$D$2323*F2377</f>
        <v/>
      </c>
      <c r="I2377" s="319">
        <f>G2377-H2377</f>
        <v/>
      </c>
      <c r="J2377" s="319">
        <f>F2377-I2377</f>
        <v/>
      </c>
      <c r="K2377" s="516" t="n"/>
      <c r="L2377" s="516" t="n"/>
    </row>
    <row r="2378">
      <c r="B2378" s="1" t="n"/>
      <c r="C2378" s="24" t="n"/>
      <c r="D2378" s="24" t="n"/>
      <c r="E2378" s="25" t="n"/>
      <c r="F2378" s="319" t="n"/>
      <c r="G2378" s="319" t="n"/>
      <c r="H2378" s="319" t="n"/>
      <c r="I2378" s="319" t="n"/>
      <c r="J2378" s="319" t="n"/>
      <c r="K2378" s="516" t="n"/>
      <c r="L2378" s="516" t="n"/>
    </row>
    <row r="2379" ht="14.25" customHeight="1">
      <c r="B2379" s="1" t="n"/>
      <c r="C2379" s="1" t="n"/>
      <c r="D2379" s="1" t="n"/>
      <c r="E2379" s="30">
        <f>SUM(E2329:E2341)</f>
        <v/>
      </c>
      <c r="F2379" s="319" t="n"/>
      <c r="G2379" s="319" t="n"/>
      <c r="H2379" s="319" t="n"/>
      <c r="I2379" s="319" t="n"/>
      <c r="J2379" s="319" t="n"/>
      <c r="K2379" s="1" t="n"/>
      <c r="L2379" s="1" t="n"/>
    </row>
    <row r="2384">
      <c r="B2384" s="1" t="n"/>
      <c r="C2384" s="9" t="inlineStr">
        <is>
          <t>Global Seeds Ltd</t>
        </is>
      </c>
      <c r="D2384" s="319" t="n"/>
      <c r="E2384" s="319" t="n"/>
      <c r="F2384" s="319" t="n"/>
      <c r="G2384" s="290" t="inlineStr">
        <is>
          <t>13.9 to 16.6%</t>
        </is>
      </c>
      <c r="H2384" s="319" t="inlineStr">
        <is>
          <t>16.6% to 17.3%</t>
        </is>
      </c>
      <c r="I2384" s="290" t="inlineStr">
        <is>
          <t>17.3% to 20%</t>
        </is>
      </c>
      <c r="J2384" s="290" t="inlineStr">
        <is>
          <t>20% to 21.40%</t>
        </is>
      </c>
      <c r="K2384" s="290" t="inlineStr">
        <is>
          <t>21.40 to 22.70%</t>
        </is>
      </c>
      <c r="L2384" s="290" t="inlineStr">
        <is>
          <t>22.70% to 23.40%</t>
        </is>
      </c>
      <c r="R2384" s="514" t="inlineStr">
        <is>
          <t>E-Banker account (Dupleix)</t>
        </is>
      </c>
      <c r="S2384" s="495">
        <f>IFERROR(INDEX('Blocks'!$I$2:$I$101,MATCH(43,'Blocks'!$A$2:$A$101,0)),"")</f>
        <v/>
      </c>
    </row>
    <row r="2385">
      <c r="B2385" s="1" t="n"/>
      <c r="C2385" s="1" t="n"/>
      <c r="D2385" s="319" t="n"/>
      <c r="E2385" s="319" t="n"/>
      <c r="F2385" s="535" t="n">
        <v>44805</v>
      </c>
      <c r="G2385" s="290" t="n">
        <v>44866</v>
      </c>
      <c r="H2385" s="535" t="n">
        <v>44896</v>
      </c>
      <c r="I2385" s="290" t="n">
        <v>45047</v>
      </c>
      <c r="J2385" s="535" t="n">
        <v>45108</v>
      </c>
      <c r="K2385" s="248" t="n">
        <v>45139</v>
      </c>
      <c r="L2385" s="248" t="n">
        <v>45170</v>
      </c>
      <c r="R2385" s="514" t="inlineStr">
        <is>
          <t>Facility (Loan Book)</t>
        </is>
      </c>
      <c r="S2385" s="495">
        <f>IFERROR(INDEX('Blocks'!$H$2:$H$101,MATCH(43,'Blocks'!$A$2:$A$101,0)),"")</f>
        <v/>
      </c>
    </row>
    <row r="2386">
      <c r="B2386" s="1" t="n"/>
      <c r="C2386" s="10" t="inlineStr">
        <is>
          <t>Principal (MK)</t>
        </is>
      </c>
      <c r="D2386" s="11" t="n">
        <v>103225546</v>
      </c>
      <c r="E2386" s="319" t="n"/>
      <c r="F2386" s="290" t="inlineStr">
        <is>
          <t>Int Adj</t>
        </is>
      </c>
      <c r="G2386" s="290" t="inlineStr">
        <is>
          <t>Rate Adj</t>
        </is>
      </c>
      <c r="H2386" s="290" t="inlineStr">
        <is>
          <t>Rate Adj</t>
        </is>
      </c>
      <c r="I2386" s="290" t="inlineStr">
        <is>
          <t>Rate Adj</t>
        </is>
      </c>
      <c r="J2386" s="290" t="inlineStr">
        <is>
          <t>Rate Adj</t>
        </is>
      </c>
      <c r="K2386" s="290" t="inlineStr">
        <is>
          <t>Rate Adj</t>
        </is>
      </c>
      <c r="L2386" s="290" t="inlineStr">
        <is>
          <t>Rate Adj</t>
        </is>
      </c>
      <c r="R2386" s="514" t="inlineStr">
        <is>
          <t>Take-on posting 31 Jul 2024</t>
        </is>
      </c>
      <c r="S2386" s="496">
        <f>IFERROR(INDEX('E-Banker master'!$N$2:$N$186,MATCH(S2384,'E-Banker master'!$A$2:$A$186,0)),"")</f>
        <v/>
      </c>
    </row>
    <row r="2387">
      <c r="B2387" s="1" t="n"/>
      <c r="C2387" s="13" t="inlineStr">
        <is>
          <t>Rate</t>
        </is>
      </c>
      <c r="D2387" s="14" t="n">
        <v>0.219</v>
      </c>
      <c r="E2387" s="257" t="n"/>
      <c r="F2387" s="323">
        <f>D2387+0.4%</f>
        <v/>
      </c>
      <c r="G2387" s="319">
        <f>F2387+2.7%</f>
        <v/>
      </c>
      <c r="H2387" s="323">
        <f>G2387+0.7%</f>
        <v/>
      </c>
      <c r="I2387" s="319">
        <f>H2387+2.7%</f>
        <v/>
      </c>
      <c r="J2387" s="323">
        <f>I2387+1.4%</f>
        <v/>
      </c>
      <c r="K2387" s="257">
        <f>J2387+1.3%</f>
        <v/>
      </c>
      <c r="L2387" s="279">
        <f>K2387+0.7%</f>
        <v/>
      </c>
      <c r="R2387" s="514" t="inlineStr">
        <is>
          <t>E-Banker balance 31 Oct 2024</t>
        </is>
      </c>
      <c r="S2387" s="496">
        <f>IFERROR(INDEX('E-Banker master'!$P$2:$P$186,MATCH(S2384,'E-Banker master'!$A$2:$A$186,0)),"")</f>
        <v/>
      </c>
    </row>
    <row r="2388">
      <c r="B2388" s="1" t="n"/>
      <c r="C2388" s="13" t="inlineStr">
        <is>
          <t>n</t>
        </is>
      </c>
      <c r="D2388" s="16" t="n">
        <v>3</v>
      </c>
      <c r="E2388" s="1" t="n"/>
      <c r="F2388" s="319" t="n"/>
      <c r="G2388" s="319" t="n"/>
      <c r="H2388" s="319" t="n"/>
      <c r="I2388" s="319" t="n"/>
      <c r="J2388" s="319" t="n"/>
      <c r="K2388" s="1" t="n"/>
      <c r="L2388" s="1" t="n"/>
    </row>
    <row r="2389">
      <c r="B2389" s="1" t="n"/>
      <c r="C2389" s="13" t="inlineStr">
        <is>
          <t>Per</t>
        </is>
      </c>
      <c r="D2389" s="16" t="n">
        <v>12</v>
      </c>
      <c r="E2389" s="1" t="n"/>
      <c r="F2389" s="290" t="inlineStr">
        <is>
          <t>23.40% to 23.50%</t>
        </is>
      </c>
      <c r="G2389" s="290" t="inlineStr">
        <is>
          <t>23.50% to 23.60%</t>
        </is>
      </c>
      <c r="H2389" s="290" t="inlineStr">
        <is>
          <t>23.60% to 24.90%</t>
        </is>
      </c>
      <c r="I2389" s="383" t="inlineStr">
        <is>
          <t>24.90% to 25.00%</t>
        </is>
      </c>
      <c r="J2389" s="319" t="n"/>
      <c r="K2389" s="1" t="n"/>
      <c r="L2389" s="1" t="n"/>
    </row>
    <row r="2390">
      <c r="B2390" s="1" t="n"/>
      <c r="C2390" s="13" t="inlineStr">
        <is>
          <t>nPer</t>
        </is>
      </c>
      <c r="D2390" s="515">
        <f>D2388*D2389</f>
        <v/>
      </c>
      <c r="E2390" s="1" t="n"/>
      <c r="F2390" s="248" t="n">
        <v>45200</v>
      </c>
      <c r="G2390" s="290" t="n">
        <v>45261</v>
      </c>
      <c r="H2390" s="248" t="n">
        <v>44958</v>
      </c>
      <c r="I2390" s="384" t="n">
        <v>45413</v>
      </c>
      <c r="J2390" s="319" t="n"/>
      <c r="K2390" s="1" t="n"/>
      <c r="L2390" s="1" t="n"/>
    </row>
    <row r="2391">
      <c r="B2391" s="1" t="n"/>
      <c r="C2391" s="13" t="inlineStr">
        <is>
          <t>Days in a year</t>
        </is>
      </c>
      <c r="D2391" s="18" t="n">
        <v>365</v>
      </c>
      <c r="E2391" s="1" t="n"/>
      <c r="F2391" s="290" t="inlineStr">
        <is>
          <t>Rate Adj</t>
        </is>
      </c>
      <c r="G2391" s="290" t="inlineStr">
        <is>
          <t>Rate Adj</t>
        </is>
      </c>
      <c r="H2391" s="290" t="inlineStr">
        <is>
          <t>Rate Adj</t>
        </is>
      </c>
      <c r="I2391" s="383" t="inlineStr">
        <is>
          <t>Rate Adj</t>
        </is>
      </c>
      <c r="J2391" s="319" t="n"/>
      <c r="K2391" s="1" t="n"/>
      <c r="L2391" s="1" t="n"/>
    </row>
    <row r="2392">
      <c r="B2392" s="1" t="n"/>
      <c r="C2392" s="19" t="inlineStr">
        <is>
          <t>Pmt (MK)</t>
        </is>
      </c>
      <c r="D2392" s="516">
        <f>-PMT(D2387/D2389,D2390,D2386,0,0)</f>
        <v/>
      </c>
      <c r="E2392" s="319" t="n"/>
      <c r="F2392" s="279">
        <f>L2387+0.1%</f>
        <v/>
      </c>
      <c r="G2392" s="319">
        <f>F2392+0.1%</f>
        <v/>
      </c>
      <c r="H2392" s="257">
        <f>G2392+1.3%</f>
        <v/>
      </c>
      <c r="I2392" s="379">
        <f>+H2392+0.1%</f>
        <v/>
      </c>
      <c r="J2392" s="319" t="n"/>
      <c r="K2392" s="1" t="n"/>
      <c r="L2392" s="1" t="n"/>
    </row>
    <row r="2393">
      <c r="B2393" s="1" t="n"/>
      <c r="C2393" s="1" t="n"/>
      <c r="D2393" s="319" t="n"/>
      <c r="E2393" s="319" t="n"/>
      <c r="F2393" s="319" t="n"/>
      <c r="G2393" s="319" t="n"/>
      <c r="H2393" s="319" t="n"/>
      <c r="I2393" s="319" t="n"/>
      <c r="J2393" s="319" t="n"/>
      <c r="K2393" s="1" t="n"/>
      <c r="L2393" s="1" t="n"/>
    </row>
    <row r="2394">
      <c r="B2394" s="1" t="n"/>
      <c r="C2394" s="21" t="inlineStr">
        <is>
          <t>Period Start</t>
        </is>
      </c>
      <c r="D2394" s="22" t="inlineStr">
        <is>
          <t>Period End</t>
        </is>
      </c>
      <c r="E2394" s="22" t="inlineStr">
        <is>
          <t>Days</t>
        </is>
      </c>
      <c r="F2394" s="294" t="inlineStr">
        <is>
          <t>Opening bal.</t>
        </is>
      </c>
      <c r="G2394" s="294" t="inlineStr">
        <is>
          <t>Pmt</t>
        </is>
      </c>
      <c r="H2394" s="294" t="inlineStr">
        <is>
          <t>Interest</t>
        </is>
      </c>
      <c r="I2394" s="294" t="inlineStr">
        <is>
          <t>Principal</t>
        </is>
      </c>
      <c r="J2394" s="294" t="inlineStr">
        <is>
          <t>Closing balance</t>
        </is>
      </c>
      <c r="K2394" s="23" t="inlineStr">
        <is>
          <t>Amount Repaid</t>
        </is>
      </c>
      <c r="L2394" s="23" t="inlineStr">
        <is>
          <t>Accumulated Arrears</t>
        </is>
      </c>
    </row>
    <row r="2395">
      <c r="B2395" s="1" t="n">
        <v>0</v>
      </c>
      <c r="C2395" s="24" t="n">
        <v>44803</v>
      </c>
      <c r="D2395" s="24" t="n">
        <v>44804</v>
      </c>
      <c r="E2395" s="25">
        <f>D2395-C2395+1</f>
        <v/>
      </c>
      <c r="F2395" s="319">
        <f>D2386</f>
        <v/>
      </c>
      <c r="G2395" s="319">
        <f>H2395</f>
        <v/>
      </c>
      <c r="H2395" s="317">
        <f>$D$2387/$D$2389*F2395*E2395/31</f>
        <v/>
      </c>
      <c r="I2395" s="319">
        <f>G2395-H2395</f>
        <v/>
      </c>
      <c r="J2395" s="319">
        <f>F2395-I2395</f>
        <v/>
      </c>
      <c r="K2395" s="516" t="n"/>
      <c r="L2395" s="516" t="n"/>
    </row>
    <row r="2396">
      <c r="B2396" s="1" t="n">
        <v>1</v>
      </c>
      <c r="C2396" s="24" t="n">
        <v>44805</v>
      </c>
      <c r="D2396" s="24" t="n">
        <v>44834</v>
      </c>
      <c r="E2396" s="25">
        <f>D2396-C2396+1</f>
        <v/>
      </c>
      <c r="F2396" s="319">
        <f>J2395</f>
        <v/>
      </c>
      <c r="G2396" s="319">
        <f>-PMT($F$2387/$D$2389,36,$F$2396,,0)</f>
        <v/>
      </c>
      <c r="H2396" s="317">
        <f>$F$2387/$D$2389*F2396</f>
        <v/>
      </c>
      <c r="I2396" s="319">
        <f>G2396-H2396</f>
        <v/>
      </c>
      <c r="J2396" s="319">
        <f>F2396-I2396</f>
        <v/>
      </c>
      <c r="K2396" s="516" t="n"/>
      <c r="L2396" s="516" t="n"/>
    </row>
    <row r="2397">
      <c r="B2397" s="1" t="n">
        <v>2</v>
      </c>
      <c r="C2397" s="24" t="n">
        <v>44835</v>
      </c>
      <c r="D2397" s="24" t="n">
        <v>44865</v>
      </c>
      <c r="E2397" s="25">
        <f>D2397-C2397+1</f>
        <v/>
      </c>
      <c r="F2397" s="319">
        <f>J2396</f>
        <v/>
      </c>
      <c r="G2397" s="319">
        <f>-PMT($F$2387/$D$2389,36,$F$2396,,0)</f>
        <v/>
      </c>
      <c r="H2397" s="317">
        <f>$F$2387/$D$2389*F2397</f>
        <v/>
      </c>
      <c r="I2397" s="319">
        <f>G2397-H2397</f>
        <v/>
      </c>
      <c r="J2397" s="319">
        <f>F2397-I2397</f>
        <v/>
      </c>
    </row>
    <row r="2398">
      <c r="B2398" s="1" t="n">
        <v>3</v>
      </c>
      <c r="C2398" s="24" t="n">
        <v>44866</v>
      </c>
      <c r="D2398" s="24" t="n">
        <v>44895</v>
      </c>
      <c r="E2398" s="25">
        <f>D2398-C2398+1</f>
        <v/>
      </c>
      <c r="F2398" s="319">
        <f>J2397</f>
        <v/>
      </c>
      <c r="G2398" s="319">
        <f>-PMT($G$2387/$D$2389,34,$F$2398,,0)</f>
        <v/>
      </c>
      <c r="H2398" s="317">
        <f>$G$2387/$D$2389*F2398</f>
        <v/>
      </c>
      <c r="I2398" s="319">
        <f>G2398-H2398</f>
        <v/>
      </c>
      <c r="J2398" s="319">
        <f>F2398-I2398</f>
        <v/>
      </c>
      <c r="K2398" s="516" t="n"/>
      <c r="L2398" s="516" t="n"/>
    </row>
    <row r="2399">
      <c r="B2399" s="1" t="n">
        <v>4</v>
      </c>
      <c r="C2399" s="24" t="n">
        <v>44896</v>
      </c>
      <c r="D2399" s="24" t="n">
        <v>44926</v>
      </c>
      <c r="E2399" s="25">
        <f>D2399-C2399+1</f>
        <v/>
      </c>
      <c r="F2399" s="319">
        <f>J2398</f>
        <v/>
      </c>
      <c r="G2399" s="319">
        <f>-PMT($H$2387/$D$2389,33,$F$2399,,0)</f>
        <v/>
      </c>
      <c r="H2399" s="317">
        <f>$H$2387/$D$2389*F2399</f>
        <v/>
      </c>
      <c r="I2399" s="319">
        <f>G2399-H2399</f>
        <v/>
      </c>
      <c r="J2399" s="319">
        <f>F2399-I2399</f>
        <v/>
      </c>
      <c r="K2399" s="516" t="n"/>
      <c r="L2399" s="516" t="n"/>
    </row>
    <row r="2400">
      <c r="B2400" s="1" t="n">
        <v>5</v>
      </c>
      <c r="C2400" s="24" t="n">
        <v>44927</v>
      </c>
      <c r="D2400" s="24" t="n">
        <v>44957</v>
      </c>
      <c r="E2400" s="25">
        <f>D2400-C2400+1</f>
        <v/>
      </c>
      <c r="F2400" s="319">
        <f>J2399</f>
        <v/>
      </c>
      <c r="G2400" s="319">
        <f>-PMT($H$2387/$D$2389,33,$F$2399,,0)</f>
        <v/>
      </c>
      <c r="H2400" s="317">
        <f>$H$2387/$D$2389*F2400</f>
        <v/>
      </c>
      <c r="I2400" s="319">
        <f>G2400-H2400</f>
        <v/>
      </c>
      <c r="J2400" s="319">
        <f>F2400-I2400</f>
        <v/>
      </c>
      <c r="K2400" s="516" t="n"/>
      <c r="L2400" s="516" t="n"/>
    </row>
    <row r="2401">
      <c r="B2401" s="1" t="n">
        <v>6</v>
      </c>
      <c r="C2401" s="24" t="n">
        <v>44958</v>
      </c>
      <c r="D2401" s="24" t="n">
        <v>44985</v>
      </c>
      <c r="E2401" s="25">
        <f>D2401-C2401+1</f>
        <v/>
      </c>
      <c r="F2401" s="319">
        <f>J2400</f>
        <v/>
      </c>
      <c r="G2401" s="319">
        <f>-PMT($H$2387/$D$2389,33,$F$2399,,0)</f>
        <v/>
      </c>
      <c r="H2401" s="317">
        <f>$H$2387/$D$2389*F2401</f>
        <v/>
      </c>
      <c r="I2401" s="319">
        <f>G2401-H2401</f>
        <v/>
      </c>
      <c r="J2401" s="319">
        <f>F2401-I2401</f>
        <v/>
      </c>
      <c r="K2401" s="516" t="n"/>
      <c r="L2401" s="519" t="n"/>
    </row>
    <row r="2402">
      <c r="B2402" s="1" t="n">
        <v>7</v>
      </c>
      <c r="C2402" s="24" t="n">
        <v>44986</v>
      </c>
      <c r="D2402" s="24" t="n">
        <v>45016</v>
      </c>
      <c r="E2402" s="25">
        <f>D2402-C2402+1</f>
        <v/>
      </c>
      <c r="F2402" s="319">
        <f>J2401</f>
        <v/>
      </c>
      <c r="G2402" s="319">
        <f>-PMT($H$2387/$D$2389,33,$F$2399,,0)</f>
        <v/>
      </c>
      <c r="H2402" s="317">
        <f>$H$2387/$D$2389*F2402</f>
        <v/>
      </c>
      <c r="I2402" s="319">
        <f>G2402-H2402</f>
        <v/>
      </c>
      <c r="J2402" s="319">
        <f>F2402-I2402</f>
        <v/>
      </c>
      <c r="K2402" s="516" t="n"/>
      <c r="L2402" s="516" t="n"/>
    </row>
    <row r="2403">
      <c r="B2403" s="1" t="n">
        <v>8</v>
      </c>
      <c r="C2403" s="24" t="n">
        <v>45017</v>
      </c>
      <c r="D2403" s="24" t="n">
        <v>45046</v>
      </c>
      <c r="E2403" s="25">
        <f>D2403-C2403+1</f>
        <v/>
      </c>
      <c r="F2403" s="319">
        <f>J2402</f>
        <v/>
      </c>
      <c r="G2403" s="319">
        <f>-PMT($H$2387/$D$2389,33,$F$2399,,0)</f>
        <v/>
      </c>
      <c r="H2403" s="317">
        <f>$H$2387/$D$2389*F2403</f>
        <v/>
      </c>
      <c r="I2403" s="319">
        <f>G2403-H2403</f>
        <v/>
      </c>
      <c r="J2403" s="319">
        <f>F2403-I2403</f>
        <v/>
      </c>
      <c r="K2403" s="516" t="n">
        <v>47242707</v>
      </c>
      <c r="L2403" s="516" t="n"/>
    </row>
    <row r="2404">
      <c r="B2404" s="1" t="n">
        <v>9</v>
      </c>
      <c r="C2404" s="24" t="n">
        <v>45047</v>
      </c>
      <c r="D2404" s="24" t="n">
        <v>45077</v>
      </c>
      <c r="E2404" s="25">
        <f>D2404-C2404+1</f>
        <v/>
      </c>
      <c r="F2404" s="319">
        <f>J2403</f>
        <v/>
      </c>
      <c r="G2404" s="319">
        <f>-PMT($I$2387/$D$2389,28,$F$2404,,0)</f>
        <v/>
      </c>
      <c r="H2404" s="317">
        <f>$I$2387/$D$2389*F2404</f>
        <v/>
      </c>
      <c r="I2404" s="319">
        <f>G2404-H2404</f>
        <v/>
      </c>
      <c r="J2404" s="319">
        <f>F2404-I2404</f>
        <v/>
      </c>
      <c r="K2404" s="516" t="n"/>
      <c r="L2404" s="519" t="n"/>
      <c r="M2404" s="237">
        <f>85311781.35-K2403-K2406</f>
        <v/>
      </c>
    </row>
    <row r="2405">
      <c r="B2405" s="1" t="n">
        <v>10</v>
      </c>
      <c r="C2405" s="24" t="n">
        <v>45078</v>
      </c>
      <c r="D2405" s="24" t="n">
        <v>45107</v>
      </c>
      <c r="E2405" s="25">
        <f>D2405-C2405+1</f>
        <v/>
      </c>
      <c r="F2405" s="319">
        <f>J2404</f>
        <v/>
      </c>
      <c r="G2405" s="319">
        <f>-PMT($I$2387/$D$2389,28,$F$2404,,0)</f>
        <v/>
      </c>
      <c r="H2405" s="319">
        <f>$I$2387/$D$2389*F2405</f>
        <v/>
      </c>
      <c r="I2405" s="319">
        <f>G2405-H2405</f>
        <v/>
      </c>
      <c r="J2405" s="319">
        <f>F2405-I2405</f>
        <v/>
      </c>
      <c r="K2405" s="516" t="n"/>
      <c r="L2405" s="516" t="n"/>
    </row>
    <row r="2406">
      <c r="B2406" s="1" t="n">
        <v>11</v>
      </c>
      <c r="C2406" s="24" t="n">
        <v>45108</v>
      </c>
      <c r="D2406" s="24" t="n">
        <v>45138</v>
      </c>
      <c r="E2406" s="25">
        <f>D2406-C2406+1</f>
        <v/>
      </c>
      <c r="F2406" s="319">
        <f>J2405</f>
        <v/>
      </c>
      <c r="G2406" s="319">
        <f>-PMT($J$2387/$D$2389,26,$F$2406,,0)</f>
        <v/>
      </c>
      <c r="H2406" s="317">
        <f>$J$2387/$D$2389*F2406</f>
        <v/>
      </c>
      <c r="I2406" s="319">
        <f>G2406-H2406</f>
        <v/>
      </c>
      <c r="J2406" s="319">
        <f>F2406-I2406</f>
        <v/>
      </c>
      <c r="K2406" s="516" t="n">
        <v>36978662</v>
      </c>
      <c r="L2406" s="516" t="n"/>
    </row>
    <row r="2407">
      <c r="B2407" s="1" t="n">
        <v>12</v>
      </c>
      <c r="C2407" s="24" t="n">
        <v>45139</v>
      </c>
      <c r="D2407" s="24" t="n">
        <v>45169</v>
      </c>
      <c r="E2407" s="25">
        <f>D2407-C2407+1</f>
        <v/>
      </c>
      <c r="F2407" s="319">
        <f>J2406</f>
        <v/>
      </c>
      <c r="G2407" s="319">
        <f>-PMT($K$2387/$D$2389,25,$F$2407,,0)</f>
        <v/>
      </c>
      <c r="H2407" s="317">
        <f>$K$2387/$D$2389*F2407</f>
        <v/>
      </c>
      <c r="I2407" s="319">
        <f>G2407-H2407</f>
        <v/>
      </c>
      <c r="J2407" s="319">
        <f>F2407-I2407</f>
        <v/>
      </c>
      <c r="K2407" s="516" t="n"/>
      <c r="L2407" s="516" t="n"/>
    </row>
    <row r="2408">
      <c r="B2408" s="1" t="n">
        <v>13</v>
      </c>
      <c r="C2408" s="24" t="n">
        <v>45170</v>
      </c>
      <c r="D2408" s="24" t="n">
        <v>45199</v>
      </c>
      <c r="E2408" s="25">
        <f>D2408-C2408+1</f>
        <v/>
      </c>
      <c r="F2408" s="319">
        <f>J2407</f>
        <v/>
      </c>
      <c r="G2408" s="319">
        <f>-PMT($L$2387/$D$2389,24,$F$2408,,0)</f>
        <v/>
      </c>
      <c r="H2408" s="317">
        <f>$L$2387/$D$2389*F2408</f>
        <v/>
      </c>
      <c r="I2408" s="319">
        <f>G2408-H2408</f>
        <v/>
      </c>
      <c r="J2408" s="319">
        <f>F2408-I2408</f>
        <v/>
      </c>
      <c r="K2408" s="516" t="n"/>
      <c r="L2408" s="516" t="n"/>
    </row>
    <row r="2409">
      <c r="B2409" s="1" t="n">
        <v>14</v>
      </c>
      <c r="C2409" s="24" t="n">
        <v>45200</v>
      </c>
      <c r="D2409" s="24" t="n">
        <v>45230</v>
      </c>
      <c r="E2409" s="25">
        <f>D2409-C2409+1</f>
        <v/>
      </c>
      <c r="F2409" s="319">
        <f>J2408</f>
        <v/>
      </c>
      <c r="G2409" s="319">
        <f>-PMT($F$2392/$D$2389,23,$F$2409,,0)</f>
        <v/>
      </c>
      <c r="H2409" s="319">
        <f>$F$2392/$D$2389*F2409</f>
        <v/>
      </c>
      <c r="I2409" s="319">
        <f>G2409-H2409</f>
        <v/>
      </c>
      <c r="J2409" s="319">
        <f>F2409-I2409</f>
        <v/>
      </c>
      <c r="K2409" s="516" t="n"/>
      <c r="L2409" s="516" t="n"/>
    </row>
    <row r="2410">
      <c r="B2410" s="1" t="n">
        <v>15</v>
      </c>
      <c r="C2410" s="24" t="n">
        <v>45231</v>
      </c>
      <c r="D2410" s="24" t="n">
        <v>45260</v>
      </c>
      <c r="E2410" s="25">
        <f>D2410-C2410+1</f>
        <v/>
      </c>
      <c r="F2410" s="319">
        <f>J2409</f>
        <v/>
      </c>
      <c r="G2410" s="319">
        <f>-PMT($F$2392/$D$2389,23,$F$2409,,0)</f>
        <v/>
      </c>
      <c r="H2410" s="319">
        <f>$F$2392/$D$2389*F2410</f>
        <v/>
      </c>
      <c r="I2410" s="319">
        <f>G2410-H2410</f>
        <v/>
      </c>
      <c r="J2410" s="319">
        <f>F2410-I2410</f>
        <v/>
      </c>
      <c r="K2410" s="516" t="n"/>
      <c r="L2410" s="516" t="n"/>
    </row>
    <row r="2411">
      <c r="B2411" s="1" t="n">
        <v>16</v>
      </c>
      <c r="C2411" s="24" t="n">
        <v>45261</v>
      </c>
      <c r="D2411" s="24" t="n">
        <v>45291</v>
      </c>
      <c r="E2411" s="25">
        <f>D2411-C2411+1</f>
        <v/>
      </c>
      <c r="F2411" s="319">
        <f>J2410</f>
        <v/>
      </c>
      <c r="G2411" s="319">
        <f>-PMT($G$2392/$D$2389,21,$F$2411,,0)</f>
        <v/>
      </c>
      <c r="H2411" s="319">
        <f>$G$2392/$D$2389*F2411</f>
        <v/>
      </c>
      <c r="I2411" s="319">
        <f>G2411-H2411</f>
        <v/>
      </c>
      <c r="J2411" s="319">
        <f>F2411-I2411</f>
        <v/>
      </c>
      <c r="K2411" s="516" t="n"/>
      <c r="L2411" s="516" t="n"/>
    </row>
    <row r="2412">
      <c r="B2412" s="1" t="n">
        <v>17</v>
      </c>
      <c r="C2412" s="24" t="n">
        <v>45292</v>
      </c>
      <c r="D2412" s="24" t="n">
        <v>45322</v>
      </c>
      <c r="E2412" s="25">
        <f>D2412-C2412+1</f>
        <v/>
      </c>
      <c r="F2412" s="319">
        <f>J2411</f>
        <v/>
      </c>
      <c r="G2412" s="319">
        <f>-PMT($G$2392/$D$2389,21,$F$2411,,0)</f>
        <v/>
      </c>
      <c r="H2412" s="319">
        <f>$G$2392/$D$2389*F2412</f>
        <v/>
      </c>
      <c r="I2412" s="319">
        <f>G2412-H2412</f>
        <v/>
      </c>
      <c r="J2412" s="319">
        <f>F2412-I2412</f>
        <v/>
      </c>
      <c r="K2412" s="516" t="n"/>
      <c r="L2412" s="516" t="n"/>
    </row>
    <row r="2413">
      <c r="B2413" s="1" t="n">
        <v>18</v>
      </c>
      <c r="C2413" s="24" t="n">
        <v>45323</v>
      </c>
      <c r="D2413" s="24" t="n">
        <v>45351</v>
      </c>
      <c r="E2413" s="25">
        <f>D2413-C2413+1</f>
        <v/>
      </c>
      <c r="F2413" s="319">
        <f>J2412</f>
        <v/>
      </c>
      <c r="G2413" s="319">
        <f>-PMT($H$2392/$D$2389,19,$F$2413,,0)</f>
        <v/>
      </c>
      <c r="H2413" s="319">
        <f>$H$2392/$D$2389*F2413</f>
        <v/>
      </c>
      <c r="I2413" s="319">
        <f>G2413-H2413</f>
        <v/>
      </c>
      <c r="J2413" s="319">
        <f>F2413-I2413</f>
        <v/>
      </c>
      <c r="K2413" s="516" t="n"/>
      <c r="L2413" s="516" t="n"/>
    </row>
    <row r="2414">
      <c r="B2414" s="1" t="n">
        <v>19</v>
      </c>
      <c r="C2414" s="24" t="n">
        <v>45352</v>
      </c>
      <c r="D2414" s="24" t="n">
        <v>45382</v>
      </c>
      <c r="E2414" s="25">
        <f>D2414-C2414+1</f>
        <v/>
      </c>
      <c r="F2414" s="319">
        <f>J2413</f>
        <v/>
      </c>
      <c r="G2414" s="319">
        <f>-PMT($H$2392/$D$2389,19,$F$2413,,0)</f>
        <v/>
      </c>
      <c r="H2414" s="319">
        <f>$H$2392/$D$2389*F2414</f>
        <v/>
      </c>
      <c r="I2414" s="319">
        <f>G2414-H2414</f>
        <v/>
      </c>
      <c r="J2414" s="319">
        <f>F2414-I2414</f>
        <v/>
      </c>
      <c r="K2414" s="516" t="n"/>
      <c r="L2414" s="516" t="n"/>
    </row>
    <row r="2415">
      <c r="B2415" s="1" t="n">
        <v>20</v>
      </c>
      <c r="C2415" s="24" t="n">
        <v>45383</v>
      </c>
      <c r="D2415" s="24" t="n">
        <v>45412</v>
      </c>
      <c r="E2415" s="25">
        <f>D2415-C2415+1</f>
        <v/>
      </c>
      <c r="F2415" s="319">
        <f>J2414</f>
        <v/>
      </c>
      <c r="G2415" s="319">
        <f>-PMT($H$2392/$D$2389,19,$F$2413,,0)</f>
        <v/>
      </c>
      <c r="H2415" s="319">
        <f>$H$2392/$D$2389*F2415</f>
        <v/>
      </c>
      <c r="I2415" s="319">
        <f>G2415-H2415</f>
        <v/>
      </c>
      <c r="J2415" s="319">
        <f>F2415-I2415</f>
        <v/>
      </c>
      <c r="K2415" s="516" t="n"/>
      <c r="L2415" s="516" t="n"/>
    </row>
    <row r="2416">
      <c r="B2416" s="1" t="n">
        <v>21</v>
      </c>
      <c r="C2416" s="24" t="n">
        <v>45413</v>
      </c>
      <c r="D2416" s="24" t="n">
        <v>45443</v>
      </c>
      <c r="E2416" s="25">
        <f>D2416-C2416+1</f>
        <v/>
      </c>
      <c r="F2416" s="319">
        <f>J2415</f>
        <v/>
      </c>
      <c r="G2416" s="319">
        <f>-PMT($H$2392/$D$2389,19,$F$2413,,0)</f>
        <v/>
      </c>
      <c r="H2416" s="319">
        <f>$H$2392/$D$2389*F2416</f>
        <v/>
      </c>
      <c r="I2416" s="319">
        <f>G2416-H2416</f>
        <v/>
      </c>
      <c r="J2416" s="319">
        <f>F2416-I2416</f>
        <v/>
      </c>
      <c r="K2416" s="516" t="n">
        <v>57892073.09</v>
      </c>
      <c r="L2416" s="516" t="n"/>
    </row>
    <row r="2417">
      <c r="B2417" s="1" t="n">
        <v>22</v>
      </c>
      <c r="C2417" s="24" t="n">
        <v>45444</v>
      </c>
      <c r="D2417" s="24" t="n">
        <v>45473</v>
      </c>
      <c r="E2417" s="25">
        <f>D2417-C2417+1</f>
        <v/>
      </c>
      <c r="F2417" s="319">
        <f>J2416</f>
        <v/>
      </c>
      <c r="G2417" s="319">
        <f>-PMT($H$2392/$D$2389,19,$F$2413,,0)</f>
        <v/>
      </c>
      <c r="H2417" s="319">
        <f>$H$2392/$D$2389*F2417</f>
        <v/>
      </c>
      <c r="I2417" s="319">
        <f>G2417-H2417</f>
        <v/>
      </c>
      <c r="J2417" s="319">
        <f>F2417-I2417</f>
        <v/>
      </c>
      <c r="K2417" s="516" t="n"/>
      <c r="L2417" s="516" t="n"/>
    </row>
    <row r="2418">
      <c r="B2418" s="1" t="n">
        <v>23</v>
      </c>
      <c r="C2418" s="24" t="n">
        <v>45474</v>
      </c>
      <c r="D2418" s="24" t="n">
        <v>45504</v>
      </c>
      <c r="E2418" s="25">
        <f>D2418-C2418+1</f>
        <v/>
      </c>
      <c r="F2418" s="319">
        <f>J2417</f>
        <v/>
      </c>
      <c r="G2418" s="319">
        <f>-PMT($H$2392/$D$2389,19,$F$2413,,0)</f>
        <v/>
      </c>
      <c r="H2418" s="319">
        <f>$H$2392/$D$2389*F2418</f>
        <v/>
      </c>
      <c r="I2418" s="319">
        <f>G2418-H2418</f>
        <v/>
      </c>
      <c r="J2418" s="319">
        <f>F2418-I2418</f>
        <v/>
      </c>
      <c r="K2418" s="516" t="n"/>
      <c r="L2418" s="516" t="n"/>
    </row>
    <row r="2419">
      <c r="B2419" s="1" t="n">
        <v>24</v>
      </c>
      <c r="C2419" s="24" t="n">
        <v>45505</v>
      </c>
      <c r="D2419" s="24" t="n">
        <v>45535</v>
      </c>
      <c r="E2419" s="25">
        <f>D2419-C2419+1</f>
        <v/>
      </c>
      <c r="F2419" s="319">
        <f>J2418</f>
        <v/>
      </c>
      <c r="G2419" s="319">
        <f>-PMT($H$2392/$D$2389,19,$F$2413,,0)</f>
        <v/>
      </c>
      <c r="H2419" s="319">
        <f>$H$2392/$D$2389*F2419</f>
        <v/>
      </c>
      <c r="I2419" s="319">
        <f>G2419-H2419</f>
        <v/>
      </c>
      <c r="J2419" s="319">
        <f>F2419-I2419</f>
        <v/>
      </c>
      <c r="K2419" s="516" t="n"/>
      <c r="L2419" s="516" t="n"/>
    </row>
    <row r="2420">
      <c r="B2420" s="1" t="n">
        <v>25</v>
      </c>
      <c r="C2420" s="24" t="n">
        <v>45536</v>
      </c>
      <c r="D2420" s="24" t="n">
        <v>45565</v>
      </c>
      <c r="E2420" s="25">
        <f>D2420-C2420+1</f>
        <v/>
      </c>
      <c r="F2420" s="319">
        <f>J2419</f>
        <v/>
      </c>
      <c r="G2420" s="319">
        <f>-PMT($H$2392/$D$2389,19,$F$2413,,0)</f>
        <v/>
      </c>
      <c r="H2420" s="319">
        <f>$H$2392/$D$2389*F2420</f>
        <v/>
      </c>
      <c r="I2420" s="319">
        <f>G2420-H2420</f>
        <v/>
      </c>
      <c r="J2420" s="319">
        <f>F2420-I2420</f>
        <v/>
      </c>
      <c r="K2420" s="516" t="n"/>
      <c r="L2420" s="516" t="n"/>
    </row>
    <row r="2421">
      <c r="B2421" s="1" t="n">
        <v>26</v>
      </c>
      <c r="C2421" s="24" t="n">
        <v>45566</v>
      </c>
      <c r="D2421" s="24" t="n">
        <v>45596</v>
      </c>
      <c r="E2421" s="25">
        <f>D2421-C2421+1</f>
        <v/>
      </c>
      <c r="F2421" s="319">
        <f>J2420</f>
        <v/>
      </c>
      <c r="G2421" s="319">
        <f>-PMT($H$2392/$D$2389,19,$F$2413,,0)</f>
        <v/>
      </c>
      <c r="H2421" s="319">
        <f>$H$2392/$D$2389*F2421</f>
        <v/>
      </c>
      <c r="I2421" s="319">
        <f>G2421-H2421</f>
        <v/>
      </c>
      <c r="J2421" s="319">
        <f>F2421-I2421</f>
        <v/>
      </c>
      <c r="K2421" s="516" t="n"/>
      <c r="L2421" s="516" t="n"/>
    </row>
    <row r="2422">
      <c r="B2422" s="1" t="n">
        <v>27</v>
      </c>
      <c r="C2422" s="24" t="n">
        <v>45597</v>
      </c>
      <c r="D2422" s="24" t="n">
        <v>45626</v>
      </c>
      <c r="E2422" s="25">
        <f>D2422-C2422+1</f>
        <v/>
      </c>
      <c r="F2422" s="319">
        <f>J2421</f>
        <v/>
      </c>
      <c r="G2422" s="319">
        <f>-PMT($H$2392/$D$2389,19,$F$2413,,0)</f>
        <v/>
      </c>
      <c r="H2422" s="319">
        <f>$H$2392/$D$2389*F2422</f>
        <v/>
      </c>
      <c r="I2422" s="319">
        <f>G2422-H2422</f>
        <v/>
      </c>
      <c r="J2422" s="319">
        <f>F2422-I2422</f>
        <v/>
      </c>
      <c r="K2422" s="516" t="n"/>
      <c r="L2422" s="516" t="n"/>
    </row>
    <row r="2423">
      <c r="B2423" s="1" t="n">
        <v>28</v>
      </c>
      <c r="C2423" s="24" t="n">
        <v>45627</v>
      </c>
      <c r="D2423" s="24" t="n">
        <v>45657</v>
      </c>
      <c r="E2423" s="25">
        <f>D2423-C2423+1</f>
        <v/>
      </c>
      <c r="F2423" s="319">
        <f>J2422</f>
        <v/>
      </c>
      <c r="G2423" s="319">
        <f>-PMT($H$2392/$D$2389,19,$F$2413,,0)</f>
        <v/>
      </c>
      <c r="H2423" s="319">
        <f>$H$2392/$D$2389*F2423</f>
        <v/>
      </c>
      <c r="I2423" s="319">
        <f>G2423-H2423</f>
        <v/>
      </c>
      <c r="J2423" s="319">
        <f>F2423-I2423</f>
        <v/>
      </c>
      <c r="K2423" s="516" t="n"/>
      <c r="L2423" s="516" t="n"/>
    </row>
    <row r="2424">
      <c r="B2424" s="1" t="n">
        <v>29</v>
      </c>
      <c r="C2424" s="24" t="n">
        <v>45658</v>
      </c>
      <c r="D2424" s="24" t="n">
        <v>45688</v>
      </c>
      <c r="E2424" s="25">
        <f>D2424-C2424+1</f>
        <v/>
      </c>
      <c r="F2424" s="319">
        <f>J2423</f>
        <v/>
      </c>
      <c r="G2424" s="319">
        <f>-PMT($H$2392/$D$2389,19,$F$2413,,0)</f>
        <v/>
      </c>
      <c r="H2424" s="319">
        <f>$H$2392/$D$2389*F2424</f>
        <v/>
      </c>
      <c r="I2424" s="319">
        <f>G2424-H2424</f>
        <v/>
      </c>
      <c r="J2424" s="319">
        <f>F2424-I2424</f>
        <v/>
      </c>
      <c r="K2424" s="516" t="n"/>
      <c r="L2424" s="516" t="n"/>
    </row>
    <row r="2425">
      <c r="B2425" s="1" t="n">
        <v>30</v>
      </c>
      <c r="C2425" s="24" t="n">
        <v>45689</v>
      </c>
      <c r="D2425" s="24" t="n">
        <v>45716</v>
      </c>
      <c r="E2425" s="25">
        <f>D2425-C2425+1</f>
        <v/>
      </c>
      <c r="F2425" s="319">
        <f>J2424</f>
        <v/>
      </c>
      <c r="G2425" s="319">
        <f>-PMT($H$2392/$D$2389,19,$F$2413,,0)</f>
        <v/>
      </c>
      <c r="H2425" s="319">
        <f>$H$2392/$D$2389*F2425</f>
        <v/>
      </c>
      <c r="I2425" s="319">
        <f>G2425-H2425</f>
        <v/>
      </c>
      <c r="J2425" s="319">
        <f>F2425-I2425</f>
        <v/>
      </c>
      <c r="K2425" s="516" t="n"/>
      <c r="L2425" s="516" t="n"/>
    </row>
    <row r="2426">
      <c r="B2426" s="1" t="n">
        <v>31</v>
      </c>
      <c r="C2426" s="24" t="n">
        <v>45717</v>
      </c>
      <c r="D2426" s="24" t="n">
        <v>45747</v>
      </c>
      <c r="E2426" s="25">
        <f>D2426-C2426+1</f>
        <v/>
      </c>
      <c r="F2426" s="319">
        <f>J2425</f>
        <v/>
      </c>
      <c r="G2426" s="319">
        <f>-PMT($H$2392/$D$2389,19,$F$2413,,0)</f>
        <v/>
      </c>
      <c r="H2426" s="319">
        <f>$H$2392/$D$2389*F2426</f>
        <v/>
      </c>
      <c r="I2426" s="319">
        <f>G2426-H2426</f>
        <v/>
      </c>
      <c r="J2426" s="319">
        <f>F2426-I2426</f>
        <v/>
      </c>
      <c r="K2426" s="516" t="n"/>
      <c r="L2426" s="516" t="n"/>
    </row>
    <row r="2427">
      <c r="B2427" s="1" t="n">
        <v>32</v>
      </c>
      <c r="C2427" s="24" t="n">
        <v>45748</v>
      </c>
      <c r="D2427" s="24" t="n">
        <v>45777</v>
      </c>
      <c r="E2427" s="25">
        <f>D2427-C2427+1</f>
        <v/>
      </c>
      <c r="F2427" s="319">
        <f>J2426</f>
        <v/>
      </c>
      <c r="G2427" s="319">
        <f>-PMT($H$2392/$D$2389,19,$F$2413,,0)</f>
        <v/>
      </c>
      <c r="H2427" s="319">
        <f>$H$2392/$D$2389*F2427</f>
        <v/>
      </c>
      <c r="I2427" s="319">
        <f>G2427-H2427</f>
        <v/>
      </c>
      <c r="J2427" s="319">
        <f>F2427-I2427</f>
        <v/>
      </c>
      <c r="K2427" s="516" t="n"/>
      <c r="L2427" s="516" t="n"/>
    </row>
    <row r="2428">
      <c r="B2428" s="1" t="n">
        <v>33</v>
      </c>
      <c r="C2428" s="24" t="n">
        <v>45778</v>
      </c>
      <c r="D2428" s="24" t="n">
        <v>45808</v>
      </c>
      <c r="E2428" s="25">
        <f>D2428-C2428+1</f>
        <v/>
      </c>
      <c r="F2428" s="319">
        <f>J2427</f>
        <v/>
      </c>
      <c r="G2428" s="319">
        <f>-PMT($H$2392/$D$2389,19,$F$2413,,0)</f>
        <v/>
      </c>
      <c r="H2428" s="319">
        <f>$H$2392/$D$2389*F2428</f>
        <v/>
      </c>
      <c r="I2428" s="319">
        <f>G2428-H2428</f>
        <v/>
      </c>
      <c r="J2428" s="319">
        <f>F2428-I2428</f>
        <v/>
      </c>
      <c r="K2428" s="516" t="n"/>
      <c r="L2428" s="516" t="n"/>
    </row>
    <row r="2429">
      <c r="B2429" s="1" t="n">
        <v>34</v>
      </c>
      <c r="C2429" s="24" t="n">
        <v>45809</v>
      </c>
      <c r="D2429" s="24" t="n">
        <v>45838</v>
      </c>
      <c r="E2429" s="25">
        <f>D2429-C2429+1</f>
        <v/>
      </c>
      <c r="F2429" s="319">
        <f>J2428</f>
        <v/>
      </c>
      <c r="G2429" s="319">
        <f>-PMT($H$2392/$D$2389,19,$F$2413,,0)</f>
        <v/>
      </c>
      <c r="H2429" s="319">
        <f>$H$2392/$D$2389*F2429</f>
        <v/>
      </c>
      <c r="I2429" s="319">
        <f>G2429-H2429</f>
        <v/>
      </c>
      <c r="J2429" s="319">
        <f>F2429-I2429</f>
        <v/>
      </c>
      <c r="K2429" s="516" t="n"/>
      <c r="L2429" s="516" t="n"/>
    </row>
    <row r="2430">
      <c r="B2430" s="1" t="n">
        <v>35</v>
      </c>
      <c r="C2430" s="24" t="n">
        <v>45839</v>
      </c>
      <c r="D2430" s="24" t="n">
        <v>45869</v>
      </c>
      <c r="E2430" s="25">
        <f>D2430-C2430+1</f>
        <v/>
      </c>
      <c r="F2430" s="319">
        <f>J2429</f>
        <v/>
      </c>
      <c r="G2430" s="319">
        <f>-PMT($H$2392/$D$2389,19,$F$2413,,0)</f>
        <v/>
      </c>
      <c r="H2430" s="319">
        <f>$H$2392/$D$2389*F2430</f>
        <v/>
      </c>
      <c r="I2430" s="319">
        <f>G2430-H2430</f>
        <v/>
      </c>
      <c r="J2430" s="319">
        <f>F2430-I2430</f>
        <v/>
      </c>
      <c r="K2430" s="516" t="n"/>
      <c r="L2430" s="516" t="n"/>
    </row>
    <row r="2431">
      <c r="B2431" s="1" t="n">
        <v>36</v>
      </c>
      <c r="C2431" s="24" t="n">
        <v>45870</v>
      </c>
      <c r="D2431" s="24" t="n">
        <v>45900</v>
      </c>
      <c r="E2431" s="25">
        <f>D2431-C2431+1</f>
        <v/>
      </c>
      <c r="F2431" s="319">
        <f>J2430</f>
        <v/>
      </c>
      <c r="G2431" s="319">
        <f>-PMT($H$2392/$D$2389,19,$F$2413,,0)</f>
        <v/>
      </c>
      <c r="H2431" s="319">
        <f>$H$2392/$D$2389*F2431</f>
        <v/>
      </c>
      <c r="I2431" s="319">
        <f>G2431-H2431</f>
        <v/>
      </c>
      <c r="J2431" s="319">
        <f>F2431-I2431</f>
        <v/>
      </c>
      <c r="K2431" s="516" t="n"/>
      <c r="L2431" s="516" t="n"/>
    </row>
    <row r="2432">
      <c r="B2432" s="1" t="n"/>
      <c r="C2432" s="24" t="n"/>
      <c r="D2432" s="24" t="n"/>
      <c r="E2432" s="25" t="n"/>
      <c r="F2432" s="319" t="n"/>
      <c r="G2432" s="319" t="n"/>
      <c r="H2432" s="319" t="n"/>
      <c r="I2432" s="319" t="n"/>
      <c r="J2432" s="319" t="n"/>
      <c r="K2432" s="516" t="n"/>
      <c r="L2432" s="516" t="n"/>
    </row>
    <row r="2433" ht="14.25" customHeight="1">
      <c r="B2433" s="1" t="n"/>
      <c r="C2433" s="1" t="n"/>
      <c r="D2433" s="1" t="n"/>
      <c r="E2433" s="30">
        <f>SUM(E2395:E2407)</f>
        <v/>
      </c>
      <c r="F2433" s="319" t="n"/>
      <c r="G2433" s="319" t="n"/>
      <c r="H2433" s="319" t="n"/>
      <c r="I2433" s="319" t="n"/>
      <c r="J2433" s="319" t="n"/>
      <c r="K2433" s="1" t="n"/>
      <c r="L2433" s="1" t="n"/>
    </row>
    <row r="2437">
      <c r="B2437" s="1" t="n"/>
      <c r="C2437" s="9" t="inlineStr">
        <is>
          <t>Walusiya</t>
        </is>
      </c>
      <c r="D2437" s="319" t="n"/>
      <c r="E2437" s="319" t="n"/>
      <c r="F2437" s="319" t="n"/>
      <c r="G2437" s="319" t="n"/>
      <c r="H2437" s="319" t="n"/>
      <c r="I2437" s="319" t="n"/>
      <c r="J2437" s="319" t="n"/>
      <c r="K2437" s="319" t="n"/>
      <c r="L2437" s="319" t="n"/>
      <c r="R2437" s="514" t="inlineStr">
        <is>
          <t>E-Banker account (Dupleix)</t>
        </is>
      </c>
      <c r="S2437" s="495">
        <f>IFERROR(INDEX('Blocks'!$I$2:$I$101,MATCH(44,'Blocks'!$A$2:$A$101,0)),"")</f>
        <v/>
      </c>
    </row>
    <row r="2438">
      <c r="B2438" s="1" t="n"/>
      <c r="C2438" s="1" t="n"/>
      <c r="D2438" s="319" t="n"/>
      <c r="E2438" s="319" t="n"/>
      <c r="F2438" s="319" t="n"/>
      <c r="G2438" s="319" t="n"/>
      <c r="H2438" s="319" t="n"/>
      <c r="I2438" s="319" t="n"/>
      <c r="J2438" s="319" t="n"/>
      <c r="K2438" s="319" t="n"/>
      <c r="L2438" s="319" t="n"/>
      <c r="R2438" s="514" t="inlineStr">
        <is>
          <t>Facility (Loan Book)</t>
        </is>
      </c>
      <c r="S2438" s="495">
        <f>IFERROR(INDEX('Blocks'!$H$2:$H$101,MATCH(44,'Blocks'!$A$2:$A$101,0)),"")</f>
        <v/>
      </c>
    </row>
    <row r="2439">
      <c r="B2439" s="1" t="n"/>
      <c r="C2439" s="10" t="inlineStr">
        <is>
          <t>Principal (MK)</t>
        </is>
      </c>
      <c r="D2439" s="11" t="n">
        <v>10000000</v>
      </c>
      <c r="E2439" s="319" t="n"/>
      <c r="F2439" s="319" t="n"/>
      <c r="G2439" s="319" t="n"/>
      <c r="H2439" s="319" t="n"/>
      <c r="I2439" s="319" t="n"/>
      <c r="J2439" s="319" t="n"/>
      <c r="K2439" s="319" t="n"/>
      <c r="L2439" s="319" t="n"/>
      <c r="R2439" s="514" t="inlineStr">
        <is>
          <t>Take-on posting 31 Jul 2024</t>
        </is>
      </c>
      <c r="S2439" s="496">
        <f>IFERROR(INDEX('E-Banker master'!$N$2:$N$186,MATCH(S2437,'E-Banker master'!$A$2:$A$186,0)),"")</f>
        <v/>
      </c>
    </row>
    <row r="2440">
      <c r="B2440" s="1" t="n"/>
      <c r="C2440" s="13" t="inlineStr">
        <is>
          <t>Rate</t>
        </is>
      </c>
      <c r="D2440" s="14" t="n">
        <v>0.1</v>
      </c>
      <c r="E2440" s="257" t="n"/>
      <c r="F2440" s="319" t="n"/>
      <c r="G2440" s="319" t="n"/>
      <c r="H2440" s="319" t="n"/>
      <c r="I2440" s="319" t="n"/>
      <c r="J2440" s="319" t="n"/>
      <c r="K2440" s="319" t="n"/>
      <c r="L2440" s="319" t="n"/>
      <c r="R2440" s="514" t="inlineStr">
        <is>
          <t>E-Banker balance 31 Oct 2024</t>
        </is>
      </c>
      <c r="S2440" s="496">
        <f>IFERROR(INDEX('E-Banker master'!$P$2:$P$186,MATCH(S2437,'E-Banker master'!$A$2:$A$186,0)),"")</f>
        <v/>
      </c>
    </row>
    <row r="2441">
      <c r="B2441" s="1" t="n"/>
      <c r="C2441" s="13" t="inlineStr">
        <is>
          <t>n</t>
        </is>
      </c>
      <c r="D2441" s="16" t="n">
        <v>2</v>
      </c>
      <c r="E2441" s="1" t="n"/>
      <c r="F2441" s="319" t="n"/>
      <c r="G2441" s="319" t="n"/>
      <c r="H2441" s="319" t="n"/>
      <c r="I2441" s="319" t="n"/>
      <c r="J2441" s="319" t="n"/>
      <c r="K2441" s="1" t="n"/>
      <c r="L2441" s="1" t="n"/>
    </row>
    <row r="2442">
      <c r="B2442" s="1" t="n"/>
      <c r="C2442" s="13" t="inlineStr">
        <is>
          <t>Per</t>
        </is>
      </c>
      <c r="D2442" s="16" t="n">
        <v>12</v>
      </c>
      <c r="E2442" s="1" t="n"/>
      <c r="F2442" s="319" t="n"/>
      <c r="G2442" s="319" t="n"/>
      <c r="H2442" s="319" t="n"/>
      <c r="I2442" s="319" t="n"/>
      <c r="J2442" s="319" t="n"/>
      <c r="K2442" s="1" t="n"/>
      <c r="L2442" s="1" t="n"/>
    </row>
    <row r="2443">
      <c r="B2443" s="1" t="n"/>
      <c r="C2443" s="13" t="inlineStr">
        <is>
          <t>nPer</t>
        </is>
      </c>
      <c r="D2443" s="515">
        <f>D2441*D2442</f>
        <v/>
      </c>
      <c r="E2443" s="1" t="n"/>
      <c r="F2443" s="319" t="n"/>
      <c r="G2443" s="319" t="n"/>
      <c r="H2443" s="319" t="n"/>
      <c r="I2443" s="319" t="n"/>
      <c r="J2443" s="319" t="n"/>
      <c r="K2443" s="1" t="n"/>
      <c r="L2443" s="1" t="n"/>
    </row>
    <row r="2444">
      <c r="B2444" s="1" t="n"/>
      <c r="C2444" s="13" t="inlineStr">
        <is>
          <t>Days in a year</t>
        </is>
      </c>
      <c r="D2444" s="18" t="n">
        <v>365</v>
      </c>
      <c r="E2444" s="1" t="n"/>
      <c r="F2444" s="319" t="n"/>
      <c r="G2444" s="319" t="n"/>
      <c r="H2444" s="319" t="n"/>
      <c r="I2444" s="319" t="n"/>
      <c r="J2444" s="319" t="n"/>
      <c r="K2444" s="1" t="n"/>
      <c r="L2444" s="1" t="n"/>
    </row>
    <row r="2445">
      <c r="B2445" s="1" t="n"/>
      <c r="C2445" s="19" t="inlineStr">
        <is>
          <t>Pmt (MK)</t>
        </is>
      </c>
      <c r="D2445" s="20">
        <f>-PMT(D2440/D2442,D2443,D2439,0,0)</f>
        <v/>
      </c>
      <c r="E2445" s="319" t="n"/>
      <c r="F2445" s="319" t="n"/>
      <c r="G2445" s="319" t="n"/>
      <c r="H2445" s="319" t="n"/>
      <c r="I2445" s="319" t="n"/>
      <c r="J2445" s="319" t="n"/>
      <c r="K2445" s="1" t="n"/>
      <c r="L2445" s="1" t="n"/>
    </row>
    <row r="2446">
      <c r="B2446" s="1" t="n"/>
      <c r="C2446" s="1" t="n"/>
      <c r="D2446" s="319" t="n"/>
      <c r="E2446" s="319" t="n"/>
      <c r="F2446" s="319" t="n"/>
      <c r="G2446" s="319" t="n"/>
      <c r="H2446" s="319" t="n"/>
      <c r="I2446" s="319" t="n"/>
      <c r="J2446" s="319" t="n"/>
      <c r="K2446" s="1" t="n"/>
      <c r="L2446" s="1" t="n"/>
    </row>
    <row r="2447">
      <c r="B2447" s="1" t="n"/>
      <c r="C2447" s="21" t="inlineStr">
        <is>
          <t>Period Start</t>
        </is>
      </c>
      <c r="D2447" s="22" t="inlineStr">
        <is>
          <t>Period End</t>
        </is>
      </c>
      <c r="E2447" s="22" t="inlineStr">
        <is>
          <t>Days</t>
        </is>
      </c>
      <c r="F2447" s="294" t="inlineStr">
        <is>
          <t>Opening bal.</t>
        </is>
      </c>
      <c r="G2447" s="294" t="inlineStr">
        <is>
          <t>Pmt</t>
        </is>
      </c>
      <c r="H2447" s="294" t="inlineStr">
        <is>
          <t>Interest</t>
        </is>
      </c>
      <c r="I2447" s="294" t="inlineStr">
        <is>
          <t>Principal</t>
        </is>
      </c>
      <c r="J2447" s="294" t="inlineStr">
        <is>
          <t>Closing balance</t>
        </is>
      </c>
      <c r="K2447" s="23" t="inlineStr">
        <is>
          <t>Amount Repaid</t>
        </is>
      </c>
      <c r="L2447" s="23" t="inlineStr">
        <is>
          <t>Accumulated Arrears</t>
        </is>
      </c>
    </row>
    <row r="2448">
      <c r="B2448" s="1" t="n">
        <v>0</v>
      </c>
      <c r="C2448" s="24" t="n">
        <v>44844</v>
      </c>
      <c r="D2448" s="24" t="n">
        <v>44865</v>
      </c>
      <c r="E2448" s="25">
        <f>D2448-C2448+1</f>
        <v/>
      </c>
      <c r="F2448" s="319">
        <f>D2439</f>
        <v/>
      </c>
      <c r="G2448" s="319" t="n"/>
      <c r="H2448" s="319">
        <f>($D$2440/$D$2442*F2448*E2448/31)</f>
        <v/>
      </c>
      <c r="I2448" s="319">
        <f>G2448-H2448</f>
        <v/>
      </c>
      <c r="J2448" s="319">
        <f>F2448+F2439-I2448</f>
        <v/>
      </c>
      <c r="K2448" s="516" t="n"/>
      <c r="L2448" s="516" t="n"/>
    </row>
    <row r="2449">
      <c r="B2449" s="1" t="n">
        <v>1</v>
      </c>
      <c r="C2449" s="24" t="n">
        <v>44866</v>
      </c>
      <c r="D2449" s="24" t="n">
        <v>44895</v>
      </c>
      <c r="E2449" s="25">
        <f>D2449-C2449+1</f>
        <v/>
      </c>
      <c r="F2449" s="319">
        <f>J2448</f>
        <v/>
      </c>
      <c r="G2449" s="319" t="n"/>
      <c r="H2449" s="319">
        <f>$D$2440/$D$2442*F2449</f>
        <v/>
      </c>
      <c r="I2449" s="319">
        <f>G2449-H2449</f>
        <v/>
      </c>
      <c r="J2449" s="319">
        <f>F2449-I2449</f>
        <v/>
      </c>
      <c r="K2449" s="516" t="n"/>
      <c r="L2449" s="516" t="n"/>
    </row>
    <row r="2450">
      <c r="B2450" s="1" t="n">
        <v>2</v>
      </c>
      <c r="C2450" s="24" t="n">
        <v>44896</v>
      </c>
      <c r="D2450" s="24" t="n">
        <v>44926</v>
      </c>
      <c r="E2450" s="25">
        <f>D2450-C2450+1</f>
        <v/>
      </c>
      <c r="F2450" s="319">
        <f>J2449</f>
        <v/>
      </c>
      <c r="G2450" s="319" t="n"/>
      <c r="H2450" s="319">
        <f>$D$2440/$D$2442*F2450</f>
        <v/>
      </c>
      <c r="I2450" s="319">
        <f>G2450-H2450</f>
        <v/>
      </c>
      <c r="J2450" s="319">
        <f>F2450-I2450</f>
        <v/>
      </c>
    </row>
    <row r="2451">
      <c r="B2451" s="1" t="n">
        <v>3</v>
      </c>
      <c r="C2451" s="24" t="n">
        <v>44927</v>
      </c>
      <c r="D2451" s="24" t="n">
        <v>44957</v>
      </c>
      <c r="E2451" s="25">
        <f>D2451-C2451+1</f>
        <v/>
      </c>
      <c r="F2451" s="319">
        <f>J2450</f>
        <v/>
      </c>
      <c r="G2451" s="319" t="n"/>
      <c r="H2451" s="319">
        <f>$D$2440/$D$2442*F2451</f>
        <v/>
      </c>
      <c r="I2451" s="319">
        <f>G2451-H2451</f>
        <v/>
      </c>
      <c r="J2451" s="319">
        <f>F2451-I2451</f>
        <v/>
      </c>
      <c r="K2451" s="516" t="n"/>
      <c r="L2451" s="516" t="n"/>
    </row>
    <row r="2452">
      <c r="B2452" s="1" t="n">
        <v>4</v>
      </c>
      <c r="C2452" s="24" t="n">
        <v>44958</v>
      </c>
      <c r="D2452" s="24" t="n">
        <v>44985</v>
      </c>
      <c r="E2452" s="25">
        <f>D2452-C2452+1</f>
        <v/>
      </c>
      <c r="F2452" s="319">
        <f>J2451</f>
        <v/>
      </c>
      <c r="G2452" s="319">
        <f>-PMT($D$2440/$D$2442,21,$F$2452,,0)</f>
        <v/>
      </c>
      <c r="H2452" s="319">
        <f>$D$2440/$D$2442*F2452</f>
        <v/>
      </c>
      <c r="I2452" s="319">
        <f>G2452-H2452</f>
        <v/>
      </c>
      <c r="J2452" s="319">
        <f>F2452-I2452</f>
        <v/>
      </c>
      <c r="K2452" s="516" t="n"/>
      <c r="L2452" s="516">
        <f>G2452</f>
        <v/>
      </c>
    </row>
    <row r="2453">
      <c r="B2453" s="1" t="n">
        <v>5</v>
      </c>
      <c r="C2453" s="24" t="n">
        <v>44986</v>
      </c>
      <c r="D2453" s="24" t="n">
        <v>45016</v>
      </c>
      <c r="E2453" s="25">
        <f>D2453-C2453+1</f>
        <v/>
      </c>
      <c r="F2453" s="319">
        <f>J2452</f>
        <v/>
      </c>
      <c r="G2453" s="319">
        <f>-PMT($D$2440/$D$2442,21,$F$2452,,0)</f>
        <v/>
      </c>
      <c r="H2453" s="319">
        <f>$D$2440/$D$2442*F2453</f>
        <v/>
      </c>
      <c r="I2453" s="319">
        <f>G2453-H2453</f>
        <v/>
      </c>
      <c r="J2453" s="319">
        <f>F2453-I2453</f>
        <v/>
      </c>
      <c r="K2453" s="516" t="n"/>
      <c r="L2453" s="516">
        <f>L2452+G2453</f>
        <v/>
      </c>
    </row>
    <row r="2454">
      <c r="B2454" s="1" t="n">
        <v>6</v>
      </c>
      <c r="C2454" s="24" t="n">
        <v>45017</v>
      </c>
      <c r="D2454" s="24" t="n">
        <v>45046</v>
      </c>
      <c r="E2454" s="25">
        <f>D2454-C2454+1</f>
        <v/>
      </c>
      <c r="F2454" s="319">
        <f>J2453</f>
        <v/>
      </c>
      <c r="G2454" s="319">
        <f>-PMT($D$2440/$D$2442,21,$F$2452,,0)</f>
        <v/>
      </c>
      <c r="H2454" s="319">
        <f>$D$2440/$D$2442*F2454</f>
        <v/>
      </c>
      <c r="I2454" s="319">
        <f>G2454-H2454</f>
        <v/>
      </c>
      <c r="J2454" s="319">
        <f>F2454-I2454</f>
        <v/>
      </c>
      <c r="K2454" s="516" t="n"/>
      <c r="L2454" s="516">
        <f>L2453+G2454</f>
        <v/>
      </c>
    </row>
    <row r="2455">
      <c r="B2455" s="1" t="n">
        <v>7</v>
      </c>
      <c r="C2455" s="24" t="n">
        <v>45047</v>
      </c>
      <c r="D2455" s="24" t="n">
        <v>45077</v>
      </c>
      <c r="E2455" s="25">
        <f>D2455-C2455+1</f>
        <v/>
      </c>
      <c r="F2455" s="319">
        <f>J2454</f>
        <v/>
      </c>
      <c r="G2455" s="390">
        <f>-PMT($D$2440/$D$2442,21,$F$2452,,0)</f>
        <v/>
      </c>
      <c r="H2455" s="319">
        <f>$D$2440/$D$2442*F2455</f>
        <v/>
      </c>
      <c r="I2455" s="319">
        <f>G2455-H2455</f>
        <v/>
      </c>
      <c r="J2455" s="319">
        <f>F2455-I2455</f>
        <v/>
      </c>
      <c r="K2455" s="516" t="n">
        <v>535000</v>
      </c>
      <c r="L2455" s="516">
        <f>L2454+G2455-K2455</f>
        <v/>
      </c>
    </row>
    <row r="2456">
      <c r="B2456" s="1" t="n">
        <v>8</v>
      </c>
      <c r="C2456" s="24" t="n">
        <v>45078</v>
      </c>
      <c r="D2456" s="24" t="n">
        <v>45107</v>
      </c>
      <c r="E2456" s="25">
        <f>D2456-C2456+1</f>
        <v/>
      </c>
      <c r="F2456" s="319">
        <f>J2455</f>
        <v/>
      </c>
      <c r="G2456" s="390">
        <f>-PMT($D$2440/$D$2442,21,$F$2452,,0)</f>
        <v/>
      </c>
      <c r="H2456" s="319">
        <f>$D$2440/$D$2442*F2456</f>
        <v/>
      </c>
      <c r="I2456" s="319">
        <f>G2456-H2456</f>
        <v/>
      </c>
      <c r="J2456" s="319">
        <f>F2456-I2456</f>
        <v/>
      </c>
      <c r="K2456" s="516" t="n"/>
      <c r="L2456" s="519">
        <f>L2455+G2456-K2456</f>
        <v/>
      </c>
    </row>
    <row r="2457">
      <c r="B2457" s="1" t="n">
        <v>9</v>
      </c>
      <c r="C2457" s="24" t="n">
        <v>45108</v>
      </c>
      <c r="D2457" s="24" t="n">
        <v>45138</v>
      </c>
      <c r="E2457" s="25">
        <f>D2457-C2457+1</f>
        <v/>
      </c>
      <c r="F2457" s="319">
        <f>J2456</f>
        <v/>
      </c>
      <c r="G2457" s="390">
        <f>-PMT($D$2440/$D$2442,21,$F$2452,,0)</f>
        <v/>
      </c>
      <c r="H2457" s="319">
        <f>$D$2440/$D$2442*F2457</f>
        <v/>
      </c>
      <c r="I2457" s="319">
        <f>G2457-H2457</f>
        <v/>
      </c>
      <c r="J2457" s="319">
        <f>F2457-I2457</f>
        <v/>
      </c>
      <c r="K2457" s="516" t="n"/>
      <c r="L2457" s="516">
        <f>L2456+G2457-K2457</f>
        <v/>
      </c>
    </row>
    <row r="2458">
      <c r="B2458" s="1" t="n">
        <v>10</v>
      </c>
      <c r="C2458" s="24" t="n">
        <v>45139</v>
      </c>
      <c r="D2458" s="24" t="n">
        <v>45169</v>
      </c>
      <c r="E2458" s="25">
        <f>D2458-C2458+1</f>
        <v/>
      </c>
      <c r="F2458" s="319">
        <f>J2457</f>
        <v/>
      </c>
      <c r="G2458" s="390">
        <f>-PMT($D$2440/$D$2442,21,$F$2452,,0)</f>
        <v/>
      </c>
      <c r="H2458" s="319">
        <f>$D$2440/$D$2442*F2458</f>
        <v/>
      </c>
      <c r="I2458" s="319">
        <f>G2458-H2458</f>
        <v/>
      </c>
      <c r="J2458" s="319">
        <f>F2458-I2458</f>
        <v/>
      </c>
      <c r="K2458" s="516" t="n"/>
      <c r="L2458" s="516">
        <f>L2457+G2458-K2458</f>
        <v/>
      </c>
    </row>
    <row r="2459">
      <c r="B2459" s="1" t="n">
        <v>11</v>
      </c>
      <c r="C2459" s="24" t="n">
        <v>45170</v>
      </c>
      <c r="D2459" s="24" t="n">
        <v>45199</v>
      </c>
      <c r="E2459" s="25">
        <f>D2459-C2459+1</f>
        <v/>
      </c>
      <c r="F2459" s="319">
        <f>J2458</f>
        <v/>
      </c>
      <c r="G2459" s="390">
        <f>-PMT($D$2440/$D$2442,21,$F$2452,,0)</f>
        <v/>
      </c>
      <c r="H2459" s="319">
        <f>$D$2440/$D$2442*F2459</f>
        <v/>
      </c>
      <c r="I2459" s="319">
        <f>G2459-H2459</f>
        <v/>
      </c>
      <c r="J2459" s="319">
        <f>F2459-I2459</f>
        <v/>
      </c>
      <c r="K2459" s="516" t="n"/>
      <c r="L2459" s="516">
        <f>L2458+G2459-K2459</f>
        <v/>
      </c>
    </row>
    <row r="2460">
      <c r="B2460" s="1" t="n">
        <v>12</v>
      </c>
      <c r="C2460" s="24" t="n">
        <v>45200</v>
      </c>
      <c r="D2460" s="24" t="n">
        <v>45230</v>
      </c>
      <c r="E2460" s="25">
        <f>D2460-C2460+1</f>
        <v/>
      </c>
      <c r="F2460" s="319">
        <f>J2459</f>
        <v/>
      </c>
      <c r="G2460" s="390">
        <f>-PMT($D$2440/$D$2442,21,$F$2452,,0)</f>
        <v/>
      </c>
      <c r="H2460" s="319">
        <f>$D$2440/$D$2442*F2460</f>
        <v/>
      </c>
      <c r="I2460" s="319">
        <f>G2460-H2460</f>
        <v/>
      </c>
      <c r="J2460" s="319">
        <f>F2460-I2460</f>
        <v/>
      </c>
      <c r="K2460" s="516" t="n"/>
      <c r="L2460" s="516">
        <f>L2459+G2460-K2460</f>
        <v/>
      </c>
    </row>
    <row r="2461">
      <c r="B2461" s="1" t="n">
        <v>13</v>
      </c>
      <c r="C2461" s="24" t="n">
        <v>45231</v>
      </c>
      <c r="D2461" s="24" t="n">
        <v>45260</v>
      </c>
      <c r="E2461" s="25">
        <f>D2461-C2461+1</f>
        <v/>
      </c>
      <c r="F2461" s="319">
        <f>J2460</f>
        <v/>
      </c>
      <c r="G2461" s="390">
        <f>-PMT($D$2440/$D$2442,21,$F$2452,,0)</f>
        <v/>
      </c>
      <c r="H2461" s="319">
        <f>$D$2440/$D$2442*F2461</f>
        <v/>
      </c>
      <c r="I2461" s="319">
        <f>G2461-H2461</f>
        <v/>
      </c>
      <c r="J2461" s="319">
        <f>F2461-I2461</f>
        <v/>
      </c>
      <c r="K2461" s="516" t="n">
        <v>535000</v>
      </c>
      <c r="L2461" s="516">
        <f>L2460+G2461-K2461</f>
        <v/>
      </c>
    </row>
    <row r="2462">
      <c r="B2462" s="1" t="n">
        <v>14</v>
      </c>
      <c r="C2462" s="24" t="n">
        <v>45261</v>
      </c>
      <c r="D2462" s="24" t="n">
        <v>45291</v>
      </c>
      <c r="E2462" s="25">
        <f>D2462-C2462+1</f>
        <v/>
      </c>
      <c r="F2462" s="319">
        <f>J2461</f>
        <v/>
      </c>
      <c r="G2462" s="390">
        <f>-PMT($D$2440/$D$2442,21,$F$2452,,0)</f>
        <v/>
      </c>
      <c r="H2462" s="319">
        <f>$D$2440/$D$2442*F2462</f>
        <v/>
      </c>
      <c r="I2462" s="319">
        <f>G2462-H2462</f>
        <v/>
      </c>
      <c r="J2462" s="319">
        <f>F2462-I2462</f>
        <v/>
      </c>
      <c r="K2462" s="516" t="n"/>
      <c r="L2462" s="516">
        <f>L2461+G2462-K2462</f>
        <v/>
      </c>
    </row>
    <row r="2463">
      <c r="B2463" s="1" t="n">
        <v>15</v>
      </c>
      <c r="C2463" s="24" t="n">
        <v>45292</v>
      </c>
      <c r="D2463" s="24" t="n">
        <v>45322</v>
      </c>
      <c r="E2463" s="25">
        <f>D2463-C2463+1</f>
        <v/>
      </c>
      <c r="F2463" s="319">
        <f>J2462</f>
        <v/>
      </c>
      <c r="G2463" s="390">
        <f>-PMT($D$2440/$D$2442,21,$F$2452,,0)</f>
        <v/>
      </c>
      <c r="H2463" s="319">
        <f>$D$2440/$D$2442*F2463</f>
        <v/>
      </c>
      <c r="I2463" s="319">
        <f>G2463-H2463</f>
        <v/>
      </c>
      <c r="J2463" s="319">
        <f>F2463-I2463</f>
        <v/>
      </c>
      <c r="K2463" s="516" t="n">
        <v>535000</v>
      </c>
      <c r="L2463" s="516">
        <f>L2462+G2463-K2463</f>
        <v/>
      </c>
    </row>
    <row r="2464">
      <c r="B2464" s="1" t="n">
        <v>16</v>
      </c>
      <c r="C2464" s="24" t="n">
        <v>45323</v>
      </c>
      <c r="D2464" s="24" t="n">
        <v>45351</v>
      </c>
      <c r="E2464" s="25">
        <f>D2464-C2464+1</f>
        <v/>
      </c>
      <c r="F2464" s="319">
        <f>J2463</f>
        <v/>
      </c>
      <c r="G2464" s="390">
        <f>-PMT($D$2440/$D$2442,21,$F$2452,,0)</f>
        <v/>
      </c>
      <c r="H2464" s="319">
        <f>$D$2440/$D$2442*F2464</f>
        <v/>
      </c>
      <c r="I2464" s="319">
        <f>G2464-H2464</f>
        <v/>
      </c>
      <c r="J2464" s="319">
        <f>F2464-I2464</f>
        <v/>
      </c>
      <c r="K2464" s="516" t="n"/>
      <c r="L2464" s="516">
        <f>L2463+G2464-K2464</f>
        <v/>
      </c>
    </row>
    <row r="2465">
      <c r="B2465" s="1" t="n">
        <v>17</v>
      </c>
      <c r="C2465" s="24" t="n">
        <v>45352</v>
      </c>
      <c r="D2465" s="24" t="n">
        <v>45382</v>
      </c>
      <c r="E2465" s="25">
        <f>D2465-C2465+1</f>
        <v/>
      </c>
      <c r="F2465" s="319">
        <f>J2464</f>
        <v/>
      </c>
      <c r="G2465" s="390">
        <f>-PMT($D$2440/$D$2442,21,$F$2452,,0)</f>
        <v/>
      </c>
      <c r="H2465" s="319">
        <f>$D$2440/$D$2442*F2465</f>
        <v/>
      </c>
      <c r="I2465" s="319">
        <f>G2465-H2465</f>
        <v/>
      </c>
      <c r="J2465" s="319">
        <f>F2465-I2465</f>
        <v/>
      </c>
      <c r="K2465" s="516" t="n"/>
      <c r="L2465" s="516">
        <f>L2464+G2465-K2465</f>
        <v/>
      </c>
    </row>
    <row r="2466">
      <c r="B2466" s="1" t="n">
        <v>18</v>
      </c>
      <c r="C2466" s="24" t="n">
        <v>45383</v>
      </c>
      <c r="D2466" s="24" t="n">
        <v>45412</v>
      </c>
      <c r="E2466" s="25">
        <f>D2466-C2466+1</f>
        <v/>
      </c>
      <c r="F2466" s="319">
        <f>J2465</f>
        <v/>
      </c>
      <c r="G2466" s="390">
        <f>-PMT($D$2440/$D$2442,21,$F$2452,,0)</f>
        <v/>
      </c>
      <c r="H2466" s="319">
        <f>$D$2440/$D$2442*F2466</f>
        <v/>
      </c>
      <c r="I2466" s="319">
        <f>G2466-H2466</f>
        <v/>
      </c>
      <c r="J2466" s="319">
        <f>F2466-I2466</f>
        <v/>
      </c>
      <c r="K2466" s="516" t="n"/>
      <c r="L2466" s="516">
        <f>L2465+G2466-K2466</f>
        <v/>
      </c>
    </row>
    <row r="2467">
      <c r="B2467" s="1" t="n">
        <v>19</v>
      </c>
      <c r="C2467" s="24" t="n">
        <v>45413</v>
      </c>
      <c r="D2467" s="24" t="n">
        <v>45443</v>
      </c>
      <c r="E2467" s="25">
        <f>D2467-C2467+1</f>
        <v/>
      </c>
      <c r="F2467" s="319">
        <f>J2466</f>
        <v/>
      </c>
      <c r="G2467" s="319">
        <f>-PMT($D$2440/$D$2442,21,$F$2452,,0)</f>
        <v/>
      </c>
      <c r="H2467" s="319">
        <f>$D$2440/$D$2442*F2467</f>
        <v/>
      </c>
      <c r="I2467" s="319">
        <f>G2467-H2467</f>
        <v/>
      </c>
      <c r="J2467" s="319">
        <f>F2467-I2467</f>
        <v/>
      </c>
      <c r="K2467" s="516" t="n"/>
      <c r="L2467" s="516">
        <f>L2466+G2467-K2467</f>
        <v/>
      </c>
    </row>
    <row r="2468">
      <c r="B2468" s="1" t="n">
        <v>20</v>
      </c>
      <c r="C2468" s="24" t="n">
        <v>45444</v>
      </c>
      <c r="D2468" s="24" t="n">
        <v>45473</v>
      </c>
      <c r="E2468" s="25">
        <f>D2468-C2468+1</f>
        <v/>
      </c>
      <c r="F2468" s="319">
        <f>J2467</f>
        <v/>
      </c>
      <c r="G2468" s="319">
        <f>-PMT($D$2440/$D$2442,21,$F$2452,,0)</f>
        <v/>
      </c>
      <c r="H2468" s="319">
        <f>$D$2440/$D$2442*F2468</f>
        <v/>
      </c>
      <c r="I2468" s="319">
        <f>G2468-H2468</f>
        <v/>
      </c>
      <c r="J2468" s="319">
        <f>F2468-I2468</f>
        <v/>
      </c>
      <c r="K2468" s="516" t="n"/>
      <c r="L2468" s="516">
        <f>L2467+G2468-K2468</f>
        <v/>
      </c>
    </row>
    <row r="2469">
      <c r="B2469" s="1" t="n">
        <v>21</v>
      </c>
      <c r="C2469" s="24" t="n">
        <v>45474</v>
      </c>
      <c r="D2469" s="24" t="n">
        <v>45504</v>
      </c>
      <c r="E2469" s="25">
        <f>D2469-C2469+1</f>
        <v/>
      </c>
      <c r="F2469" s="319">
        <f>J2468</f>
        <v/>
      </c>
      <c r="G2469" s="319">
        <f>-PMT($D$2440/$D$2442,21,$F$2452,,0)</f>
        <v/>
      </c>
      <c r="H2469" s="319">
        <f>$D$2440/$D$2442*F2469</f>
        <v/>
      </c>
      <c r="I2469" s="319">
        <f>G2469-H2469</f>
        <v/>
      </c>
      <c r="J2469" s="319">
        <f>F2469-I2469</f>
        <v/>
      </c>
      <c r="K2469" s="516" t="n"/>
      <c r="L2469" s="516">
        <f>L2468+G2469-K2469</f>
        <v/>
      </c>
    </row>
    <row r="2470">
      <c r="B2470" s="1" t="n">
        <v>22</v>
      </c>
      <c r="C2470" s="24" t="n">
        <v>45505</v>
      </c>
      <c r="D2470" s="24" t="n">
        <v>45535</v>
      </c>
      <c r="E2470" s="25">
        <f>D2470-C2470+1</f>
        <v/>
      </c>
      <c r="F2470" s="319">
        <f>J2469</f>
        <v/>
      </c>
      <c r="G2470" s="319">
        <f>-PMT($D$2440/$D$2442,21,$F$2452,,0)</f>
        <v/>
      </c>
      <c r="H2470" s="319">
        <f>$D$2440/$D$2442*F2470</f>
        <v/>
      </c>
      <c r="I2470" s="319">
        <f>G2470-H2470</f>
        <v/>
      </c>
      <c r="J2470" s="319">
        <f>F2470-I2470</f>
        <v/>
      </c>
      <c r="K2470" s="516" t="n"/>
      <c r="L2470" s="516">
        <f>L2469+G2470-K2470</f>
        <v/>
      </c>
    </row>
    <row r="2471">
      <c r="B2471" s="1" t="n">
        <v>23</v>
      </c>
      <c r="C2471" s="24" t="n">
        <v>45536</v>
      </c>
      <c r="D2471" s="24" t="n">
        <v>45565</v>
      </c>
      <c r="E2471" s="25">
        <f>D2471-C2471+1</f>
        <v/>
      </c>
      <c r="F2471" s="319">
        <f>J2470</f>
        <v/>
      </c>
      <c r="G2471" s="319">
        <f>-PMT($D$2440/$D$2442,21,$F$2452,,0)</f>
        <v/>
      </c>
      <c r="H2471" s="319">
        <f>$D$2440/$D$2442*F2471</f>
        <v/>
      </c>
      <c r="I2471" s="319">
        <f>G2471-H2471</f>
        <v/>
      </c>
      <c r="J2471" s="319">
        <f>F2471-I2471</f>
        <v/>
      </c>
      <c r="K2471" s="516" t="n">
        <v>535000</v>
      </c>
      <c r="L2471" s="516">
        <f>L2470+G2471-K2471</f>
        <v/>
      </c>
    </row>
    <row r="2472">
      <c r="B2472" s="1" t="n">
        <v>24</v>
      </c>
      <c r="C2472" s="24" t="n">
        <v>45566</v>
      </c>
      <c r="D2472" s="24" t="n">
        <v>45596</v>
      </c>
      <c r="E2472" s="25">
        <f>D2472-C2472+1</f>
        <v/>
      </c>
      <c r="F2472" s="319">
        <f>J2471</f>
        <v/>
      </c>
      <c r="G2472" s="319">
        <f>-PMT($D$2440/$D$2442,21,$F$2452,,0)</f>
        <v/>
      </c>
      <c r="H2472" s="319">
        <f>$D$2440/$D$2442*F2472</f>
        <v/>
      </c>
      <c r="I2472" s="319">
        <f>G2472-H2472</f>
        <v/>
      </c>
      <c r="J2472" s="319">
        <f>F2472-I2472</f>
        <v/>
      </c>
      <c r="K2472" s="516" t="n"/>
      <c r="L2472" s="523">
        <f>L2471+G2472-K2472</f>
        <v/>
      </c>
    </row>
    <row r="2473">
      <c r="B2473" s="1" t="n"/>
      <c r="C2473" s="24" t="n"/>
      <c r="D2473" s="24" t="n"/>
      <c r="E2473" s="25" t="n"/>
      <c r="F2473" s="319" t="n"/>
      <c r="G2473" s="319" t="n"/>
      <c r="H2473" s="319" t="n"/>
      <c r="I2473" s="319" t="n"/>
      <c r="J2473" s="319" t="n"/>
      <c r="K2473" s="516" t="n"/>
      <c r="L2473" s="516" t="n"/>
    </row>
    <row r="2474" ht="14.25" customHeight="1">
      <c r="B2474" s="1" t="n"/>
      <c r="C2474" s="1" t="n"/>
      <c r="D2474" s="1" t="n"/>
      <c r="E2474" s="30">
        <f>SUM(E2448:E2472)</f>
        <v/>
      </c>
      <c r="F2474" s="319" t="n"/>
      <c r="G2474" s="319" t="n"/>
      <c r="H2474" s="319" t="n"/>
      <c r="I2474" s="319" t="n"/>
      <c r="J2474" s="319" t="n"/>
      <c r="K2474" s="1" t="n"/>
      <c r="L2474" s="1" t="n"/>
    </row>
    <row r="2478">
      <c r="B2478" s="1" t="n"/>
      <c r="C2478" s="9" t="inlineStr">
        <is>
          <t>G &amp; T General Dealers</t>
        </is>
      </c>
      <c r="D2478" s="319" t="n"/>
      <c r="E2478" s="319" t="n"/>
      <c r="F2478" s="319" t="n"/>
      <c r="G2478" s="319" t="n"/>
      <c r="H2478" s="319" t="n"/>
      <c r="I2478" s="319" t="n"/>
      <c r="J2478" s="319" t="n"/>
      <c r="K2478" s="319" t="n"/>
      <c r="L2478" s="319" t="n"/>
      <c r="R2478" s="514" t="inlineStr">
        <is>
          <t>E-Banker account (Dupleix)</t>
        </is>
      </c>
      <c r="S2478" s="495">
        <f>IFERROR(INDEX('Blocks'!$I$2:$I$101,MATCH(45,'Blocks'!$A$2:$A$101,0)),"")</f>
        <v/>
      </c>
    </row>
    <row r="2479">
      <c r="B2479" s="1" t="n"/>
      <c r="C2479" s="1" t="n"/>
      <c r="D2479" s="319" t="n"/>
      <c r="E2479" s="319" t="n"/>
      <c r="F2479" s="319" t="n"/>
      <c r="G2479" s="319" t="n"/>
      <c r="H2479" s="319" t="n"/>
      <c r="I2479" s="319" t="n"/>
      <c r="J2479" s="319" t="n"/>
      <c r="K2479" s="319" t="n"/>
      <c r="L2479" s="319" t="n"/>
      <c r="R2479" s="514" t="inlineStr">
        <is>
          <t>Facility (Loan Book)</t>
        </is>
      </c>
      <c r="S2479" s="495">
        <f>IFERROR(INDEX('Blocks'!$H$2:$H$101,MATCH(45,'Blocks'!$A$2:$A$101,0)),"")</f>
        <v/>
      </c>
    </row>
    <row r="2480">
      <c r="B2480" s="1" t="n"/>
      <c r="C2480" s="10" t="inlineStr">
        <is>
          <t>Principal (MK)</t>
        </is>
      </c>
      <c r="D2480" s="11" t="n">
        <v>12000000</v>
      </c>
      <c r="E2480" s="319" t="n"/>
      <c r="F2480" s="319" t="n"/>
      <c r="G2480" s="319" t="n"/>
      <c r="H2480" s="319" t="n"/>
      <c r="I2480" s="319" t="n"/>
      <c r="J2480" s="319" t="n"/>
      <c r="K2480" s="319" t="n"/>
      <c r="L2480" s="319" t="n"/>
      <c r="R2480" s="514" t="inlineStr">
        <is>
          <t>Take-on posting 31 Jul 2024</t>
        </is>
      </c>
      <c r="S2480" s="496">
        <f>IFERROR(INDEX('E-Banker master'!$N$2:$N$186,MATCH(S2478,'E-Banker master'!$A$2:$A$186,0)),"")</f>
        <v/>
      </c>
    </row>
    <row r="2481">
      <c r="B2481" s="1" t="n"/>
      <c r="C2481" s="13" t="inlineStr">
        <is>
          <t>Rate</t>
        </is>
      </c>
      <c r="D2481" s="14" t="n">
        <v>0.1</v>
      </c>
      <c r="E2481" s="257" t="n"/>
      <c r="F2481" s="319" t="n"/>
      <c r="G2481" s="319" t="n"/>
      <c r="H2481" s="319" t="n"/>
      <c r="I2481" s="319" t="n"/>
      <c r="J2481" s="319" t="n"/>
      <c r="K2481" s="319" t="n"/>
      <c r="L2481" s="319" t="n"/>
      <c r="R2481" s="514" t="inlineStr">
        <is>
          <t>E-Banker balance 31 Oct 2024</t>
        </is>
      </c>
      <c r="S2481" s="496">
        <f>IFERROR(INDEX('E-Banker master'!$P$2:$P$186,MATCH(S2478,'E-Banker master'!$A$2:$A$186,0)),"")</f>
        <v/>
      </c>
    </row>
    <row r="2482">
      <c r="B2482" s="1" t="n"/>
      <c r="C2482" s="13" t="inlineStr">
        <is>
          <t>n</t>
        </is>
      </c>
      <c r="D2482" s="16" t="n">
        <v>2</v>
      </c>
      <c r="E2482" s="1" t="n"/>
      <c r="F2482" s="319" t="n"/>
      <c r="G2482" s="319" t="n"/>
      <c r="H2482" s="319" t="n"/>
      <c r="I2482" s="319" t="n"/>
      <c r="J2482" s="319" t="n"/>
      <c r="K2482" s="1" t="n"/>
      <c r="L2482" s="1" t="n"/>
    </row>
    <row r="2483">
      <c r="B2483" s="1" t="n"/>
      <c r="C2483" s="13" t="inlineStr">
        <is>
          <t>Per</t>
        </is>
      </c>
      <c r="D2483" s="16" t="n">
        <v>12</v>
      </c>
      <c r="E2483" s="1" t="n"/>
      <c r="F2483" s="319" t="n"/>
      <c r="G2483" s="319" t="n"/>
      <c r="H2483" s="319" t="n"/>
      <c r="I2483" s="319" t="n"/>
      <c r="J2483" s="319" t="n"/>
      <c r="K2483" s="1" t="n"/>
      <c r="L2483" s="1" t="n"/>
    </row>
    <row r="2484">
      <c r="B2484" s="1" t="n"/>
      <c r="C2484" s="13" t="inlineStr">
        <is>
          <t>nPer</t>
        </is>
      </c>
      <c r="D2484" s="515">
        <f>D2482*D2483</f>
        <v/>
      </c>
      <c r="E2484" s="1" t="n"/>
      <c r="F2484" s="319" t="n"/>
      <c r="G2484" s="319" t="n"/>
      <c r="H2484" s="319" t="n"/>
      <c r="I2484" s="319" t="n"/>
      <c r="J2484" s="319" t="n"/>
      <c r="K2484" s="1" t="n"/>
      <c r="L2484" s="1" t="n"/>
    </row>
    <row r="2485">
      <c r="B2485" s="1" t="n"/>
      <c r="C2485" s="13" t="inlineStr">
        <is>
          <t>Days in a year</t>
        </is>
      </c>
      <c r="D2485" s="18" t="n">
        <v>365</v>
      </c>
      <c r="E2485" s="1" t="n"/>
      <c r="F2485" s="319" t="n"/>
      <c r="G2485" s="319" t="n"/>
      <c r="H2485" s="319" t="n"/>
      <c r="I2485" s="319" t="n"/>
      <c r="J2485" s="319" t="n"/>
      <c r="K2485" s="1" t="n"/>
      <c r="L2485" s="1" t="n"/>
    </row>
    <row r="2486">
      <c r="B2486" s="1" t="n"/>
      <c r="C2486" s="19" t="inlineStr">
        <is>
          <t>Pmt (MK)</t>
        </is>
      </c>
      <c r="D2486" s="20">
        <f>-PMT(D2481/D2483,D2484,D2480,0,0)</f>
        <v/>
      </c>
      <c r="E2486" s="319" t="n"/>
      <c r="F2486" s="319" t="n"/>
      <c r="G2486" s="319" t="n"/>
      <c r="H2486" s="319" t="n"/>
      <c r="I2486" s="319" t="n"/>
      <c r="J2486" s="319" t="n"/>
      <c r="K2486" s="1" t="n"/>
      <c r="L2486" s="1" t="n"/>
    </row>
    <row r="2487">
      <c r="B2487" s="1" t="n"/>
      <c r="C2487" s="1" t="n"/>
      <c r="D2487" s="319" t="n"/>
      <c r="E2487" s="319" t="n"/>
      <c r="F2487" s="319" t="n"/>
      <c r="G2487" s="319" t="n"/>
      <c r="H2487" s="319" t="n"/>
      <c r="I2487" s="319" t="n"/>
      <c r="J2487" s="319" t="n"/>
      <c r="K2487" s="1" t="n"/>
      <c r="L2487" s="1" t="n"/>
    </row>
    <row r="2488">
      <c r="B2488" s="1" t="n"/>
      <c r="C2488" s="21" t="inlineStr">
        <is>
          <t>Period Start</t>
        </is>
      </c>
      <c r="D2488" s="22" t="inlineStr">
        <is>
          <t>Period End</t>
        </is>
      </c>
      <c r="E2488" s="22" t="inlineStr">
        <is>
          <t>Days</t>
        </is>
      </c>
      <c r="F2488" s="294" t="inlineStr">
        <is>
          <t>Opening bal.</t>
        </is>
      </c>
      <c r="G2488" s="294" t="inlineStr">
        <is>
          <t>Pmt</t>
        </is>
      </c>
      <c r="H2488" s="294" t="inlineStr">
        <is>
          <t>Interest</t>
        </is>
      </c>
      <c r="I2488" s="294" t="inlineStr">
        <is>
          <t>Principal</t>
        </is>
      </c>
      <c r="J2488" s="294" t="inlineStr">
        <is>
          <t>Closing balance</t>
        </is>
      </c>
      <c r="K2488" s="23" t="inlineStr">
        <is>
          <t>Amount Repaid</t>
        </is>
      </c>
      <c r="L2488" s="23" t="inlineStr">
        <is>
          <t>Accumulated Arrears</t>
        </is>
      </c>
    </row>
    <row r="2489">
      <c r="B2489" s="1" t="n">
        <v>0</v>
      </c>
      <c r="C2489" s="24" t="n">
        <v>44844</v>
      </c>
      <c r="D2489" s="24" t="n">
        <v>44865</v>
      </c>
      <c r="E2489" s="25">
        <f>D2489-C2489+1</f>
        <v/>
      </c>
      <c r="F2489" s="319">
        <f>D2480</f>
        <v/>
      </c>
      <c r="G2489" s="319" t="n"/>
      <c r="H2489" s="319">
        <f>($D$2481/$D$2483*F2489*E2489/31)</f>
        <v/>
      </c>
      <c r="I2489" s="319">
        <f>G2489-H2489</f>
        <v/>
      </c>
      <c r="J2489" s="319">
        <f>F2489+F2480-I2489</f>
        <v/>
      </c>
      <c r="K2489" s="516" t="n"/>
      <c r="L2489" s="516" t="n"/>
    </row>
    <row r="2490">
      <c r="B2490" s="1" t="n">
        <v>1</v>
      </c>
      <c r="C2490" s="24" t="n">
        <v>44866</v>
      </c>
      <c r="D2490" s="24" t="n">
        <v>44895</v>
      </c>
      <c r="E2490" s="25">
        <f>D2490-C2490+1</f>
        <v/>
      </c>
      <c r="F2490" s="319">
        <f>J2489</f>
        <v/>
      </c>
      <c r="G2490" s="319" t="n"/>
      <c r="H2490" s="319">
        <f>($D$2481/$D$2483*F2490)</f>
        <v/>
      </c>
      <c r="I2490" s="319">
        <f>G2490-H2490</f>
        <v/>
      </c>
      <c r="J2490" s="319">
        <f>F2490-I2490</f>
        <v/>
      </c>
      <c r="K2490" s="516" t="n"/>
      <c r="L2490" s="516" t="n"/>
    </row>
    <row r="2491">
      <c r="B2491" s="1" t="n">
        <v>2</v>
      </c>
      <c r="C2491" s="24" t="n">
        <v>44896</v>
      </c>
      <c r="D2491" s="24" t="n">
        <v>44926</v>
      </c>
      <c r="E2491" s="25">
        <f>D2491-C2491+1</f>
        <v/>
      </c>
      <c r="F2491" s="319">
        <f>J2490</f>
        <v/>
      </c>
      <c r="G2491" s="319" t="n"/>
      <c r="H2491" s="319">
        <f>($D$2481/$D$2483*F2491)</f>
        <v/>
      </c>
      <c r="I2491" s="319">
        <f>G2491-H2491</f>
        <v/>
      </c>
      <c r="J2491" s="319">
        <f>F2491-I2491</f>
        <v/>
      </c>
    </row>
    <row r="2492">
      <c r="B2492" s="1" t="n">
        <v>3</v>
      </c>
      <c r="C2492" s="24" t="n">
        <v>44927</v>
      </c>
      <c r="D2492" s="24" t="n">
        <v>44957</v>
      </c>
      <c r="E2492" s="25">
        <f>D2492-C2492+1</f>
        <v/>
      </c>
      <c r="F2492" s="319">
        <f>J2491</f>
        <v/>
      </c>
      <c r="G2492" s="319" t="n"/>
      <c r="H2492" s="319">
        <f>($D$2481/$D$2483*F2492)</f>
        <v/>
      </c>
      <c r="I2492" s="319">
        <f>G2492-H2492</f>
        <v/>
      </c>
      <c r="J2492" s="319">
        <f>F2492-I2492</f>
        <v/>
      </c>
      <c r="K2492" s="516" t="n"/>
      <c r="L2492" s="516" t="n"/>
    </row>
    <row r="2493">
      <c r="B2493" s="1" t="n">
        <v>4</v>
      </c>
      <c r="C2493" s="24" t="n">
        <v>44958</v>
      </c>
      <c r="D2493" s="24" t="n">
        <v>44985</v>
      </c>
      <c r="E2493" s="25">
        <f>D2493-C2493+1</f>
        <v/>
      </c>
      <c r="F2493" s="319">
        <f>J2492</f>
        <v/>
      </c>
      <c r="G2493" s="319">
        <f>-PMT($D$2481/$D$2483,21,$F$2493,,0)</f>
        <v/>
      </c>
      <c r="H2493" s="319">
        <f>($D$2481/$D$2483*F2493)</f>
        <v/>
      </c>
      <c r="I2493" s="319">
        <f>G2493-H2493</f>
        <v/>
      </c>
      <c r="J2493" s="319">
        <f>F2493-I2493</f>
        <v/>
      </c>
      <c r="K2493" s="516" t="n">
        <v>600000</v>
      </c>
      <c r="L2493" s="516">
        <f>G2493-K2493</f>
        <v/>
      </c>
    </row>
    <row r="2494">
      <c r="B2494" s="1" t="n">
        <v>5</v>
      </c>
      <c r="C2494" s="24" t="n">
        <v>44986</v>
      </c>
      <c r="D2494" s="24" t="n">
        <v>45016</v>
      </c>
      <c r="E2494" s="25">
        <f>D2494-C2494+1</f>
        <v/>
      </c>
      <c r="F2494" s="319">
        <f>J2493</f>
        <v/>
      </c>
      <c r="G2494" s="319">
        <f>-PMT($D$2481/$D$2483,21,$F$2493,,0)</f>
        <v/>
      </c>
      <c r="H2494" s="319">
        <f>($D$2481/$D$2483*F2494)</f>
        <v/>
      </c>
      <c r="I2494" s="319">
        <f>G2494-H2494</f>
        <v/>
      </c>
      <c r="J2494" s="319">
        <f>F2494-I2494</f>
        <v/>
      </c>
      <c r="K2494" s="516" t="n">
        <v>0</v>
      </c>
      <c r="L2494" s="516">
        <f>G2494-K2494+L2493</f>
        <v/>
      </c>
    </row>
    <row r="2495">
      <c r="B2495" s="1" t="n">
        <v>6</v>
      </c>
      <c r="C2495" s="24" t="n">
        <v>45017</v>
      </c>
      <c r="D2495" s="24" t="n">
        <v>45046</v>
      </c>
      <c r="E2495" s="25">
        <f>D2495-C2495+1</f>
        <v/>
      </c>
      <c r="F2495" s="319">
        <f>J2494</f>
        <v/>
      </c>
      <c r="G2495" s="319">
        <f>-PMT($D$2481/$D$2483,21,$F$2493,,0)</f>
        <v/>
      </c>
      <c r="H2495" s="319">
        <f>($D$2481/$D$2483*F2495)</f>
        <v/>
      </c>
      <c r="I2495" s="319">
        <f>G2495-H2495</f>
        <v/>
      </c>
      <c r="J2495" s="319">
        <f>F2495-I2495</f>
        <v/>
      </c>
      <c r="K2495" s="516" t="n"/>
      <c r="L2495" s="516">
        <f>G2495-K2495+L2494</f>
        <v/>
      </c>
    </row>
    <row r="2496">
      <c r="B2496" s="1" t="n">
        <v>7</v>
      </c>
      <c r="C2496" s="24" t="n">
        <v>45047</v>
      </c>
      <c r="D2496" s="24" t="n">
        <v>45077</v>
      </c>
      <c r="E2496" s="25">
        <f>D2496-C2496+1</f>
        <v/>
      </c>
      <c r="F2496" s="319">
        <f>J2495</f>
        <v/>
      </c>
      <c r="G2496" s="319">
        <f>-PMT($D$2481/$D$2483,21,$F$2493,,0)</f>
        <v/>
      </c>
      <c r="H2496" s="319">
        <f>($D$2481/$D$2483*F2496)</f>
        <v/>
      </c>
      <c r="I2496" s="319">
        <f>G2496-H2496</f>
        <v/>
      </c>
      <c r="J2496" s="319">
        <f>F2496-I2496</f>
        <v/>
      </c>
      <c r="K2496" s="516" t="n"/>
      <c r="L2496" s="516">
        <f>G2496-K2496+L2495</f>
        <v/>
      </c>
    </row>
    <row r="2497">
      <c r="B2497" s="1" t="n">
        <v>8</v>
      </c>
      <c r="C2497" s="24" t="n">
        <v>45078</v>
      </c>
      <c r="D2497" s="24" t="n">
        <v>45107</v>
      </c>
      <c r="E2497" s="25">
        <f>D2497-C2497+1</f>
        <v/>
      </c>
      <c r="F2497" s="319">
        <f>J2496</f>
        <v/>
      </c>
      <c r="G2497" s="319">
        <f>-PMT($D$2481/$D$2483,21,$F$2493,,0)</f>
        <v/>
      </c>
      <c r="H2497" s="319">
        <f>($D$2481/$D$2483*F2497)</f>
        <v/>
      </c>
      <c r="I2497" s="319">
        <f>G2497-H2497</f>
        <v/>
      </c>
      <c r="J2497" s="319">
        <f>F2497-I2497</f>
        <v/>
      </c>
      <c r="K2497" s="516" t="n"/>
      <c r="L2497" s="519">
        <f>G2497-K2497+L2496</f>
        <v/>
      </c>
    </row>
    <row r="2498">
      <c r="B2498" s="1" t="n">
        <v>9</v>
      </c>
      <c r="C2498" s="24" t="n">
        <v>45108</v>
      </c>
      <c r="D2498" s="24" t="n">
        <v>45138</v>
      </c>
      <c r="E2498" s="25">
        <f>D2498-C2498+1</f>
        <v/>
      </c>
      <c r="F2498" s="319">
        <f>J2497</f>
        <v/>
      </c>
      <c r="G2498" s="319">
        <f>-PMT($D$2481/$D$2483,21,$F$2493,,0)</f>
        <v/>
      </c>
      <c r="H2498" s="319">
        <f>($D$2481/$D$2483*F2498)</f>
        <v/>
      </c>
      <c r="I2498" s="319">
        <f>G2498-H2498</f>
        <v/>
      </c>
      <c r="J2498" s="319">
        <f>F2498-I2498</f>
        <v/>
      </c>
      <c r="K2498" s="516" t="n"/>
      <c r="L2498" s="516">
        <f>G2498-K2498+L2497</f>
        <v/>
      </c>
    </row>
    <row r="2499">
      <c r="B2499" s="1" t="n">
        <v>10</v>
      </c>
      <c r="C2499" s="24" t="n">
        <v>45139</v>
      </c>
      <c r="D2499" s="24" t="n">
        <v>45169</v>
      </c>
      <c r="E2499" s="25">
        <f>D2499-C2499+1</f>
        <v/>
      </c>
      <c r="F2499" s="319">
        <f>J2498</f>
        <v/>
      </c>
      <c r="G2499" s="319">
        <f>-PMT($D$2481/$D$2483,21,$F$2493,,0)</f>
        <v/>
      </c>
      <c r="H2499" s="319">
        <f>($D$2481/$D$2483*F2499)</f>
        <v/>
      </c>
      <c r="I2499" s="319">
        <f>G2499-H2499</f>
        <v/>
      </c>
      <c r="J2499" s="319">
        <f>F2499-I2499</f>
        <v/>
      </c>
      <c r="K2499" s="516" t="n"/>
      <c r="L2499" s="516">
        <f>G2499-K2499+L2498</f>
        <v/>
      </c>
    </row>
    <row r="2500">
      <c r="B2500" s="1" t="n">
        <v>11</v>
      </c>
      <c r="C2500" s="24" t="n">
        <v>45170</v>
      </c>
      <c r="D2500" s="24" t="n">
        <v>45199</v>
      </c>
      <c r="E2500" s="25">
        <f>D2500-C2500+1</f>
        <v/>
      </c>
      <c r="F2500" s="319">
        <f>J2499</f>
        <v/>
      </c>
      <c r="G2500" s="319">
        <f>-PMT($D$2481/$D$2483,21,$F$2493,,0)</f>
        <v/>
      </c>
      <c r="H2500" s="319">
        <f>($D$2481/$D$2483*F2500)</f>
        <v/>
      </c>
      <c r="I2500" s="319">
        <f>G2500-H2500</f>
        <v/>
      </c>
      <c r="J2500" s="319">
        <f>F2500-I2500</f>
        <v/>
      </c>
      <c r="K2500" s="516" t="n"/>
      <c r="L2500" s="516">
        <f>G2500-K2500+L2499</f>
        <v/>
      </c>
    </row>
    <row r="2501">
      <c r="B2501" s="1" t="n">
        <v>12</v>
      </c>
      <c r="C2501" s="24" t="n">
        <v>45200</v>
      </c>
      <c r="D2501" s="24" t="n">
        <v>45230</v>
      </c>
      <c r="E2501" s="25">
        <f>D2501-C2501+1</f>
        <v/>
      </c>
      <c r="F2501" s="319">
        <f>J2500</f>
        <v/>
      </c>
      <c r="G2501" s="390">
        <f>-PMT($D$2481/$D$2483,21,$F$2493,,0)</f>
        <v/>
      </c>
      <c r="H2501" s="319">
        <f>($D$2481/$D$2483*F2501)</f>
        <v/>
      </c>
      <c r="I2501" s="319">
        <f>G2501-H2501</f>
        <v/>
      </c>
      <c r="J2501" s="319">
        <f>F2501-I2501</f>
        <v/>
      </c>
      <c r="K2501" s="516" t="n"/>
      <c r="L2501" s="516">
        <f>G2501-K2501+L2500</f>
        <v/>
      </c>
    </row>
    <row r="2502">
      <c r="B2502" s="1" t="n">
        <v>13</v>
      </c>
      <c r="C2502" s="24" t="n">
        <v>45231</v>
      </c>
      <c r="D2502" s="24" t="n">
        <v>45260</v>
      </c>
      <c r="E2502" s="25">
        <f>D2502-C2502+1</f>
        <v/>
      </c>
      <c r="F2502" s="319">
        <f>J2501</f>
        <v/>
      </c>
      <c r="G2502" s="390">
        <f>-PMT($D$2481/$D$2483,21,$F$2493,,0)</f>
        <v/>
      </c>
      <c r="H2502" s="319">
        <f>($D$2481/$D$2483*F2502)</f>
        <v/>
      </c>
      <c r="I2502" s="319">
        <f>G2502-H2502</f>
        <v/>
      </c>
      <c r="J2502" s="319">
        <f>F2502-I2502</f>
        <v/>
      </c>
      <c r="K2502" s="516" t="n"/>
      <c r="L2502" s="516">
        <f>G2502-K2502+L2501</f>
        <v/>
      </c>
    </row>
    <row r="2503">
      <c r="B2503" s="1" t="n">
        <v>14</v>
      </c>
      <c r="C2503" s="24" t="n">
        <v>45261</v>
      </c>
      <c r="D2503" s="24" t="n">
        <v>45291</v>
      </c>
      <c r="E2503" s="25">
        <f>D2503-C2503+1</f>
        <v/>
      </c>
      <c r="F2503" s="319">
        <f>J2502</f>
        <v/>
      </c>
      <c r="G2503" s="390">
        <f>-PMT($D$2481/$D$2483,21,$F$2493,,0)</f>
        <v/>
      </c>
      <c r="H2503" s="319">
        <f>($D$2481/$D$2483*F2503)</f>
        <v/>
      </c>
      <c r="I2503" s="319">
        <f>G2503-H2503</f>
        <v/>
      </c>
      <c r="J2503" s="319">
        <f>F2503-I2503</f>
        <v/>
      </c>
      <c r="K2503" s="516" t="n"/>
      <c r="L2503" s="516">
        <f>G2503-K2503+L2502</f>
        <v/>
      </c>
    </row>
    <row r="2504">
      <c r="B2504" s="1" t="n">
        <v>15</v>
      </c>
      <c r="C2504" s="24" t="n">
        <v>45292</v>
      </c>
      <c r="D2504" s="24" t="n">
        <v>45322</v>
      </c>
      <c r="E2504" s="25">
        <f>D2504-C2504+1</f>
        <v/>
      </c>
      <c r="F2504" s="319">
        <f>J2503</f>
        <v/>
      </c>
      <c r="G2504" s="390">
        <f>-PMT($D$2481/$D$2483,21,$F$2493,,0)</f>
        <v/>
      </c>
      <c r="H2504" s="319">
        <f>($D$2481/$D$2483*F2504)</f>
        <v/>
      </c>
      <c r="I2504" s="319">
        <f>G2504-H2504</f>
        <v/>
      </c>
      <c r="J2504" s="319">
        <f>F2504-I2504</f>
        <v/>
      </c>
      <c r="K2504" s="516" t="n"/>
      <c r="L2504" s="516">
        <f>G2504-K2504+L2503</f>
        <v/>
      </c>
    </row>
    <row r="2505">
      <c r="B2505" s="1" t="n">
        <v>16</v>
      </c>
      <c r="C2505" s="24" t="n">
        <v>45323</v>
      </c>
      <c r="D2505" s="24" t="n">
        <v>45351</v>
      </c>
      <c r="E2505" s="25">
        <f>D2505-C2505+1</f>
        <v/>
      </c>
      <c r="F2505" s="319">
        <f>J2504</f>
        <v/>
      </c>
      <c r="G2505" s="390">
        <f>-PMT($D$2481/$D$2483,21,$F$2493,,0)</f>
        <v/>
      </c>
      <c r="H2505" s="319">
        <f>($D$2481/$D$2483*F2505)</f>
        <v/>
      </c>
      <c r="I2505" s="319">
        <f>G2505-H2505</f>
        <v/>
      </c>
      <c r="J2505" s="319">
        <f>F2505-I2505</f>
        <v/>
      </c>
      <c r="K2505" s="516" t="n">
        <v>3500000</v>
      </c>
      <c r="L2505" s="516">
        <f>G2505-K2505+L2504</f>
        <v/>
      </c>
    </row>
    <row r="2506">
      <c r="B2506" s="1" t="n">
        <v>17</v>
      </c>
      <c r="C2506" s="24" t="n">
        <v>45352</v>
      </c>
      <c r="D2506" s="24" t="n">
        <v>45382</v>
      </c>
      <c r="E2506" s="25">
        <f>D2506-C2506+1</f>
        <v/>
      </c>
      <c r="F2506" s="319">
        <f>J2505</f>
        <v/>
      </c>
      <c r="G2506" s="390">
        <f>-PMT($D$2481/$D$2483,21,$F$2493,,0)</f>
        <v/>
      </c>
      <c r="H2506" s="319">
        <f>($D$2481/$D$2483*F2506)</f>
        <v/>
      </c>
      <c r="I2506" s="319">
        <f>G2506-H2506</f>
        <v/>
      </c>
      <c r="J2506" s="319">
        <f>F2506-I2506</f>
        <v/>
      </c>
      <c r="K2506" s="516" t="n"/>
      <c r="L2506" s="516">
        <f>G2506-K2506+L2505</f>
        <v/>
      </c>
    </row>
    <row r="2507">
      <c r="B2507" s="1" t="n">
        <v>18</v>
      </c>
      <c r="C2507" s="24" t="n">
        <v>45383</v>
      </c>
      <c r="D2507" s="24" t="n">
        <v>45412</v>
      </c>
      <c r="E2507" s="25">
        <f>D2507-C2507+1</f>
        <v/>
      </c>
      <c r="F2507" s="319">
        <f>J2506</f>
        <v/>
      </c>
      <c r="G2507" s="390">
        <f>-PMT($D$2481/$D$2483,21,$F$2493,,0)</f>
        <v/>
      </c>
      <c r="H2507" s="319">
        <f>($D$2481/$D$2483*F2507)</f>
        <v/>
      </c>
      <c r="I2507" s="319">
        <f>G2507-H2507</f>
        <v/>
      </c>
      <c r="J2507" s="319">
        <f>F2507-I2507</f>
        <v/>
      </c>
      <c r="K2507" s="516" t="n"/>
      <c r="L2507" s="516">
        <f>G2507-K2507+L2506</f>
        <v/>
      </c>
    </row>
    <row r="2508">
      <c r="B2508" s="1" t="n">
        <v>19</v>
      </c>
      <c r="C2508" s="24" t="n">
        <v>45413</v>
      </c>
      <c r="D2508" s="24" t="n">
        <v>45443</v>
      </c>
      <c r="E2508" s="25">
        <f>D2508-C2508+1</f>
        <v/>
      </c>
      <c r="F2508" s="319">
        <f>J2507</f>
        <v/>
      </c>
      <c r="G2508" s="390">
        <f>-PMT($D$2481/$D$2483,21,$F$2493,,0)</f>
        <v/>
      </c>
      <c r="H2508" s="319">
        <f>($D$2481/$D$2483*F2508)</f>
        <v/>
      </c>
      <c r="I2508" s="319">
        <f>G2508-H2508</f>
        <v/>
      </c>
      <c r="J2508" s="319">
        <f>F2508-I2508</f>
        <v/>
      </c>
      <c r="K2508" s="516" t="n">
        <v>1000000</v>
      </c>
      <c r="L2508" s="516">
        <f>G2508-K2508+L2507</f>
        <v/>
      </c>
    </row>
    <row r="2509">
      <c r="B2509" s="1" t="n">
        <v>20</v>
      </c>
      <c r="C2509" s="24" t="n">
        <v>45444</v>
      </c>
      <c r="D2509" s="24" t="n">
        <v>45473</v>
      </c>
      <c r="E2509" s="25">
        <f>D2509-C2509+1</f>
        <v/>
      </c>
      <c r="F2509" s="319">
        <f>J2508</f>
        <v/>
      </c>
      <c r="G2509" s="319">
        <f>-PMT($D$2481/$D$2483,21,$F$2493,,0)</f>
        <v/>
      </c>
      <c r="H2509" s="319">
        <f>($D$2481/$D$2483*F2509)</f>
        <v/>
      </c>
      <c r="I2509" s="319">
        <f>G2509-H2509</f>
        <v/>
      </c>
      <c r="J2509" s="319">
        <f>F2509-I2509</f>
        <v/>
      </c>
      <c r="K2509" s="516" t="n"/>
      <c r="L2509" s="516">
        <f>G2509-K2509+L2508</f>
        <v/>
      </c>
    </row>
    <row r="2510">
      <c r="B2510" s="1" t="n">
        <v>21</v>
      </c>
      <c r="C2510" s="24" t="n">
        <v>45474</v>
      </c>
      <c r="D2510" s="24" t="n">
        <v>45504</v>
      </c>
      <c r="E2510" s="25">
        <f>D2510-C2510+1</f>
        <v/>
      </c>
      <c r="F2510" s="319">
        <f>J2509</f>
        <v/>
      </c>
      <c r="G2510" s="319">
        <f>-PMT($D$2481/$D$2483,21,$F$2493,,0)</f>
        <v/>
      </c>
      <c r="H2510" s="319">
        <f>($D$2481/$D$2483*F2510)</f>
        <v/>
      </c>
      <c r="I2510" s="319">
        <f>G2510-H2510</f>
        <v/>
      </c>
      <c r="J2510" s="319">
        <f>F2510-I2510</f>
        <v/>
      </c>
      <c r="K2510" s="516" t="n"/>
      <c r="L2510" s="516">
        <f>G2510-K2510+L2509</f>
        <v/>
      </c>
    </row>
    <row r="2511">
      <c r="B2511" s="1" t="n">
        <v>22</v>
      </c>
      <c r="C2511" s="24" t="n">
        <v>45505</v>
      </c>
      <c r="D2511" s="24" t="n">
        <v>45535</v>
      </c>
      <c r="E2511" s="25">
        <f>D2511-C2511+1</f>
        <v/>
      </c>
      <c r="F2511" s="319">
        <f>J2510</f>
        <v/>
      </c>
      <c r="G2511" s="319">
        <f>-PMT($D$2481/$D$2483,21,$F$2493,,0)</f>
        <v/>
      </c>
      <c r="H2511" s="319">
        <f>($D$2481/$D$2483*F2511)</f>
        <v/>
      </c>
      <c r="I2511" s="319">
        <f>G2511-H2511</f>
        <v/>
      </c>
      <c r="J2511" s="319">
        <f>F2511-I2511</f>
        <v/>
      </c>
      <c r="K2511" s="516" t="n">
        <v>600000</v>
      </c>
      <c r="L2511" s="516">
        <f>G2511-K2511+L2510</f>
        <v/>
      </c>
    </row>
    <row r="2512">
      <c r="B2512" s="1" t="n">
        <v>23</v>
      </c>
      <c r="C2512" s="24" t="n">
        <v>45536</v>
      </c>
      <c r="D2512" s="24" t="n">
        <v>45565</v>
      </c>
      <c r="E2512" s="25">
        <f>D2512-C2512+1</f>
        <v/>
      </c>
      <c r="F2512" s="319">
        <f>J2511</f>
        <v/>
      </c>
      <c r="G2512" s="319">
        <f>-PMT($D$2481/$D$2483,21,$F$2493,,0)</f>
        <v/>
      </c>
      <c r="H2512" s="319">
        <f>($D$2481/$D$2483*F2512)</f>
        <v/>
      </c>
      <c r="I2512" s="319">
        <f>G2512-H2512</f>
        <v/>
      </c>
      <c r="J2512" s="319">
        <f>F2512-I2512</f>
        <v/>
      </c>
      <c r="K2512" s="516" t="n"/>
      <c r="L2512" s="516">
        <f>G2512-K2512+L2511</f>
        <v/>
      </c>
    </row>
    <row r="2513">
      <c r="B2513" s="1" t="n">
        <v>24</v>
      </c>
      <c r="C2513" s="24" t="n">
        <v>45566</v>
      </c>
      <c r="D2513" s="24" t="n">
        <v>45596</v>
      </c>
      <c r="E2513" s="25">
        <f>D2513-C2513+1</f>
        <v/>
      </c>
      <c r="F2513" s="319">
        <f>J2512</f>
        <v/>
      </c>
      <c r="G2513" s="319">
        <f>-PMT($D$2481/$D$2483,21,$F$2493,,0)</f>
        <v/>
      </c>
      <c r="H2513" s="319">
        <f>($D$2481/$D$2483*F2513)</f>
        <v/>
      </c>
      <c r="I2513" s="319">
        <f>G2513-H2513</f>
        <v/>
      </c>
      <c r="J2513" s="319">
        <f>F2513-I2513</f>
        <v/>
      </c>
      <c r="K2513" s="516" t="n">
        <v>800000</v>
      </c>
      <c r="L2513" s="523">
        <f>G2513-K2513+L2512</f>
        <v/>
      </c>
    </row>
    <row r="2514">
      <c r="B2514" s="1" t="n"/>
      <c r="C2514" s="24" t="n"/>
      <c r="D2514" s="24" t="n"/>
      <c r="E2514" s="25" t="n"/>
      <c r="F2514" s="319" t="n"/>
      <c r="G2514" s="319" t="n"/>
      <c r="H2514" s="319" t="n"/>
      <c r="I2514" s="319" t="n"/>
      <c r="J2514" s="319" t="n"/>
      <c r="K2514" s="516" t="n"/>
      <c r="L2514" s="516" t="n"/>
    </row>
    <row r="2515" ht="14.25" customHeight="1">
      <c r="B2515" s="1" t="n"/>
      <c r="C2515" s="1" t="n"/>
      <c r="D2515" s="1" t="n"/>
      <c r="E2515" s="30">
        <f>SUM(E2489:E2513)</f>
        <v/>
      </c>
      <c r="F2515" s="319" t="n"/>
      <c r="G2515" s="319" t="n"/>
      <c r="H2515" s="319" t="n"/>
      <c r="I2515" s="319" t="n"/>
      <c r="J2515" s="319" t="n"/>
      <c r="K2515" s="1" t="n"/>
      <c r="L2515" s="1" t="n"/>
    </row>
    <row r="2519">
      <c r="B2519" s="1" t="n"/>
      <c r="C2519" s="9" t="inlineStr">
        <is>
          <t>Rose Harris Investment</t>
        </is>
      </c>
      <c r="D2519" s="319" t="n"/>
      <c r="E2519" s="319" t="n"/>
      <c r="F2519" s="319" t="n"/>
      <c r="G2519" s="319" t="n"/>
      <c r="H2519" s="319" t="n"/>
      <c r="I2519" s="319" t="n"/>
      <c r="J2519" s="319" t="n"/>
      <c r="K2519" s="319" t="n"/>
      <c r="L2519" s="319" t="n"/>
      <c r="R2519" s="514" t="inlineStr">
        <is>
          <t>E-Banker account (Dupleix)</t>
        </is>
      </c>
      <c r="S2519" s="495">
        <f>IFERROR(INDEX('Blocks'!$I$2:$I$101,MATCH(46,'Blocks'!$A$2:$A$101,0)),"")</f>
        <v/>
      </c>
    </row>
    <row r="2520">
      <c r="B2520" s="1" t="n"/>
      <c r="C2520" s="1" t="n"/>
      <c r="D2520" s="319" t="n"/>
      <c r="E2520" s="319" t="n"/>
      <c r="F2520" s="319" t="n"/>
      <c r="G2520" s="319" t="n"/>
      <c r="H2520" s="319" t="n"/>
      <c r="I2520" s="319" t="n"/>
      <c r="J2520" s="319" t="n"/>
      <c r="K2520" s="319" t="n"/>
      <c r="L2520" s="319" t="n"/>
      <c r="R2520" s="514" t="inlineStr">
        <is>
          <t>Facility (Loan Book)</t>
        </is>
      </c>
      <c r="S2520" s="495">
        <f>IFERROR(INDEX('Blocks'!$H$2:$H$101,MATCH(46,'Blocks'!$A$2:$A$101,0)),"")</f>
        <v/>
      </c>
    </row>
    <row r="2521">
      <c r="B2521" s="1" t="n"/>
      <c r="C2521" s="10" t="inlineStr">
        <is>
          <t>Principal (MK)</t>
        </is>
      </c>
      <c r="D2521" s="11" t="n">
        <v>24000000</v>
      </c>
      <c r="E2521" s="319" t="n"/>
      <c r="F2521" s="319" t="n"/>
      <c r="G2521" s="319" t="n"/>
      <c r="H2521" s="319" t="n"/>
      <c r="I2521" s="319" t="n"/>
      <c r="J2521" s="319" t="n"/>
      <c r="K2521" s="319" t="n"/>
      <c r="L2521" s="319" t="n"/>
      <c r="R2521" s="514" t="inlineStr">
        <is>
          <t>Take-on posting 31 Jul 2024</t>
        </is>
      </c>
      <c r="S2521" s="496">
        <f>IFERROR(INDEX('E-Banker master'!$N$2:$N$186,MATCH(S2519,'E-Banker master'!$A$2:$A$186,0)),"")</f>
        <v/>
      </c>
    </row>
    <row r="2522">
      <c r="B2522" s="1" t="n"/>
      <c r="C2522" s="13" t="inlineStr">
        <is>
          <t>Rate</t>
        </is>
      </c>
      <c r="D2522" s="14" t="n">
        <v>0.1</v>
      </c>
      <c r="E2522" s="257" t="n"/>
      <c r="F2522" s="319" t="n"/>
      <c r="G2522" s="319" t="n"/>
      <c r="H2522" s="319" t="n"/>
      <c r="I2522" s="319" t="n"/>
      <c r="J2522" s="319" t="n"/>
      <c r="K2522" s="319" t="n"/>
      <c r="L2522" s="319" t="n"/>
      <c r="R2522" s="514" t="inlineStr">
        <is>
          <t>E-Banker balance 31 Oct 2024</t>
        </is>
      </c>
      <c r="S2522" s="496">
        <f>IFERROR(INDEX('E-Banker master'!$P$2:$P$186,MATCH(S2519,'E-Banker master'!$A$2:$A$186,0)),"")</f>
        <v/>
      </c>
    </row>
    <row r="2523">
      <c r="B2523" s="1" t="n"/>
      <c r="C2523" s="13" t="inlineStr">
        <is>
          <t>n</t>
        </is>
      </c>
      <c r="D2523" s="16" t="n">
        <v>2</v>
      </c>
      <c r="E2523" s="1" t="n"/>
      <c r="F2523" s="319" t="n"/>
      <c r="G2523" s="319" t="n"/>
      <c r="H2523" s="319" t="n"/>
      <c r="I2523" s="319" t="n"/>
      <c r="J2523" s="319" t="n"/>
      <c r="K2523" s="1" t="n"/>
      <c r="L2523" s="1" t="n"/>
    </row>
    <row r="2524">
      <c r="B2524" s="1" t="n"/>
      <c r="C2524" s="13" t="inlineStr">
        <is>
          <t>Per</t>
        </is>
      </c>
      <c r="D2524" s="16" t="n">
        <v>12</v>
      </c>
      <c r="E2524" s="1" t="n"/>
      <c r="F2524" s="319" t="n"/>
      <c r="G2524" s="319" t="n"/>
      <c r="H2524" s="319" t="n"/>
      <c r="I2524" s="319" t="n"/>
      <c r="J2524" s="319" t="n"/>
      <c r="K2524" s="1" t="n"/>
      <c r="L2524" s="1" t="n"/>
    </row>
    <row r="2525">
      <c r="B2525" s="1" t="n"/>
      <c r="C2525" s="13" t="inlineStr">
        <is>
          <t>nPer</t>
        </is>
      </c>
      <c r="D2525" s="515">
        <f>D2523*D2524</f>
        <v/>
      </c>
      <c r="E2525" s="1" t="n"/>
      <c r="F2525" s="319" t="n"/>
      <c r="G2525" s="319" t="n"/>
      <c r="H2525" s="319" t="n"/>
      <c r="I2525" s="319" t="n"/>
      <c r="J2525" s="319" t="n"/>
      <c r="K2525" s="1" t="n"/>
      <c r="L2525" s="1" t="n"/>
    </row>
    <row r="2526">
      <c r="B2526" s="1" t="n"/>
      <c r="C2526" s="13" t="inlineStr">
        <is>
          <t>Days in a year</t>
        </is>
      </c>
      <c r="D2526" s="18" t="n">
        <v>365</v>
      </c>
      <c r="E2526" s="1" t="n"/>
      <c r="F2526" s="319" t="n"/>
      <c r="G2526" s="319" t="n"/>
      <c r="H2526" s="319" t="n"/>
      <c r="I2526" s="319" t="n"/>
      <c r="J2526" s="319" t="n"/>
      <c r="K2526" s="1" t="n"/>
      <c r="L2526" s="1" t="n"/>
    </row>
    <row r="2527">
      <c r="B2527" s="1" t="n"/>
      <c r="C2527" s="19" t="inlineStr">
        <is>
          <t>Pmt (MK)</t>
        </is>
      </c>
      <c r="D2527" s="20">
        <f>-PMT(D2522/D2524,D2525,D2521,0,0)</f>
        <v/>
      </c>
      <c r="E2527" s="319" t="n"/>
      <c r="F2527" s="319" t="n"/>
      <c r="G2527" s="319" t="n"/>
      <c r="H2527" s="319" t="n"/>
      <c r="I2527" s="319" t="n"/>
      <c r="J2527" s="319" t="n"/>
      <c r="K2527" s="1" t="n"/>
      <c r="L2527" s="1" t="n"/>
    </row>
    <row r="2528">
      <c r="B2528" s="1" t="n"/>
      <c r="C2528" s="1" t="n"/>
      <c r="D2528" s="319" t="n"/>
      <c r="E2528" s="319" t="n"/>
      <c r="F2528" s="319" t="n"/>
      <c r="G2528" s="319" t="n"/>
      <c r="H2528" s="319" t="n"/>
      <c r="I2528" s="319" t="n"/>
      <c r="J2528" s="319" t="n"/>
      <c r="K2528" s="1" t="n"/>
      <c r="L2528" s="1" t="n"/>
    </row>
    <row r="2529">
      <c r="B2529" s="1" t="n"/>
      <c r="C2529" s="21" t="inlineStr">
        <is>
          <t>Period Start</t>
        </is>
      </c>
      <c r="D2529" s="22" t="inlineStr">
        <is>
          <t>Period End</t>
        </is>
      </c>
      <c r="E2529" s="22" t="inlineStr">
        <is>
          <t>Days</t>
        </is>
      </c>
      <c r="F2529" s="294" t="inlineStr">
        <is>
          <t>Opening bal.</t>
        </is>
      </c>
      <c r="G2529" s="294" t="inlineStr">
        <is>
          <t>Pmt</t>
        </is>
      </c>
      <c r="H2529" s="294" t="inlineStr">
        <is>
          <t>Interest</t>
        </is>
      </c>
      <c r="I2529" s="294" t="inlineStr">
        <is>
          <t>Principal</t>
        </is>
      </c>
      <c r="J2529" s="294" t="inlineStr">
        <is>
          <t>Closing balance</t>
        </is>
      </c>
      <c r="K2529" s="23" t="inlineStr">
        <is>
          <t>Amount Repaid</t>
        </is>
      </c>
      <c r="L2529" s="23" t="inlineStr">
        <is>
          <t>Accumulated Arrears</t>
        </is>
      </c>
    </row>
    <row r="2530">
      <c r="B2530" s="1" t="n">
        <v>0</v>
      </c>
      <c r="C2530" s="24" t="n">
        <v>44852</v>
      </c>
      <c r="D2530" s="24" t="n">
        <v>44865</v>
      </c>
      <c r="E2530" s="25">
        <f>D2530-C2530+1</f>
        <v/>
      </c>
      <c r="F2530" s="319">
        <f>D2521</f>
        <v/>
      </c>
      <c r="G2530" s="319" t="n"/>
      <c r="H2530" s="319">
        <f>($D$2522/$D$2524*F2530*E2530/31)</f>
        <v/>
      </c>
      <c r="I2530" s="319">
        <f>G2530-H2530</f>
        <v/>
      </c>
      <c r="J2530" s="319">
        <f>F2530+F2521-I2530</f>
        <v/>
      </c>
      <c r="K2530" s="516" t="n"/>
      <c r="L2530" s="516" t="n"/>
    </row>
    <row r="2531">
      <c r="B2531" s="1" t="n">
        <v>1</v>
      </c>
      <c r="C2531" s="24" t="n">
        <v>44866</v>
      </c>
      <c r="D2531" s="24" t="n">
        <v>44895</v>
      </c>
      <c r="E2531" s="25">
        <f>D2531-C2531+1</f>
        <v/>
      </c>
      <c r="F2531" s="319">
        <f>J2530</f>
        <v/>
      </c>
      <c r="G2531" s="319" t="n"/>
      <c r="H2531" s="319">
        <f>($D$2522/$D$2524*F2531)</f>
        <v/>
      </c>
      <c r="I2531" s="319">
        <f>G2531-H2531</f>
        <v/>
      </c>
      <c r="J2531" s="319">
        <f>F2531-I2531</f>
        <v/>
      </c>
      <c r="K2531" s="516" t="n"/>
      <c r="L2531" s="516" t="n"/>
    </row>
    <row r="2532">
      <c r="B2532" s="1" t="n">
        <v>2</v>
      </c>
      <c r="C2532" s="24" t="n">
        <v>44896</v>
      </c>
      <c r="D2532" s="24" t="n">
        <v>44926</v>
      </c>
      <c r="E2532" s="25">
        <f>D2532-C2532+1</f>
        <v/>
      </c>
      <c r="F2532" s="319">
        <f>J2531</f>
        <v/>
      </c>
      <c r="G2532" s="319" t="n"/>
      <c r="H2532" s="319">
        <f>($D$2522/$D$2524*F2532)</f>
        <v/>
      </c>
      <c r="I2532" s="319">
        <f>G2532-H2532</f>
        <v/>
      </c>
      <c r="J2532" s="319">
        <f>F2532-I2532</f>
        <v/>
      </c>
    </row>
    <row r="2533">
      <c r="B2533" s="1" t="n">
        <v>3</v>
      </c>
      <c r="C2533" s="24" t="n">
        <v>44927</v>
      </c>
      <c r="D2533" s="24" t="n">
        <v>44957</v>
      </c>
      <c r="E2533" s="25">
        <f>D2533-C2533+1</f>
        <v/>
      </c>
      <c r="F2533" s="319">
        <f>J2532</f>
        <v/>
      </c>
      <c r="G2533" s="319" t="n"/>
      <c r="H2533" s="319">
        <f>($D$2522/$D$2524*F2533)</f>
        <v/>
      </c>
      <c r="I2533" s="319">
        <f>G2533-H2533</f>
        <v/>
      </c>
      <c r="J2533" s="319">
        <f>F2533-I2533</f>
        <v/>
      </c>
      <c r="K2533" s="516" t="n"/>
      <c r="L2533" s="516" t="n"/>
    </row>
    <row r="2534">
      <c r="B2534" s="1" t="n">
        <v>4</v>
      </c>
      <c r="C2534" s="24" t="n">
        <v>44958</v>
      </c>
      <c r="D2534" s="24" t="n">
        <v>44985</v>
      </c>
      <c r="E2534" s="25">
        <f>D2534-C2534+1</f>
        <v/>
      </c>
      <c r="F2534" s="319">
        <f>J2533</f>
        <v/>
      </c>
      <c r="G2534" s="319">
        <f>-PMT($D$2522/$D$2524,21,$F$2534,,0)</f>
        <v/>
      </c>
      <c r="H2534" s="319">
        <f>($D$2522/$D$2524*F2534)</f>
        <v/>
      </c>
      <c r="I2534" s="319">
        <f>G2534-H2534</f>
        <v/>
      </c>
      <c r="J2534" s="319">
        <f>F2534-I2534</f>
        <v/>
      </c>
      <c r="K2534" s="516" t="n">
        <v>2000000</v>
      </c>
      <c r="L2534" s="516">
        <f>G2534-K2534</f>
        <v/>
      </c>
    </row>
    <row r="2535">
      <c r="B2535" s="1" t="n">
        <v>5</v>
      </c>
      <c r="C2535" s="24" t="n">
        <v>44986</v>
      </c>
      <c r="D2535" s="24" t="n">
        <v>45016</v>
      </c>
      <c r="E2535" s="25">
        <f>D2535-C2535+1</f>
        <v/>
      </c>
      <c r="F2535" s="319">
        <f>J2534</f>
        <v/>
      </c>
      <c r="G2535" s="319">
        <f>-PMT($D$2522/$D$2524,21,$F$2534,,0)</f>
        <v/>
      </c>
      <c r="H2535" s="319">
        <f>($D$2522/$D$2524*F2535)</f>
        <v/>
      </c>
      <c r="I2535" s="319">
        <f>G2535-H2535</f>
        <v/>
      </c>
      <c r="J2535" s="319">
        <f>F2535-I2535</f>
        <v/>
      </c>
      <c r="K2535" s="516" t="n">
        <v>2000000</v>
      </c>
      <c r="L2535" s="516">
        <f>L2534+G2535-K2535</f>
        <v/>
      </c>
    </row>
    <row r="2536">
      <c r="B2536" s="1" t="n">
        <v>6</v>
      </c>
      <c r="C2536" s="24" t="n">
        <v>45017</v>
      </c>
      <c r="D2536" s="24" t="n">
        <v>45046</v>
      </c>
      <c r="E2536" s="25">
        <f>D2536-C2536+1</f>
        <v/>
      </c>
      <c r="F2536" s="319">
        <f>J2535</f>
        <v/>
      </c>
      <c r="G2536" s="319">
        <f>-PMT($D$2522/$D$2524,21,$F$2534,,0)</f>
        <v/>
      </c>
      <c r="H2536" s="319">
        <f>($D$2522/$D$2524*F2536)</f>
        <v/>
      </c>
      <c r="I2536" s="319">
        <f>G2536-H2536</f>
        <v/>
      </c>
      <c r="J2536" s="319">
        <f>F2536-I2536</f>
        <v/>
      </c>
      <c r="K2536" s="516" t="n"/>
      <c r="L2536" s="516">
        <f>L2535+G2536-K2536</f>
        <v/>
      </c>
    </row>
    <row r="2537">
      <c r="B2537" s="1" t="n">
        <v>7</v>
      </c>
      <c r="C2537" s="24" t="n">
        <v>45047</v>
      </c>
      <c r="D2537" s="24" t="n">
        <v>45077</v>
      </c>
      <c r="E2537" s="25">
        <f>D2537-C2537+1</f>
        <v/>
      </c>
      <c r="F2537" s="319">
        <f>J2536</f>
        <v/>
      </c>
      <c r="G2537" s="319">
        <f>-PMT($D$2522/$D$2524,21,$F$2534,,0)</f>
        <v/>
      </c>
      <c r="H2537" s="319">
        <f>($D$2522/$D$2524*F2537)</f>
        <v/>
      </c>
      <c r="I2537" s="319">
        <f>G2537-H2537</f>
        <v/>
      </c>
      <c r="J2537" s="319">
        <f>F2537-I2537</f>
        <v/>
      </c>
      <c r="K2537" s="516">
        <f>2000000+2000000</f>
        <v/>
      </c>
      <c r="L2537" s="516">
        <f>L2536+G2537-K2537</f>
        <v/>
      </c>
    </row>
    <row r="2538">
      <c r="B2538" s="1" t="n">
        <v>8</v>
      </c>
      <c r="C2538" s="24" t="n">
        <v>45078</v>
      </c>
      <c r="D2538" s="24" t="n">
        <v>45107</v>
      </c>
      <c r="E2538" s="25">
        <f>D2538-C2538+1</f>
        <v/>
      </c>
      <c r="F2538" s="319">
        <f>J2537</f>
        <v/>
      </c>
      <c r="G2538" s="319">
        <f>-PMT($D$2522/$D$2524,21,$F$2534,,0)</f>
        <v/>
      </c>
      <c r="H2538" s="319">
        <f>($D$2522/$D$2524*F2538)</f>
        <v/>
      </c>
      <c r="I2538" s="319">
        <f>G2538-H2538</f>
        <v/>
      </c>
      <c r="J2538" s="319">
        <f>F2538-I2538</f>
        <v/>
      </c>
      <c r="K2538" s="516" t="n">
        <v>2000000</v>
      </c>
      <c r="L2538" s="516">
        <f>L2537+G2538-K2538</f>
        <v/>
      </c>
    </row>
    <row r="2539">
      <c r="B2539" s="1" t="n">
        <v>9</v>
      </c>
      <c r="C2539" s="24" t="n">
        <v>45108</v>
      </c>
      <c r="D2539" s="24" t="n">
        <v>45138</v>
      </c>
      <c r="E2539" s="25">
        <f>D2539-C2539+1</f>
        <v/>
      </c>
      <c r="F2539" s="319">
        <f>J2538</f>
        <v/>
      </c>
      <c r="G2539" s="319">
        <f>-PMT($D$2522/$D$2524,21,$F$2534,,0)</f>
        <v/>
      </c>
      <c r="H2539" s="319">
        <f>($D$2522/$D$2524*F2539)</f>
        <v/>
      </c>
      <c r="I2539" s="319">
        <f>G2539-H2539</f>
        <v/>
      </c>
      <c r="J2539" s="319">
        <f>F2539-I2539</f>
        <v/>
      </c>
      <c r="K2539" s="516" t="n"/>
      <c r="L2539" s="516">
        <f>L2538+G2539-K2539</f>
        <v/>
      </c>
    </row>
    <row r="2540">
      <c r="B2540" s="1" t="n">
        <v>10</v>
      </c>
      <c r="C2540" s="24" t="n">
        <v>45139</v>
      </c>
      <c r="D2540" s="24" t="n">
        <v>45169</v>
      </c>
      <c r="E2540" s="25">
        <f>D2540-C2540+1</f>
        <v/>
      </c>
      <c r="F2540" s="319">
        <f>J2539</f>
        <v/>
      </c>
      <c r="G2540" s="319">
        <f>-PMT($D$2522/$D$2524,21,$F$2534,,0)</f>
        <v/>
      </c>
      <c r="H2540" s="319">
        <f>($D$2522/$D$2524*F2540)</f>
        <v/>
      </c>
      <c r="I2540" s="319">
        <f>G2540-H2540</f>
        <v/>
      </c>
      <c r="J2540" s="319">
        <f>F2540-I2540</f>
        <v/>
      </c>
      <c r="K2540" s="516" t="n">
        <v>2000000</v>
      </c>
      <c r="L2540" s="516">
        <f>L2539+G2540-K2540</f>
        <v/>
      </c>
    </row>
    <row r="2541">
      <c r="B2541" s="1" t="n">
        <v>11</v>
      </c>
      <c r="C2541" s="24" t="n">
        <v>45170</v>
      </c>
      <c r="D2541" s="24" t="n">
        <v>45199</v>
      </c>
      <c r="E2541" s="25">
        <f>D2541-C2541+1</f>
        <v/>
      </c>
      <c r="F2541" s="319">
        <f>J2540</f>
        <v/>
      </c>
      <c r="G2541" s="319">
        <f>-PMT($D$2522/$D$2524,21,$F$2534,,0)</f>
        <v/>
      </c>
      <c r="H2541" s="319">
        <f>($D$2522/$D$2524*F2541)</f>
        <v/>
      </c>
      <c r="I2541" s="319">
        <f>G2541-H2541</f>
        <v/>
      </c>
      <c r="J2541" s="319">
        <f>F2541-I2541</f>
        <v/>
      </c>
      <c r="K2541" s="516" t="n"/>
      <c r="L2541" s="516">
        <f>L2540+G2541-K2541</f>
        <v/>
      </c>
    </row>
    <row r="2542">
      <c r="B2542" s="1" t="n">
        <v>12</v>
      </c>
      <c r="C2542" s="24" t="n">
        <v>45200</v>
      </c>
      <c r="D2542" s="24" t="n">
        <v>45230</v>
      </c>
      <c r="E2542" s="25">
        <f>D2542-C2542+1</f>
        <v/>
      </c>
      <c r="F2542" s="319">
        <f>J2541</f>
        <v/>
      </c>
      <c r="G2542" s="319">
        <f>-PMT($D$2522/$D$2524,21,$F$2534,,0)</f>
        <v/>
      </c>
      <c r="H2542" s="319">
        <f>($D$2522/$D$2524*F2542)</f>
        <v/>
      </c>
      <c r="I2542" s="319">
        <f>G2542-H2542</f>
        <v/>
      </c>
      <c r="J2542" s="319">
        <f>F2542-I2542</f>
        <v/>
      </c>
      <c r="K2542" s="516" t="n"/>
      <c r="L2542" s="516">
        <f>L2541+G2542-K2542</f>
        <v/>
      </c>
    </row>
    <row r="2543">
      <c r="B2543" s="1" t="n">
        <v>13</v>
      </c>
      <c r="C2543" s="24" t="n">
        <v>45231</v>
      </c>
      <c r="D2543" s="24" t="n">
        <v>45260</v>
      </c>
      <c r="E2543" s="25">
        <f>D2543-C2543+1</f>
        <v/>
      </c>
      <c r="F2543" s="319">
        <f>J2542</f>
        <v/>
      </c>
      <c r="G2543" s="319">
        <f>-PMT($D$2522/$D$2524,21,$F$2534,,0)</f>
        <v/>
      </c>
      <c r="H2543" s="319">
        <f>($D$2522/$D$2524*F2543)</f>
        <v/>
      </c>
      <c r="I2543" s="319">
        <f>G2543-H2543</f>
        <v/>
      </c>
      <c r="J2543" s="319">
        <f>F2543-I2543</f>
        <v/>
      </c>
      <c r="K2543" s="516" t="n"/>
      <c r="L2543" s="516">
        <f>L2542+G2543-K2543</f>
        <v/>
      </c>
    </row>
    <row r="2544">
      <c r="B2544" s="1" t="n">
        <v>14</v>
      </c>
      <c r="C2544" s="24" t="n">
        <v>45261</v>
      </c>
      <c r="D2544" s="24" t="n">
        <v>45291</v>
      </c>
      <c r="E2544" s="25">
        <f>D2544-C2544+1</f>
        <v/>
      </c>
      <c r="F2544" s="319">
        <f>J2543</f>
        <v/>
      </c>
      <c r="G2544" s="319">
        <f>-PMT($D$2522/$D$2524,21,$F$2534,,0)</f>
        <v/>
      </c>
      <c r="H2544" s="319">
        <f>($D$2522/$D$2524*F2544)</f>
        <v/>
      </c>
      <c r="I2544" s="319">
        <f>G2544-H2544</f>
        <v/>
      </c>
      <c r="J2544" s="319">
        <f>F2544-I2544</f>
        <v/>
      </c>
      <c r="K2544" s="516">
        <f>11500000+2954000</f>
        <v/>
      </c>
      <c r="L2544" s="520">
        <f>L2543+G2544-K2544</f>
        <v/>
      </c>
    </row>
    <row r="2545">
      <c r="B2545" s="1" t="n">
        <v>15</v>
      </c>
      <c r="C2545" s="24" t="n">
        <v>45292</v>
      </c>
      <c r="D2545" s="24" t="n">
        <v>45322</v>
      </c>
      <c r="E2545" s="25">
        <f>D2545-C2545+1</f>
        <v/>
      </c>
      <c r="F2545" s="319">
        <f>J2544</f>
        <v/>
      </c>
      <c r="G2545" s="319">
        <f>-PMT($D$2522/$D$2524,21,$F$2534,,0)</f>
        <v/>
      </c>
      <c r="H2545" s="319">
        <f>($D$2522/$D$2524*F2545)</f>
        <v/>
      </c>
      <c r="I2545" s="319">
        <f>G2545-H2545</f>
        <v/>
      </c>
      <c r="J2545" s="319">
        <f>F2545-I2545</f>
        <v/>
      </c>
      <c r="K2545" s="516" t="n"/>
      <c r="L2545" s="516" t="n"/>
    </row>
    <row r="2546">
      <c r="B2546" s="1" t="n">
        <v>16</v>
      </c>
      <c r="C2546" s="24" t="n">
        <v>45323</v>
      </c>
      <c r="D2546" s="24" t="n">
        <v>45351</v>
      </c>
      <c r="E2546" s="25">
        <f>D2546-C2546+1</f>
        <v/>
      </c>
      <c r="F2546" s="319">
        <f>J2545</f>
        <v/>
      </c>
      <c r="G2546" s="319">
        <f>-PMT($D$2522/$D$2524,21,$F$2534,,0)</f>
        <v/>
      </c>
      <c r="H2546" s="319">
        <f>($D$2522/$D$2524*F2546)</f>
        <v/>
      </c>
      <c r="I2546" s="319">
        <f>G2546-H2546</f>
        <v/>
      </c>
      <c r="J2546" s="319">
        <f>F2546-I2546</f>
        <v/>
      </c>
      <c r="K2546" s="516" t="n"/>
      <c r="L2546" s="516" t="n"/>
    </row>
    <row r="2547">
      <c r="B2547" s="1" t="n">
        <v>17</v>
      </c>
      <c r="C2547" s="24" t="n">
        <v>45352</v>
      </c>
      <c r="D2547" s="24" t="n">
        <v>45382</v>
      </c>
      <c r="E2547" s="25">
        <f>D2547-C2547+1</f>
        <v/>
      </c>
      <c r="F2547" s="319">
        <f>J2546</f>
        <v/>
      </c>
      <c r="G2547" s="319">
        <f>-PMT($D$2522/$D$2524,21,$F$2534,,0)</f>
        <v/>
      </c>
      <c r="H2547" s="319">
        <f>($D$2522/$D$2524*F2547)</f>
        <v/>
      </c>
      <c r="I2547" s="319">
        <f>G2547-H2547</f>
        <v/>
      </c>
      <c r="J2547" s="319">
        <f>F2547-I2547</f>
        <v/>
      </c>
      <c r="K2547" s="516" t="n"/>
      <c r="L2547" s="516" t="n"/>
    </row>
    <row r="2548">
      <c r="B2548" s="1" t="n">
        <v>18</v>
      </c>
      <c r="C2548" s="24" t="n">
        <v>45383</v>
      </c>
      <c r="D2548" s="24" t="n">
        <v>45412</v>
      </c>
      <c r="E2548" s="25">
        <f>D2548-C2548+1</f>
        <v/>
      </c>
      <c r="F2548" s="319">
        <f>J2547</f>
        <v/>
      </c>
      <c r="G2548" s="319">
        <f>-PMT($D$2522/$D$2524,21,$F$2534,,0)</f>
        <v/>
      </c>
      <c r="H2548" s="319">
        <f>($D$2522/$D$2524*F2548)</f>
        <v/>
      </c>
      <c r="I2548" s="319">
        <f>G2548-H2548</f>
        <v/>
      </c>
      <c r="J2548" s="319">
        <f>F2548-I2548</f>
        <v/>
      </c>
      <c r="K2548" s="516" t="n"/>
      <c r="L2548" s="516" t="n"/>
    </row>
    <row r="2549">
      <c r="B2549" s="1" t="n">
        <v>19</v>
      </c>
      <c r="C2549" s="24" t="n">
        <v>45413</v>
      </c>
      <c r="D2549" s="24" t="n">
        <v>45443</v>
      </c>
      <c r="E2549" s="25">
        <f>D2549-C2549+1</f>
        <v/>
      </c>
      <c r="F2549" s="319">
        <f>J2548</f>
        <v/>
      </c>
      <c r="G2549" s="319">
        <f>-PMT($D$2522/$D$2524,21,$F$2534,,0)</f>
        <v/>
      </c>
      <c r="H2549" s="319">
        <f>($D$2522/$D$2524*F2549)</f>
        <v/>
      </c>
      <c r="I2549" s="319">
        <f>G2549-H2549</f>
        <v/>
      </c>
      <c r="J2549" s="319">
        <f>F2549-I2549</f>
        <v/>
      </c>
      <c r="K2549" s="516" t="n"/>
      <c r="L2549" s="516" t="n"/>
    </row>
    <row r="2550">
      <c r="B2550" s="1" t="n">
        <v>20</v>
      </c>
      <c r="C2550" s="24" t="n">
        <v>45444</v>
      </c>
      <c r="D2550" s="24" t="n">
        <v>45473</v>
      </c>
      <c r="E2550" s="25">
        <f>D2550-C2550+1</f>
        <v/>
      </c>
      <c r="F2550" s="319">
        <f>J2549</f>
        <v/>
      </c>
      <c r="G2550" s="319">
        <f>-PMT($D$2522/$D$2524,21,$F$2534,,0)</f>
        <v/>
      </c>
      <c r="H2550" s="319">
        <f>($D$2522/$D$2524*F2550)</f>
        <v/>
      </c>
      <c r="I2550" s="319">
        <f>G2550-H2550</f>
        <v/>
      </c>
      <c r="J2550" s="319">
        <f>F2550-I2550</f>
        <v/>
      </c>
      <c r="K2550" s="516" t="n"/>
      <c r="L2550" s="516" t="n"/>
    </row>
    <row r="2551">
      <c r="B2551" s="1" t="n">
        <v>21</v>
      </c>
      <c r="C2551" s="24" t="n">
        <v>45474</v>
      </c>
      <c r="D2551" s="24" t="n">
        <v>45504</v>
      </c>
      <c r="E2551" s="25">
        <f>D2551-C2551+1</f>
        <v/>
      </c>
      <c r="F2551" s="319">
        <f>J2550</f>
        <v/>
      </c>
      <c r="G2551" s="319">
        <f>-PMT($D$2522/$D$2524,21,$F$2534,,0)</f>
        <v/>
      </c>
      <c r="H2551" s="319">
        <f>($D$2522/$D$2524*F2551)</f>
        <v/>
      </c>
      <c r="I2551" s="319">
        <f>G2551-H2551</f>
        <v/>
      </c>
      <c r="J2551" s="319">
        <f>F2551-I2551</f>
        <v/>
      </c>
      <c r="K2551" s="516" t="n"/>
      <c r="L2551" s="516" t="n"/>
    </row>
    <row r="2552">
      <c r="B2552" s="1" t="n">
        <v>22</v>
      </c>
      <c r="C2552" s="24" t="n">
        <v>45505</v>
      </c>
      <c r="D2552" s="24" t="n">
        <v>45535</v>
      </c>
      <c r="E2552" s="25">
        <f>D2552-C2552+1</f>
        <v/>
      </c>
      <c r="F2552" s="319">
        <f>J2551</f>
        <v/>
      </c>
      <c r="G2552" s="319">
        <f>-PMT($D$2522/$D$2524,21,$F$2534,,0)</f>
        <v/>
      </c>
      <c r="H2552" s="319">
        <f>($D$2522/$D$2524*F2552)</f>
        <v/>
      </c>
      <c r="I2552" s="319">
        <f>G2552-H2552</f>
        <v/>
      </c>
      <c r="J2552" s="319">
        <f>F2552-I2552</f>
        <v/>
      </c>
      <c r="K2552" s="516" t="n"/>
      <c r="L2552" s="516" t="n"/>
    </row>
    <row r="2553">
      <c r="B2553" s="1" t="n">
        <v>23</v>
      </c>
      <c r="C2553" s="24" t="n">
        <v>45536</v>
      </c>
      <c r="D2553" s="24" t="n">
        <v>45565</v>
      </c>
      <c r="E2553" s="25">
        <f>D2553-C2553+1</f>
        <v/>
      </c>
      <c r="F2553" s="319">
        <f>J2552</f>
        <v/>
      </c>
      <c r="G2553" s="319">
        <f>-PMT($D$2522/$D$2524,21,$F$2534,,0)</f>
        <v/>
      </c>
      <c r="H2553" s="319">
        <f>($D$2522/$D$2524*F2553)</f>
        <v/>
      </c>
      <c r="I2553" s="319">
        <f>G2553-H2553</f>
        <v/>
      </c>
      <c r="J2553" s="319">
        <f>F2553-I2553</f>
        <v/>
      </c>
      <c r="K2553" s="516" t="n"/>
      <c r="L2553" s="516" t="n"/>
    </row>
    <row r="2554">
      <c r="B2554" s="1" t="n">
        <v>24</v>
      </c>
      <c r="C2554" s="24" t="n">
        <v>45566</v>
      </c>
      <c r="D2554" s="24" t="n">
        <v>45596</v>
      </c>
      <c r="E2554" s="25">
        <f>D2554-C2554+1</f>
        <v/>
      </c>
      <c r="F2554" s="319">
        <f>J2553</f>
        <v/>
      </c>
      <c r="G2554" s="319">
        <f>-PMT($D$2522/$D$2524,21,$F$2534,,0)</f>
        <v/>
      </c>
      <c r="H2554" s="319">
        <f>($D$2522/$D$2524*F2554)</f>
        <v/>
      </c>
      <c r="I2554" s="319">
        <f>G2554-H2554</f>
        <v/>
      </c>
      <c r="J2554" s="319">
        <f>F2554-I2554</f>
        <v/>
      </c>
      <c r="K2554" s="516" t="n"/>
      <c r="L2554" s="516" t="n"/>
    </row>
    <row r="2555">
      <c r="B2555" s="1" t="n"/>
      <c r="C2555" s="24" t="n"/>
      <c r="D2555" s="24" t="n"/>
      <c r="E2555" s="25" t="n"/>
      <c r="F2555" s="319" t="n"/>
      <c r="G2555" s="319" t="n"/>
      <c r="H2555" s="319" t="n"/>
      <c r="I2555" s="319" t="n"/>
      <c r="J2555" s="319" t="n"/>
      <c r="K2555" s="516" t="n"/>
      <c r="L2555" s="516" t="n"/>
    </row>
    <row r="2556" ht="14.25" customHeight="1">
      <c r="B2556" s="1" t="n"/>
      <c r="C2556" s="1" t="n"/>
      <c r="D2556" s="1" t="n"/>
      <c r="E2556" s="30">
        <f>SUM(E2530:E2554)</f>
        <v/>
      </c>
      <c r="F2556" s="319" t="n"/>
      <c r="G2556" s="319" t="n"/>
      <c r="H2556" s="319" t="n"/>
      <c r="I2556" s="319" t="n"/>
      <c r="J2556" s="319" t="n"/>
      <c r="K2556" s="1" t="n"/>
      <c r="L2556" s="1" t="n"/>
    </row>
    <row r="2561">
      <c r="B2561" s="1" t="n"/>
      <c r="C2561" s="9" t="inlineStr">
        <is>
          <t>Kaning'a General Dealer</t>
        </is>
      </c>
      <c r="D2561" s="319" t="n"/>
      <c r="E2561" s="319" t="n"/>
      <c r="F2561" s="319" t="n"/>
      <c r="G2561" s="319" t="n"/>
      <c r="H2561" s="319" t="n"/>
      <c r="I2561" s="319" t="n"/>
      <c r="J2561" s="319" t="n"/>
      <c r="K2561" s="319" t="n"/>
      <c r="L2561" s="319" t="n"/>
      <c r="R2561" s="514" t="inlineStr">
        <is>
          <t>E-Banker account (Dupleix)</t>
        </is>
      </c>
      <c r="S2561" s="495">
        <f>IFERROR(INDEX('Blocks'!$I$2:$I$101,MATCH(47,'Blocks'!$A$2:$A$101,0)),"")</f>
        <v/>
      </c>
    </row>
    <row r="2562">
      <c r="B2562" s="1" t="n"/>
      <c r="C2562" s="1" t="n"/>
      <c r="D2562" s="319" t="n"/>
      <c r="E2562" s="319" t="n"/>
      <c r="F2562" s="319" t="n"/>
      <c r="G2562" s="319" t="n"/>
      <c r="H2562" s="319" t="n"/>
      <c r="I2562" s="319" t="n"/>
      <c r="J2562" s="319" t="n"/>
      <c r="K2562" s="319" t="n"/>
      <c r="L2562" s="319" t="n"/>
      <c r="R2562" s="514" t="inlineStr">
        <is>
          <t>Facility (Loan Book)</t>
        </is>
      </c>
      <c r="S2562" s="495">
        <f>IFERROR(INDEX('Blocks'!$H$2:$H$101,MATCH(47,'Blocks'!$A$2:$A$101,0)),"")</f>
        <v/>
      </c>
    </row>
    <row r="2563">
      <c r="B2563" s="1" t="n"/>
      <c r="C2563" s="10" t="inlineStr">
        <is>
          <t>Principal (MK)</t>
        </is>
      </c>
      <c r="D2563" s="11" t="n">
        <v>24000000</v>
      </c>
      <c r="E2563" s="319" t="n"/>
      <c r="F2563" s="319" t="n"/>
      <c r="G2563" s="319" t="n"/>
      <c r="H2563" s="319" t="n"/>
      <c r="I2563" s="319" t="n"/>
      <c r="J2563" s="319" t="n"/>
      <c r="K2563" s="319" t="n"/>
      <c r="L2563" s="319" t="n"/>
      <c r="R2563" s="514" t="inlineStr">
        <is>
          <t>Take-on posting 31 Jul 2024</t>
        </is>
      </c>
      <c r="S2563" s="496">
        <f>IFERROR(INDEX('E-Banker master'!$N$2:$N$186,MATCH(S2561,'E-Banker master'!$A$2:$A$186,0)),"")</f>
        <v/>
      </c>
    </row>
    <row r="2564">
      <c r="B2564" s="1" t="n"/>
      <c r="C2564" s="13" t="inlineStr">
        <is>
          <t>Rate</t>
        </is>
      </c>
      <c r="D2564" s="14" t="n">
        <v>0.1</v>
      </c>
      <c r="E2564" s="257" t="n"/>
      <c r="F2564" s="319" t="n"/>
      <c r="G2564" s="319" t="n"/>
      <c r="H2564" s="319" t="n"/>
      <c r="I2564" s="319" t="n"/>
      <c r="J2564" s="319" t="n"/>
      <c r="K2564" s="319" t="n"/>
      <c r="L2564" s="319" t="n"/>
      <c r="R2564" s="514" t="inlineStr">
        <is>
          <t>E-Banker balance 31 Oct 2024</t>
        </is>
      </c>
      <c r="S2564" s="496">
        <f>IFERROR(INDEX('E-Banker master'!$P$2:$P$186,MATCH(S2561,'E-Banker master'!$A$2:$A$186,0)),"")</f>
        <v/>
      </c>
    </row>
    <row r="2565">
      <c r="B2565" s="1" t="n"/>
      <c r="C2565" s="13" t="inlineStr">
        <is>
          <t>n</t>
        </is>
      </c>
      <c r="D2565" s="16" t="n">
        <v>2</v>
      </c>
      <c r="E2565" s="1" t="n"/>
      <c r="F2565" s="319" t="n"/>
      <c r="G2565" s="319" t="n"/>
      <c r="H2565" s="319" t="n"/>
      <c r="I2565" s="319" t="n"/>
      <c r="J2565" s="319" t="n"/>
      <c r="K2565" s="1" t="n"/>
      <c r="L2565" s="1" t="n"/>
    </row>
    <row r="2566">
      <c r="B2566" s="1" t="n"/>
      <c r="C2566" s="13" t="inlineStr">
        <is>
          <t>Per</t>
        </is>
      </c>
      <c r="D2566" s="16" t="n">
        <v>12</v>
      </c>
      <c r="E2566" s="1" t="n"/>
      <c r="F2566" s="319" t="n"/>
      <c r="G2566" s="319" t="n"/>
      <c r="H2566" s="319" t="n"/>
      <c r="I2566" s="319" t="n"/>
      <c r="J2566" s="319" t="n"/>
      <c r="K2566" s="1" t="n"/>
      <c r="L2566" s="1" t="n"/>
    </row>
    <row r="2567">
      <c r="B2567" s="1" t="n"/>
      <c r="C2567" s="13" t="inlineStr">
        <is>
          <t>nPer</t>
        </is>
      </c>
      <c r="D2567" s="515">
        <f>D2565*D2566</f>
        <v/>
      </c>
      <c r="E2567" s="1" t="n"/>
      <c r="F2567" s="319" t="n"/>
      <c r="G2567" s="319" t="n"/>
      <c r="H2567" s="319" t="n"/>
      <c r="I2567" s="319" t="n"/>
      <c r="J2567" s="319" t="n"/>
      <c r="K2567" s="1" t="n"/>
      <c r="L2567" s="1" t="n"/>
    </row>
    <row r="2568">
      <c r="B2568" s="1" t="n"/>
      <c r="C2568" s="13" t="inlineStr">
        <is>
          <t>Days in a year</t>
        </is>
      </c>
      <c r="D2568" s="18" t="n">
        <v>365</v>
      </c>
      <c r="E2568" s="1" t="n"/>
      <c r="F2568" s="319" t="n"/>
      <c r="G2568" s="319" t="n"/>
      <c r="H2568" s="319" t="n"/>
      <c r="I2568" s="319" t="n"/>
      <c r="J2568" s="319" t="n"/>
      <c r="K2568" s="1" t="n"/>
      <c r="L2568" s="1" t="n"/>
    </row>
    <row r="2569">
      <c r="B2569" s="1" t="n"/>
      <c r="C2569" s="19" t="inlineStr">
        <is>
          <t>Pmt (MK)</t>
        </is>
      </c>
      <c r="D2569" s="20">
        <f>-PMT(D2564/D2566,D2567,D2563,0,0)</f>
        <v/>
      </c>
      <c r="E2569" s="319" t="n"/>
      <c r="F2569" s="319" t="n"/>
      <c r="G2569" s="319" t="n"/>
      <c r="H2569" s="319" t="n"/>
      <c r="I2569" s="319" t="n"/>
      <c r="J2569" s="319" t="n"/>
      <c r="K2569" s="1" t="n"/>
      <c r="L2569" s="1" t="n"/>
    </row>
    <row r="2570">
      <c r="B2570" s="1" t="n"/>
      <c r="C2570" s="1" t="n"/>
      <c r="D2570" s="319" t="n"/>
      <c r="E2570" s="319" t="n"/>
      <c r="F2570" s="319" t="n"/>
      <c r="G2570" s="319" t="n"/>
      <c r="H2570" s="319" t="n"/>
      <c r="I2570" s="319" t="n"/>
      <c r="J2570" s="319" t="n"/>
      <c r="K2570" s="1" t="n"/>
      <c r="L2570" s="1" t="n"/>
    </row>
    <row r="2571">
      <c r="B2571" s="1" t="n"/>
      <c r="C2571" s="21" t="inlineStr">
        <is>
          <t>Period Start</t>
        </is>
      </c>
      <c r="D2571" s="22" t="inlineStr">
        <is>
          <t>Period End</t>
        </is>
      </c>
      <c r="E2571" s="22" t="inlineStr">
        <is>
          <t>Days</t>
        </is>
      </c>
      <c r="F2571" s="294" t="inlineStr">
        <is>
          <t>Opening bal.</t>
        </is>
      </c>
      <c r="G2571" s="294" t="inlineStr">
        <is>
          <t>Pmt</t>
        </is>
      </c>
      <c r="H2571" s="294" t="inlineStr">
        <is>
          <t>Interest</t>
        </is>
      </c>
      <c r="I2571" s="294" t="inlineStr">
        <is>
          <t>Principal</t>
        </is>
      </c>
      <c r="J2571" s="294" t="inlineStr">
        <is>
          <t>Closing balance</t>
        </is>
      </c>
      <c r="K2571" s="23" t="inlineStr">
        <is>
          <t>Amount Repaid</t>
        </is>
      </c>
      <c r="L2571" s="23" t="inlineStr">
        <is>
          <t>Accumulated Arrears</t>
        </is>
      </c>
    </row>
    <row r="2572">
      <c r="B2572" s="1" t="n">
        <v>0</v>
      </c>
      <c r="C2572" s="24" t="n">
        <v>44861</v>
      </c>
      <c r="D2572" s="24" t="n">
        <v>44865</v>
      </c>
      <c r="E2572" s="25">
        <f>D2572-C2572+1</f>
        <v/>
      </c>
      <c r="F2572" s="319">
        <f>D2563</f>
        <v/>
      </c>
      <c r="G2572" s="319" t="n"/>
      <c r="H2572" s="319">
        <f>($D$2564/$D$2566*F2572*E2572/31)</f>
        <v/>
      </c>
      <c r="I2572" s="319">
        <f>G2572-H2572</f>
        <v/>
      </c>
      <c r="J2572" s="319">
        <f>F2572+F2563-I2572</f>
        <v/>
      </c>
      <c r="K2572" s="516" t="n"/>
      <c r="L2572" s="516" t="n"/>
    </row>
    <row r="2573">
      <c r="B2573" s="1" t="n">
        <v>1</v>
      </c>
      <c r="C2573" s="24" t="n">
        <v>44866</v>
      </c>
      <c r="D2573" s="24" t="n">
        <v>44895</v>
      </c>
      <c r="E2573" s="25">
        <f>D2573-C2573+1</f>
        <v/>
      </c>
      <c r="F2573" s="319">
        <f>J2572</f>
        <v/>
      </c>
      <c r="G2573" s="319" t="n"/>
      <c r="H2573" s="319">
        <f>($D$2564/$D$2566*F2573)</f>
        <v/>
      </c>
      <c r="I2573" s="319">
        <f>G2573-H2573</f>
        <v/>
      </c>
      <c r="J2573" s="319">
        <f>F2573-I2573</f>
        <v/>
      </c>
      <c r="K2573" s="516" t="n"/>
      <c r="L2573" s="516" t="n"/>
    </row>
    <row r="2574">
      <c r="B2574" s="1" t="n">
        <v>2</v>
      </c>
      <c r="C2574" s="24" t="n">
        <v>44896</v>
      </c>
      <c r="D2574" s="24" t="n">
        <v>44926</v>
      </c>
      <c r="E2574" s="25">
        <f>D2574-C2574+1</f>
        <v/>
      </c>
      <c r="F2574" s="319">
        <f>J2573</f>
        <v/>
      </c>
      <c r="G2574" s="319" t="n"/>
      <c r="H2574" s="319">
        <f>($D$2564/$D$2566*F2574)</f>
        <v/>
      </c>
      <c r="I2574" s="319">
        <f>G2574-H2574</f>
        <v/>
      </c>
      <c r="J2574" s="319">
        <f>F2574-I2574</f>
        <v/>
      </c>
      <c r="K2574" s="516" t="n">
        <v>5800000</v>
      </c>
    </row>
    <row r="2575">
      <c r="B2575" s="1" t="n">
        <v>3</v>
      </c>
      <c r="C2575" s="24" t="n">
        <v>44927</v>
      </c>
      <c r="D2575" s="24" t="n">
        <v>44957</v>
      </c>
      <c r="E2575" s="25">
        <f>D2575-C2575+1</f>
        <v/>
      </c>
      <c r="F2575" s="319">
        <f>J2574</f>
        <v/>
      </c>
      <c r="G2575" s="319" t="n"/>
      <c r="H2575" s="319">
        <f>($D$2564/$D$2566*F2575)</f>
        <v/>
      </c>
      <c r="I2575" s="319">
        <f>G2575-H2575</f>
        <v/>
      </c>
      <c r="J2575" s="319">
        <f>F2575-I2575</f>
        <v/>
      </c>
      <c r="K2575" s="516" t="n"/>
      <c r="L2575" s="516" t="n"/>
    </row>
    <row r="2576">
      <c r="B2576" s="1" t="n">
        <v>4</v>
      </c>
      <c r="C2576" s="24" t="n">
        <v>44958</v>
      </c>
      <c r="D2576" s="24" t="n">
        <v>44985</v>
      </c>
      <c r="E2576" s="25">
        <f>D2576-C2576+1</f>
        <v/>
      </c>
      <c r="F2576" s="319">
        <f>J2575</f>
        <v/>
      </c>
      <c r="G2576" s="319">
        <f>-PMT($D$2564/$D$2566,21,$F$2576,,0)</f>
        <v/>
      </c>
      <c r="H2576" s="319">
        <f>($D$2564/$D$2566*F2576)</f>
        <v/>
      </c>
      <c r="I2576" s="319">
        <f>G2576-H2576</f>
        <v/>
      </c>
      <c r="J2576" s="319">
        <f>F2576-I2576</f>
        <v/>
      </c>
      <c r="K2576" s="516" t="n">
        <v>5000000</v>
      </c>
      <c r="L2576" s="516">
        <f>L2575+G2576-K2574-K2576</f>
        <v/>
      </c>
    </row>
    <row r="2577">
      <c r="B2577" s="1" t="n">
        <v>5</v>
      </c>
      <c r="C2577" s="24" t="n">
        <v>44986</v>
      </c>
      <c r="D2577" s="24" t="n">
        <v>45016</v>
      </c>
      <c r="E2577" s="25">
        <f>D2577-C2577+1</f>
        <v/>
      </c>
      <c r="F2577" s="319">
        <f>J2576</f>
        <v/>
      </c>
      <c r="G2577" s="319">
        <f>-PMT($D$2564/$D$2566,21,$F$2576,,0)</f>
        <v/>
      </c>
      <c r="H2577" s="319">
        <f>($D$2564/$D$2566*F2577)</f>
        <v/>
      </c>
      <c r="I2577" s="319">
        <f>G2577-H2577</f>
        <v/>
      </c>
      <c r="J2577" s="319">
        <f>F2577-I2577</f>
        <v/>
      </c>
      <c r="K2577" s="516" t="n"/>
      <c r="L2577" s="516">
        <f>L2576+G2577-K2577</f>
        <v/>
      </c>
    </row>
    <row r="2578">
      <c r="B2578" s="1" t="n">
        <v>6</v>
      </c>
      <c r="C2578" s="24" t="n">
        <v>45017</v>
      </c>
      <c r="D2578" s="24" t="n">
        <v>45046</v>
      </c>
      <c r="E2578" s="25">
        <f>D2578-C2578+1</f>
        <v/>
      </c>
      <c r="F2578" s="319">
        <f>J2577</f>
        <v/>
      </c>
      <c r="G2578" s="319">
        <f>-PMT($D$2564/$D$2566,21,$F$2576,,0)</f>
        <v/>
      </c>
      <c r="H2578" s="319">
        <f>($D$2564/$D$2566*F2578)</f>
        <v/>
      </c>
      <c r="I2578" s="319">
        <f>G2578-H2578</f>
        <v/>
      </c>
      <c r="J2578" s="319">
        <f>F2578-I2578</f>
        <v/>
      </c>
      <c r="K2578" s="516" t="n"/>
      <c r="L2578" s="516">
        <f>L2577+G2578-K2578</f>
        <v/>
      </c>
    </row>
    <row r="2579">
      <c r="B2579" s="1" t="n">
        <v>7</v>
      </c>
      <c r="C2579" s="24" t="n">
        <v>45047</v>
      </c>
      <c r="D2579" s="24" t="n">
        <v>45077</v>
      </c>
      <c r="E2579" s="25">
        <f>D2579-C2579+1</f>
        <v/>
      </c>
      <c r="F2579" s="319">
        <f>J2578</f>
        <v/>
      </c>
      <c r="G2579" s="319">
        <f>-PMT($D$2564/$D$2566,21,$F$2576,,0)</f>
        <v/>
      </c>
      <c r="H2579" s="319">
        <f>($D$2564/$D$2566*F2579)</f>
        <v/>
      </c>
      <c r="I2579" s="319">
        <f>G2579-H2579</f>
        <v/>
      </c>
      <c r="J2579" s="319">
        <f>F2579-I2579</f>
        <v/>
      </c>
      <c r="K2579" s="516" t="n"/>
      <c r="L2579" s="516">
        <f>L2578+G2579-K2579</f>
        <v/>
      </c>
    </row>
    <row r="2580">
      <c r="B2580" s="1" t="n">
        <v>8</v>
      </c>
      <c r="C2580" s="24" t="n">
        <v>45078</v>
      </c>
      <c r="D2580" s="24" t="n">
        <v>45107</v>
      </c>
      <c r="E2580" s="25">
        <f>D2580-C2580+1</f>
        <v/>
      </c>
      <c r="F2580" s="319">
        <f>J2579</f>
        <v/>
      </c>
      <c r="G2580" s="319">
        <f>-PMT($D$2564/$D$2566,21,$F$2576,,0)</f>
        <v/>
      </c>
      <c r="H2580" s="319">
        <f>($D$2564/$D$2566*F2580)</f>
        <v/>
      </c>
      <c r="I2580" s="319">
        <f>G2580-H2580</f>
        <v/>
      </c>
      <c r="J2580" s="319">
        <f>F2580-I2580</f>
        <v/>
      </c>
      <c r="K2580" s="516" t="n"/>
      <c r="L2580" s="516">
        <f>L2579+G2580-K2580</f>
        <v/>
      </c>
    </row>
    <row r="2581">
      <c r="B2581" s="1" t="n">
        <v>9</v>
      </c>
      <c r="C2581" s="24" t="n">
        <v>45108</v>
      </c>
      <c r="D2581" s="24" t="n">
        <v>45138</v>
      </c>
      <c r="E2581" s="25">
        <f>D2581-C2581+1</f>
        <v/>
      </c>
      <c r="F2581" s="319">
        <f>J2580</f>
        <v/>
      </c>
      <c r="G2581" s="319">
        <f>-PMT($D$2564/$D$2566,21,$F$2576,,0)</f>
        <v/>
      </c>
      <c r="H2581" s="319">
        <f>($D$2564/$D$2566*F2581)</f>
        <v/>
      </c>
      <c r="I2581" s="319">
        <f>G2581-H2581</f>
        <v/>
      </c>
      <c r="J2581" s="319">
        <f>F2581-I2581</f>
        <v/>
      </c>
      <c r="K2581" s="516" t="n">
        <v>4500000</v>
      </c>
      <c r="L2581" s="516">
        <f>L2580+G2581-K2581</f>
        <v/>
      </c>
    </row>
    <row r="2582">
      <c r="B2582" s="1" t="n">
        <v>10</v>
      </c>
      <c r="C2582" s="24" t="n">
        <v>45139</v>
      </c>
      <c r="D2582" s="24" t="n">
        <v>45169</v>
      </c>
      <c r="E2582" s="25">
        <f>D2582-C2582+1</f>
        <v/>
      </c>
      <c r="F2582" s="319">
        <f>J2581</f>
        <v/>
      </c>
      <c r="G2582" s="319">
        <f>-PMT($D$2564/$D$2566,21,$F$2576,,0)</f>
        <v/>
      </c>
      <c r="H2582" s="319">
        <f>($D$2564/$D$2566*F2582)</f>
        <v/>
      </c>
      <c r="I2582" s="319">
        <f>G2582-H2582</f>
        <v/>
      </c>
      <c r="J2582" s="319">
        <f>F2582-I2582</f>
        <v/>
      </c>
      <c r="K2582" s="516" t="n"/>
      <c r="L2582" s="516">
        <f>L2581+G2582-K2582</f>
        <v/>
      </c>
    </row>
    <row r="2583">
      <c r="B2583" s="1" t="n">
        <v>11</v>
      </c>
      <c r="C2583" s="24" t="n">
        <v>45170</v>
      </c>
      <c r="D2583" s="24" t="n">
        <v>45199</v>
      </c>
      <c r="E2583" s="25">
        <f>D2583-C2583+1</f>
        <v/>
      </c>
      <c r="F2583" s="319">
        <f>J2582</f>
        <v/>
      </c>
      <c r="G2583" s="319">
        <f>-PMT($D$2564/$D$2566,21,$F$2576,,0)</f>
        <v/>
      </c>
      <c r="H2583" s="319">
        <f>($D$2564/$D$2566*F2583)</f>
        <v/>
      </c>
      <c r="I2583" s="319">
        <f>G2583-H2583</f>
        <v/>
      </c>
      <c r="J2583" s="319">
        <f>F2583-I2583</f>
        <v/>
      </c>
      <c r="K2583" s="516" t="n"/>
      <c r="L2583" s="516">
        <f>L2582+G2583-K2583</f>
        <v/>
      </c>
    </row>
    <row r="2584">
      <c r="B2584" s="1" t="n">
        <v>12</v>
      </c>
      <c r="C2584" s="24" t="n">
        <v>45200</v>
      </c>
      <c r="D2584" s="24" t="n">
        <v>45230</v>
      </c>
      <c r="E2584" s="25">
        <f>D2584-C2584+1</f>
        <v/>
      </c>
      <c r="F2584" s="319">
        <f>J2583</f>
        <v/>
      </c>
      <c r="G2584" s="319">
        <f>-PMT($D$2564/$D$2566,21,$F$2576,,0)</f>
        <v/>
      </c>
      <c r="H2584" s="319">
        <f>($D$2564/$D$2566*F2584)</f>
        <v/>
      </c>
      <c r="I2584" s="319">
        <f>G2584-H2584</f>
        <v/>
      </c>
      <c r="J2584" s="319">
        <f>F2584-I2584</f>
        <v/>
      </c>
      <c r="K2584" s="516" t="n"/>
      <c r="L2584" s="516">
        <f>L2583+G2584-K2584</f>
        <v/>
      </c>
    </row>
    <row r="2585">
      <c r="B2585" s="1" t="n">
        <v>13</v>
      </c>
      <c r="C2585" s="24" t="n">
        <v>45231</v>
      </c>
      <c r="D2585" s="24" t="n">
        <v>45260</v>
      </c>
      <c r="E2585" s="25">
        <f>D2585-C2585+1</f>
        <v/>
      </c>
      <c r="F2585" s="319">
        <f>J2584</f>
        <v/>
      </c>
      <c r="G2585" s="319">
        <f>-PMT($D$2564/$D$2566,21,$F$2576,,0)</f>
        <v/>
      </c>
      <c r="H2585" s="319">
        <f>($D$2564/$D$2566*F2585)</f>
        <v/>
      </c>
      <c r="I2585" s="319">
        <f>G2585-H2585</f>
        <v/>
      </c>
      <c r="J2585" s="319">
        <f>F2585-I2585</f>
        <v/>
      </c>
      <c r="K2585" s="516" t="n"/>
      <c r="L2585" s="516">
        <f>L2584+G2585-K2585</f>
        <v/>
      </c>
    </row>
    <row r="2586">
      <c r="B2586" s="1" t="n">
        <v>14</v>
      </c>
      <c r="C2586" s="24" t="n">
        <v>45261</v>
      </c>
      <c r="D2586" s="24" t="n">
        <v>45291</v>
      </c>
      <c r="E2586" s="25">
        <f>D2586-C2586+1</f>
        <v/>
      </c>
      <c r="F2586" s="319">
        <f>J2585</f>
        <v/>
      </c>
      <c r="G2586" s="319">
        <f>-PMT($D$2564/$D$2566,21,$F$2576,,0)</f>
        <v/>
      </c>
      <c r="H2586" s="319">
        <f>($D$2564/$D$2566*F2586)</f>
        <v/>
      </c>
      <c r="I2586" s="319">
        <f>G2586-H2586</f>
        <v/>
      </c>
      <c r="J2586" s="319">
        <f>F2586-I2586</f>
        <v/>
      </c>
      <c r="K2586" s="516" t="n"/>
      <c r="L2586" s="516">
        <f>L2585+G2586-K2586</f>
        <v/>
      </c>
    </row>
    <row r="2587">
      <c r="B2587" s="1" t="n">
        <v>15</v>
      </c>
      <c r="C2587" s="24" t="n">
        <v>45292</v>
      </c>
      <c r="D2587" s="24" t="n">
        <v>45322</v>
      </c>
      <c r="E2587" s="25">
        <f>D2587-C2587+1</f>
        <v/>
      </c>
      <c r="F2587" s="319">
        <f>J2586</f>
        <v/>
      </c>
      <c r="G2587" s="319">
        <f>-PMT($D$2564/$D$2566,21,$F$2576,,0)</f>
        <v/>
      </c>
      <c r="H2587" s="319">
        <f>($D$2564/$D$2566*F2587)</f>
        <v/>
      </c>
      <c r="I2587" s="319">
        <f>G2587-H2587</f>
        <v/>
      </c>
      <c r="J2587" s="319">
        <f>F2587-I2587</f>
        <v/>
      </c>
      <c r="K2587" s="516" t="n"/>
      <c r="L2587" s="516">
        <f>L2586+G2587-K2587</f>
        <v/>
      </c>
    </row>
    <row r="2588">
      <c r="B2588" s="1" t="n">
        <v>16</v>
      </c>
      <c r="C2588" s="24" t="n">
        <v>45323</v>
      </c>
      <c r="D2588" s="24" t="n">
        <v>45351</v>
      </c>
      <c r="E2588" s="25">
        <f>D2588-C2588+1</f>
        <v/>
      </c>
      <c r="F2588" s="319">
        <f>J2587</f>
        <v/>
      </c>
      <c r="G2588" s="319">
        <f>-PMT($D$2564/$D$2566,21,$F$2576,,0)</f>
        <v/>
      </c>
      <c r="H2588" s="319">
        <f>($D$2564/$D$2566*F2588)</f>
        <v/>
      </c>
      <c r="I2588" s="319">
        <f>G2588-H2588</f>
        <v/>
      </c>
      <c r="J2588" s="319">
        <f>F2588-I2588</f>
        <v/>
      </c>
      <c r="K2588" s="516" t="n"/>
      <c r="L2588" s="516">
        <f>L2587+G2588-K2588</f>
        <v/>
      </c>
    </row>
    <row r="2589">
      <c r="B2589" s="1" t="n">
        <v>17</v>
      </c>
      <c r="C2589" s="24" t="n">
        <v>45352</v>
      </c>
      <c r="D2589" s="24" t="n">
        <v>45382</v>
      </c>
      <c r="E2589" s="25">
        <f>D2589-C2589+1</f>
        <v/>
      </c>
      <c r="F2589" s="319">
        <f>J2588</f>
        <v/>
      </c>
      <c r="G2589" s="319">
        <f>-PMT($D$2564/$D$2566,21,$F$2576,,0)</f>
        <v/>
      </c>
      <c r="H2589" s="319">
        <f>($D$2564/$D$2566*F2589)</f>
        <v/>
      </c>
      <c r="I2589" s="319">
        <f>G2589-H2589</f>
        <v/>
      </c>
      <c r="J2589" s="319">
        <f>F2589-I2589</f>
        <v/>
      </c>
      <c r="K2589" s="516" t="n"/>
      <c r="L2589" s="516">
        <f>L2588+G2589-K2589</f>
        <v/>
      </c>
    </row>
    <row r="2590">
      <c r="B2590" s="1" t="n">
        <v>18</v>
      </c>
      <c r="C2590" s="24" t="n">
        <v>45383</v>
      </c>
      <c r="D2590" s="24" t="n">
        <v>45412</v>
      </c>
      <c r="E2590" s="25">
        <f>D2590-C2590+1</f>
        <v/>
      </c>
      <c r="F2590" s="319">
        <f>J2589</f>
        <v/>
      </c>
      <c r="G2590" s="319">
        <f>-PMT($D$2564/$D$2566,21,$F$2576,,0)</f>
        <v/>
      </c>
      <c r="H2590" s="319">
        <f>($D$2564/$D$2566*F2590)</f>
        <v/>
      </c>
      <c r="I2590" s="319">
        <f>G2590-H2590</f>
        <v/>
      </c>
      <c r="J2590" s="319">
        <f>F2590-I2590</f>
        <v/>
      </c>
      <c r="K2590" s="516" t="n"/>
      <c r="L2590" s="516">
        <f>L2589+G2590-K2590</f>
        <v/>
      </c>
    </row>
    <row r="2591">
      <c r="B2591" s="1" t="n">
        <v>19</v>
      </c>
      <c r="C2591" s="24" t="n">
        <v>45413</v>
      </c>
      <c r="D2591" s="24" t="n">
        <v>45443</v>
      </c>
      <c r="E2591" s="25">
        <f>D2591-C2591+1</f>
        <v/>
      </c>
      <c r="F2591" s="319">
        <f>J2590</f>
        <v/>
      </c>
      <c r="G2591" s="319">
        <f>-PMT($D$2564/$D$2566,21,$F$2576,,0)</f>
        <v/>
      </c>
      <c r="H2591" s="319">
        <f>($D$2564/$D$2566*F2591)</f>
        <v/>
      </c>
      <c r="I2591" s="319">
        <f>G2591-H2591</f>
        <v/>
      </c>
      <c r="J2591" s="319">
        <f>F2591-I2591</f>
        <v/>
      </c>
      <c r="K2591" s="516" t="n"/>
      <c r="L2591" s="516">
        <f>L2590+G2591-K2591</f>
        <v/>
      </c>
    </row>
    <row r="2592">
      <c r="B2592" s="1" t="n">
        <v>20</v>
      </c>
      <c r="C2592" s="24" t="n">
        <v>45444</v>
      </c>
      <c r="D2592" s="24" t="n">
        <v>45473</v>
      </c>
      <c r="E2592" s="25">
        <f>D2592-C2592+1</f>
        <v/>
      </c>
      <c r="F2592" s="319">
        <f>J2591</f>
        <v/>
      </c>
      <c r="G2592" s="319">
        <f>-PMT($D$2564/$D$2566,21,$F$2576,,0)</f>
        <v/>
      </c>
      <c r="H2592" s="319">
        <f>($D$2564/$D$2566*F2592)</f>
        <v/>
      </c>
      <c r="I2592" s="319">
        <f>G2592-H2592</f>
        <v/>
      </c>
      <c r="J2592" s="319">
        <f>F2592-I2592</f>
        <v/>
      </c>
      <c r="K2592" s="516" t="n">
        <v>6000000</v>
      </c>
      <c r="L2592" s="516">
        <f>L2591+G2592-K2592</f>
        <v/>
      </c>
    </row>
    <row r="2593">
      <c r="B2593" s="1" t="n">
        <v>21</v>
      </c>
      <c r="C2593" s="24" t="n">
        <v>45474</v>
      </c>
      <c r="D2593" s="24" t="n">
        <v>45504</v>
      </c>
      <c r="E2593" s="25">
        <f>D2593-C2593+1</f>
        <v/>
      </c>
      <c r="F2593" s="319">
        <f>J2592</f>
        <v/>
      </c>
      <c r="G2593" s="319">
        <f>-PMT($D$2564/$D$2566,21,$F$2576,,0)</f>
        <v/>
      </c>
      <c r="H2593" s="319">
        <f>($D$2564/$D$2566*F2593)</f>
        <v/>
      </c>
      <c r="I2593" s="319">
        <f>G2593-H2593</f>
        <v/>
      </c>
      <c r="J2593" s="319">
        <f>F2593-I2593</f>
        <v/>
      </c>
      <c r="K2593" s="516" t="n"/>
      <c r="L2593" s="516">
        <f>L2592+G2593-K2593</f>
        <v/>
      </c>
    </row>
    <row r="2594">
      <c r="B2594" s="1" t="n">
        <v>22</v>
      </c>
      <c r="C2594" s="24" t="n">
        <v>45505</v>
      </c>
      <c r="D2594" s="24" t="n">
        <v>45535</v>
      </c>
      <c r="E2594" s="25">
        <f>D2594-C2594+1</f>
        <v/>
      </c>
      <c r="F2594" s="319">
        <f>J2593</f>
        <v/>
      </c>
      <c r="G2594" s="319">
        <f>-PMT($D$2564/$D$2566,21,$F$2576,,0)</f>
        <v/>
      </c>
      <c r="H2594" s="319">
        <f>($D$2564/$D$2566*F2594)</f>
        <v/>
      </c>
      <c r="I2594" s="319">
        <f>G2594-H2594</f>
        <v/>
      </c>
      <c r="J2594" s="319">
        <f>F2594-I2594</f>
        <v/>
      </c>
      <c r="K2594" s="516" t="n"/>
      <c r="L2594" s="516">
        <f>L2593+G2594-K2594</f>
        <v/>
      </c>
    </row>
    <row r="2595">
      <c r="B2595" s="1" t="n">
        <v>23</v>
      </c>
      <c r="C2595" s="24" t="n">
        <v>45536</v>
      </c>
      <c r="D2595" s="24" t="n">
        <v>45565</v>
      </c>
      <c r="E2595" s="25">
        <f>D2595-C2595+1</f>
        <v/>
      </c>
      <c r="F2595" s="319">
        <f>J2594</f>
        <v/>
      </c>
      <c r="G2595" s="319">
        <f>-PMT($D$2564/$D$2566,21,$F$2576,,0)</f>
        <v/>
      </c>
      <c r="H2595" s="319">
        <f>($D$2564/$D$2566*F2595)</f>
        <v/>
      </c>
      <c r="I2595" s="319">
        <f>G2595-H2595</f>
        <v/>
      </c>
      <c r="J2595" s="319">
        <f>F2595-I2595</f>
        <v/>
      </c>
      <c r="K2595" s="516" t="n">
        <v>2500000</v>
      </c>
      <c r="L2595" s="516">
        <f>L2594+G2595-K2595</f>
        <v/>
      </c>
    </row>
    <row r="2596">
      <c r="B2596" s="1" t="n">
        <v>24</v>
      </c>
      <c r="C2596" s="24" t="n">
        <v>45566</v>
      </c>
      <c r="D2596" s="24" t="n">
        <v>45596</v>
      </c>
      <c r="E2596" s="25">
        <f>D2596-C2596+1</f>
        <v/>
      </c>
      <c r="F2596" s="319">
        <f>J2595</f>
        <v/>
      </c>
      <c r="G2596" s="319">
        <f>-PMT($D$2564/$D$2566,21,$F$2576,,0)</f>
        <v/>
      </c>
      <c r="H2596" s="319">
        <f>($D$2564/$D$2566*F2596)</f>
        <v/>
      </c>
      <c r="I2596" s="319">
        <f>G2596-H2596</f>
        <v/>
      </c>
      <c r="J2596" s="319">
        <f>F2596-I2596</f>
        <v/>
      </c>
      <c r="K2596" s="516">
        <f>1500000+1689000</f>
        <v/>
      </c>
      <c r="L2596" s="520">
        <f>L2595+G2596-K2596</f>
        <v/>
      </c>
    </row>
    <row r="2597">
      <c r="B2597" s="1" t="n"/>
      <c r="C2597" s="24" t="n"/>
      <c r="D2597" s="24" t="n"/>
      <c r="E2597" s="25" t="n"/>
      <c r="F2597" s="319" t="n"/>
      <c r="G2597" s="319" t="n"/>
      <c r="H2597" s="319" t="n"/>
      <c r="I2597" s="319" t="n"/>
      <c r="J2597" s="319" t="n"/>
      <c r="K2597" s="516" t="n"/>
      <c r="L2597" s="516" t="n"/>
    </row>
    <row r="2598">
      <c r="B2598" s="1" t="n"/>
      <c r="C2598" s="24" t="n"/>
      <c r="D2598" s="24" t="n"/>
      <c r="E2598" s="30">
        <f>SUM(E2572:E2596)</f>
        <v/>
      </c>
      <c r="F2598" s="319" t="n"/>
      <c r="G2598" s="319" t="n"/>
      <c r="H2598" s="319" t="n"/>
      <c r="I2598" s="319" t="n"/>
      <c r="J2598" s="319" t="n"/>
      <c r="K2598" s="516" t="n"/>
      <c r="L2598" s="516" t="n"/>
    </row>
    <row r="2599">
      <c r="B2599" s="1" t="n"/>
      <c r="C2599" s="24" t="n"/>
      <c r="D2599" s="24" t="n"/>
      <c r="E2599" s="25" t="n"/>
      <c r="F2599" s="319" t="n"/>
      <c r="G2599" s="319" t="n"/>
      <c r="H2599" s="319" t="n"/>
      <c r="I2599" s="319" t="n"/>
      <c r="J2599" s="319" t="n"/>
      <c r="K2599" s="516" t="n"/>
      <c r="L2599" s="516" t="n"/>
    </row>
    <row r="2600">
      <c r="B2600" s="1" t="n"/>
      <c r="C2600" s="24" t="n"/>
      <c r="D2600" s="24" t="n"/>
      <c r="E2600" s="25" t="n"/>
      <c r="F2600" s="319" t="n"/>
      <c r="G2600" s="319" t="n"/>
      <c r="H2600" s="319" t="n"/>
      <c r="I2600" s="319" t="n"/>
      <c r="J2600" s="319" t="n"/>
      <c r="K2600" s="516" t="n"/>
      <c r="L2600" s="516" t="n"/>
    </row>
    <row r="2601">
      <c r="B2601" s="1" t="n"/>
      <c r="C2601" s="24" t="n"/>
      <c r="D2601" s="24" t="n"/>
      <c r="E2601" s="25" t="n"/>
      <c r="F2601" s="319" t="n"/>
      <c r="G2601" s="319" t="n"/>
      <c r="H2601" s="319" t="n"/>
      <c r="I2601" s="319" t="n"/>
      <c r="J2601" s="319" t="n"/>
      <c r="K2601" s="516" t="n"/>
      <c r="L2601" s="516" t="n"/>
    </row>
    <row r="2602">
      <c r="B2602" s="1" t="n"/>
      <c r="C2602" s="24" t="n"/>
      <c r="D2602" s="24" t="n"/>
      <c r="E2602" s="25" t="n"/>
      <c r="F2602" s="319" t="n"/>
      <c r="G2602" s="319" t="n"/>
      <c r="H2602" s="319" t="n"/>
      <c r="I2602" s="319" t="n"/>
      <c r="J2602" s="319" t="n"/>
      <c r="K2602" s="516" t="n"/>
      <c r="L2602" s="516" t="n"/>
    </row>
    <row r="2603">
      <c r="B2603" s="1" t="n"/>
      <c r="C2603" s="24" t="n"/>
      <c r="D2603" s="24" t="n"/>
      <c r="E2603" s="25" t="n"/>
      <c r="F2603" s="319" t="n"/>
      <c r="G2603" s="319" t="n"/>
      <c r="H2603" s="319" t="n"/>
      <c r="I2603" s="319" t="n"/>
      <c r="J2603" s="319" t="n"/>
      <c r="K2603" s="516" t="n"/>
      <c r="L2603" s="516" t="n"/>
    </row>
    <row r="2604">
      <c r="B2604" s="1" t="n"/>
      <c r="C2604" s="24" t="n"/>
      <c r="D2604" s="24" t="n"/>
      <c r="E2604" s="25" t="n"/>
      <c r="F2604" s="319" t="n"/>
      <c r="G2604" s="319" t="n"/>
      <c r="H2604" s="319" t="n"/>
      <c r="I2604" s="319" t="n"/>
      <c r="J2604" s="319" t="n"/>
      <c r="K2604" s="516" t="n"/>
      <c r="L2604" s="516" t="n"/>
    </row>
    <row r="2605">
      <c r="B2605" s="1" t="n"/>
      <c r="C2605" s="9" t="inlineStr">
        <is>
          <t>Uchi Conservation Ltd</t>
        </is>
      </c>
      <c r="D2605" s="319" t="n"/>
      <c r="E2605" s="319" t="n"/>
      <c r="F2605" s="319" t="n"/>
      <c r="G2605" s="319" t="n"/>
      <c r="H2605" s="319" t="n"/>
      <c r="I2605" s="319" t="n"/>
      <c r="J2605" s="319" t="n"/>
      <c r="K2605" s="319" t="n"/>
      <c r="L2605" s="319" t="n"/>
      <c r="R2605" s="514" t="inlineStr">
        <is>
          <t>E-Banker account (Dupleix)</t>
        </is>
      </c>
      <c r="S2605" s="495">
        <f>IFERROR(INDEX('Blocks'!$I$2:$I$101,MATCH(48,'Blocks'!$A$2:$A$101,0)),"")</f>
        <v/>
      </c>
    </row>
    <row r="2606">
      <c r="B2606" s="1" t="n"/>
      <c r="C2606" s="1" t="n"/>
      <c r="D2606" s="319" t="n"/>
      <c r="E2606" s="319" t="n"/>
      <c r="F2606" s="319" t="n"/>
      <c r="G2606" s="319" t="n"/>
      <c r="H2606" s="319" t="n"/>
      <c r="I2606" s="319" t="n"/>
      <c r="J2606" s="319" t="n"/>
      <c r="K2606" s="319" t="n"/>
      <c r="L2606" s="319" t="n"/>
      <c r="R2606" s="514" t="inlineStr">
        <is>
          <t>Facility (Loan Book)</t>
        </is>
      </c>
      <c r="S2606" s="495">
        <f>IFERROR(INDEX('Blocks'!$H$2:$H$101,MATCH(48,'Blocks'!$A$2:$A$101,0)),"")</f>
        <v/>
      </c>
    </row>
    <row r="2607">
      <c r="B2607" s="1" t="n"/>
      <c r="C2607" s="10" t="inlineStr">
        <is>
          <t>Principal (MK)</t>
        </is>
      </c>
      <c r="D2607" s="11" t="n">
        <v>10000000</v>
      </c>
      <c r="E2607" s="319" t="n"/>
      <c r="F2607" s="319" t="n"/>
      <c r="G2607" s="319" t="n"/>
      <c r="H2607" s="319" t="n"/>
      <c r="I2607" s="319" t="n"/>
      <c r="J2607" s="319" t="n"/>
      <c r="K2607" s="319" t="n"/>
      <c r="L2607" s="319" t="n"/>
      <c r="R2607" s="514" t="inlineStr">
        <is>
          <t>Take-on posting 31 Jul 2024</t>
        </is>
      </c>
      <c r="S2607" s="496">
        <f>IFERROR(INDEX('E-Banker master'!$N$2:$N$186,MATCH(S2605,'E-Banker master'!$A$2:$A$186,0)),"")</f>
        <v/>
      </c>
    </row>
    <row r="2608">
      <c r="B2608" s="1" t="n"/>
      <c r="C2608" s="13" t="inlineStr">
        <is>
          <t>Rate</t>
        </is>
      </c>
      <c r="D2608" s="14" t="n">
        <v>0.1</v>
      </c>
      <c r="E2608" s="257" t="n"/>
      <c r="F2608" s="319" t="n"/>
      <c r="G2608" s="319" t="n"/>
      <c r="H2608" s="319" t="n"/>
      <c r="I2608" s="319" t="n"/>
      <c r="J2608" s="319" t="n"/>
      <c r="K2608" s="319" t="n"/>
      <c r="L2608" s="319" t="n"/>
      <c r="R2608" s="514" t="inlineStr">
        <is>
          <t>E-Banker balance 31 Oct 2024</t>
        </is>
      </c>
      <c r="S2608" s="496">
        <f>IFERROR(INDEX('E-Banker master'!$P$2:$P$186,MATCH(S2605,'E-Banker master'!$A$2:$A$186,0)),"")</f>
        <v/>
      </c>
    </row>
    <row r="2609">
      <c r="B2609" s="1" t="n"/>
      <c r="C2609" s="13" t="inlineStr">
        <is>
          <t>n</t>
        </is>
      </c>
      <c r="D2609" s="16" t="n">
        <v>2</v>
      </c>
      <c r="E2609" s="1" t="n"/>
      <c r="F2609" s="319" t="n"/>
      <c r="G2609" s="319" t="n"/>
      <c r="H2609" s="319" t="n"/>
      <c r="I2609" s="319" t="n"/>
      <c r="J2609" s="319" t="n"/>
      <c r="K2609" s="1" t="n"/>
      <c r="L2609" s="1" t="n"/>
    </row>
    <row r="2610">
      <c r="B2610" s="1" t="n"/>
      <c r="C2610" s="13" t="inlineStr">
        <is>
          <t>Per</t>
        </is>
      </c>
      <c r="D2610" s="16" t="n">
        <v>12</v>
      </c>
      <c r="E2610" s="1" t="n"/>
      <c r="F2610" s="319" t="n"/>
      <c r="G2610" s="319" t="n"/>
      <c r="H2610" s="319" t="n"/>
      <c r="I2610" s="319" t="n"/>
      <c r="J2610" s="319" t="n"/>
      <c r="K2610" s="1" t="n"/>
      <c r="L2610" s="1" t="n"/>
    </row>
    <row r="2611">
      <c r="B2611" s="1" t="n"/>
      <c r="C2611" s="13" t="inlineStr">
        <is>
          <t>nPer</t>
        </is>
      </c>
      <c r="D2611" s="515">
        <f>D2609*D2610</f>
        <v/>
      </c>
      <c r="E2611" s="1" t="n"/>
      <c r="F2611" s="319" t="n"/>
      <c r="G2611" s="319" t="n"/>
      <c r="H2611" s="319" t="n"/>
      <c r="I2611" s="319" t="n"/>
      <c r="J2611" s="319" t="n"/>
      <c r="K2611" s="1" t="n"/>
      <c r="L2611" s="1" t="n"/>
    </row>
    <row r="2612">
      <c r="B2612" s="1" t="n"/>
      <c r="C2612" s="13" t="inlineStr">
        <is>
          <t>Days in a year</t>
        </is>
      </c>
      <c r="D2612" s="18" t="n">
        <v>365</v>
      </c>
      <c r="E2612" s="1" t="n"/>
      <c r="F2612" s="319" t="n"/>
      <c r="G2612" s="319" t="n"/>
      <c r="H2612" s="319" t="n"/>
      <c r="I2612" s="319" t="n"/>
      <c r="J2612" s="319" t="n"/>
      <c r="K2612" s="1" t="n"/>
      <c r="L2612" s="1" t="n"/>
    </row>
    <row r="2613">
      <c r="B2613" s="1" t="n"/>
      <c r="C2613" s="19" t="inlineStr">
        <is>
          <t>Pmt (MK)</t>
        </is>
      </c>
      <c r="D2613" s="20">
        <f>-PMT(D2608/D2610,D2611,D2607,0,0)</f>
        <v/>
      </c>
      <c r="E2613" s="319" t="n"/>
      <c r="F2613" s="319" t="n"/>
      <c r="G2613" s="319" t="n"/>
      <c r="H2613" s="319" t="n"/>
      <c r="I2613" s="319" t="n"/>
      <c r="J2613" s="319" t="n"/>
      <c r="K2613" s="1" t="n"/>
      <c r="L2613" s="1" t="n"/>
    </row>
    <row r="2614">
      <c r="B2614" s="1" t="n"/>
      <c r="C2614" s="1" t="n"/>
      <c r="D2614" s="319" t="n"/>
      <c r="E2614" s="319" t="n"/>
      <c r="F2614" s="319" t="n"/>
      <c r="G2614" s="319" t="n"/>
      <c r="H2614" s="319" t="n"/>
      <c r="I2614" s="319" t="n"/>
      <c r="J2614" s="319" t="n"/>
      <c r="K2614" s="1" t="n"/>
      <c r="L2614" s="1" t="n"/>
    </row>
    <row r="2615">
      <c r="B2615" s="1" t="n"/>
      <c r="C2615" s="21" t="inlineStr">
        <is>
          <t>Period Start</t>
        </is>
      </c>
      <c r="D2615" s="22" t="inlineStr">
        <is>
          <t>Period End</t>
        </is>
      </c>
      <c r="E2615" s="22" t="inlineStr">
        <is>
          <t>Days</t>
        </is>
      </c>
      <c r="F2615" s="294" t="inlineStr">
        <is>
          <t>Opening bal.</t>
        </is>
      </c>
      <c r="G2615" s="294" t="inlineStr">
        <is>
          <t>Pmt</t>
        </is>
      </c>
      <c r="H2615" s="294" t="inlineStr">
        <is>
          <t>Interest</t>
        </is>
      </c>
      <c r="I2615" s="294" t="inlineStr">
        <is>
          <t>Principal</t>
        </is>
      </c>
      <c r="J2615" s="294" t="inlineStr">
        <is>
          <t>Closing balance</t>
        </is>
      </c>
      <c r="K2615" s="23" t="inlineStr">
        <is>
          <t>Amount Repaid</t>
        </is>
      </c>
      <c r="L2615" s="23" t="inlineStr">
        <is>
          <t>Accumulated Arrears</t>
        </is>
      </c>
    </row>
    <row r="2616">
      <c r="B2616" s="1" t="n">
        <v>0</v>
      </c>
      <c r="C2616" s="24" t="n">
        <v>44867</v>
      </c>
      <c r="D2616" s="24" t="n">
        <v>44895</v>
      </c>
      <c r="E2616" s="25">
        <f>D2616-C2616+1</f>
        <v/>
      </c>
      <c r="F2616" s="319">
        <f>D2607</f>
        <v/>
      </c>
      <c r="G2616" s="319" t="n"/>
      <c r="H2616" s="319">
        <f>D2608/D2610*E2616*F2616/30</f>
        <v/>
      </c>
      <c r="I2616" s="319">
        <f>G2616-H2616</f>
        <v/>
      </c>
      <c r="J2616" s="319">
        <f>F2616+F2607-I2616</f>
        <v/>
      </c>
      <c r="K2616" s="516" t="n"/>
      <c r="L2616" s="516" t="n"/>
    </row>
    <row r="2617">
      <c r="B2617" s="1" t="n">
        <v>1</v>
      </c>
      <c r="C2617" s="24" t="n">
        <v>44896</v>
      </c>
      <c r="D2617" s="24" t="n">
        <v>44926</v>
      </c>
      <c r="E2617" s="25">
        <f>D2617-C2617+1</f>
        <v/>
      </c>
      <c r="F2617" s="319">
        <f>J2616</f>
        <v/>
      </c>
      <c r="G2617" s="319" t="n"/>
      <c r="H2617" s="319">
        <f>($D$2608/$D$2610*F2617)</f>
        <v/>
      </c>
      <c r="I2617" s="319">
        <f>G2617-H2617</f>
        <v/>
      </c>
      <c r="J2617" s="319">
        <f>F2617-I2617</f>
        <v/>
      </c>
      <c r="K2617" s="516" t="n"/>
      <c r="L2617" s="516" t="n"/>
    </row>
    <row r="2618">
      <c r="B2618" s="1" t="n">
        <v>2</v>
      </c>
      <c r="C2618" s="24" t="n">
        <v>44927</v>
      </c>
      <c r="D2618" s="24" t="n">
        <v>44957</v>
      </c>
      <c r="E2618" s="25">
        <f>D2618-C2618+1</f>
        <v/>
      </c>
      <c r="F2618" s="319">
        <f>J2617</f>
        <v/>
      </c>
      <c r="G2618" s="319" t="n"/>
      <c r="H2618" s="319">
        <f>($D$2608/$D$2610*F2618)</f>
        <v/>
      </c>
      <c r="I2618" s="319">
        <f>G2618-H2618</f>
        <v/>
      </c>
      <c r="J2618" s="319">
        <f>F2618-I2618</f>
        <v/>
      </c>
    </row>
    <row r="2619">
      <c r="B2619" s="1" t="n">
        <v>3</v>
      </c>
      <c r="C2619" s="24" t="n">
        <v>44958</v>
      </c>
      <c r="D2619" s="24" t="n">
        <v>44985</v>
      </c>
      <c r="E2619" s="25">
        <f>D2619-C2619+1</f>
        <v/>
      </c>
      <c r="F2619" s="319">
        <f>J2618</f>
        <v/>
      </c>
      <c r="G2619" s="319" t="n"/>
      <c r="H2619" s="319">
        <f>($D$2608/$D$2610*F2619)</f>
        <v/>
      </c>
      <c r="I2619" s="319">
        <f>G2619-H2619</f>
        <v/>
      </c>
      <c r="J2619" s="319">
        <f>F2619-I2619</f>
        <v/>
      </c>
      <c r="K2619" s="516" t="n">
        <v>535000</v>
      </c>
      <c r="L2619" s="516" t="n"/>
    </row>
    <row r="2620">
      <c r="B2620" s="1" t="n">
        <v>4</v>
      </c>
      <c r="C2620" s="24" t="n">
        <v>44986</v>
      </c>
      <c r="D2620" s="24" t="n">
        <v>45016</v>
      </c>
      <c r="E2620" s="25">
        <f>D2620-C2620+1</f>
        <v/>
      </c>
      <c r="F2620" s="319">
        <f>J2619</f>
        <v/>
      </c>
      <c r="G2620" s="319">
        <f>-PMT($D$2608/$D$2610,21,$F$2620,,0)</f>
        <v/>
      </c>
      <c r="H2620" s="319">
        <f>($D$2608/$D$2610*F2620)</f>
        <v/>
      </c>
      <c r="I2620" s="319">
        <f>G2620-H2620</f>
        <v/>
      </c>
      <c r="J2620" s="319">
        <f>F2620-I2620</f>
        <v/>
      </c>
      <c r="K2620" s="516" t="n"/>
      <c r="L2620" s="516">
        <f>G2620-K2619</f>
        <v/>
      </c>
    </row>
    <row r="2621">
      <c r="B2621" s="1" t="n">
        <v>5</v>
      </c>
      <c r="C2621" s="24" t="n">
        <v>45017</v>
      </c>
      <c r="D2621" s="24" t="n">
        <v>45046</v>
      </c>
      <c r="E2621" s="25">
        <f>D2621-C2621+1</f>
        <v/>
      </c>
      <c r="F2621" s="319">
        <f>J2620</f>
        <v/>
      </c>
      <c r="G2621" s="319">
        <f>-PMT($D$2608/$D$2610,21,$F$2620,,0)</f>
        <v/>
      </c>
      <c r="H2621" s="319">
        <f>($D$2608/$D$2610*F2621)</f>
        <v/>
      </c>
      <c r="I2621" s="319">
        <f>G2621-H2621</f>
        <v/>
      </c>
      <c r="J2621" s="319">
        <f>F2621-I2621</f>
        <v/>
      </c>
      <c r="K2621" s="516" t="n"/>
      <c r="L2621" s="516">
        <f>L2620+G2621</f>
        <v/>
      </c>
    </row>
    <row r="2622">
      <c r="B2622" s="1" t="n">
        <v>6</v>
      </c>
      <c r="C2622" s="24" t="n">
        <v>45047</v>
      </c>
      <c r="D2622" s="24" t="n">
        <v>45077</v>
      </c>
      <c r="E2622" s="25">
        <f>D2622-C2622+1</f>
        <v/>
      </c>
      <c r="F2622" s="319">
        <f>J2621</f>
        <v/>
      </c>
      <c r="G2622" s="319">
        <f>-PMT($D$2608/$D$2610,21,$F$2620,,0)</f>
        <v/>
      </c>
      <c r="H2622" s="319">
        <f>($D$2608/$D$2610*F2622)</f>
        <v/>
      </c>
      <c r="I2622" s="319">
        <f>G2622-H2622</f>
        <v/>
      </c>
      <c r="J2622" s="319">
        <f>F2622-I2622</f>
        <v/>
      </c>
      <c r="K2622" s="516" t="n">
        <v>535000</v>
      </c>
      <c r="L2622" s="516">
        <f>L2621+G2622-K2622</f>
        <v/>
      </c>
    </row>
    <row r="2623">
      <c r="B2623" s="1" t="n">
        <v>7</v>
      </c>
      <c r="C2623" s="24" t="n">
        <v>45078</v>
      </c>
      <c r="D2623" s="24" t="n">
        <v>45107</v>
      </c>
      <c r="E2623" s="25">
        <f>D2623-C2623+1</f>
        <v/>
      </c>
      <c r="F2623" s="319">
        <f>J2622</f>
        <v/>
      </c>
      <c r="G2623" s="319">
        <f>-PMT($D$2608/$D$2610,21,$F$2620,,0)</f>
        <v/>
      </c>
      <c r="H2623" s="319">
        <f>($D$2608/$D$2610*F2623)</f>
        <v/>
      </c>
      <c r="I2623" s="319">
        <f>G2623-H2623</f>
        <v/>
      </c>
      <c r="J2623" s="319">
        <f>F2623-I2623</f>
        <v/>
      </c>
      <c r="K2623" s="516" t="n"/>
      <c r="L2623" s="516">
        <f>L2622+G2623-K2623</f>
        <v/>
      </c>
    </row>
    <row r="2624">
      <c r="B2624" s="1" t="n">
        <v>8</v>
      </c>
      <c r="C2624" s="24" t="n">
        <v>45108</v>
      </c>
      <c r="D2624" s="24" t="n">
        <v>45138</v>
      </c>
      <c r="E2624" s="25">
        <f>D2624-C2624+1</f>
        <v/>
      </c>
      <c r="F2624" s="319">
        <f>J2623</f>
        <v/>
      </c>
      <c r="G2624" s="319">
        <f>-PMT($D$2608/$D$2610,21,$F$2620,,0)</f>
        <v/>
      </c>
      <c r="H2624" s="319">
        <f>($D$2608/$D$2610*F2624)</f>
        <v/>
      </c>
      <c r="I2624" s="319">
        <f>G2624-H2624</f>
        <v/>
      </c>
      <c r="J2624" s="319">
        <f>F2624-I2624</f>
        <v/>
      </c>
      <c r="K2624" s="516" t="n"/>
      <c r="L2624" s="516">
        <f>L2623+G2624-K2624</f>
        <v/>
      </c>
    </row>
    <row r="2625">
      <c r="B2625" s="1" t="n">
        <v>9</v>
      </c>
      <c r="C2625" s="24" t="n">
        <v>45139</v>
      </c>
      <c r="D2625" s="24" t="n">
        <v>45169</v>
      </c>
      <c r="E2625" s="25">
        <f>D2625-C2625+1</f>
        <v/>
      </c>
      <c r="F2625" s="319">
        <f>J2624</f>
        <v/>
      </c>
      <c r="G2625" s="319">
        <f>-PMT($D$2608/$D$2610,21,$F$2620,,0)</f>
        <v/>
      </c>
      <c r="H2625" s="319">
        <f>($D$2608/$D$2610*F2625)</f>
        <v/>
      </c>
      <c r="I2625" s="319">
        <f>G2625-H2625</f>
        <v/>
      </c>
      <c r="J2625" s="319">
        <f>F2625-I2625</f>
        <v/>
      </c>
      <c r="K2625" s="516" t="n"/>
      <c r="L2625" s="516">
        <f>L2624+G2625-K2625</f>
        <v/>
      </c>
    </row>
    <row r="2626">
      <c r="B2626" s="1" t="n">
        <v>10</v>
      </c>
      <c r="C2626" s="24" t="n">
        <v>45170</v>
      </c>
      <c r="D2626" s="24" t="n">
        <v>45199</v>
      </c>
      <c r="E2626" s="25">
        <f>D2626-C2626+1</f>
        <v/>
      </c>
      <c r="F2626" s="319">
        <f>J2625</f>
        <v/>
      </c>
      <c r="G2626" s="319">
        <f>-PMT($D$2608/$D$2610,21,$F$2620,,0)</f>
        <v/>
      </c>
      <c r="H2626" s="319">
        <f>($D$2608/$D$2610*F2626)</f>
        <v/>
      </c>
      <c r="I2626" s="319">
        <f>G2626-H2626</f>
        <v/>
      </c>
      <c r="J2626" s="319">
        <f>F2626-I2626</f>
        <v/>
      </c>
      <c r="K2626" s="516" t="n"/>
      <c r="L2626" s="516">
        <f>L2625+G2626-K2626</f>
        <v/>
      </c>
    </row>
    <row r="2627">
      <c r="B2627" s="1" t="n">
        <v>11</v>
      </c>
      <c r="C2627" s="24" t="n">
        <v>45200</v>
      </c>
      <c r="D2627" s="24" t="n">
        <v>45230</v>
      </c>
      <c r="E2627" s="25">
        <f>D2627-C2627+1</f>
        <v/>
      </c>
      <c r="F2627" s="319">
        <f>J2626</f>
        <v/>
      </c>
      <c r="G2627" s="319">
        <f>-PMT($D$2608/$D$2610,21,$F$2620,,0)</f>
        <v/>
      </c>
      <c r="H2627" s="319">
        <f>($D$2608/$D$2610*F2627)</f>
        <v/>
      </c>
      <c r="I2627" s="319">
        <f>G2627-H2627</f>
        <v/>
      </c>
      <c r="J2627" s="319">
        <f>F2627-I2627</f>
        <v/>
      </c>
      <c r="K2627" s="516" t="n"/>
      <c r="L2627" s="516">
        <f>L2626+G2627-K2627</f>
        <v/>
      </c>
    </row>
    <row r="2628">
      <c r="B2628" s="1" t="n">
        <v>12</v>
      </c>
      <c r="C2628" s="24" t="n">
        <v>45231</v>
      </c>
      <c r="D2628" s="24" t="n">
        <v>45260</v>
      </c>
      <c r="E2628" s="25">
        <f>D2628-C2628+1</f>
        <v/>
      </c>
      <c r="F2628" s="319">
        <f>J2627</f>
        <v/>
      </c>
      <c r="G2628" s="319">
        <f>-PMT($D$2608/$D$2610,21,$F$2620,,0)</f>
        <v/>
      </c>
      <c r="H2628" s="319">
        <f>($D$2608/$D$2610*F2628)</f>
        <v/>
      </c>
      <c r="I2628" s="319">
        <f>G2628-H2628</f>
        <v/>
      </c>
      <c r="J2628" s="319">
        <f>F2628-I2628</f>
        <v/>
      </c>
      <c r="K2628" s="516" t="n"/>
      <c r="L2628" s="516">
        <f>L2627+G2628-K2628</f>
        <v/>
      </c>
    </row>
    <row r="2629">
      <c r="B2629" s="1" t="n">
        <v>13</v>
      </c>
      <c r="C2629" s="24" t="n">
        <v>45261</v>
      </c>
      <c r="D2629" s="24" t="n">
        <v>45291</v>
      </c>
      <c r="E2629" s="25">
        <f>D2629-C2629+1</f>
        <v/>
      </c>
      <c r="F2629" s="319">
        <f>J2628</f>
        <v/>
      </c>
      <c r="G2629" s="319">
        <f>-PMT($D$2608/$D$2610,21,$F$2620,,0)</f>
        <v/>
      </c>
      <c r="H2629" s="319">
        <f>($D$2608/$D$2610*F2629)</f>
        <v/>
      </c>
      <c r="I2629" s="319">
        <f>G2629-H2629</f>
        <v/>
      </c>
      <c r="J2629" s="319">
        <f>F2629-I2629</f>
        <v/>
      </c>
      <c r="K2629" s="516" t="n"/>
      <c r="L2629" s="516">
        <f>L2628+G2629-K2629</f>
        <v/>
      </c>
    </row>
    <row r="2630">
      <c r="B2630" s="1" t="n">
        <v>14</v>
      </c>
      <c r="C2630" s="24" t="n">
        <v>45292</v>
      </c>
      <c r="D2630" s="24" t="n">
        <v>45322</v>
      </c>
      <c r="E2630" s="25">
        <f>D2630-C2630+1</f>
        <v/>
      </c>
      <c r="F2630" s="319">
        <f>J2629</f>
        <v/>
      </c>
      <c r="G2630" s="319">
        <f>-PMT($D$2608/$D$2610,21,$F$2620,,0)</f>
        <v/>
      </c>
      <c r="H2630" s="319">
        <f>($D$2608/$D$2610*F2630)</f>
        <v/>
      </c>
      <c r="I2630" s="319">
        <f>G2630-H2630</f>
        <v/>
      </c>
      <c r="J2630" s="319">
        <f>F2630-I2630</f>
        <v/>
      </c>
      <c r="K2630" s="516" t="n"/>
      <c r="L2630" s="516">
        <f>L2629+G2630-K2630</f>
        <v/>
      </c>
    </row>
    <row r="2631">
      <c r="B2631" s="1" t="n">
        <v>15</v>
      </c>
      <c r="C2631" s="24" t="n">
        <v>45323</v>
      </c>
      <c r="D2631" s="24" t="n">
        <v>45351</v>
      </c>
      <c r="E2631" s="25">
        <f>D2631-C2631+1</f>
        <v/>
      </c>
      <c r="F2631" s="319">
        <f>J2630</f>
        <v/>
      </c>
      <c r="G2631" s="319">
        <f>-PMT($D$2608/$D$2610,21,$F$2620,,0)</f>
        <v/>
      </c>
      <c r="H2631" s="319">
        <f>($D$2608/$D$2610*F2631)</f>
        <v/>
      </c>
      <c r="I2631" s="319">
        <f>G2631-H2631</f>
        <v/>
      </c>
      <c r="J2631" s="319">
        <f>F2631-I2631</f>
        <v/>
      </c>
      <c r="K2631" s="516" t="n"/>
      <c r="L2631" s="516">
        <f>L2630+G2631-K2631</f>
        <v/>
      </c>
    </row>
    <row r="2632">
      <c r="B2632" s="1" t="n">
        <v>16</v>
      </c>
      <c r="C2632" s="24" t="n">
        <v>45352</v>
      </c>
      <c r="D2632" s="24" t="n">
        <v>45382</v>
      </c>
      <c r="E2632" s="25">
        <f>D2632-C2632+1</f>
        <v/>
      </c>
      <c r="F2632" s="319">
        <f>J2631</f>
        <v/>
      </c>
      <c r="G2632" s="319">
        <f>-PMT($D$2608/$D$2610,21,$F$2620,,0)</f>
        <v/>
      </c>
      <c r="H2632" s="319">
        <f>($D$2608/$D$2610*F2632)</f>
        <v/>
      </c>
      <c r="I2632" s="319">
        <f>G2632-H2632</f>
        <v/>
      </c>
      <c r="J2632" s="319">
        <f>F2632-I2632</f>
        <v/>
      </c>
      <c r="K2632" s="516" t="n"/>
      <c r="L2632" s="516">
        <f>L2631+G2632-K2632</f>
        <v/>
      </c>
    </row>
    <row r="2633">
      <c r="B2633" s="1" t="n">
        <v>17</v>
      </c>
      <c r="C2633" s="24" t="n">
        <v>45383</v>
      </c>
      <c r="D2633" s="24" t="n">
        <v>45412</v>
      </c>
      <c r="E2633" s="25">
        <f>D2633-C2633+1</f>
        <v/>
      </c>
      <c r="F2633" s="319">
        <f>J2632</f>
        <v/>
      </c>
      <c r="G2633" s="319">
        <f>-PMT($D$2608/$D$2610,21,$F$2620,,0)</f>
        <v/>
      </c>
      <c r="H2633" s="319">
        <f>($D$2608/$D$2610*F2633)</f>
        <v/>
      </c>
      <c r="I2633" s="319">
        <f>G2633-H2633</f>
        <v/>
      </c>
      <c r="J2633" s="319">
        <f>F2633-I2633</f>
        <v/>
      </c>
      <c r="K2633" s="516" t="n"/>
      <c r="L2633" s="516">
        <f>L2632+G2633-K2633</f>
        <v/>
      </c>
    </row>
    <row r="2634">
      <c r="B2634" s="1" t="n">
        <v>18</v>
      </c>
      <c r="C2634" s="24" t="n">
        <v>45413</v>
      </c>
      <c r="D2634" s="24" t="n">
        <v>45443</v>
      </c>
      <c r="E2634" s="25">
        <f>D2634-C2634+1</f>
        <v/>
      </c>
      <c r="F2634" s="319">
        <f>J2633</f>
        <v/>
      </c>
      <c r="G2634" s="319">
        <f>-PMT($D$2608/$D$2610,21,$F$2620,,0)</f>
        <v/>
      </c>
      <c r="H2634" s="319">
        <f>($D$2608/$D$2610*F2634)</f>
        <v/>
      </c>
      <c r="I2634" s="319">
        <f>G2634-H2634</f>
        <v/>
      </c>
      <c r="J2634" s="319">
        <f>F2634-I2634</f>
        <v/>
      </c>
      <c r="K2634" s="516" t="n"/>
      <c r="L2634" s="516">
        <f>L2633+G2634-K2634</f>
        <v/>
      </c>
    </row>
    <row r="2635">
      <c r="B2635" s="1" t="n">
        <v>19</v>
      </c>
      <c r="C2635" s="24" t="n">
        <v>45444</v>
      </c>
      <c r="D2635" s="24" t="n">
        <v>45473</v>
      </c>
      <c r="E2635" s="25">
        <f>D2635-C2635+1</f>
        <v/>
      </c>
      <c r="F2635" s="319">
        <f>J2634</f>
        <v/>
      </c>
      <c r="G2635" s="319">
        <f>-PMT($D$2608/$D$2610,21,$F$2620,,0)</f>
        <v/>
      </c>
      <c r="H2635" s="319">
        <f>($D$2608/$D$2610*F2635)</f>
        <v/>
      </c>
      <c r="I2635" s="319">
        <f>G2635-H2635</f>
        <v/>
      </c>
      <c r="J2635" s="319">
        <f>F2635-I2635</f>
        <v/>
      </c>
      <c r="K2635" s="516" t="n"/>
      <c r="L2635" s="516">
        <f>L2634+G2635-K2635</f>
        <v/>
      </c>
    </row>
    <row r="2636">
      <c r="B2636" s="1" t="n">
        <v>20</v>
      </c>
      <c r="C2636" s="24" t="n">
        <v>45474</v>
      </c>
      <c r="D2636" s="24" t="n">
        <v>45504</v>
      </c>
      <c r="E2636" s="25">
        <f>D2636-C2636+1</f>
        <v/>
      </c>
      <c r="F2636" s="319">
        <f>J2635</f>
        <v/>
      </c>
      <c r="G2636" s="319">
        <f>-PMT($D$2608/$D$2610,21,$F$2620,,0)</f>
        <v/>
      </c>
      <c r="H2636" s="319">
        <f>($D$2608/$D$2610*F2636)</f>
        <v/>
      </c>
      <c r="I2636" s="319">
        <f>G2636-H2636</f>
        <v/>
      </c>
      <c r="J2636" s="319">
        <f>F2636-I2636</f>
        <v/>
      </c>
      <c r="K2636" s="516" t="n">
        <v>535000</v>
      </c>
      <c r="L2636" s="516">
        <f>L2635+G2636-K2636</f>
        <v/>
      </c>
    </row>
    <row r="2637">
      <c r="B2637" s="1" t="n">
        <v>21</v>
      </c>
      <c r="C2637" s="24" t="n">
        <v>45505</v>
      </c>
      <c r="D2637" s="24" t="n">
        <v>45535</v>
      </c>
      <c r="E2637" s="25">
        <f>D2637-C2637+1</f>
        <v/>
      </c>
      <c r="F2637" s="319">
        <f>J2636</f>
        <v/>
      </c>
      <c r="G2637" s="319">
        <f>-PMT($D$2608/$D$2610,21,$F$2620,,0)</f>
        <v/>
      </c>
      <c r="H2637" s="319">
        <f>($D$2608/$D$2610*F2637)</f>
        <v/>
      </c>
      <c r="I2637" s="319">
        <f>G2637-H2637</f>
        <v/>
      </c>
      <c r="J2637" s="319">
        <f>F2637-I2637</f>
        <v/>
      </c>
      <c r="K2637" s="516">
        <f>500000+500000</f>
        <v/>
      </c>
      <c r="L2637" s="516">
        <f>L2636+G2637-K2637</f>
        <v/>
      </c>
    </row>
    <row r="2638">
      <c r="B2638" s="1" t="n">
        <v>22</v>
      </c>
      <c r="C2638" s="24" t="n">
        <v>45536</v>
      </c>
      <c r="D2638" s="24" t="n">
        <v>45565</v>
      </c>
      <c r="E2638" s="25">
        <f>D2638-C2638+1</f>
        <v/>
      </c>
      <c r="F2638" s="319">
        <f>J2637</f>
        <v/>
      </c>
      <c r="G2638" s="319">
        <f>-PMT($D$2608/$D$2610,21,$F$2620,,0)</f>
        <v/>
      </c>
      <c r="H2638" s="319">
        <f>($D$2608/$D$2610*F2638)</f>
        <v/>
      </c>
      <c r="I2638" s="319">
        <f>G2638-H2638</f>
        <v/>
      </c>
      <c r="J2638" s="319">
        <f>F2638-I2638</f>
        <v/>
      </c>
      <c r="K2638" s="516" t="n"/>
      <c r="L2638" s="516">
        <f>L2637+G2638-K2638</f>
        <v/>
      </c>
    </row>
    <row r="2639">
      <c r="B2639" s="1" t="n">
        <v>23</v>
      </c>
      <c r="C2639" s="24" t="n">
        <v>45566</v>
      </c>
      <c r="D2639" s="24" t="n">
        <v>45596</v>
      </c>
      <c r="E2639" s="25">
        <f>D2639-C2639+1</f>
        <v/>
      </c>
      <c r="F2639" s="319">
        <f>J2638</f>
        <v/>
      </c>
      <c r="G2639" s="319">
        <f>-PMT($D$2608/$D$2610,21,$F$2620,,0)</f>
        <v/>
      </c>
      <c r="H2639" s="319">
        <f>($D$2608/$D$2610*F2639)</f>
        <v/>
      </c>
      <c r="I2639" s="319">
        <f>G2639-H2639</f>
        <v/>
      </c>
      <c r="J2639" s="319">
        <f>F2639-I2639</f>
        <v/>
      </c>
      <c r="K2639" s="516">
        <f>500000+500000+500000+500000</f>
        <v/>
      </c>
      <c r="L2639" s="523">
        <f>L2638+G2639-K2639</f>
        <v/>
      </c>
    </row>
    <row r="2640">
      <c r="B2640" s="1" t="n">
        <v>24</v>
      </c>
      <c r="C2640" s="24" t="n">
        <v>45597</v>
      </c>
      <c r="D2640" s="24" t="n">
        <v>45626</v>
      </c>
      <c r="E2640" s="25">
        <f>D2640-C2640+1</f>
        <v/>
      </c>
      <c r="F2640" s="319">
        <f>J2639</f>
        <v/>
      </c>
      <c r="G2640" s="319">
        <f>-PMT($D$2608/$D$2610,21,$F$2620,,0)</f>
        <v/>
      </c>
      <c r="H2640" s="319">
        <f>($D$2608/$D$2610*F2640)</f>
        <v/>
      </c>
      <c r="I2640" s="319">
        <f>G2640-H2640</f>
        <v/>
      </c>
      <c r="J2640" s="319">
        <f>F2640-I2640</f>
        <v/>
      </c>
      <c r="K2640" s="516" t="n"/>
      <c r="L2640" s="516" t="n"/>
    </row>
    <row r="2641">
      <c r="B2641" s="1" t="n"/>
      <c r="C2641" s="24" t="n"/>
      <c r="D2641" s="24" t="n"/>
      <c r="E2641" s="25" t="n"/>
      <c r="F2641" s="319" t="n"/>
      <c r="G2641" s="319" t="n"/>
      <c r="H2641" s="319" t="n"/>
      <c r="I2641" s="319" t="n"/>
      <c r="J2641" s="319" t="n"/>
      <c r="K2641" s="516" t="n"/>
      <c r="L2641" s="516" t="n"/>
    </row>
    <row r="2642">
      <c r="B2642" s="1" t="n"/>
      <c r="C2642" s="24" t="n"/>
      <c r="D2642" s="24" t="n"/>
      <c r="E2642" s="30">
        <f>SUM(E2616:E2640)</f>
        <v/>
      </c>
      <c r="F2642" s="319" t="n"/>
      <c r="G2642" s="319" t="n"/>
      <c r="H2642" s="319" t="n"/>
      <c r="I2642" s="319" t="n"/>
      <c r="J2642" s="319" t="n"/>
      <c r="K2642" s="516" t="n"/>
      <c r="L2642" s="516" t="n"/>
    </row>
    <row r="2643">
      <c r="B2643" s="1" t="n"/>
      <c r="C2643" s="24" t="n"/>
      <c r="D2643" s="24" t="n"/>
      <c r="E2643" s="25" t="n"/>
      <c r="F2643" s="319" t="n"/>
      <c r="G2643" s="319" t="n"/>
      <c r="H2643" s="319" t="n"/>
      <c r="I2643" s="319" t="n"/>
      <c r="J2643" s="319" t="n"/>
      <c r="K2643" s="516" t="n"/>
      <c r="L2643" s="516" t="n"/>
    </row>
    <row r="2644">
      <c r="B2644" s="1" t="n"/>
      <c r="C2644" s="24" t="n"/>
      <c r="D2644" s="24" t="n"/>
      <c r="E2644" s="25" t="n"/>
      <c r="F2644" s="319" t="n"/>
      <c r="G2644" s="319" t="n"/>
      <c r="H2644" s="319" t="n"/>
      <c r="I2644" s="319" t="n"/>
      <c r="J2644" s="319" t="n"/>
      <c r="K2644" s="516" t="n"/>
      <c r="L2644" s="516" t="n"/>
    </row>
    <row r="2645">
      <c r="B2645" s="1" t="n"/>
      <c r="C2645" s="24" t="n"/>
      <c r="D2645" s="24" t="n"/>
      <c r="E2645" s="25" t="n"/>
      <c r="F2645" s="319" t="n"/>
      <c r="G2645" s="319" t="n"/>
      <c r="H2645" s="319" t="n"/>
      <c r="I2645" s="319" t="n"/>
      <c r="J2645" s="319" t="n"/>
      <c r="K2645" s="516" t="n"/>
      <c r="L2645" s="516" t="n"/>
    </row>
    <row r="2646">
      <c r="B2646" s="1" t="n"/>
      <c r="C2646" s="24" t="n"/>
      <c r="D2646" s="24" t="n"/>
      <c r="E2646" s="25" t="n"/>
      <c r="F2646" s="319" t="n"/>
      <c r="G2646" s="319" t="n"/>
      <c r="H2646" s="319" t="n"/>
      <c r="I2646" s="319" t="n"/>
      <c r="J2646" s="319" t="n"/>
      <c r="K2646" s="516" t="n"/>
      <c r="L2646" s="516" t="n"/>
    </row>
    <row r="2647">
      <c r="B2647" s="1" t="n"/>
      <c r="C2647" s="9" t="inlineStr">
        <is>
          <t>Greendom Farming</t>
        </is>
      </c>
      <c r="D2647" s="319" t="n"/>
      <c r="E2647" s="319" t="n"/>
      <c r="F2647" s="319" t="n"/>
      <c r="G2647" s="319" t="n"/>
      <c r="H2647" s="319" t="n"/>
      <c r="I2647" s="319" t="n"/>
      <c r="J2647" s="319" t="n"/>
      <c r="K2647" s="319" t="n"/>
      <c r="L2647" s="319" t="n"/>
      <c r="R2647" s="514" t="inlineStr">
        <is>
          <t>E-Banker account (Dupleix)</t>
        </is>
      </c>
      <c r="S2647" s="495">
        <f>IFERROR(INDEX('Blocks'!$I$2:$I$101,MATCH(49,'Blocks'!$A$2:$A$101,0)),"")</f>
        <v/>
      </c>
    </row>
    <row r="2648">
      <c r="B2648" s="1" t="n"/>
      <c r="C2648" s="1" t="n"/>
      <c r="D2648" s="319" t="n"/>
      <c r="E2648" s="319" t="n"/>
      <c r="F2648" s="319" t="n"/>
      <c r="G2648" s="319" t="n"/>
      <c r="H2648" s="319" t="n"/>
      <c r="I2648" s="319" t="n"/>
      <c r="J2648" s="319" t="n"/>
      <c r="K2648" s="319" t="n"/>
      <c r="L2648" s="319" t="n"/>
      <c r="R2648" s="514" t="inlineStr">
        <is>
          <t>Facility (Loan Book)</t>
        </is>
      </c>
      <c r="S2648" s="495">
        <f>IFERROR(INDEX('Blocks'!$H$2:$H$101,MATCH(49,'Blocks'!$A$2:$A$101,0)),"")</f>
        <v/>
      </c>
    </row>
    <row r="2649">
      <c r="B2649" s="1" t="n"/>
      <c r="C2649" s="10" t="inlineStr">
        <is>
          <t>Principal (MK)</t>
        </is>
      </c>
      <c r="D2649" s="11" t="n">
        <v>10000000</v>
      </c>
      <c r="E2649" s="319" t="n"/>
      <c r="F2649" s="319" t="n"/>
      <c r="G2649" s="319" t="n"/>
      <c r="H2649" s="319" t="n"/>
      <c r="I2649" s="319" t="n"/>
      <c r="J2649" s="319" t="n"/>
      <c r="K2649" s="319" t="n"/>
      <c r="L2649" s="319" t="n"/>
      <c r="R2649" s="514" t="inlineStr">
        <is>
          <t>Take-on posting 31 Jul 2024</t>
        </is>
      </c>
      <c r="S2649" s="496">
        <f>IFERROR(INDEX('E-Banker master'!$N$2:$N$186,MATCH(S2647,'E-Banker master'!$A$2:$A$186,0)),"")</f>
        <v/>
      </c>
    </row>
    <row r="2650">
      <c r="B2650" s="1" t="n"/>
      <c r="C2650" s="13" t="inlineStr">
        <is>
          <t>Rate</t>
        </is>
      </c>
      <c r="D2650" s="14" t="n">
        <v>0.1</v>
      </c>
      <c r="E2650" s="257" t="n"/>
      <c r="F2650" s="319" t="n"/>
      <c r="G2650" s="319" t="n"/>
      <c r="H2650" s="319" t="n"/>
      <c r="I2650" s="319" t="n"/>
      <c r="J2650" s="319" t="n"/>
      <c r="K2650" s="319" t="n"/>
      <c r="L2650" s="319" t="n"/>
      <c r="R2650" s="514" t="inlineStr">
        <is>
          <t>E-Banker balance 31 Oct 2024</t>
        </is>
      </c>
      <c r="S2650" s="496">
        <f>IFERROR(INDEX('E-Banker master'!$P$2:$P$186,MATCH(S2647,'E-Banker master'!$A$2:$A$186,0)),"")</f>
        <v/>
      </c>
    </row>
    <row r="2651">
      <c r="B2651" s="1" t="n"/>
      <c r="C2651" s="13" t="inlineStr">
        <is>
          <t>n</t>
        </is>
      </c>
      <c r="D2651" s="16" t="n">
        <v>2</v>
      </c>
      <c r="E2651" s="1" t="n"/>
      <c r="F2651" s="319" t="n"/>
      <c r="G2651" s="319" t="n"/>
      <c r="H2651" s="319" t="n"/>
      <c r="I2651" s="319" t="n"/>
      <c r="J2651" s="319" t="n"/>
      <c r="K2651" s="1" t="n"/>
      <c r="L2651" s="1" t="n"/>
    </row>
    <row r="2652">
      <c r="B2652" s="1" t="n"/>
      <c r="C2652" s="13" t="inlineStr">
        <is>
          <t>Per</t>
        </is>
      </c>
      <c r="D2652" s="16" t="n">
        <v>12</v>
      </c>
      <c r="E2652" s="1" t="n"/>
      <c r="F2652" s="319" t="n"/>
      <c r="G2652" s="319" t="n"/>
      <c r="H2652" s="319" t="n"/>
      <c r="I2652" s="319" t="n"/>
      <c r="J2652" s="319" t="n"/>
      <c r="K2652" s="1" t="n"/>
      <c r="L2652" s="1" t="n"/>
    </row>
    <row r="2653">
      <c r="B2653" s="1" t="n"/>
      <c r="C2653" s="13" t="inlineStr">
        <is>
          <t>nPer</t>
        </is>
      </c>
      <c r="D2653" s="515">
        <f>D2651*D2652</f>
        <v/>
      </c>
      <c r="E2653" s="1" t="n"/>
      <c r="F2653" s="319" t="n"/>
      <c r="G2653" s="319" t="n"/>
      <c r="H2653" s="319" t="n"/>
      <c r="I2653" s="319" t="n"/>
      <c r="J2653" s="319" t="n"/>
      <c r="K2653" s="1" t="n"/>
      <c r="L2653" s="1" t="n"/>
    </row>
    <row r="2654">
      <c r="B2654" s="1" t="n"/>
      <c r="C2654" s="13" t="inlineStr">
        <is>
          <t>Days in a year</t>
        </is>
      </c>
      <c r="D2654" s="18" t="n">
        <v>365</v>
      </c>
      <c r="E2654" s="1" t="n"/>
      <c r="F2654" s="319" t="n"/>
      <c r="G2654" s="319" t="n"/>
      <c r="H2654" s="319" t="n"/>
      <c r="I2654" s="319" t="n"/>
      <c r="J2654" s="319" t="n"/>
      <c r="K2654" s="1" t="n"/>
      <c r="L2654" s="1" t="n"/>
    </row>
    <row r="2655">
      <c r="B2655" s="1" t="n"/>
      <c r="C2655" s="19" t="inlineStr">
        <is>
          <t>Pmt (MK)</t>
        </is>
      </c>
      <c r="D2655" s="20">
        <f>-PMT(D2650/D2652,D2653,D2649,0,0)</f>
        <v/>
      </c>
      <c r="E2655" s="319" t="n"/>
      <c r="F2655" s="319" t="n"/>
      <c r="G2655" s="319" t="n"/>
      <c r="H2655" s="319" t="n"/>
      <c r="I2655" s="319" t="n"/>
      <c r="J2655" s="319" t="n"/>
      <c r="K2655" s="1" t="n"/>
      <c r="L2655" s="1" t="n"/>
    </row>
    <row r="2656">
      <c r="B2656" s="1" t="n"/>
      <c r="C2656" s="1" t="n"/>
      <c r="D2656" s="319" t="n"/>
      <c r="E2656" s="319" t="n"/>
      <c r="F2656" s="319" t="n"/>
      <c r="G2656" s="319" t="n"/>
      <c r="H2656" s="319" t="n"/>
      <c r="I2656" s="319" t="n"/>
      <c r="J2656" s="319" t="n"/>
      <c r="K2656" s="1" t="n"/>
      <c r="L2656" s="1" t="n"/>
    </row>
    <row r="2657">
      <c r="B2657" s="1" t="n"/>
      <c r="C2657" s="21" t="inlineStr">
        <is>
          <t>Period Start</t>
        </is>
      </c>
      <c r="D2657" s="22" t="inlineStr">
        <is>
          <t>Period End</t>
        </is>
      </c>
      <c r="E2657" s="22" t="inlineStr">
        <is>
          <t>Days</t>
        </is>
      </c>
      <c r="F2657" s="294" t="inlineStr">
        <is>
          <t>Opening bal.</t>
        </is>
      </c>
      <c r="G2657" s="294" t="inlineStr">
        <is>
          <t>Pmt</t>
        </is>
      </c>
      <c r="H2657" s="294" t="inlineStr">
        <is>
          <t>Interest</t>
        </is>
      </c>
      <c r="I2657" s="294" t="inlineStr">
        <is>
          <t>Principal</t>
        </is>
      </c>
      <c r="J2657" s="294" t="inlineStr">
        <is>
          <t>Closing balance</t>
        </is>
      </c>
      <c r="K2657" s="23" t="inlineStr">
        <is>
          <t>Amount Repaid</t>
        </is>
      </c>
      <c r="L2657" s="23" t="inlineStr">
        <is>
          <t>Accumulated Arrears</t>
        </is>
      </c>
    </row>
    <row r="2658">
      <c r="B2658" s="1" t="n">
        <v>0</v>
      </c>
      <c r="C2658" s="24" t="n">
        <v>44874</v>
      </c>
      <c r="D2658" s="24" t="n">
        <v>44895</v>
      </c>
      <c r="E2658" s="25">
        <f>D2658-C2658+1</f>
        <v/>
      </c>
      <c r="F2658" s="319">
        <f>D2649</f>
        <v/>
      </c>
      <c r="G2658" s="319" t="n"/>
      <c r="H2658" s="319">
        <f>D2650/D2652*E2658*F2658/30</f>
        <v/>
      </c>
      <c r="I2658" s="319">
        <f>G2658-H2658</f>
        <v/>
      </c>
      <c r="J2658" s="319">
        <f>F2658+F2649-I2658</f>
        <v/>
      </c>
      <c r="K2658" s="516" t="n"/>
      <c r="L2658" s="516" t="n"/>
    </row>
    <row r="2659">
      <c r="B2659" s="1" t="n">
        <v>1</v>
      </c>
      <c r="C2659" s="24" t="n">
        <v>44896</v>
      </c>
      <c r="D2659" s="24" t="n">
        <v>44926</v>
      </c>
      <c r="E2659" s="25">
        <f>D2659-C2659+1</f>
        <v/>
      </c>
      <c r="F2659" s="319">
        <f>J2658</f>
        <v/>
      </c>
      <c r="G2659" s="319" t="n"/>
      <c r="H2659" s="319">
        <f>($D$2650/$D$2652*F2659)</f>
        <v/>
      </c>
      <c r="I2659" s="319">
        <f>G2659-H2659</f>
        <v/>
      </c>
      <c r="J2659" s="319">
        <f>F2659-I2659</f>
        <v/>
      </c>
      <c r="K2659" s="516" t="n"/>
      <c r="L2659" s="516" t="n"/>
    </row>
    <row r="2660">
      <c r="B2660" s="1" t="n">
        <v>2</v>
      </c>
      <c r="C2660" s="24" t="n">
        <v>44927</v>
      </c>
      <c r="D2660" s="24" t="n">
        <v>44957</v>
      </c>
      <c r="E2660" s="25">
        <f>D2660-C2660+1</f>
        <v/>
      </c>
      <c r="F2660" s="319">
        <f>J2659</f>
        <v/>
      </c>
      <c r="G2660" s="319" t="n"/>
      <c r="H2660" s="319">
        <f>($D$2650/$D$2652*F2660)</f>
        <v/>
      </c>
      <c r="I2660" s="319">
        <f>G2660-H2660</f>
        <v/>
      </c>
      <c r="J2660" s="319">
        <f>F2660-I2660</f>
        <v/>
      </c>
    </row>
    <row r="2661">
      <c r="B2661" s="1" t="n">
        <v>3</v>
      </c>
      <c r="C2661" s="24" t="n">
        <v>44958</v>
      </c>
      <c r="D2661" s="24" t="n">
        <v>44985</v>
      </c>
      <c r="E2661" s="25">
        <f>D2661-C2661+1</f>
        <v/>
      </c>
      <c r="F2661" s="319">
        <f>J2660</f>
        <v/>
      </c>
      <c r="G2661" s="319" t="n"/>
      <c r="H2661" s="319">
        <f>($D$2650/$D$2652*F2661)</f>
        <v/>
      </c>
      <c r="I2661" s="319">
        <f>G2661-H2661</f>
        <v/>
      </c>
      <c r="J2661" s="319">
        <f>F2661-I2661</f>
        <v/>
      </c>
      <c r="K2661" s="516" t="n"/>
      <c r="L2661" s="516" t="n"/>
    </row>
    <row r="2662">
      <c r="B2662" s="1" t="n">
        <v>4</v>
      </c>
      <c r="C2662" s="24" t="n">
        <v>44986</v>
      </c>
      <c r="D2662" s="24" t="n">
        <v>45016</v>
      </c>
      <c r="E2662" s="25">
        <f>D2662-C2662+1</f>
        <v/>
      </c>
      <c r="F2662" s="319">
        <f>J2661</f>
        <v/>
      </c>
      <c r="G2662" s="319">
        <f>-PMT($D$2650/$D$2652,21,$F$2662,,0)</f>
        <v/>
      </c>
      <c r="H2662" s="319">
        <f>($D$2650/$D$2652*F2662)</f>
        <v/>
      </c>
      <c r="I2662" s="319">
        <f>G2662-H2662</f>
        <v/>
      </c>
      <c r="J2662" s="319">
        <f>F2662-I2662</f>
        <v/>
      </c>
      <c r="K2662" s="516" t="n"/>
      <c r="L2662" s="516">
        <f>G2662</f>
        <v/>
      </c>
    </row>
    <row r="2663">
      <c r="B2663" s="1" t="n">
        <v>5</v>
      </c>
      <c r="C2663" s="24" t="n">
        <v>45017</v>
      </c>
      <c r="D2663" s="24" t="n">
        <v>45046</v>
      </c>
      <c r="E2663" s="25">
        <f>D2663-C2663+1</f>
        <v/>
      </c>
      <c r="F2663" s="319">
        <f>J2662</f>
        <v/>
      </c>
      <c r="G2663" s="319">
        <f>-PMT($D$2650/$D$2652,21,$F$2662,,0)</f>
        <v/>
      </c>
      <c r="H2663" s="319">
        <f>($D$2650/$D$2652*F2663)</f>
        <v/>
      </c>
      <c r="I2663" s="319">
        <f>G2663-H2663</f>
        <v/>
      </c>
      <c r="J2663" s="319">
        <f>F2663-I2663</f>
        <v/>
      </c>
      <c r="K2663" s="516" t="n"/>
      <c r="L2663" s="516">
        <f>L2662+G2663</f>
        <v/>
      </c>
    </row>
    <row r="2664">
      <c r="B2664" s="1" t="n">
        <v>6</v>
      </c>
      <c r="C2664" s="24" t="n">
        <v>45047</v>
      </c>
      <c r="D2664" s="24" t="n">
        <v>45077</v>
      </c>
      <c r="E2664" s="25">
        <f>D2664-C2664+1</f>
        <v/>
      </c>
      <c r="F2664" s="319">
        <f>J2663</f>
        <v/>
      </c>
      <c r="G2664" s="319">
        <f>-PMT($D$2650/$D$2652,21,$F$2662,,0)</f>
        <v/>
      </c>
      <c r="H2664" s="319">
        <f>($D$2650/$D$2652*F2664)</f>
        <v/>
      </c>
      <c r="I2664" s="319">
        <f>G2664-H2664</f>
        <v/>
      </c>
      <c r="J2664" s="319">
        <f>F2664-I2664</f>
        <v/>
      </c>
      <c r="K2664" s="516" t="n">
        <v>534183.21</v>
      </c>
      <c r="L2664" s="516">
        <f>L2663+G2664-K2664</f>
        <v/>
      </c>
    </row>
    <row r="2665">
      <c r="B2665" s="1" t="n">
        <v>7</v>
      </c>
      <c r="C2665" s="24" t="n">
        <v>45078</v>
      </c>
      <c r="D2665" s="24" t="n">
        <v>45107</v>
      </c>
      <c r="E2665" s="25">
        <f>D2665-C2665+1</f>
        <v/>
      </c>
      <c r="F2665" s="319">
        <f>J2664</f>
        <v/>
      </c>
      <c r="G2665" s="319">
        <f>-PMT($D$2650/$D$2652,21,$F$2662,,0)</f>
        <v/>
      </c>
      <c r="H2665" s="319">
        <f>($D$2650/$D$2652*F2665)</f>
        <v/>
      </c>
      <c r="I2665" s="319">
        <f>G2665-H2665</f>
        <v/>
      </c>
      <c r="J2665" s="319">
        <f>F2665-I2665</f>
        <v/>
      </c>
      <c r="K2665" s="516" t="n">
        <v>534184</v>
      </c>
      <c r="L2665" s="516">
        <f>L2664+G2665-K2665</f>
        <v/>
      </c>
    </row>
    <row r="2666">
      <c r="B2666" s="1" t="n">
        <v>8</v>
      </c>
      <c r="C2666" s="24" t="n">
        <v>45108</v>
      </c>
      <c r="D2666" s="24" t="n">
        <v>45138</v>
      </c>
      <c r="E2666" s="25">
        <f>D2666-C2666+1</f>
        <v/>
      </c>
      <c r="F2666" s="319">
        <f>J2665</f>
        <v/>
      </c>
      <c r="G2666" s="319">
        <f>-PMT($D$2650/$D$2652,21,$F$2662,,0)</f>
        <v/>
      </c>
      <c r="H2666" s="319">
        <f>($D$2650/$D$2652*F2666)</f>
        <v/>
      </c>
      <c r="I2666" s="319">
        <f>G2666-H2666</f>
        <v/>
      </c>
      <c r="J2666" s="319">
        <f>F2666-I2666</f>
        <v/>
      </c>
      <c r="K2666" s="516" t="n"/>
      <c r="L2666" s="516">
        <f>L2665+G2666-K2666</f>
        <v/>
      </c>
    </row>
    <row r="2667">
      <c r="B2667" s="1" t="n">
        <v>9</v>
      </c>
      <c r="C2667" s="24" t="n">
        <v>45139</v>
      </c>
      <c r="D2667" s="24" t="n">
        <v>45169</v>
      </c>
      <c r="E2667" s="25">
        <f>D2667-C2667+1</f>
        <v/>
      </c>
      <c r="F2667" s="319">
        <f>J2666</f>
        <v/>
      </c>
      <c r="G2667" s="319">
        <f>-PMT($D$2650/$D$2652,21,$F$2662,,0)</f>
        <v/>
      </c>
      <c r="H2667" s="319">
        <f>($D$2650/$D$2652*F2667)</f>
        <v/>
      </c>
      <c r="I2667" s="319">
        <f>G2667-H2667</f>
        <v/>
      </c>
      <c r="J2667" s="319">
        <f>F2667-I2667</f>
        <v/>
      </c>
      <c r="K2667" s="516" t="n"/>
      <c r="L2667" s="516">
        <f>L2666+G2667-K2667</f>
        <v/>
      </c>
    </row>
    <row r="2668">
      <c r="B2668" s="1" t="n">
        <v>10</v>
      </c>
      <c r="C2668" s="24" t="n">
        <v>45170</v>
      </c>
      <c r="D2668" s="24" t="n">
        <v>45199</v>
      </c>
      <c r="E2668" s="25">
        <f>D2668-C2668+1</f>
        <v/>
      </c>
      <c r="F2668" s="319">
        <f>J2667</f>
        <v/>
      </c>
      <c r="G2668" s="319">
        <f>-PMT($D$2650/$D$2652,21,$F$2662,,0)</f>
        <v/>
      </c>
      <c r="H2668" s="319">
        <f>($D$2650/$D$2652*F2668)</f>
        <v/>
      </c>
      <c r="I2668" s="319">
        <f>G2668-H2668</f>
        <v/>
      </c>
      <c r="J2668" s="319">
        <f>F2668-I2668</f>
        <v/>
      </c>
      <c r="K2668" s="516" t="n">
        <v>534183.21</v>
      </c>
      <c r="L2668" s="516">
        <f>L2667+G2668-K2668</f>
        <v/>
      </c>
    </row>
    <row r="2669">
      <c r="B2669" s="1" t="n">
        <v>11</v>
      </c>
      <c r="C2669" s="24" t="n">
        <v>45200</v>
      </c>
      <c r="D2669" s="24" t="n">
        <v>45230</v>
      </c>
      <c r="E2669" s="25">
        <f>D2669-C2669+1</f>
        <v/>
      </c>
      <c r="F2669" s="319">
        <f>J2668</f>
        <v/>
      </c>
      <c r="G2669" s="319">
        <f>-PMT($D$2650/$D$2652,21,$F$2662,,0)</f>
        <v/>
      </c>
      <c r="H2669" s="319">
        <f>($D$2650/$D$2652*F2669)</f>
        <v/>
      </c>
      <c r="I2669" s="319">
        <f>G2669-H2669</f>
        <v/>
      </c>
      <c r="J2669" s="319">
        <f>F2669-I2669</f>
        <v/>
      </c>
      <c r="K2669" s="516" t="n"/>
      <c r="L2669" s="516">
        <f>L2668+G2669-K2669</f>
        <v/>
      </c>
    </row>
    <row r="2670">
      <c r="B2670" s="1" t="n">
        <v>12</v>
      </c>
      <c r="C2670" s="24" t="n">
        <v>45231</v>
      </c>
      <c r="D2670" s="24" t="n">
        <v>45260</v>
      </c>
      <c r="E2670" s="25">
        <f>D2670-C2670+1</f>
        <v/>
      </c>
      <c r="F2670" s="319">
        <f>J2669</f>
        <v/>
      </c>
      <c r="G2670" s="319">
        <f>-PMT($D$2650/$D$2652,21,$F$2662,,0)</f>
        <v/>
      </c>
      <c r="H2670" s="319">
        <f>($D$2650/$D$2652*F2670)</f>
        <v/>
      </c>
      <c r="I2670" s="319">
        <f>G2670-H2670</f>
        <v/>
      </c>
      <c r="J2670" s="319">
        <f>F2670-I2670</f>
        <v/>
      </c>
      <c r="K2670" s="516" t="n"/>
      <c r="L2670" s="516">
        <f>L2669+G2670-K2670</f>
        <v/>
      </c>
    </row>
    <row r="2671">
      <c r="B2671" s="1" t="n">
        <v>13</v>
      </c>
      <c r="C2671" s="24" t="n">
        <v>45261</v>
      </c>
      <c r="D2671" s="24" t="n">
        <v>45291</v>
      </c>
      <c r="E2671" s="25">
        <f>D2671-C2671+1</f>
        <v/>
      </c>
      <c r="F2671" s="319">
        <f>J2670</f>
        <v/>
      </c>
      <c r="G2671" s="319">
        <f>-PMT($D$2650/$D$2652,21,$F$2662,,0)</f>
        <v/>
      </c>
      <c r="H2671" s="319">
        <f>($D$2650/$D$2652*F2671)</f>
        <v/>
      </c>
      <c r="I2671" s="319">
        <f>G2671-H2671</f>
        <v/>
      </c>
      <c r="J2671" s="319">
        <f>F2671-I2671</f>
        <v/>
      </c>
      <c r="K2671" s="516" t="n">
        <v>534184</v>
      </c>
      <c r="L2671" s="516">
        <f>L2670+G2671-K2671</f>
        <v/>
      </c>
    </row>
    <row r="2672">
      <c r="B2672" s="1" t="n">
        <v>14</v>
      </c>
      <c r="C2672" s="24" t="n">
        <v>45292</v>
      </c>
      <c r="D2672" s="24" t="n">
        <v>45322</v>
      </c>
      <c r="E2672" s="25">
        <f>D2672-C2672+1</f>
        <v/>
      </c>
      <c r="F2672" s="319">
        <f>J2671</f>
        <v/>
      </c>
      <c r="G2672" s="319">
        <f>-PMT($D$2650/$D$2652,21,$F$2662,,0)</f>
        <v/>
      </c>
      <c r="H2672" s="319">
        <f>($D$2650/$D$2652*F2672)</f>
        <v/>
      </c>
      <c r="I2672" s="319">
        <f>G2672-H2672</f>
        <v/>
      </c>
      <c r="J2672" s="319">
        <f>F2672-I2672</f>
        <v/>
      </c>
      <c r="K2672" s="516" t="n"/>
      <c r="L2672" s="516">
        <f>L2671+G2672-K2672</f>
        <v/>
      </c>
    </row>
    <row r="2673">
      <c r="B2673" s="1" t="n">
        <v>15</v>
      </c>
      <c r="C2673" s="24" t="n">
        <v>45323</v>
      </c>
      <c r="D2673" s="24" t="n">
        <v>45351</v>
      </c>
      <c r="E2673" s="25">
        <f>D2673-C2673+1</f>
        <v/>
      </c>
      <c r="F2673" s="319">
        <f>J2672</f>
        <v/>
      </c>
      <c r="G2673" s="319">
        <f>-PMT($D$2650/$D$2652,21,$F$2662,,0)</f>
        <v/>
      </c>
      <c r="H2673" s="319">
        <f>($D$2650/$D$2652*F2673)</f>
        <v/>
      </c>
      <c r="I2673" s="319">
        <f>G2673-H2673</f>
        <v/>
      </c>
      <c r="J2673" s="319">
        <f>F2673-I2673</f>
        <v/>
      </c>
      <c r="K2673" s="516" t="n">
        <v>2000000</v>
      </c>
      <c r="L2673" s="516">
        <f>L2672+G2673-K2673</f>
        <v/>
      </c>
    </row>
    <row r="2674">
      <c r="B2674" s="1" t="n">
        <v>16</v>
      </c>
      <c r="C2674" s="24" t="n">
        <v>45352</v>
      </c>
      <c r="D2674" s="24" t="n">
        <v>45382</v>
      </c>
      <c r="E2674" s="25">
        <f>D2674-C2674+1</f>
        <v/>
      </c>
      <c r="F2674" s="319">
        <f>J2673</f>
        <v/>
      </c>
      <c r="G2674" s="319">
        <f>-PMT($D$2650/$D$2652,21,$F$2662,,0)</f>
        <v/>
      </c>
      <c r="H2674" s="319">
        <f>($D$2650/$D$2652*F2674)</f>
        <v/>
      </c>
      <c r="I2674" s="319">
        <f>G2674-H2674</f>
        <v/>
      </c>
      <c r="J2674" s="319">
        <f>F2674-I2674</f>
        <v/>
      </c>
      <c r="K2674" s="516" t="n"/>
      <c r="L2674" s="516">
        <f>L2673+G2674-K2674</f>
        <v/>
      </c>
    </row>
    <row r="2675">
      <c r="B2675" s="1" t="n">
        <v>17</v>
      </c>
      <c r="C2675" s="24" t="n">
        <v>45383</v>
      </c>
      <c r="D2675" s="24" t="n">
        <v>45412</v>
      </c>
      <c r="E2675" s="25">
        <f>D2675-C2675+1</f>
        <v/>
      </c>
      <c r="F2675" s="319">
        <f>J2674</f>
        <v/>
      </c>
      <c r="G2675" s="319">
        <f>-PMT($D$2650/$D$2652,21,$F$2662,,0)</f>
        <v/>
      </c>
      <c r="H2675" s="319">
        <f>($D$2650/$D$2652*F2675)</f>
        <v/>
      </c>
      <c r="I2675" s="319">
        <f>G2675-H2675</f>
        <v/>
      </c>
      <c r="J2675" s="319">
        <f>F2675-I2675</f>
        <v/>
      </c>
      <c r="K2675" s="516" t="n">
        <v>1000000</v>
      </c>
      <c r="L2675" s="516">
        <f>L2674+G2675-K2675</f>
        <v/>
      </c>
    </row>
    <row r="2676">
      <c r="B2676" s="1" t="n">
        <v>18</v>
      </c>
      <c r="C2676" s="24" t="n">
        <v>45413</v>
      </c>
      <c r="D2676" s="24" t="n">
        <v>45443</v>
      </c>
      <c r="E2676" s="25">
        <f>D2676-C2676+1</f>
        <v/>
      </c>
      <c r="F2676" s="319">
        <f>J2675</f>
        <v/>
      </c>
      <c r="G2676" s="319">
        <f>-PMT($D$2650/$D$2652,21,$F$2662,,0)</f>
        <v/>
      </c>
      <c r="H2676" s="319">
        <f>($D$2650/$D$2652*F2676)</f>
        <v/>
      </c>
      <c r="I2676" s="319">
        <f>G2676-H2676</f>
        <v/>
      </c>
      <c r="J2676" s="319">
        <f>F2676-I2676</f>
        <v/>
      </c>
      <c r="K2676" s="516" t="n"/>
      <c r="L2676" s="516">
        <f>L2675+G2676-K2676</f>
        <v/>
      </c>
    </row>
    <row r="2677">
      <c r="B2677" s="1" t="n">
        <v>19</v>
      </c>
      <c r="C2677" s="24" t="n">
        <v>45444</v>
      </c>
      <c r="D2677" s="24" t="n">
        <v>45473</v>
      </c>
      <c r="E2677" s="25">
        <f>D2677-C2677+1</f>
        <v/>
      </c>
      <c r="F2677" s="319">
        <f>J2676</f>
        <v/>
      </c>
      <c r="G2677" s="319">
        <f>-PMT($D$2650/$D$2652,21,$F$2662,,0)</f>
        <v/>
      </c>
      <c r="H2677" s="319">
        <f>($D$2650/$D$2652*F2677)</f>
        <v/>
      </c>
      <c r="I2677" s="319">
        <f>G2677-H2677</f>
        <v/>
      </c>
      <c r="J2677" s="319">
        <f>F2677-I2677</f>
        <v/>
      </c>
      <c r="K2677" s="516" t="n">
        <v>3000000</v>
      </c>
      <c r="L2677" s="516">
        <f>L2676+G2677-K2677</f>
        <v/>
      </c>
    </row>
    <row r="2678">
      <c r="B2678" s="1" t="n">
        <v>20</v>
      </c>
      <c r="C2678" s="24" t="n">
        <v>45474</v>
      </c>
      <c r="D2678" s="24" t="n">
        <v>45504</v>
      </c>
      <c r="E2678" s="25">
        <f>D2678-C2678+1</f>
        <v/>
      </c>
      <c r="F2678" s="319">
        <f>J2677</f>
        <v/>
      </c>
      <c r="G2678" s="319">
        <f>-PMT($D$2650/$D$2652,21,$F$2662,,0)</f>
        <v/>
      </c>
      <c r="H2678" s="319">
        <f>($D$2650/$D$2652*F2678)</f>
        <v/>
      </c>
      <c r="I2678" s="319">
        <f>G2678-H2678</f>
        <v/>
      </c>
      <c r="J2678" s="319">
        <f>F2678-I2678</f>
        <v/>
      </c>
      <c r="K2678" s="516">
        <f>534250+534250</f>
        <v/>
      </c>
      <c r="L2678" s="516">
        <f>L2677+G2678-K2678</f>
        <v/>
      </c>
    </row>
    <row r="2679">
      <c r="B2679" s="1" t="n">
        <v>21</v>
      </c>
      <c r="C2679" s="24" t="n">
        <v>45505</v>
      </c>
      <c r="D2679" s="24" t="n">
        <v>45535</v>
      </c>
      <c r="E2679" s="25">
        <f>D2679-C2679+1</f>
        <v/>
      </c>
      <c r="F2679" s="319">
        <f>J2678</f>
        <v/>
      </c>
      <c r="G2679" s="319">
        <f>-PMT($D$2650/$D$2652,21,$F$2662,,0)</f>
        <v/>
      </c>
      <c r="H2679" s="319">
        <f>($D$2650/$D$2652*F2679)</f>
        <v/>
      </c>
      <c r="I2679" s="319">
        <f>G2679-H2679</f>
        <v/>
      </c>
      <c r="J2679" s="319">
        <f>F2679-I2679</f>
        <v/>
      </c>
      <c r="K2679" s="516" t="n"/>
      <c r="L2679" s="516">
        <f>L2678+G2679-K2679</f>
        <v/>
      </c>
    </row>
    <row r="2680">
      <c r="B2680" s="1" t="n">
        <v>22</v>
      </c>
      <c r="C2680" s="24" t="n">
        <v>45536</v>
      </c>
      <c r="D2680" s="24" t="n">
        <v>45565</v>
      </c>
      <c r="E2680" s="25">
        <f>D2680-C2680+1</f>
        <v/>
      </c>
      <c r="F2680" s="319">
        <f>J2679</f>
        <v/>
      </c>
      <c r="G2680" s="319">
        <f>-PMT($D$2650/$D$2652,21,$F$2662,,0)</f>
        <v/>
      </c>
      <c r="H2680" s="319">
        <f>($D$2650/$D$2652*F2680)</f>
        <v/>
      </c>
      <c r="I2680" s="319">
        <f>G2680-H2680</f>
        <v/>
      </c>
      <c r="J2680" s="319">
        <f>F2680-I2680</f>
        <v/>
      </c>
      <c r="K2680" s="516" t="n">
        <v>534250</v>
      </c>
      <c r="L2680" s="516">
        <f>L2679+G2680-K2680</f>
        <v/>
      </c>
    </row>
    <row r="2681">
      <c r="B2681" s="1" t="n">
        <v>23</v>
      </c>
      <c r="C2681" s="24" t="n">
        <v>45566</v>
      </c>
      <c r="D2681" s="24" t="n">
        <v>45596</v>
      </c>
      <c r="E2681" s="25">
        <f>D2681-C2681+1</f>
        <v/>
      </c>
      <c r="F2681" s="319">
        <f>J2680</f>
        <v/>
      </c>
      <c r="G2681" s="319">
        <f>-PMT($D$2650/$D$2652,21,$F$2662,,0)</f>
        <v/>
      </c>
      <c r="H2681" s="319">
        <f>($D$2650/$D$2652*F2681)</f>
        <v/>
      </c>
      <c r="I2681" s="319">
        <f>G2681-H2681</f>
        <v/>
      </c>
      <c r="J2681" s="319">
        <f>F2681-I2681</f>
        <v/>
      </c>
      <c r="K2681" s="516" t="n">
        <v>473000</v>
      </c>
      <c r="L2681" s="520">
        <f>L2680+G2681-K2681</f>
        <v/>
      </c>
    </row>
    <row r="2682">
      <c r="B2682" s="1" t="n">
        <v>24</v>
      </c>
      <c r="C2682" s="24" t="n">
        <v>45597</v>
      </c>
      <c r="D2682" s="24" t="n">
        <v>45626</v>
      </c>
      <c r="E2682" s="25">
        <f>D2682-C2682+1</f>
        <v/>
      </c>
      <c r="F2682" s="319">
        <f>J2681</f>
        <v/>
      </c>
      <c r="G2682" s="319">
        <f>-PMT($D$2650/$D$2652,21,$F$2662,,0)</f>
        <v/>
      </c>
      <c r="H2682" s="319">
        <f>($D$2650/$D$2652*F2682)</f>
        <v/>
      </c>
      <c r="I2682" s="319">
        <f>G2682-H2682</f>
        <v/>
      </c>
      <c r="J2682" s="319">
        <f>F2682-I2682</f>
        <v/>
      </c>
      <c r="K2682" s="516" t="n"/>
      <c r="L2682" s="516" t="n"/>
    </row>
    <row r="2683">
      <c r="B2683" s="1" t="n"/>
      <c r="C2683" s="24" t="n"/>
      <c r="D2683" s="24" t="n"/>
      <c r="E2683" s="25" t="n"/>
      <c r="F2683" s="319" t="n"/>
      <c r="G2683" s="319" t="n"/>
      <c r="H2683" s="319" t="n"/>
      <c r="I2683" s="319" t="n"/>
      <c r="J2683" s="319" t="n"/>
      <c r="K2683" s="516" t="n"/>
      <c r="L2683" s="516" t="n"/>
    </row>
    <row r="2684">
      <c r="B2684" s="1" t="n"/>
      <c r="C2684" s="24" t="n"/>
      <c r="D2684" s="24" t="n"/>
      <c r="E2684" s="30">
        <f>SUM(E2658:E2682)</f>
        <v/>
      </c>
      <c r="F2684" s="319" t="n"/>
      <c r="G2684" s="319" t="n"/>
      <c r="H2684" s="319" t="n"/>
      <c r="I2684" s="319" t="n"/>
      <c r="J2684" s="319" t="n"/>
      <c r="K2684" s="516" t="n"/>
      <c r="L2684" s="516" t="n"/>
    </row>
    <row r="2688" ht="12.65" customHeight="1"/>
    <row r="2692">
      <c r="B2692" s="1" t="n"/>
      <c r="C2692" s="9" t="inlineStr">
        <is>
          <t>JAT Investments</t>
        </is>
      </c>
      <c r="D2692" s="319" t="n"/>
      <c r="E2692" s="319" t="n"/>
      <c r="F2692" s="319" t="n"/>
      <c r="G2692" s="319" t="n"/>
      <c r="H2692" s="319" t="n"/>
      <c r="I2692" s="319" t="n"/>
      <c r="J2692" s="319" t="n"/>
      <c r="K2692" s="319" t="n"/>
      <c r="L2692" s="319" t="n"/>
      <c r="R2692" s="514" t="inlineStr">
        <is>
          <t>E-Banker account (Dupleix)</t>
        </is>
      </c>
      <c r="S2692" s="495">
        <f>IFERROR(INDEX('Blocks'!$I$2:$I$101,MATCH(50,'Blocks'!$A$2:$A$101,0)),"")</f>
        <v/>
      </c>
    </row>
    <row r="2693">
      <c r="B2693" s="1" t="n"/>
      <c r="C2693" s="1" t="n"/>
      <c r="D2693" s="319" t="n"/>
      <c r="E2693" s="319" t="n"/>
      <c r="F2693" s="319" t="n"/>
      <c r="G2693" s="319" t="n"/>
      <c r="H2693" s="319" t="n"/>
      <c r="I2693" s="319" t="n"/>
      <c r="J2693" s="319" t="n"/>
      <c r="K2693" s="319" t="n"/>
      <c r="L2693" s="319" t="n"/>
      <c r="R2693" s="514" t="inlineStr">
        <is>
          <t>Facility (Loan Book)</t>
        </is>
      </c>
      <c r="S2693" s="495">
        <f>IFERROR(INDEX('Blocks'!$H$2:$H$101,MATCH(50,'Blocks'!$A$2:$A$101,0)),"")</f>
        <v/>
      </c>
    </row>
    <row r="2694">
      <c r="B2694" s="1" t="n"/>
      <c r="C2694" s="10" t="inlineStr">
        <is>
          <t>Principal (MK)</t>
        </is>
      </c>
      <c r="D2694" s="11" t="n">
        <v>24000000</v>
      </c>
      <c r="E2694" s="319" t="n"/>
      <c r="F2694" s="319" t="n"/>
      <c r="G2694" s="319" t="n"/>
      <c r="H2694" s="319" t="n"/>
      <c r="I2694" s="319" t="n"/>
      <c r="J2694" s="319" t="n"/>
      <c r="K2694" s="319" t="n"/>
      <c r="L2694" s="319" t="n"/>
      <c r="R2694" s="514" t="inlineStr">
        <is>
          <t>Take-on posting 31 Jul 2024</t>
        </is>
      </c>
      <c r="S2694" s="496">
        <f>IFERROR(INDEX('E-Banker master'!$N$2:$N$186,MATCH(S2692,'E-Banker master'!$A$2:$A$186,0)),"")</f>
        <v/>
      </c>
    </row>
    <row r="2695">
      <c r="B2695" s="1" t="n"/>
      <c r="C2695" s="13" t="inlineStr">
        <is>
          <t>Rate</t>
        </is>
      </c>
      <c r="D2695" s="14" t="n">
        <v>0.1</v>
      </c>
      <c r="E2695" s="257" t="n"/>
      <c r="F2695" s="319" t="n"/>
      <c r="G2695" s="319" t="n"/>
      <c r="H2695" s="319" t="n"/>
      <c r="I2695" s="319" t="n"/>
      <c r="J2695" s="319" t="n"/>
      <c r="K2695" s="319" t="n"/>
      <c r="L2695" s="319" t="n"/>
      <c r="R2695" s="514" t="inlineStr">
        <is>
          <t>E-Banker balance 31 Oct 2024</t>
        </is>
      </c>
      <c r="S2695" s="496">
        <f>IFERROR(INDEX('E-Banker master'!$P$2:$P$186,MATCH(S2692,'E-Banker master'!$A$2:$A$186,0)),"")</f>
        <v/>
      </c>
    </row>
    <row r="2696">
      <c r="B2696" s="1" t="n"/>
      <c r="C2696" s="13" t="inlineStr">
        <is>
          <t>n</t>
        </is>
      </c>
      <c r="D2696" s="16" t="n">
        <v>2</v>
      </c>
      <c r="E2696" s="1" t="n"/>
      <c r="F2696" s="319" t="n"/>
      <c r="G2696" s="319" t="n"/>
      <c r="H2696" s="319" t="n"/>
      <c r="I2696" s="319" t="n"/>
      <c r="J2696" s="319" t="n"/>
      <c r="K2696" s="1" t="n"/>
      <c r="L2696" s="1" t="n"/>
    </row>
    <row r="2697">
      <c r="B2697" s="1" t="n"/>
      <c r="C2697" s="13" t="inlineStr">
        <is>
          <t>Per</t>
        </is>
      </c>
      <c r="D2697" s="16" t="n">
        <v>12</v>
      </c>
      <c r="E2697" s="1" t="n"/>
      <c r="F2697" s="319" t="n"/>
      <c r="G2697" s="319" t="n"/>
      <c r="H2697" s="319" t="n"/>
      <c r="I2697" s="319" t="n"/>
      <c r="J2697" s="319" t="n"/>
      <c r="K2697" s="1" t="n"/>
      <c r="L2697" s="1" t="n"/>
    </row>
    <row r="2698">
      <c r="B2698" s="1" t="n"/>
      <c r="C2698" s="13" t="inlineStr">
        <is>
          <t>nPer</t>
        </is>
      </c>
      <c r="D2698" s="515">
        <f>D2696*D2697</f>
        <v/>
      </c>
      <c r="E2698" s="1" t="n"/>
      <c r="F2698" s="319" t="n"/>
      <c r="G2698" s="319" t="n"/>
      <c r="H2698" s="319" t="n"/>
      <c r="I2698" s="319" t="n"/>
      <c r="J2698" s="319" t="n"/>
      <c r="K2698" s="1" t="n"/>
      <c r="L2698" s="1" t="n"/>
    </row>
    <row r="2699">
      <c r="B2699" s="1" t="n"/>
      <c r="C2699" s="13" t="inlineStr">
        <is>
          <t>Days in a year</t>
        </is>
      </c>
      <c r="D2699" s="18" t="n">
        <v>365</v>
      </c>
      <c r="E2699" s="1" t="n"/>
      <c r="F2699" s="319" t="n"/>
      <c r="G2699" s="319" t="n"/>
      <c r="H2699" s="319" t="n"/>
      <c r="I2699" s="319" t="n"/>
      <c r="J2699" s="319" t="n"/>
      <c r="K2699" s="1" t="n"/>
      <c r="L2699" s="1" t="n"/>
    </row>
    <row r="2700">
      <c r="B2700" s="1" t="n"/>
      <c r="C2700" s="19" t="inlineStr">
        <is>
          <t>Pmt (MK)</t>
        </is>
      </c>
      <c r="D2700" s="20">
        <f>-PMT(D2695/D2697,D2698,D2694,0,0)</f>
        <v/>
      </c>
      <c r="E2700" s="319" t="n"/>
      <c r="F2700" s="319" t="n"/>
      <c r="G2700" s="319" t="n"/>
      <c r="H2700" s="319" t="n"/>
      <c r="I2700" s="319" t="n"/>
      <c r="J2700" s="319" t="n"/>
      <c r="K2700" s="1" t="n"/>
      <c r="L2700" s="1" t="n"/>
    </row>
    <row r="2701">
      <c r="B2701" s="1" t="n"/>
      <c r="C2701" s="1" t="n"/>
      <c r="D2701" s="319" t="n"/>
      <c r="E2701" s="319" t="n"/>
      <c r="F2701" s="319" t="n"/>
      <c r="G2701" s="319" t="n"/>
      <c r="H2701" s="319" t="n"/>
      <c r="I2701" s="319" t="n"/>
      <c r="J2701" s="319" t="n"/>
      <c r="K2701" s="1" t="n"/>
      <c r="L2701" s="1" t="n"/>
    </row>
    <row r="2702">
      <c r="B2702" s="1" t="n"/>
      <c r="C2702" s="21" t="inlineStr">
        <is>
          <t>Period Start</t>
        </is>
      </c>
      <c r="D2702" s="22" t="inlineStr">
        <is>
          <t>Period End</t>
        </is>
      </c>
      <c r="E2702" s="22" t="inlineStr">
        <is>
          <t>Days</t>
        </is>
      </c>
      <c r="F2702" s="294" t="inlineStr">
        <is>
          <t>Opening bal.</t>
        </is>
      </c>
      <c r="G2702" s="294" t="inlineStr">
        <is>
          <t>Pmt</t>
        </is>
      </c>
      <c r="H2702" s="294" t="inlineStr">
        <is>
          <t>Interest</t>
        </is>
      </c>
      <c r="I2702" s="294" t="inlineStr">
        <is>
          <t>Principal</t>
        </is>
      </c>
      <c r="J2702" s="294" t="inlineStr">
        <is>
          <t>Closing balance</t>
        </is>
      </c>
      <c r="K2702" s="23" t="inlineStr">
        <is>
          <t>Amount Repaid</t>
        </is>
      </c>
      <c r="L2702" s="23" t="inlineStr">
        <is>
          <t>Accumulated Arrears</t>
        </is>
      </c>
    </row>
    <row r="2703">
      <c r="B2703" s="1" t="n">
        <v>0</v>
      </c>
      <c r="C2703" s="24" t="n">
        <v>44875</v>
      </c>
      <c r="D2703" s="24" t="n">
        <v>44895</v>
      </c>
      <c r="E2703" s="25">
        <f>D2703-C2703+1</f>
        <v/>
      </c>
      <c r="F2703" s="319">
        <f>D2694</f>
        <v/>
      </c>
      <c r="G2703" s="319" t="n"/>
      <c r="H2703" s="317">
        <f>D2695/D2697*E2703*F2703/30</f>
        <v/>
      </c>
      <c r="I2703" s="319">
        <f>G2703-H2703</f>
        <v/>
      </c>
      <c r="J2703" s="319">
        <f>F2703+F2694-I2703</f>
        <v/>
      </c>
      <c r="K2703" s="516" t="n"/>
      <c r="L2703" s="516" t="n"/>
    </row>
    <row r="2704">
      <c r="B2704" s="1" t="n">
        <v>1</v>
      </c>
      <c r="C2704" s="24" t="n">
        <v>44896</v>
      </c>
      <c r="D2704" s="24" t="n">
        <v>44926</v>
      </c>
      <c r="E2704" s="25">
        <f>D2704-C2704+1</f>
        <v/>
      </c>
      <c r="F2704" s="319">
        <f>J2703</f>
        <v/>
      </c>
      <c r="G2704" s="319" t="n"/>
      <c r="H2704" s="317">
        <f>($D$2695/$D$2697*F2704)</f>
        <v/>
      </c>
      <c r="I2704" s="319">
        <f>G2704-H2704</f>
        <v/>
      </c>
      <c r="J2704" s="319">
        <f>F2704-I2704</f>
        <v/>
      </c>
      <c r="K2704" s="516" t="n"/>
      <c r="L2704" s="516" t="n"/>
    </row>
    <row r="2705">
      <c r="B2705" s="1" t="n">
        <v>2</v>
      </c>
      <c r="C2705" s="24" t="n">
        <v>44927</v>
      </c>
      <c r="D2705" s="24" t="n">
        <v>44957</v>
      </c>
      <c r="E2705" s="25">
        <f>D2705-C2705+1</f>
        <v/>
      </c>
      <c r="F2705" s="319">
        <f>J2704</f>
        <v/>
      </c>
      <c r="G2705" s="319" t="n"/>
      <c r="H2705" s="317">
        <f>($D$2695/$D$2697*F2705)</f>
        <v/>
      </c>
      <c r="I2705" s="319">
        <f>G2705-H2705</f>
        <v/>
      </c>
      <c r="J2705" s="319">
        <f>F2705-I2705</f>
        <v/>
      </c>
    </row>
    <row r="2706">
      <c r="B2706" s="1" t="n">
        <v>3</v>
      </c>
      <c r="C2706" s="24" t="n">
        <v>44958</v>
      </c>
      <c r="D2706" s="24" t="n">
        <v>44985</v>
      </c>
      <c r="E2706" s="25">
        <f>D2706-C2706+1</f>
        <v/>
      </c>
      <c r="F2706" s="319">
        <f>J2705</f>
        <v/>
      </c>
      <c r="G2706" s="319" t="n"/>
      <c r="H2706" s="317">
        <f>($D$2695/$D$2697*F2706)</f>
        <v/>
      </c>
      <c r="I2706" s="319">
        <f>G2706-H2706</f>
        <v/>
      </c>
      <c r="J2706" s="319">
        <f>F2706-I2706</f>
        <v/>
      </c>
      <c r="K2706" s="516" t="n"/>
      <c r="L2706" s="516" t="n"/>
    </row>
    <row r="2707">
      <c r="B2707" s="1" t="n">
        <v>4</v>
      </c>
      <c r="C2707" s="24" t="n">
        <v>44986</v>
      </c>
      <c r="D2707" s="24" t="n">
        <v>45016</v>
      </c>
      <c r="E2707" s="25">
        <f>D2707-C2707+1</f>
        <v/>
      </c>
      <c r="F2707" s="319">
        <f>J2706</f>
        <v/>
      </c>
      <c r="G2707" s="319">
        <f>-PMT($D$2695/$D$2697,21,$F$2707,,0)</f>
        <v/>
      </c>
      <c r="H2707" s="317">
        <f>($D$2695/$D$2697*F2707)</f>
        <v/>
      </c>
      <c r="I2707" s="319">
        <f>G2707-H2707</f>
        <v/>
      </c>
      <c r="J2707" s="319">
        <f>F2707-I2707</f>
        <v/>
      </c>
      <c r="K2707" s="516" t="n"/>
      <c r="L2707" s="516">
        <f>G2707</f>
        <v/>
      </c>
    </row>
    <row r="2708">
      <c r="B2708" s="1" t="n">
        <v>5</v>
      </c>
      <c r="C2708" s="24" t="n">
        <v>45017</v>
      </c>
      <c r="D2708" s="24" t="n">
        <v>45046</v>
      </c>
      <c r="E2708" s="25">
        <f>D2708-C2708+1</f>
        <v/>
      </c>
      <c r="F2708" s="319">
        <f>J2707</f>
        <v/>
      </c>
      <c r="G2708" s="319">
        <f>-PMT($D$2695/$D$2697,21,$F$2707,,0)</f>
        <v/>
      </c>
      <c r="H2708" s="317">
        <f>($D$2695/$D$2697*F2708)</f>
        <v/>
      </c>
      <c r="I2708" s="319">
        <f>G2708-H2708</f>
        <v/>
      </c>
      <c r="J2708" s="319">
        <f>F2708-I2708</f>
        <v/>
      </c>
      <c r="K2708" s="516" t="n"/>
      <c r="L2708" s="516">
        <f>L2707+G2708</f>
        <v/>
      </c>
    </row>
    <row r="2709">
      <c r="B2709" s="1" t="n">
        <v>6</v>
      </c>
      <c r="C2709" s="24" t="n">
        <v>45047</v>
      </c>
      <c r="D2709" s="24" t="n">
        <v>45077</v>
      </c>
      <c r="E2709" s="25">
        <f>D2709-C2709+1</f>
        <v/>
      </c>
      <c r="F2709" s="319">
        <f>J2708</f>
        <v/>
      </c>
      <c r="G2709" s="319">
        <f>-PMT($D$2695/$D$2697,21,$F$2707,,0)</f>
        <v/>
      </c>
      <c r="H2709" s="317">
        <f>($D$2695/$D$2697*F2709)</f>
        <v/>
      </c>
      <c r="I2709" s="319">
        <f>G2709-H2709</f>
        <v/>
      </c>
      <c r="J2709" s="319">
        <f>F2709-I2709</f>
        <v/>
      </c>
      <c r="K2709" s="516" t="n">
        <v>1250000</v>
      </c>
      <c r="L2709" s="516">
        <f>L2708+G2709-K2709</f>
        <v/>
      </c>
      <c r="N2709" s="148">
        <f>J2709+L2709</f>
        <v/>
      </c>
    </row>
    <row r="2710">
      <c r="B2710" s="1" t="n">
        <v>7</v>
      </c>
      <c r="C2710" s="24" t="n">
        <v>45078</v>
      </c>
      <c r="D2710" s="24" t="n">
        <v>45107</v>
      </c>
      <c r="E2710" s="25">
        <f>D2710-C2710+1</f>
        <v/>
      </c>
      <c r="F2710" s="319">
        <f>J2709</f>
        <v/>
      </c>
      <c r="G2710" s="319">
        <f>-PMT($D$2695/$D$2697,21,$F$2707,,0)</f>
        <v/>
      </c>
      <c r="H2710" s="317">
        <f>($D$2695/$D$2697*F2710)</f>
        <v/>
      </c>
      <c r="I2710" s="319">
        <f>G2710-H2710</f>
        <v/>
      </c>
      <c r="J2710" s="319">
        <f>F2710-I2710</f>
        <v/>
      </c>
      <c r="K2710" s="516">
        <f>1289518.28+1289550</f>
        <v/>
      </c>
      <c r="L2710" s="516">
        <f>L2709+G2710-K2710</f>
        <v/>
      </c>
    </row>
    <row r="2711">
      <c r="B2711" s="1" t="n">
        <v>8</v>
      </c>
      <c r="C2711" s="24" t="n">
        <v>45108</v>
      </c>
      <c r="D2711" s="24" t="n">
        <v>45138</v>
      </c>
      <c r="E2711" s="25">
        <f>D2711-C2711+1</f>
        <v/>
      </c>
      <c r="F2711" s="319">
        <f>J2710</f>
        <v/>
      </c>
      <c r="G2711" s="319">
        <f>-PMT($D$2695/$D$2697,21,$F$2707,,0)</f>
        <v/>
      </c>
      <c r="H2711" s="317">
        <f>($D$2695/$D$2697*F2711)</f>
        <v/>
      </c>
      <c r="I2711" s="319">
        <f>G2711-H2711</f>
        <v/>
      </c>
      <c r="J2711" s="319">
        <f>F2711-I2711</f>
        <v/>
      </c>
      <c r="K2711" s="516" t="n"/>
      <c r="L2711" s="516">
        <f>L2710+G2711-K2711</f>
        <v/>
      </c>
    </row>
    <row r="2712">
      <c r="B2712" s="1" t="n">
        <v>9</v>
      </c>
      <c r="C2712" s="24" t="n">
        <v>45139</v>
      </c>
      <c r="D2712" s="24" t="n">
        <v>45169</v>
      </c>
      <c r="E2712" s="25">
        <f>D2712-C2712+1</f>
        <v/>
      </c>
      <c r="F2712" s="319">
        <f>J2711</f>
        <v/>
      </c>
      <c r="G2712" s="319">
        <f>-PMT($D$2695/$D$2697,21,$F$2707,,0)</f>
        <v/>
      </c>
      <c r="H2712" s="317">
        <f>($D$2695/$D$2697*F2712)</f>
        <v/>
      </c>
      <c r="I2712" s="319">
        <f>G2712-H2712</f>
        <v/>
      </c>
      <c r="J2712" s="319">
        <f>F2712-I2712</f>
        <v/>
      </c>
      <c r="K2712" s="516" t="n">
        <v>1289550</v>
      </c>
      <c r="L2712" s="516">
        <f>L2711+G2712-K2712</f>
        <v/>
      </c>
    </row>
    <row r="2713">
      <c r="B2713" s="1" t="n">
        <v>10</v>
      </c>
      <c r="C2713" s="24" t="n">
        <v>45170</v>
      </c>
      <c r="D2713" s="24" t="n">
        <v>45199</v>
      </c>
      <c r="E2713" s="25">
        <f>D2713-C2713+1</f>
        <v/>
      </c>
      <c r="F2713" s="319">
        <f>J2712</f>
        <v/>
      </c>
      <c r="G2713" s="319">
        <f>-PMT($D$2695/$D$2697,21,$F$2707,,0)</f>
        <v/>
      </c>
      <c r="H2713" s="317">
        <f>($D$2695/$D$2697*F2713)</f>
        <v/>
      </c>
      <c r="I2713" s="319">
        <f>G2713-H2713</f>
        <v/>
      </c>
      <c r="J2713" s="319">
        <f>F2713-I2713</f>
        <v/>
      </c>
      <c r="K2713" s="516" t="n">
        <v>1289550</v>
      </c>
      <c r="L2713" s="516">
        <f>L2712+G2713-K2713</f>
        <v/>
      </c>
    </row>
    <row r="2714">
      <c r="B2714" s="1" t="n">
        <v>11</v>
      </c>
      <c r="C2714" s="24" t="n">
        <v>45200</v>
      </c>
      <c r="D2714" s="24" t="n">
        <v>45230</v>
      </c>
      <c r="E2714" s="25">
        <f>D2714-C2714+1</f>
        <v/>
      </c>
      <c r="F2714" s="319">
        <f>J2713</f>
        <v/>
      </c>
      <c r="G2714" s="319">
        <f>-PMT($D$2695/$D$2697,21,$F$2707,,0)</f>
        <v/>
      </c>
      <c r="H2714" s="319">
        <f>($D$2695/$D$2697*F2714)</f>
        <v/>
      </c>
      <c r="I2714" s="319">
        <f>G2714-H2714</f>
        <v/>
      </c>
      <c r="J2714" s="319">
        <f>F2714-I2714</f>
        <v/>
      </c>
      <c r="K2714" s="516">
        <f>1290000+1289550</f>
        <v/>
      </c>
      <c r="L2714" s="516">
        <f>L2713+G2714-K2714</f>
        <v/>
      </c>
    </row>
    <row r="2715">
      <c r="B2715" s="1" t="n">
        <v>12</v>
      </c>
      <c r="C2715" s="24" t="n">
        <v>45231</v>
      </c>
      <c r="D2715" s="24" t="n">
        <v>45260</v>
      </c>
      <c r="E2715" s="25">
        <f>D2715-C2715+1</f>
        <v/>
      </c>
      <c r="F2715" s="319">
        <f>J2714</f>
        <v/>
      </c>
      <c r="G2715" s="319">
        <f>-PMT($D$2695/$D$2697,21,$F$2707,,0)</f>
        <v/>
      </c>
      <c r="H2715" s="319">
        <f>($D$2695/$D$2697*F2715)</f>
        <v/>
      </c>
      <c r="I2715" s="319">
        <f>G2715-H2715</f>
        <v/>
      </c>
      <c r="J2715" s="319">
        <f>F2715-I2715</f>
        <v/>
      </c>
      <c r="K2715" s="516" t="n">
        <v>1289550</v>
      </c>
      <c r="L2715" s="516">
        <f>L2714+G2715-K2715</f>
        <v/>
      </c>
    </row>
    <row r="2716">
      <c r="B2716" s="1" t="n">
        <v>13</v>
      </c>
      <c r="C2716" s="24" t="n">
        <v>45261</v>
      </c>
      <c r="D2716" s="24" t="n">
        <v>45291</v>
      </c>
      <c r="E2716" s="25">
        <f>D2716-C2716+1</f>
        <v/>
      </c>
      <c r="F2716" s="319">
        <f>J2715</f>
        <v/>
      </c>
      <c r="G2716" s="319">
        <f>-PMT($D$2695/$D$2697,21,$F$2707,,0)</f>
        <v/>
      </c>
      <c r="H2716" s="319">
        <f>($D$2695/$D$2697*F2716)</f>
        <v/>
      </c>
      <c r="I2716" s="319">
        <f>G2716-H2716</f>
        <v/>
      </c>
      <c r="J2716" s="319">
        <f>F2716-I2716</f>
        <v/>
      </c>
      <c r="K2716" s="516" t="n">
        <v>15997000</v>
      </c>
      <c r="L2716" s="520">
        <f>L2715+G2716-K2716</f>
        <v/>
      </c>
    </row>
    <row r="2717">
      <c r="B2717" s="1" t="n">
        <v>14</v>
      </c>
      <c r="C2717" s="24" t="n">
        <v>45292</v>
      </c>
      <c r="D2717" s="24" t="n">
        <v>45322</v>
      </c>
      <c r="E2717" s="25">
        <f>D2717-C2717+1</f>
        <v/>
      </c>
      <c r="F2717" s="319">
        <f>J2716</f>
        <v/>
      </c>
      <c r="G2717" s="319">
        <f>-PMT($D$2695/$D$2697,21,$F$2707,,0)</f>
        <v/>
      </c>
      <c r="H2717" s="319">
        <f>($D$2695/$D$2697*F2717)</f>
        <v/>
      </c>
      <c r="I2717" s="319">
        <f>G2717-H2717</f>
        <v/>
      </c>
      <c r="J2717" s="319">
        <f>F2717-I2717</f>
        <v/>
      </c>
      <c r="K2717" s="516" t="n"/>
      <c r="L2717" s="516" t="n"/>
    </row>
    <row r="2718">
      <c r="B2718" s="1" t="n">
        <v>15</v>
      </c>
      <c r="C2718" s="24" t="n">
        <v>45323</v>
      </c>
      <c r="D2718" s="24" t="n">
        <v>45351</v>
      </c>
      <c r="E2718" s="25">
        <f>D2718-C2718+1</f>
        <v/>
      </c>
      <c r="F2718" s="319">
        <f>J2717</f>
        <v/>
      </c>
      <c r="G2718" s="319">
        <f>-PMT($D$2695/$D$2697,21,$F$2707,,0)</f>
        <v/>
      </c>
      <c r="H2718" s="319">
        <f>($D$2695/$D$2697*F2718)</f>
        <v/>
      </c>
      <c r="I2718" s="319">
        <f>G2718-H2718</f>
        <v/>
      </c>
      <c r="J2718" s="319">
        <f>F2718-I2718</f>
        <v/>
      </c>
      <c r="K2718" s="516" t="n"/>
      <c r="L2718" s="516" t="n"/>
    </row>
    <row r="2719">
      <c r="B2719" s="1" t="n">
        <v>16</v>
      </c>
      <c r="C2719" s="24" t="n">
        <v>45352</v>
      </c>
      <c r="D2719" s="24" t="n">
        <v>45382</v>
      </c>
      <c r="E2719" s="25">
        <f>D2719-C2719+1</f>
        <v/>
      </c>
      <c r="F2719" s="319">
        <f>J2718</f>
        <v/>
      </c>
      <c r="G2719" s="319">
        <f>-PMT($D$2695/$D$2697,21,$F$2707,,0)</f>
        <v/>
      </c>
      <c r="H2719" s="319">
        <f>($D$2695/$D$2697*F2719)</f>
        <v/>
      </c>
      <c r="I2719" s="319">
        <f>G2719-H2719</f>
        <v/>
      </c>
      <c r="J2719" s="319">
        <f>F2719-I2719</f>
        <v/>
      </c>
      <c r="K2719" s="516" t="n"/>
      <c r="L2719" s="516" t="n"/>
    </row>
    <row r="2720">
      <c r="B2720" s="1" t="n">
        <v>17</v>
      </c>
      <c r="C2720" s="24" t="n">
        <v>45383</v>
      </c>
      <c r="D2720" s="24" t="n">
        <v>45412</v>
      </c>
      <c r="E2720" s="25">
        <f>D2720-C2720+1</f>
        <v/>
      </c>
      <c r="F2720" s="319">
        <f>J2719</f>
        <v/>
      </c>
      <c r="G2720" s="319">
        <f>-PMT($D$2695/$D$2697,21,$F$2707,,0)</f>
        <v/>
      </c>
      <c r="H2720" s="319">
        <f>($D$2695/$D$2697*F2720)</f>
        <v/>
      </c>
      <c r="I2720" s="319">
        <f>G2720-H2720</f>
        <v/>
      </c>
      <c r="J2720" s="319">
        <f>F2720-I2720</f>
        <v/>
      </c>
      <c r="K2720" s="516" t="n"/>
      <c r="L2720" s="516" t="n"/>
    </row>
    <row r="2721">
      <c r="B2721" s="1" t="n">
        <v>18</v>
      </c>
      <c r="C2721" s="24" t="n">
        <v>45413</v>
      </c>
      <c r="D2721" s="24" t="n">
        <v>45443</v>
      </c>
      <c r="E2721" s="25">
        <f>D2721-C2721+1</f>
        <v/>
      </c>
      <c r="F2721" s="319">
        <f>J2720</f>
        <v/>
      </c>
      <c r="G2721" s="319">
        <f>-PMT($D$2695/$D$2697,21,$F$2707,,0)</f>
        <v/>
      </c>
      <c r="H2721" s="319">
        <f>($D$2695/$D$2697*F2721)</f>
        <v/>
      </c>
      <c r="I2721" s="319">
        <f>G2721-H2721</f>
        <v/>
      </c>
      <c r="J2721" s="319">
        <f>F2721-I2721</f>
        <v/>
      </c>
      <c r="K2721" s="516" t="n"/>
      <c r="L2721" s="516" t="n"/>
    </row>
    <row r="2722">
      <c r="B2722" s="1" t="n">
        <v>19</v>
      </c>
      <c r="C2722" s="24" t="n">
        <v>45444</v>
      </c>
      <c r="D2722" s="24" t="n">
        <v>45473</v>
      </c>
      <c r="E2722" s="25">
        <f>D2722-C2722+1</f>
        <v/>
      </c>
      <c r="F2722" s="319">
        <f>J2721</f>
        <v/>
      </c>
      <c r="G2722" s="319">
        <f>-PMT($D$2695/$D$2697,21,$F$2707,,0)</f>
        <v/>
      </c>
      <c r="H2722" s="319">
        <f>($D$2695/$D$2697*F2722)</f>
        <v/>
      </c>
      <c r="I2722" s="319">
        <f>G2722-H2722</f>
        <v/>
      </c>
      <c r="J2722" s="319">
        <f>F2722-I2722</f>
        <v/>
      </c>
      <c r="K2722" s="516" t="n"/>
      <c r="L2722" s="516" t="n"/>
    </row>
    <row r="2723">
      <c r="B2723" s="1" t="n">
        <v>20</v>
      </c>
      <c r="C2723" s="24" t="n">
        <v>45474</v>
      </c>
      <c r="D2723" s="24" t="n">
        <v>45504</v>
      </c>
      <c r="E2723" s="25">
        <f>D2723-C2723+1</f>
        <v/>
      </c>
      <c r="F2723" s="319">
        <f>J2722</f>
        <v/>
      </c>
      <c r="G2723" s="319">
        <f>-PMT($D$2695/$D$2697,21,$F$2707,,0)</f>
        <v/>
      </c>
      <c r="H2723" s="319">
        <f>($D$2695/$D$2697*F2723)</f>
        <v/>
      </c>
      <c r="I2723" s="319">
        <f>G2723-H2723</f>
        <v/>
      </c>
      <c r="J2723" s="319">
        <f>F2723-I2723</f>
        <v/>
      </c>
      <c r="K2723" s="516" t="n"/>
      <c r="L2723" s="516" t="n"/>
    </row>
    <row r="2724">
      <c r="B2724" s="1" t="n">
        <v>21</v>
      </c>
      <c r="C2724" s="24" t="n">
        <v>45505</v>
      </c>
      <c r="D2724" s="24" t="n">
        <v>45535</v>
      </c>
      <c r="E2724" s="25">
        <f>D2724-C2724+1</f>
        <v/>
      </c>
      <c r="F2724" s="319">
        <f>J2723</f>
        <v/>
      </c>
      <c r="G2724" s="319">
        <f>-PMT($D$2695/$D$2697,21,$F$2707,,0)</f>
        <v/>
      </c>
      <c r="H2724" s="319">
        <f>($D$2695/$D$2697*F2724)</f>
        <v/>
      </c>
      <c r="I2724" s="319">
        <f>G2724-H2724</f>
        <v/>
      </c>
      <c r="J2724" s="319">
        <f>F2724-I2724</f>
        <v/>
      </c>
      <c r="K2724" s="516" t="n"/>
      <c r="L2724" s="516" t="n"/>
    </row>
    <row r="2725">
      <c r="B2725" s="1" t="n">
        <v>22</v>
      </c>
      <c r="C2725" s="24" t="n">
        <v>45536</v>
      </c>
      <c r="D2725" s="24" t="n">
        <v>45565</v>
      </c>
      <c r="E2725" s="25">
        <f>D2725-C2725+1</f>
        <v/>
      </c>
      <c r="F2725" s="319">
        <f>J2724</f>
        <v/>
      </c>
      <c r="G2725" s="319">
        <f>-PMT($D$2695/$D$2697,21,$F$2707,,0)</f>
        <v/>
      </c>
      <c r="H2725" s="319">
        <f>($D$2695/$D$2697*F2725)</f>
        <v/>
      </c>
      <c r="I2725" s="319">
        <f>G2725-H2725</f>
        <v/>
      </c>
      <c r="J2725" s="319">
        <f>F2725-I2725</f>
        <v/>
      </c>
      <c r="K2725" s="516" t="n"/>
      <c r="L2725" s="516" t="n"/>
    </row>
    <row r="2726">
      <c r="B2726" s="1" t="n">
        <v>23</v>
      </c>
      <c r="C2726" s="24" t="n">
        <v>45566</v>
      </c>
      <c r="D2726" s="24" t="n">
        <v>45596</v>
      </c>
      <c r="E2726" s="25">
        <f>D2726-C2726+1</f>
        <v/>
      </c>
      <c r="F2726" s="319">
        <f>J2725</f>
        <v/>
      </c>
      <c r="G2726" s="319">
        <f>-PMT($D$2695/$D$2697,21,$F$2707,,0)</f>
        <v/>
      </c>
      <c r="H2726" s="319">
        <f>($D$2695/$D$2697*F2726)</f>
        <v/>
      </c>
      <c r="I2726" s="319">
        <f>G2726-H2726</f>
        <v/>
      </c>
      <c r="J2726" s="319">
        <f>F2726-I2726</f>
        <v/>
      </c>
      <c r="K2726" s="516" t="n"/>
      <c r="L2726" s="516" t="n"/>
    </row>
    <row r="2727">
      <c r="B2727" s="1" t="n">
        <v>24</v>
      </c>
      <c r="C2727" s="24" t="n">
        <v>45597</v>
      </c>
      <c r="D2727" s="24" t="n">
        <v>45626</v>
      </c>
      <c r="E2727" s="25">
        <f>D2727-C2727+1</f>
        <v/>
      </c>
      <c r="F2727" s="319">
        <f>J2726</f>
        <v/>
      </c>
      <c r="G2727" s="319">
        <f>-PMT($D$2695/$D$2697,21,$F$2707,,0)</f>
        <v/>
      </c>
      <c r="H2727" s="319">
        <f>($D$2695/$D$2697*F2727)</f>
        <v/>
      </c>
      <c r="I2727" s="319">
        <f>G2727-H2727</f>
        <v/>
      </c>
      <c r="J2727" s="319">
        <f>F2727-I2727</f>
        <v/>
      </c>
      <c r="K2727" s="516" t="n"/>
      <c r="L2727" s="516" t="n"/>
    </row>
    <row r="2728">
      <c r="B2728" s="1" t="n"/>
      <c r="C2728" s="24" t="n"/>
      <c r="D2728" s="24" t="n"/>
      <c r="E2728" s="25" t="n"/>
      <c r="F2728" s="319" t="n"/>
      <c r="G2728" s="319" t="n"/>
      <c r="H2728" s="319" t="n"/>
      <c r="I2728" s="319" t="n"/>
      <c r="J2728" s="319" t="n"/>
      <c r="K2728" s="516" t="n"/>
      <c r="L2728" s="516" t="n"/>
    </row>
    <row r="2729">
      <c r="B2729" s="1" t="n"/>
      <c r="C2729" s="24" t="n"/>
      <c r="D2729" s="24" t="n"/>
      <c r="E2729" s="30">
        <f>SUM(E2703:E2727)</f>
        <v/>
      </c>
      <c r="F2729" s="319" t="n"/>
      <c r="G2729" s="319" t="n"/>
      <c r="H2729" s="319" t="n"/>
      <c r="I2729" s="319" t="n"/>
      <c r="J2729" s="319" t="n"/>
      <c r="K2729" s="516" t="n"/>
      <c r="L2729" s="516" t="n"/>
    </row>
    <row r="2739">
      <c r="B2739" s="1" t="n"/>
      <c r="C2739" s="9" t="inlineStr">
        <is>
          <t>Kambewu Organic Fertilizer Investments</t>
        </is>
      </c>
      <c r="D2739" s="319" t="n"/>
      <c r="E2739" s="319" t="n"/>
      <c r="F2739" s="319" t="n"/>
      <c r="G2739" s="319" t="n"/>
      <c r="H2739" s="319" t="n"/>
      <c r="I2739" s="319" t="n"/>
      <c r="J2739" s="319" t="n"/>
      <c r="K2739" s="319" t="n"/>
      <c r="L2739" s="319" t="n"/>
      <c r="R2739" s="514" t="inlineStr">
        <is>
          <t>E-Banker account (Dupleix)</t>
        </is>
      </c>
      <c r="S2739" s="495">
        <f>IFERROR(INDEX('Blocks'!$I$2:$I$101,MATCH(51,'Blocks'!$A$2:$A$101,0)),"")</f>
        <v/>
      </c>
    </row>
    <row r="2740">
      <c r="B2740" s="1" t="n"/>
      <c r="C2740" s="1" t="n"/>
      <c r="D2740" s="319" t="inlineStr">
        <is>
          <t>First Draw Down</t>
        </is>
      </c>
      <c r="E2740" s="319" t="n"/>
      <c r="F2740" s="319" t="n"/>
      <c r="G2740" s="319" t="inlineStr">
        <is>
          <t>Second draw down</t>
        </is>
      </c>
      <c r="H2740" s="319" t="inlineStr">
        <is>
          <t>3rd drawdown</t>
        </is>
      </c>
      <c r="J2740" s="319" t="inlineStr">
        <is>
          <t>4th draw down</t>
        </is>
      </c>
      <c r="K2740" s="319" t="inlineStr">
        <is>
          <t>Last draw down</t>
        </is>
      </c>
      <c r="L2740" s="319" t="n"/>
      <c r="R2740" s="514" t="inlineStr">
        <is>
          <t>Facility (Loan Book)</t>
        </is>
      </c>
      <c r="S2740" s="495">
        <f>IFERROR(INDEX('Blocks'!$H$2:$H$101,MATCH(51,'Blocks'!$A$2:$A$101,0)),"")</f>
        <v/>
      </c>
    </row>
    <row r="2741">
      <c r="B2741" s="1" t="n"/>
      <c r="C2741" s="10" t="inlineStr">
        <is>
          <t>Principal (MK)</t>
        </is>
      </c>
      <c r="D2741" s="11" t="n">
        <v>11138947</v>
      </c>
      <c r="E2741" s="319" t="n"/>
      <c r="F2741" s="319" t="n"/>
      <c r="G2741" s="319" t="n">
        <v>32244925.5</v>
      </c>
      <c r="H2741" s="319" t="n">
        <v>17319667.02</v>
      </c>
      <c r="J2741" s="319" t="n">
        <v>21200287.9</v>
      </c>
      <c r="K2741" s="319" t="n">
        <v>21262672.88</v>
      </c>
      <c r="L2741" s="319" t="n"/>
      <c r="R2741" s="514" t="inlineStr">
        <is>
          <t>Take-on posting 31 Jul 2024</t>
        </is>
      </c>
      <c r="S2741" s="496">
        <f>IFERROR(INDEX('E-Banker master'!$N$2:$N$186,MATCH(S2739,'E-Banker master'!$A$2:$A$186,0)),"")</f>
        <v/>
      </c>
    </row>
    <row r="2742">
      <c r="B2742" s="1" t="n"/>
      <c r="C2742" s="13" t="inlineStr">
        <is>
          <t>Rate</t>
        </is>
      </c>
      <c r="D2742" s="14" t="n">
        <v>0.246</v>
      </c>
      <c r="E2742" s="257" t="n"/>
      <c r="F2742" s="319" t="inlineStr">
        <is>
          <t>16.6% to 17.3%</t>
        </is>
      </c>
      <c r="G2742" s="290" t="inlineStr">
        <is>
          <t>17.3% to 20%</t>
        </is>
      </c>
      <c r="H2742" s="290" t="inlineStr">
        <is>
          <t>20% to 21.40%</t>
        </is>
      </c>
      <c r="I2742" s="290" t="inlineStr">
        <is>
          <t>21.40 to 22.70%</t>
        </is>
      </c>
      <c r="J2742" s="290" t="inlineStr">
        <is>
          <t>22.70% to 23.40%</t>
        </is>
      </c>
      <c r="K2742" s="290" t="inlineStr">
        <is>
          <t>23.40% to 23.50%</t>
        </is>
      </c>
      <c r="L2742" s="290" t="inlineStr">
        <is>
          <t>23.50% to 23.60%</t>
        </is>
      </c>
      <c r="M2742" s="290" t="inlineStr">
        <is>
          <t>23.60% to 24.90%</t>
        </is>
      </c>
      <c r="N2742" s="290" t="inlineStr">
        <is>
          <t>24.90% to 25%</t>
        </is>
      </c>
      <c r="O2742" s="290" t="inlineStr">
        <is>
          <t>25.00% to 25.10%</t>
        </is>
      </c>
      <c r="P2742" s="290" t="inlineStr">
        <is>
          <t>25.10% to 25.140%</t>
        </is>
      </c>
      <c r="R2742" s="514" t="inlineStr">
        <is>
          <t>E-Banker balance 31 Oct 2024</t>
        </is>
      </c>
      <c r="S2742" s="496">
        <f>IFERROR(INDEX('E-Banker master'!$P$2:$P$186,MATCH(S2739,'E-Banker master'!$A$2:$A$186,0)),"")</f>
        <v/>
      </c>
    </row>
    <row r="2743">
      <c r="B2743" s="1" t="n"/>
      <c r="C2743" s="13" t="inlineStr">
        <is>
          <t>n</t>
        </is>
      </c>
      <c r="D2743" s="16" t="n">
        <v>4</v>
      </c>
      <c r="E2743" s="1" t="n"/>
      <c r="F2743" s="290" t="n">
        <v>44896</v>
      </c>
      <c r="G2743" s="290" t="n">
        <v>45047</v>
      </c>
      <c r="H2743" s="248" t="n">
        <v>45108</v>
      </c>
      <c r="I2743" s="290" t="n">
        <v>45139</v>
      </c>
      <c r="J2743" s="248" t="n">
        <v>45170</v>
      </c>
      <c r="K2743" s="248" t="n">
        <v>45200</v>
      </c>
      <c r="L2743" s="248" t="n">
        <v>45261</v>
      </c>
      <c r="M2743" s="248" t="n">
        <v>44958</v>
      </c>
      <c r="N2743" s="248" t="n">
        <v>45047</v>
      </c>
      <c r="O2743" s="248" t="n">
        <v>45078</v>
      </c>
      <c r="P2743" s="248" t="n">
        <v>45078</v>
      </c>
    </row>
    <row r="2744">
      <c r="B2744" s="1" t="n"/>
      <c r="C2744" s="13" t="inlineStr">
        <is>
          <t>Per</t>
        </is>
      </c>
      <c r="D2744" s="16" t="n">
        <v>12</v>
      </c>
      <c r="E2744" s="1" t="n"/>
      <c r="F2744" s="290" t="inlineStr">
        <is>
          <t>Rate Adj</t>
        </is>
      </c>
      <c r="G2744" s="290" t="inlineStr">
        <is>
          <t>Rate Adj</t>
        </is>
      </c>
      <c r="H2744" s="290" t="inlineStr">
        <is>
          <t>Rate Adj</t>
        </is>
      </c>
      <c r="I2744" s="290" t="inlineStr">
        <is>
          <t>Rate Adj</t>
        </is>
      </c>
      <c r="J2744" s="290" t="inlineStr">
        <is>
          <t>Rate Adj</t>
        </is>
      </c>
      <c r="K2744" s="290" t="inlineStr">
        <is>
          <t>Rate Adj</t>
        </is>
      </c>
      <c r="L2744" s="290" t="inlineStr">
        <is>
          <t>Rate Adj</t>
        </is>
      </c>
      <c r="M2744" s="290" t="inlineStr">
        <is>
          <t>Rate Adj</t>
        </is>
      </c>
      <c r="N2744" s="290" t="inlineStr">
        <is>
          <t>Rate Adj</t>
        </is>
      </c>
      <c r="O2744" s="290" t="inlineStr">
        <is>
          <t>Rate Adj</t>
        </is>
      </c>
      <c r="P2744" s="290" t="inlineStr">
        <is>
          <t>Rate Adj</t>
        </is>
      </c>
    </row>
    <row r="2745">
      <c r="B2745" s="1" t="n"/>
      <c r="C2745" s="13" t="inlineStr">
        <is>
          <t>nPer</t>
        </is>
      </c>
      <c r="D2745" s="515">
        <f>D2743*D2744</f>
        <v/>
      </c>
      <c r="E2745" s="1" t="n"/>
      <c r="F2745" s="319">
        <f>D2742+0.7%</f>
        <v/>
      </c>
      <c r="G2745" s="319">
        <f>F2745+2.7%</f>
        <v/>
      </c>
      <c r="H2745" s="257">
        <f>G2745+1.4%</f>
        <v/>
      </c>
      <c r="I2745" s="319">
        <f>J2387+1.3%</f>
        <v/>
      </c>
      <c r="J2745" s="279">
        <f>I2745+0.7%</f>
        <v/>
      </c>
      <c r="K2745" s="279">
        <f>J2745+0.1%</f>
        <v/>
      </c>
      <c r="L2745" s="257">
        <f>K2745+0.1%</f>
        <v/>
      </c>
      <c r="M2745" s="257">
        <f>L2745+1.3%</f>
        <v/>
      </c>
      <c r="N2745" s="257">
        <f>M2745+0.1%</f>
        <v/>
      </c>
      <c r="O2745" s="257">
        <f>N2745+0.1%</f>
        <v/>
      </c>
      <c r="P2745" s="257">
        <f>O2745+0.3%</f>
        <v/>
      </c>
    </row>
    <row r="2746">
      <c r="B2746" s="1" t="n"/>
      <c r="C2746" s="13" t="inlineStr">
        <is>
          <t>Days in a year</t>
        </is>
      </c>
      <c r="D2746" s="18" t="n">
        <v>365</v>
      </c>
      <c r="E2746" s="1" t="n"/>
      <c r="F2746" s="319" t="n"/>
      <c r="G2746" s="319" t="n"/>
      <c r="H2746" s="319" t="n"/>
      <c r="J2746" s="319" t="n"/>
      <c r="K2746" s="1" t="n"/>
      <c r="L2746" s="1" t="n"/>
    </row>
    <row r="2747">
      <c r="B2747" s="1" t="n"/>
      <c r="C2747" s="19" t="inlineStr">
        <is>
          <t>Pmt (MK)</t>
        </is>
      </c>
      <c r="D2747" s="20">
        <f>-PMT(D2742/D2744,D2745,D2741,0,0)</f>
        <v/>
      </c>
      <c r="E2747" s="319" t="n"/>
      <c r="F2747" s="319" t="n"/>
      <c r="G2747" s="319" t="n"/>
      <c r="H2747" s="319" t="n"/>
      <c r="I2747" s="319" t="n"/>
      <c r="J2747" s="319" t="n"/>
      <c r="K2747" s="1" t="n"/>
      <c r="L2747" s="1" t="n"/>
    </row>
    <row r="2748">
      <c r="B2748" s="1" t="n"/>
      <c r="C2748" s="1" t="n"/>
      <c r="D2748" s="319" t="n"/>
      <c r="E2748" s="319" t="n"/>
      <c r="F2748" s="319" t="n"/>
      <c r="G2748" s="319" t="n"/>
      <c r="H2748" s="319" t="n"/>
      <c r="I2748" s="319" t="n"/>
      <c r="J2748" s="319" t="n"/>
      <c r="K2748" s="1" t="n"/>
      <c r="L2748" s="1" t="n"/>
    </row>
    <row r="2749">
      <c r="B2749" s="1" t="n"/>
      <c r="C2749" s="21" t="inlineStr">
        <is>
          <t>Period Start</t>
        </is>
      </c>
      <c r="D2749" s="22" t="inlineStr">
        <is>
          <t>Period End</t>
        </is>
      </c>
      <c r="E2749" s="22" t="inlineStr">
        <is>
          <t>Days</t>
        </is>
      </c>
      <c r="F2749" s="294" t="inlineStr">
        <is>
          <t>Opening bal.</t>
        </is>
      </c>
      <c r="G2749" s="294" t="inlineStr">
        <is>
          <t>Pmt</t>
        </is>
      </c>
      <c r="H2749" s="294" t="inlineStr">
        <is>
          <t>Interest</t>
        </is>
      </c>
      <c r="I2749" s="294" t="inlineStr">
        <is>
          <t>Principal</t>
        </is>
      </c>
      <c r="J2749" s="294" t="inlineStr">
        <is>
          <t>Closing balance</t>
        </is>
      </c>
      <c r="K2749" s="23" t="inlineStr">
        <is>
          <t>Amount Repaid</t>
        </is>
      </c>
      <c r="L2749" s="23" t="inlineStr">
        <is>
          <t>Accumulated Arrears</t>
        </is>
      </c>
    </row>
    <row r="2750">
      <c r="B2750" s="1" t="n">
        <v>0</v>
      </c>
      <c r="C2750" s="24" t="n">
        <v>44883</v>
      </c>
      <c r="D2750" s="24" t="n">
        <v>44895</v>
      </c>
      <c r="E2750" s="25">
        <f>D2750-C2750+1</f>
        <v/>
      </c>
      <c r="F2750" s="319">
        <f>D2741</f>
        <v/>
      </c>
      <c r="G2750" s="319" t="n"/>
      <c r="H2750" s="319">
        <f>($D$2742/$D$2744*F2750*E2750/30)</f>
        <v/>
      </c>
      <c r="I2750" s="319">
        <f>G2750-H2750</f>
        <v/>
      </c>
      <c r="J2750" s="319">
        <f>F2750+F2741-I2750</f>
        <v/>
      </c>
      <c r="K2750" s="516" t="n"/>
      <c r="L2750" s="516" t="n"/>
    </row>
    <row r="2751">
      <c r="B2751" s="1" t="n">
        <v>1</v>
      </c>
      <c r="C2751" s="24" t="n">
        <v>44896</v>
      </c>
      <c r="D2751" s="24" t="n">
        <v>44926</v>
      </c>
      <c r="E2751" s="25">
        <f>D2751-C2751+1</f>
        <v/>
      </c>
      <c r="F2751" s="319">
        <f>J2750</f>
        <v/>
      </c>
      <c r="G2751" s="319" t="n"/>
      <c r="H2751" s="319">
        <f>($F$2745/$D$2744*F2751)+(G2741*23*F2745/365)</f>
        <v/>
      </c>
      <c r="I2751" s="319">
        <f>G2751-H2751</f>
        <v/>
      </c>
      <c r="J2751" s="319">
        <f>F2751-I2751+G2741</f>
        <v/>
      </c>
      <c r="K2751" s="516" t="n"/>
      <c r="L2751" s="516" t="n"/>
    </row>
    <row r="2752">
      <c r="B2752" s="1" t="n">
        <v>2</v>
      </c>
      <c r="C2752" s="24" t="n">
        <v>44927</v>
      </c>
      <c r="D2752" s="24" t="n">
        <v>44957</v>
      </c>
      <c r="E2752" s="25">
        <f>D2752-C2752+1</f>
        <v/>
      </c>
      <c r="F2752" s="319">
        <f>J2751</f>
        <v/>
      </c>
      <c r="G2752" s="319" t="n"/>
      <c r="H2752" s="319">
        <f>($F$2745/$D$2744*F2752)</f>
        <v/>
      </c>
      <c r="I2752" s="319">
        <f>G2752-H2752</f>
        <v/>
      </c>
      <c r="J2752" s="319">
        <f>F2752-I2752</f>
        <v/>
      </c>
    </row>
    <row r="2753">
      <c r="B2753" s="1" t="n">
        <v>3</v>
      </c>
      <c r="C2753" s="24" t="n">
        <v>44958</v>
      </c>
      <c r="D2753" s="24" t="n">
        <v>44985</v>
      </c>
      <c r="E2753" s="25">
        <f>D2753-C2753+1</f>
        <v/>
      </c>
      <c r="F2753" s="319">
        <f>J2752</f>
        <v/>
      </c>
      <c r="G2753" s="319" t="n"/>
      <c r="H2753" s="319">
        <f>($F$2745/$D$2744*F2753)+(H2741*F2745*21/365)</f>
        <v/>
      </c>
      <c r="I2753" s="319">
        <f>G2753-H2753</f>
        <v/>
      </c>
      <c r="J2753" s="319">
        <f>F2753-I2753+H2741</f>
        <v/>
      </c>
      <c r="K2753" s="516" t="n"/>
      <c r="L2753" s="516" t="n"/>
    </row>
    <row r="2754">
      <c r="B2754" s="1" t="n">
        <v>4</v>
      </c>
      <c r="C2754" s="24" t="n">
        <v>44986</v>
      </c>
      <c r="D2754" s="24" t="n">
        <v>45016</v>
      </c>
      <c r="E2754" s="25">
        <f>D2754-C2754+1</f>
        <v/>
      </c>
      <c r="F2754" s="319">
        <f>J2753</f>
        <v/>
      </c>
      <c r="G2754" s="319" t="n"/>
      <c r="H2754" s="319">
        <f>($F$2745/$D$2744*F2754)</f>
        <v/>
      </c>
      <c r="I2754" s="319">
        <f>G2754-H2754</f>
        <v/>
      </c>
      <c r="J2754" s="319">
        <f>F2754-I2754+J2741</f>
        <v/>
      </c>
      <c r="K2754" s="516" t="n"/>
      <c r="L2754" s="516" t="n"/>
    </row>
    <row r="2755">
      <c r="B2755" s="1" t="n">
        <v>5</v>
      </c>
      <c r="C2755" s="24" t="n">
        <v>45017</v>
      </c>
      <c r="D2755" s="24" t="n">
        <v>45046</v>
      </c>
      <c r="E2755" s="25">
        <f>D2755-C2755+1</f>
        <v/>
      </c>
      <c r="F2755" s="319">
        <f>J2754</f>
        <v/>
      </c>
      <c r="G2755" s="319" t="n"/>
      <c r="H2755" s="319">
        <f>($F$2745/$D$2744*F2755)</f>
        <v/>
      </c>
      <c r="I2755" s="319">
        <f>G2755-H2755</f>
        <v/>
      </c>
      <c r="J2755" s="319">
        <f>F2755-I2755</f>
        <v/>
      </c>
      <c r="K2755" s="516" t="n"/>
      <c r="L2755" s="516" t="n"/>
    </row>
    <row r="2756">
      <c r="B2756" s="1" t="n">
        <v>6</v>
      </c>
      <c r="C2756" s="24" t="n">
        <v>45047</v>
      </c>
      <c r="D2756" s="24" t="n">
        <v>45077</v>
      </c>
      <c r="E2756" s="25">
        <f>D2756-C2756+1</f>
        <v/>
      </c>
      <c r="F2756" s="319">
        <f>J2755</f>
        <v/>
      </c>
      <c r="G2756" s="319" t="n"/>
      <c r="H2756" s="319">
        <f>($G$2745/$D$2744*F2756)</f>
        <v/>
      </c>
      <c r="I2756" s="319">
        <f>G2756-H2756</f>
        <v/>
      </c>
      <c r="J2756" s="319">
        <f>F2756-I2756</f>
        <v/>
      </c>
      <c r="K2756" s="516" t="n"/>
      <c r="L2756" s="519" t="n"/>
    </row>
    <row r="2757">
      <c r="B2757" s="1" t="n">
        <v>7</v>
      </c>
      <c r="C2757" s="24" t="n">
        <v>45078</v>
      </c>
      <c r="D2757" s="24" t="n">
        <v>45107</v>
      </c>
      <c r="E2757" s="25">
        <f>D2757-C2757+1</f>
        <v/>
      </c>
      <c r="F2757" s="319">
        <f>J2756</f>
        <v/>
      </c>
      <c r="G2757" s="319" t="n"/>
      <c r="H2757" s="319">
        <f>($G$2745/$D$2744*F2757)</f>
        <v/>
      </c>
      <c r="I2757" s="319">
        <f>G2757-H2757</f>
        <v/>
      </c>
      <c r="J2757" s="319">
        <f>F2757-I2757+K2741</f>
        <v/>
      </c>
      <c r="K2757" s="516" t="n"/>
      <c r="L2757" s="516" t="n"/>
    </row>
    <row r="2758">
      <c r="B2758" s="1" t="n">
        <v>8</v>
      </c>
      <c r="C2758" s="24" t="n">
        <v>45108</v>
      </c>
      <c r="D2758" s="24" t="n">
        <v>45138</v>
      </c>
      <c r="E2758" s="25">
        <f>D2758-C2758+1</f>
        <v/>
      </c>
      <c r="F2758" s="319">
        <f>J2757</f>
        <v/>
      </c>
      <c r="G2758" s="319" t="n"/>
      <c r="H2758" s="319">
        <f>($H$2745/$D$2744*F2758)</f>
        <v/>
      </c>
      <c r="I2758" s="319">
        <f>G2758-H2758</f>
        <v/>
      </c>
      <c r="J2758" s="319">
        <f>F2758-I2758</f>
        <v/>
      </c>
      <c r="K2758" s="516" t="n"/>
      <c r="L2758" s="516" t="n"/>
    </row>
    <row r="2759">
      <c r="B2759" s="1" t="n">
        <v>9</v>
      </c>
      <c r="C2759" s="24" t="n">
        <v>45139</v>
      </c>
      <c r="D2759" s="24" t="n">
        <v>45169</v>
      </c>
      <c r="E2759" s="25">
        <f>D2759-C2759+1</f>
        <v/>
      </c>
      <c r="F2759" s="319">
        <f>J2758</f>
        <v/>
      </c>
      <c r="G2759" s="319" t="n"/>
      <c r="H2759" s="319">
        <f>($I$2745/$D$2744*F2759)</f>
        <v/>
      </c>
      <c r="I2759" s="319">
        <f>G2759-H2759</f>
        <v/>
      </c>
      <c r="J2759" s="319">
        <f>F2759-I2759</f>
        <v/>
      </c>
      <c r="K2759" s="516" t="n"/>
      <c r="L2759" s="519" t="n"/>
    </row>
    <row r="2760">
      <c r="B2760" s="1" t="n">
        <v>10</v>
      </c>
      <c r="C2760" s="24" t="n">
        <v>45170</v>
      </c>
      <c r="D2760" s="24" t="n">
        <v>45199</v>
      </c>
      <c r="E2760" s="25">
        <f>D2760-C2760+1</f>
        <v/>
      </c>
      <c r="F2760" s="319">
        <f>J2759</f>
        <v/>
      </c>
      <c r="G2760" s="319" t="n"/>
      <c r="H2760" s="319">
        <f>($J$2745/$D$2744*F2760)</f>
        <v/>
      </c>
      <c r="I2760" s="319">
        <f>G2760-H2760</f>
        <v/>
      </c>
      <c r="J2760" s="319">
        <f>F2760-I2760</f>
        <v/>
      </c>
      <c r="K2760" s="516" t="n"/>
      <c r="L2760" s="516" t="n"/>
    </row>
    <row r="2761">
      <c r="B2761" s="1" t="n">
        <v>11</v>
      </c>
      <c r="C2761" s="24" t="n">
        <v>45200</v>
      </c>
      <c r="D2761" s="24" t="n">
        <v>45230</v>
      </c>
      <c r="E2761" s="25">
        <f>D2761-C2761+1</f>
        <v/>
      </c>
      <c r="F2761" s="319">
        <f>J2760</f>
        <v/>
      </c>
      <c r="G2761" s="319" t="n"/>
      <c r="H2761" s="319">
        <f>($K$2745/$D$2744*F2761)</f>
        <v/>
      </c>
      <c r="I2761" s="319">
        <f>G2761-H2761</f>
        <v/>
      </c>
      <c r="J2761" s="319">
        <f>F2761-I2761</f>
        <v/>
      </c>
      <c r="K2761" s="516" t="n"/>
      <c r="L2761" s="516" t="n"/>
    </row>
    <row r="2762">
      <c r="B2762" s="1" t="n">
        <v>12</v>
      </c>
      <c r="C2762" s="24" t="n">
        <v>45231</v>
      </c>
      <c r="D2762" s="24" t="n">
        <v>45260</v>
      </c>
      <c r="E2762" s="25">
        <f>D2762-C2762+1</f>
        <v/>
      </c>
      <c r="F2762" s="319">
        <f>J2761</f>
        <v/>
      </c>
      <c r="G2762" s="319" t="n"/>
      <c r="H2762" s="319">
        <f>($K$2745/$D$2744*F2762)</f>
        <v/>
      </c>
      <c r="I2762" s="319">
        <f>G2762-H2762</f>
        <v/>
      </c>
      <c r="J2762" s="319">
        <f>F2762-I2762</f>
        <v/>
      </c>
      <c r="K2762" s="516" t="n"/>
      <c r="L2762" s="516" t="n">
        <v>0</v>
      </c>
    </row>
    <row r="2763">
      <c r="B2763" s="1" t="n">
        <v>13</v>
      </c>
      <c r="C2763" s="24" t="n">
        <v>45261</v>
      </c>
      <c r="D2763" s="24" t="n">
        <v>45291</v>
      </c>
      <c r="E2763" s="25">
        <f>D2763-C2763+1</f>
        <v/>
      </c>
      <c r="F2763" s="319">
        <f>J2762</f>
        <v/>
      </c>
      <c r="G2763" s="385">
        <f>-PMT($L$2745/$D$2744,36,$F$2763,,0)</f>
        <v/>
      </c>
      <c r="H2763" s="319">
        <f>($L$2745/$D$2744*F2763)</f>
        <v/>
      </c>
      <c r="I2763" s="319">
        <f>G2763-H2763</f>
        <v/>
      </c>
      <c r="J2763" s="319">
        <f>F2763-I2763</f>
        <v/>
      </c>
      <c r="K2763" s="516" t="n"/>
      <c r="L2763" s="516">
        <f>L2762+G2763-K2763</f>
        <v/>
      </c>
    </row>
    <row r="2764">
      <c r="B2764" s="1" t="n">
        <v>14</v>
      </c>
      <c r="C2764" s="24" t="n">
        <v>45292</v>
      </c>
      <c r="D2764" s="24" t="n">
        <v>45322</v>
      </c>
      <c r="E2764" s="25">
        <f>D2764-C2764+1</f>
        <v/>
      </c>
      <c r="F2764" s="319">
        <f>J2763</f>
        <v/>
      </c>
      <c r="G2764" s="385">
        <f>-PMT($L$2745/$D$2744,36,$F$2763,,0)</f>
        <v/>
      </c>
      <c r="H2764" s="319">
        <f>($L$2745/$D$2744*F2764)</f>
        <v/>
      </c>
      <c r="I2764" s="319">
        <f>G2764-H2764</f>
        <v/>
      </c>
      <c r="J2764" s="319">
        <f>F2764-I2764</f>
        <v/>
      </c>
      <c r="K2764" s="516" t="n"/>
      <c r="L2764" s="516">
        <f>L2763+G2764-K2764</f>
        <v/>
      </c>
    </row>
    <row r="2765">
      <c r="B2765" s="1" t="n">
        <v>15</v>
      </c>
      <c r="C2765" s="24" t="n">
        <v>45323</v>
      </c>
      <c r="D2765" s="24" t="n">
        <v>45351</v>
      </c>
      <c r="E2765" s="25">
        <f>D2765-C2765+1</f>
        <v/>
      </c>
      <c r="F2765" s="319">
        <f>J2764</f>
        <v/>
      </c>
      <c r="G2765" s="385">
        <f>-PMT($M$2745/$D$2744,34,$F$2765,,0)</f>
        <v/>
      </c>
      <c r="H2765" s="319">
        <f>($M$2745/$D$2744*F2765)</f>
        <v/>
      </c>
      <c r="I2765" s="319">
        <f>G2765-H2765</f>
        <v/>
      </c>
      <c r="J2765" s="319">
        <f>F2765-I2765</f>
        <v/>
      </c>
      <c r="K2765" s="516" t="n"/>
      <c r="L2765" s="531">
        <f>L2764+G2765-K2765</f>
        <v/>
      </c>
      <c r="M2765" s="237" t="inlineStr">
        <is>
          <t>Capitalised</t>
        </is>
      </c>
    </row>
    <row r="2766">
      <c r="B2766" s="1" t="n">
        <v>16</v>
      </c>
      <c r="C2766" s="24" t="n">
        <v>45352</v>
      </c>
      <c r="D2766" s="24" t="n">
        <v>45382</v>
      </c>
      <c r="E2766" s="25">
        <f>D2766-C2766+1</f>
        <v/>
      </c>
      <c r="F2766" s="319">
        <f>J2765+L2765</f>
        <v/>
      </c>
      <c r="G2766" s="319">
        <f>-PMT($M$2745/$D$2744,33,$F$2766,,0)</f>
        <v/>
      </c>
      <c r="H2766" s="319">
        <f>($M$2745/$D$2744*F2766)</f>
        <v/>
      </c>
      <c r="I2766" s="319">
        <f>G2766-H2766</f>
        <v/>
      </c>
      <c r="J2766" s="319">
        <f>F2766-I2766</f>
        <v/>
      </c>
      <c r="K2766" s="516" t="n"/>
      <c r="L2766" s="516" t="n"/>
    </row>
    <row r="2767">
      <c r="B2767" s="1" t="n">
        <v>17</v>
      </c>
      <c r="C2767" s="24" t="n">
        <v>45383</v>
      </c>
      <c r="D2767" s="24" t="n">
        <v>45412</v>
      </c>
      <c r="E2767" s="25">
        <f>D2767-C2767+1</f>
        <v/>
      </c>
      <c r="F2767" s="319">
        <f>J2766</f>
        <v/>
      </c>
      <c r="G2767" s="319">
        <f>-PMT($M$2745/$D$2744,33,$F$2766,,0)</f>
        <v/>
      </c>
      <c r="H2767" s="319">
        <f>($M$2745/$D$2744*F2767)</f>
        <v/>
      </c>
      <c r="I2767" s="319">
        <f>G2767-H2767</f>
        <v/>
      </c>
      <c r="J2767" s="319">
        <f>F2767-I2767</f>
        <v/>
      </c>
      <c r="K2767" s="516" t="n"/>
      <c r="L2767" s="516" t="n"/>
    </row>
    <row r="2768">
      <c r="B2768" s="1" t="n">
        <v>18</v>
      </c>
      <c r="C2768" s="24" t="n">
        <v>45413</v>
      </c>
      <c r="D2768" s="24" t="n">
        <v>45443</v>
      </c>
      <c r="E2768" s="25">
        <f>D2768-C2768+1</f>
        <v/>
      </c>
      <c r="F2768" s="319">
        <f>J2767</f>
        <v/>
      </c>
      <c r="G2768" s="319">
        <f>-PMT($N$2745/$D$2744,31,$F$2768,,0)</f>
        <v/>
      </c>
      <c r="H2768" s="319">
        <f>($N$2745/$D$2744*F2768)</f>
        <v/>
      </c>
      <c r="I2768" s="319">
        <f>G2768-H2768</f>
        <v/>
      </c>
      <c r="J2768" s="319">
        <f>F2768-I2768</f>
        <v/>
      </c>
      <c r="K2768" s="516" t="n"/>
      <c r="L2768" s="516" t="n"/>
    </row>
    <row r="2769">
      <c r="B2769" s="1" t="n">
        <v>19</v>
      </c>
      <c r="C2769" s="24" t="n">
        <v>45444</v>
      </c>
      <c r="D2769" s="24" t="n">
        <v>45473</v>
      </c>
      <c r="E2769" s="25">
        <f>D2769-C2769+1</f>
        <v/>
      </c>
      <c r="F2769" s="319">
        <f>J2768</f>
        <v/>
      </c>
      <c r="G2769" s="319">
        <f>-PMT($O$2745/$D$2744,30,$F$2769,,0)</f>
        <v/>
      </c>
      <c r="H2769" s="319">
        <f>($O$2745/$D$2744*F2769)</f>
        <v/>
      </c>
      <c r="I2769" s="319">
        <f>G2769-H2769</f>
        <v/>
      </c>
      <c r="J2769" s="319">
        <f>F2769-I2769</f>
        <v/>
      </c>
      <c r="K2769" s="516" t="n"/>
      <c r="L2769" s="516" t="n"/>
    </row>
    <row r="2770">
      <c r="B2770" s="1" t="n">
        <v>20</v>
      </c>
      <c r="C2770" s="24" t="n">
        <v>45474</v>
      </c>
      <c r="D2770" s="24" t="n">
        <v>45504</v>
      </c>
      <c r="E2770" s="25">
        <f>D2770-C2770+1</f>
        <v/>
      </c>
      <c r="F2770" s="319">
        <f>J2769</f>
        <v/>
      </c>
      <c r="G2770" s="319">
        <f>-PMT($P$2745/$D$2744,29,$F$2770,,0)</f>
        <v/>
      </c>
      <c r="H2770" s="319">
        <f>($P$2745/$D$2744*F2770)</f>
        <v/>
      </c>
      <c r="I2770" s="319">
        <f>G2770-H2770</f>
        <v/>
      </c>
      <c r="J2770" s="319">
        <f>F2770-I2770</f>
        <v/>
      </c>
      <c r="K2770" s="516" t="n"/>
      <c r="L2770" s="516" t="n"/>
    </row>
    <row r="2771">
      <c r="B2771" s="1" t="n">
        <v>21</v>
      </c>
      <c r="C2771" s="24" t="n">
        <v>45505</v>
      </c>
      <c r="D2771" s="24" t="n">
        <v>45535</v>
      </c>
      <c r="E2771" s="25">
        <f>D2771-C2771+1</f>
        <v/>
      </c>
      <c r="F2771" s="319">
        <f>J2770</f>
        <v/>
      </c>
      <c r="G2771" s="319">
        <f>-PMT($P$2745/$D$2744,29,$F$2770,,0)</f>
        <v/>
      </c>
      <c r="H2771" s="319">
        <f>($P$2745/$D$2744*F2771)</f>
        <v/>
      </c>
      <c r="I2771" s="319">
        <f>G2771-H2771</f>
        <v/>
      </c>
      <c r="J2771" s="319">
        <f>F2771-I2771</f>
        <v/>
      </c>
      <c r="K2771" s="516" t="n"/>
      <c r="L2771" s="516" t="n"/>
    </row>
    <row r="2772">
      <c r="B2772" s="1" t="n">
        <v>22</v>
      </c>
      <c r="C2772" s="24" t="n">
        <v>45536</v>
      </c>
      <c r="D2772" s="24" t="n">
        <v>45565</v>
      </c>
      <c r="E2772" s="25">
        <f>D2772-C2772+1</f>
        <v/>
      </c>
      <c r="F2772" s="319">
        <f>J2771</f>
        <v/>
      </c>
      <c r="G2772" s="319">
        <f>-PMT($P$2745/$D$2744,29,$F$2770,,0)</f>
        <v/>
      </c>
      <c r="H2772" s="319">
        <f>($P$2745/$D$2744*F2772)</f>
        <v/>
      </c>
      <c r="I2772" s="319">
        <f>G2772-H2772</f>
        <v/>
      </c>
      <c r="J2772" s="319">
        <f>F2772-I2772</f>
        <v/>
      </c>
      <c r="K2772" s="516" t="n"/>
      <c r="L2772" s="516" t="n"/>
    </row>
    <row r="2773">
      <c r="B2773" s="1" t="n">
        <v>23</v>
      </c>
      <c r="C2773" s="24" t="n">
        <v>45566</v>
      </c>
      <c r="D2773" s="24" t="n">
        <v>45596</v>
      </c>
      <c r="E2773" s="25">
        <f>D2773-C2773+1</f>
        <v/>
      </c>
      <c r="F2773" s="319">
        <f>J2772</f>
        <v/>
      </c>
      <c r="G2773" s="319">
        <f>-PMT($P$2745/$D$2744,29,$F$2770,,0)</f>
        <v/>
      </c>
      <c r="H2773" s="319">
        <f>($P$2745/$D$2744*F2773)</f>
        <v/>
      </c>
      <c r="I2773" s="319">
        <f>G2773-H2773</f>
        <v/>
      </c>
      <c r="J2773" s="319">
        <f>F2773-I2773</f>
        <v/>
      </c>
      <c r="K2773" s="516" t="n"/>
      <c r="L2773" s="516" t="n"/>
    </row>
    <row r="2774">
      <c r="B2774" s="1" t="n">
        <v>24</v>
      </c>
      <c r="C2774" s="24" t="n">
        <v>45597</v>
      </c>
      <c r="D2774" s="24" t="n">
        <v>45626</v>
      </c>
      <c r="E2774" s="25">
        <f>D2774-C2774+1</f>
        <v/>
      </c>
      <c r="F2774" s="319">
        <f>J2773</f>
        <v/>
      </c>
      <c r="G2774" s="319">
        <f>-PMT($P$2745/$D$2744,29,$F$2770,,0)</f>
        <v/>
      </c>
      <c r="H2774" s="319">
        <f>($P$2745/$D$2744*F2774)</f>
        <v/>
      </c>
      <c r="I2774" s="319">
        <f>G2774-H2774</f>
        <v/>
      </c>
      <c r="J2774" s="319">
        <f>F2774-I2774</f>
        <v/>
      </c>
      <c r="K2774" s="516" t="n"/>
      <c r="L2774" s="516" t="n"/>
    </row>
    <row r="2775">
      <c r="B2775" s="1" t="n">
        <v>25</v>
      </c>
      <c r="C2775" s="24" t="n">
        <v>45627</v>
      </c>
      <c r="D2775" s="24" t="n">
        <v>45657</v>
      </c>
      <c r="E2775" s="25">
        <f>D2775-C2775+1</f>
        <v/>
      </c>
      <c r="F2775" s="319">
        <f>J2774</f>
        <v/>
      </c>
      <c r="G2775" s="319">
        <f>-PMT($P$2745/$D$2744,29,$F$2770,,0)</f>
        <v/>
      </c>
      <c r="H2775" s="319">
        <f>($P$2745/$D$2744*F2775)</f>
        <v/>
      </c>
      <c r="I2775" s="319">
        <f>G2775-H2775</f>
        <v/>
      </c>
      <c r="J2775" s="319">
        <f>F2775-I2775</f>
        <v/>
      </c>
      <c r="K2775" s="516" t="n"/>
      <c r="L2775" s="516" t="n"/>
    </row>
    <row r="2776" ht="14.25" customHeight="1">
      <c r="B2776" s="1" t="n">
        <v>26</v>
      </c>
      <c r="C2776" s="24" t="n">
        <v>45658</v>
      </c>
      <c r="D2776" s="24" t="n">
        <v>45688</v>
      </c>
      <c r="E2776" s="25">
        <f>D2776-C2776+1</f>
        <v/>
      </c>
      <c r="F2776" s="319">
        <f>J2775</f>
        <v/>
      </c>
      <c r="G2776" s="319">
        <f>-PMT($P$2745/$D$2744,29,$F$2770,,0)</f>
        <v/>
      </c>
      <c r="H2776" s="319">
        <f>($P$2745/$D$2744*F2776)</f>
        <v/>
      </c>
      <c r="I2776" s="319">
        <f>G2776-H2776</f>
        <v/>
      </c>
      <c r="J2776" s="319">
        <f>F2776-I2776</f>
        <v/>
      </c>
      <c r="K2776" s="1" t="inlineStr">
        <is>
          <t>NEXT PAYMENT</t>
        </is>
      </c>
      <c r="L2776" s="250" t="n"/>
    </row>
    <row r="2777">
      <c r="B2777" s="1" t="n">
        <v>27</v>
      </c>
      <c r="C2777" s="24" t="n">
        <v>45689</v>
      </c>
      <c r="D2777" s="24" t="n">
        <v>45716</v>
      </c>
      <c r="E2777" s="25">
        <f>D2777-C2777+1</f>
        <v/>
      </c>
      <c r="F2777" s="319">
        <f>J2776</f>
        <v/>
      </c>
      <c r="G2777" s="319">
        <f>-PMT($P$2745/$D$2744,29,$F$2770,,0)</f>
        <v/>
      </c>
      <c r="H2777" s="319">
        <f>($P$2745/$D$2744*F2777)</f>
        <v/>
      </c>
      <c r="I2777" s="319">
        <f>G2777-H2777</f>
        <v/>
      </c>
      <c r="J2777" s="319">
        <f>F2777-I2777</f>
        <v/>
      </c>
    </row>
    <row r="2778">
      <c r="B2778" s="1" t="n">
        <v>28</v>
      </c>
      <c r="C2778" s="24" t="n">
        <v>45717</v>
      </c>
      <c r="D2778" s="24" t="n">
        <v>45747</v>
      </c>
      <c r="E2778" s="25">
        <f>D2778-C2778+1</f>
        <v/>
      </c>
      <c r="F2778" s="319">
        <f>J2777</f>
        <v/>
      </c>
      <c r="G2778" s="319">
        <f>-PMT($P$2745/$D$2744,29,$F$2770,,0)</f>
        <v/>
      </c>
      <c r="H2778" s="319">
        <f>($P$2745/$D$2744*F2778)</f>
        <v/>
      </c>
      <c r="I2778" s="319">
        <f>G2778-H2778</f>
        <v/>
      </c>
      <c r="J2778" s="319">
        <f>F2778-I2778</f>
        <v/>
      </c>
    </row>
    <row r="2779">
      <c r="B2779" s="1" t="n">
        <v>29</v>
      </c>
      <c r="C2779" s="24" t="n">
        <v>45748</v>
      </c>
      <c r="D2779" s="24" t="n">
        <v>45777</v>
      </c>
      <c r="E2779" s="25">
        <f>D2779-C2779+1</f>
        <v/>
      </c>
      <c r="F2779" s="319">
        <f>J2778</f>
        <v/>
      </c>
      <c r="G2779" s="319">
        <f>-PMT($P$2745/$D$2744,29,$F$2770,,0)</f>
        <v/>
      </c>
      <c r="H2779" s="319">
        <f>($P$2745/$D$2744*F2779)</f>
        <v/>
      </c>
      <c r="I2779" s="319">
        <f>G2779-H2779</f>
        <v/>
      </c>
      <c r="J2779" s="319">
        <f>F2779-I2779</f>
        <v/>
      </c>
    </row>
    <row r="2780">
      <c r="B2780" s="1" t="n">
        <v>30</v>
      </c>
      <c r="C2780" s="24" t="n">
        <v>45778</v>
      </c>
      <c r="D2780" s="24" t="n">
        <v>45808</v>
      </c>
      <c r="E2780" s="25">
        <f>D2780-C2780+1</f>
        <v/>
      </c>
      <c r="F2780" s="319">
        <f>J2779</f>
        <v/>
      </c>
      <c r="G2780" s="319">
        <f>-PMT($P$2745/$D$2744,29,$F$2770,,0)</f>
        <v/>
      </c>
      <c r="H2780" s="319">
        <f>($P$2745/$D$2744*F2780)</f>
        <v/>
      </c>
      <c r="I2780" s="319">
        <f>G2780-H2780</f>
        <v/>
      </c>
      <c r="J2780" s="319">
        <f>F2780-I2780</f>
        <v/>
      </c>
    </row>
    <row r="2781">
      <c r="B2781" s="1" t="n">
        <v>31</v>
      </c>
      <c r="C2781" s="24" t="n">
        <v>45809</v>
      </c>
      <c r="D2781" s="24" t="n">
        <v>45838</v>
      </c>
      <c r="E2781" s="25">
        <f>D2781-C2781+1</f>
        <v/>
      </c>
      <c r="F2781" s="319">
        <f>J2780</f>
        <v/>
      </c>
      <c r="G2781" s="319">
        <f>-PMT($P$2745/$D$2744,29,$F$2770,,0)</f>
        <v/>
      </c>
      <c r="H2781" s="319">
        <f>($P$2745/$D$2744*F2781)</f>
        <v/>
      </c>
      <c r="I2781" s="319">
        <f>G2781-H2781</f>
        <v/>
      </c>
      <c r="J2781" s="319">
        <f>F2781-I2781</f>
        <v/>
      </c>
    </row>
    <row r="2782">
      <c r="B2782" s="1" t="n">
        <v>32</v>
      </c>
      <c r="C2782" s="24" t="n">
        <v>45839</v>
      </c>
      <c r="D2782" s="24" t="n">
        <v>45869</v>
      </c>
      <c r="E2782" s="25">
        <f>D2782-C2782+1</f>
        <v/>
      </c>
      <c r="F2782" s="319">
        <f>J2781</f>
        <v/>
      </c>
      <c r="G2782" s="319">
        <f>-PMT($P$2745/$D$2744,29,$F$2770,,0)</f>
        <v/>
      </c>
      <c r="H2782" s="319">
        <f>($P$2745/$D$2744*F2782)</f>
        <v/>
      </c>
      <c r="I2782" s="319">
        <f>G2782-H2782</f>
        <v/>
      </c>
      <c r="J2782" s="319">
        <f>F2782-I2782</f>
        <v/>
      </c>
    </row>
    <row r="2783">
      <c r="B2783" s="1" t="n">
        <v>33</v>
      </c>
      <c r="C2783" s="24" t="n">
        <v>45870</v>
      </c>
      <c r="D2783" s="24" t="n">
        <v>45900</v>
      </c>
      <c r="E2783" s="25">
        <f>D2783-C2783+1</f>
        <v/>
      </c>
      <c r="F2783" s="319">
        <f>J2782</f>
        <v/>
      </c>
      <c r="G2783" s="319">
        <f>-PMT($P$2745/$D$2744,29,$F$2770,,0)</f>
        <v/>
      </c>
      <c r="H2783" s="319">
        <f>($P$2745/$D$2744*F2783)</f>
        <v/>
      </c>
      <c r="I2783" s="319">
        <f>G2783-H2783</f>
        <v/>
      </c>
      <c r="J2783" s="319">
        <f>F2783-I2783</f>
        <v/>
      </c>
    </row>
    <row r="2784">
      <c r="B2784" s="1" t="n">
        <v>34</v>
      </c>
      <c r="C2784" s="24" t="n">
        <v>45901</v>
      </c>
      <c r="D2784" s="24" t="n">
        <v>45930</v>
      </c>
      <c r="E2784" s="25">
        <f>D2784-C2784+1</f>
        <v/>
      </c>
      <c r="F2784" s="319">
        <f>J2783</f>
        <v/>
      </c>
      <c r="G2784" s="319">
        <f>-PMT($P$2745/$D$2744,29,$F$2770,,0)</f>
        <v/>
      </c>
      <c r="H2784" s="319">
        <f>($P$2745/$D$2744*F2784)</f>
        <v/>
      </c>
      <c r="I2784" s="319">
        <f>G2784-H2784</f>
        <v/>
      </c>
      <c r="J2784" s="319">
        <f>F2784-I2784</f>
        <v/>
      </c>
    </row>
    <row r="2785">
      <c r="B2785" s="1" t="n">
        <v>35</v>
      </c>
      <c r="C2785" s="24" t="n">
        <v>45931</v>
      </c>
      <c r="D2785" s="24" t="n">
        <v>45961</v>
      </c>
      <c r="E2785" s="25">
        <f>D2785-C2785+1</f>
        <v/>
      </c>
      <c r="F2785" s="319">
        <f>J2784</f>
        <v/>
      </c>
      <c r="G2785" s="319">
        <f>-PMT($P$2745/$D$2744,29,$F$2770,,0)</f>
        <v/>
      </c>
      <c r="H2785" s="319">
        <f>($P$2745/$D$2744*F2785)</f>
        <v/>
      </c>
      <c r="I2785" s="319">
        <f>G2785-H2785</f>
        <v/>
      </c>
      <c r="J2785" s="319">
        <f>F2785-I2785</f>
        <v/>
      </c>
    </row>
    <row r="2786">
      <c r="B2786" s="1" t="n">
        <v>36</v>
      </c>
      <c r="C2786" s="24" t="n">
        <v>45962</v>
      </c>
      <c r="D2786" s="24" t="n">
        <v>45991</v>
      </c>
      <c r="E2786" s="25">
        <f>D2786-C2786+1</f>
        <v/>
      </c>
      <c r="F2786" s="319">
        <f>J2785</f>
        <v/>
      </c>
      <c r="G2786" s="319">
        <f>-PMT($P$2745/$D$2744,29,$F$2770,,0)</f>
        <v/>
      </c>
      <c r="H2786" s="319">
        <f>($P$2745/$D$2744*F2786)</f>
        <v/>
      </c>
      <c r="I2786" s="319">
        <f>G2786-H2786</f>
        <v/>
      </c>
      <c r="J2786" s="319">
        <f>F2786-I2786</f>
        <v/>
      </c>
    </row>
    <row r="2787">
      <c r="B2787" s="1" t="n">
        <v>37</v>
      </c>
      <c r="C2787" s="24" t="n">
        <v>45992</v>
      </c>
      <c r="D2787" s="24" t="n">
        <v>46022</v>
      </c>
      <c r="E2787" s="25">
        <f>D2787-C2787+1</f>
        <v/>
      </c>
      <c r="F2787" s="319">
        <f>J2786</f>
        <v/>
      </c>
      <c r="G2787" s="319">
        <f>-PMT($P$2745/$D$2744,29,$F$2770,,0)</f>
        <v/>
      </c>
      <c r="H2787" s="319">
        <f>($P$2745/$D$2744*F2787)</f>
        <v/>
      </c>
      <c r="I2787" s="319">
        <f>G2787-H2787</f>
        <v/>
      </c>
      <c r="J2787" s="319">
        <f>F2787-I2787</f>
        <v/>
      </c>
    </row>
    <row r="2788">
      <c r="B2788" s="1" t="n">
        <v>38</v>
      </c>
      <c r="C2788" s="24" t="n">
        <v>46023</v>
      </c>
      <c r="D2788" s="24" t="n">
        <v>46053</v>
      </c>
      <c r="E2788" s="25">
        <f>D2788-C2788+1</f>
        <v/>
      </c>
      <c r="F2788" s="319">
        <f>J2787</f>
        <v/>
      </c>
      <c r="G2788" s="319">
        <f>-PMT($P$2745/$D$2744,29,$F$2770,,0)</f>
        <v/>
      </c>
      <c r="H2788" s="319">
        <f>($P$2745/$D$2744*F2788)</f>
        <v/>
      </c>
      <c r="I2788" s="319">
        <f>G2788-H2788</f>
        <v/>
      </c>
      <c r="J2788" s="319">
        <f>F2788-I2788</f>
        <v/>
      </c>
    </row>
    <row r="2789">
      <c r="B2789" s="1" t="n">
        <v>39</v>
      </c>
      <c r="C2789" s="24" t="n">
        <v>46054</v>
      </c>
      <c r="D2789" s="24" t="n">
        <v>46081</v>
      </c>
      <c r="E2789" s="25">
        <f>D2789-C2789+1</f>
        <v/>
      </c>
      <c r="F2789" s="319">
        <f>J2788</f>
        <v/>
      </c>
      <c r="G2789" s="319">
        <f>-PMT($P$2745/$D$2744,29,$F$2770,,0)</f>
        <v/>
      </c>
      <c r="H2789" s="319">
        <f>($P$2745/$D$2744*F2789)</f>
        <v/>
      </c>
      <c r="I2789" s="319">
        <f>G2789-H2789</f>
        <v/>
      </c>
      <c r="J2789" s="319">
        <f>F2789-I2789</f>
        <v/>
      </c>
    </row>
    <row r="2790">
      <c r="B2790" s="1" t="n">
        <v>40</v>
      </c>
      <c r="C2790" s="24" t="n">
        <v>46082</v>
      </c>
      <c r="D2790" s="24" t="n">
        <v>46112</v>
      </c>
      <c r="E2790" s="25">
        <f>D2790-C2790+1</f>
        <v/>
      </c>
      <c r="F2790" s="319">
        <f>J2789</f>
        <v/>
      </c>
      <c r="G2790" s="319">
        <f>-PMT($P$2745/$D$2744,29,$F$2770,,0)</f>
        <v/>
      </c>
      <c r="H2790" s="319">
        <f>($P$2745/$D$2744*F2790)</f>
        <v/>
      </c>
      <c r="I2790" s="319">
        <f>G2790-H2790</f>
        <v/>
      </c>
      <c r="J2790" s="319">
        <f>F2790-I2790</f>
        <v/>
      </c>
    </row>
    <row r="2791">
      <c r="B2791" s="1" t="n">
        <v>41</v>
      </c>
      <c r="C2791" s="24" t="n">
        <v>46113</v>
      </c>
      <c r="D2791" s="24" t="n">
        <v>46142</v>
      </c>
      <c r="E2791" s="25">
        <f>D2791-C2791+1</f>
        <v/>
      </c>
      <c r="F2791" s="319">
        <f>J2790</f>
        <v/>
      </c>
      <c r="G2791" s="319">
        <f>-PMT($P$2745/$D$2744,29,$F$2770,,0)</f>
        <v/>
      </c>
      <c r="H2791" s="319">
        <f>($P$2745/$D$2744*F2791)</f>
        <v/>
      </c>
      <c r="I2791" s="319">
        <f>G2791-H2791</f>
        <v/>
      </c>
      <c r="J2791" s="319">
        <f>F2791-I2791</f>
        <v/>
      </c>
    </row>
    <row r="2792">
      <c r="B2792" s="1" t="n">
        <v>42</v>
      </c>
      <c r="C2792" s="24" t="n">
        <v>46143</v>
      </c>
      <c r="D2792" s="24" t="n">
        <v>46173</v>
      </c>
      <c r="E2792" s="25">
        <f>D2792-C2792+1</f>
        <v/>
      </c>
      <c r="F2792" s="319">
        <f>J2791</f>
        <v/>
      </c>
      <c r="G2792" s="319">
        <f>-PMT($P$2745/$D$2744,29,$F$2770,,0)</f>
        <v/>
      </c>
      <c r="H2792" s="319">
        <f>($P$2745/$D$2744*F2792)</f>
        <v/>
      </c>
      <c r="I2792" s="319">
        <f>G2792-H2792</f>
        <v/>
      </c>
      <c r="J2792" s="319">
        <f>F2792-I2792</f>
        <v/>
      </c>
    </row>
    <row r="2793">
      <c r="B2793" s="1" t="n">
        <v>43</v>
      </c>
      <c r="C2793" s="24" t="n">
        <v>46174</v>
      </c>
      <c r="D2793" s="24" t="n">
        <v>46203</v>
      </c>
      <c r="E2793" s="25">
        <f>D2793-C2793+1</f>
        <v/>
      </c>
      <c r="F2793" s="319">
        <f>J2792</f>
        <v/>
      </c>
      <c r="G2793" s="319">
        <f>-PMT($P$2745/$D$2744,29,$F$2770,,0)</f>
        <v/>
      </c>
      <c r="H2793" s="319">
        <f>($P$2745/$D$2744*F2793)</f>
        <v/>
      </c>
      <c r="I2793" s="319">
        <f>G2793-H2793</f>
        <v/>
      </c>
      <c r="J2793" s="319">
        <f>F2793-I2793</f>
        <v/>
      </c>
    </row>
    <row r="2794">
      <c r="B2794" s="1" t="n">
        <v>44</v>
      </c>
      <c r="C2794" s="24" t="n">
        <v>46204</v>
      </c>
      <c r="D2794" s="24" t="n">
        <v>46234</v>
      </c>
      <c r="E2794" s="25">
        <f>D2794-C2794+1</f>
        <v/>
      </c>
      <c r="F2794" s="319">
        <f>J2793</f>
        <v/>
      </c>
      <c r="G2794" s="319">
        <f>-PMT($P$2745/$D$2744,29,$F$2770,,0)</f>
        <v/>
      </c>
      <c r="H2794" s="319">
        <f>($P$2745/$D$2744*F2794)</f>
        <v/>
      </c>
      <c r="I2794" s="319">
        <f>G2794-H2794</f>
        <v/>
      </c>
      <c r="J2794" s="319">
        <f>F2794-I2794</f>
        <v/>
      </c>
    </row>
    <row r="2795">
      <c r="B2795" s="1" t="n">
        <v>45</v>
      </c>
      <c r="C2795" s="24" t="n">
        <v>46235</v>
      </c>
      <c r="D2795" s="24" t="n">
        <v>46265</v>
      </c>
      <c r="E2795" s="25">
        <f>D2795-C2795+1</f>
        <v/>
      </c>
      <c r="F2795" s="319">
        <f>J2794</f>
        <v/>
      </c>
      <c r="G2795" s="319">
        <f>-PMT($P$2745/$D$2744,29,$F$2770,,0)</f>
        <v/>
      </c>
      <c r="H2795" s="319">
        <f>($P$2745/$D$2744*F2795)</f>
        <v/>
      </c>
      <c r="I2795" s="319">
        <f>G2795-H2795</f>
        <v/>
      </c>
      <c r="J2795" s="319">
        <f>F2795-I2795</f>
        <v/>
      </c>
    </row>
    <row r="2796">
      <c r="B2796" s="1" t="n">
        <v>46</v>
      </c>
      <c r="C2796" s="24" t="n">
        <v>46266</v>
      </c>
      <c r="D2796" s="24" t="n">
        <v>46295</v>
      </c>
      <c r="E2796" s="25">
        <f>D2796-C2796+1</f>
        <v/>
      </c>
      <c r="F2796" s="319">
        <f>J2795</f>
        <v/>
      </c>
      <c r="G2796" s="319">
        <f>-PMT($P$2745/$D$2744,29,$F$2770,,0)</f>
        <v/>
      </c>
      <c r="H2796" s="319">
        <f>($P$2745/$D$2744*F2796)</f>
        <v/>
      </c>
      <c r="I2796" s="319">
        <f>G2796-H2796</f>
        <v/>
      </c>
      <c r="J2796" s="319">
        <f>F2796-I2796</f>
        <v/>
      </c>
    </row>
    <row r="2797">
      <c r="B2797" s="1" t="n">
        <v>47</v>
      </c>
      <c r="C2797" s="24" t="n">
        <v>46296</v>
      </c>
      <c r="D2797" s="24" t="n">
        <v>46326</v>
      </c>
      <c r="E2797" s="25">
        <f>D2797-C2797+1</f>
        <v/>
      </c>
      <c r="F2797" s="319">
        <f>J2796</f>
        <v/>
      </c>
      <c r="G2797" s="319">
        <f>-PMT($P$2745/$D$2744,29,$F$2770,,0)</f>
        <v/>
      </c>
      <c r="H2797" s="319">
        <f>($P$2745/$D$2744*F2797)</f>
        <v/>
      </c>
      <c r="I2797" s="319">
        <f>G2797-H2797</f>
        <v/>
      </c>
      <c r="J2797" s="319">
        <f>F2797-I2797</f>
        <v/>
      </c>
    </row>
    <row r="2798">
      <c r="B2798" s="1" t="n">
        <v>48</v>
      </c>
      <c r="C2798" s="24" t="n">
        <v>46327</v>
      </c>
      <c r="D2798" s="24" t="n">
        <v>46356</v>
      </c>
      <c r="E2798" s="25">
        <f>D2798-C2798+1</f>
        <v/>
      </c>
      <c r="F2798" s="319">
        <f>J2797</f>
        <v/>
      </c>
      <c r="G2798" s="319">
        <f>-PMT($P$2745/$D$2744,29,$F$2770,,0)</f>
        <v/>
      </c>
      <c r="H2798" s="319">
        <f>($P$2745/$D$2744*F2798)</f>
        <v/>
      </c>
      <c r="I2798" s="319">
        <f>G2798-H2798</f>
        <v/>
      </c>
      <c r="J2798" s="319">
        <f>F2798-I2798</f>
        <v/>
      </c>
    </row>
    <row r="2799">
      <c r="B2799" s="1" t="n"/>
      <c r="C2799" s="24" t="n"/>
      <c r="D2799" s="24" t="n"/>
      <c r="E2799" s="25" t="n"/>
      <c r="F2799" s="319" t="n"/>
      <c r="G2799" s="319" t="n"/>
      <c r="H2799" s="319" t="n"/>
      <c r="I2799" s="319" t="n"/>
      <c r="J2799" s="319" t="n"/>
    </row>
    <row r="2800">
      <c r="B2800" s="1" t="n"/>
      <c r="E2800" s="30">
        <f>SUM(E2750:E2798)</f>
        <v/>
      </c>
      <c r="H2800" s="319" t="n"/>
    </row>
    <row r="2801">
      <c r="B2801" s="1" t="n"/>
    </row>
    <row r="2802">
      <c r="B2802" s="1" t="n"/>
    </row>
    <row r="2803">
      <c r="B2803" s="1" t="n"/>
    </row>
    <row r="2804">
      <c r="B2804" s="1" t="n"/>
    </row>
    <row r="2805">
      <c r="F2805" s="237" t="n"/>
      <c r="G2805" s="237" t="n"/>
      <c r="H2805" s="237" t="n"/>
      <c r="I2805" s="237" t="n"/>
      <c r="J2805" s="237" t="n"/>
      <c r="M2805" s="237" t="n"/>
    </row>
    <row r="2809">
      <c r="B2809" s="1" t="n"/>
      <c r="C2809" s="9" t="inlineStr">
        <is>
          <t>Kwithu Producers</t>
        </is>
      </c>
      <c r="D2809" s="319" t="n"/>
      <c r="E2809" s="319" t="n"/>
      <c r="F2809" s="319" t="n"/>
      <c r="G2809" s="319" t="n"/>
      <c r="H2809" s="319" t="n"/>
      <c r="I2809" s="319" t="n"/>
      <c r="J2809" s="319" t="n"/>
      <c r="K2809" s="319" t="n"/>
      <c r="L2809" s="319" t="n"/>
      <c r="R2809" s="514" t="inlineStr">
        <is>
          <t>E-Banker account (Dupleix)</t>
        </is>
      </c>
      <c r="S2809" s="495">
        <f>IFERROR(INDEX('Blocks'!$I$2:$I$101,MATCH(52,'Blocks'!$A$2:$A$101,0)),"")</f>
        <v/>
      </c>
    </row>
    <row r="2810">
      <c r="B2810" s="1" t="n"/>
      <c r="C2810" s="1" t="n"/>
      <c r="D2810" s="319" t="n"/>
      <c r="E2810" s="319" t="n"/>
      <c r="F2810" s="319" t="n"/>
      <c r="G2810" s="319" t="n"/>
      <c r="H2810" s="319" t="n"/>
      <c r="I2810" s="319" t="n"/>
      <c r="J2810" s="319" t="n"/>
      <c r="K2810" s="319" t="n"/>
      <c r="L2810" s="319" t="n"/>
      <c r="R2810" s="514" t="inlineStr">
        <is>
          <t>Facility (Loan Book)</t>
        </is>
      </c>
      <c r="S2810" s="495">
        <f>IFERROR(INDEX('Blocks'!$H$2:$H$101,MATCH(52,'Blocks'!$A$2:$A$101,0)),"")</f>
        <v/>
      </c>
    </row>
    <row r="2811">
      <c r="B2811" s="1" t="n"/>
      <c r="C2811" s="10" t="inlineStr">
        <is>
          <t>Principal (MK)</t>
        </is>
      </c>
      <c r="D2811" s="11" t="n">
        <v>90900000</v>
      </c>
      <c r="E2811" s="319" t="n"/>
      <c r="F2811" s="319" t="n"/>
      <c r="G2811" s="319" t="n"/>
      <c r="H2811" s="319" t="n"/>
      <c r="I2811" s="319" t="n"/>
      <c r="J2811" s="319" t="n"/>
      <c r="K2811" s="319" t="n"/>
      <c r="L2811" s="319" t="n"/>
      <c r="R2811" s="514" t="inlineStr">
        <is>
          <t>Take-on posting 31 Jul 2024</t>
        </is>
      </c>
      <c r="S2811" s="496">
        <f>IFERROR(INDEX('E-Banker master'!$N$2:$N$186,MATCH(S2809,'E-Banker master'!$A$2:$A$186,0)),"")</f>
        <v/>
      </c>
    </row>
    <row r="2812">
      <c r="B2812" s="1" t="n"/>
      <c r="C2812" s="13" t="inlineStr">
        <is>
          <t>Rate</t>
        </is>
      </c>
      <c r="D2812" s="14" t="n">
        <v>0.1</v>
      </c>
      <c r="E2812" s="257" t="n"/>
      <c r="F2812" s="319" t="n"/>
      <c r="G2812" s="319" t="n"/>
      <c r="H2812" s="319" t="n"/>
      <c r="I2812" s="319" t="n"/>
      <c r="J2812" s="319" t="n"/>
      <c r="K2812" s="319" t="n"/>
      <c r="L2812" s="319" t="n"/>
      <c r="R2812" s="514" t="inlineStr">
        <is>
          <t>E-Banker balance 31 Oct 2024</t>
        </is>
      </c>
      <c r="S2812" s="496">
        <f>IFERROR(INDEX('E-Banker master'!$P$2:$P$186,MATCH(S2809,'E-Banker master'!$A$2:$A$186,0)),"")</f>
        <v/>
      </c>
    </row>
    <row r="2813">
      <c r="B2813" s="1" t="n"/>
      <c r="C2813" s="13" t="inlineStr">
        <is>
          <t>n</t>
        </is>
      </c>
      <c r="D2813" s="16" t="n">
        <v>3</v>
      </c>
      <c r="E2813" s="1" t="n"/>
      <c r="F2813" s="319" t="n"/>
      <c r="G2813" s="319" t="n"/>
      <c r="H2813" s="319" t="n"/>
      <c r="I2813" s="319" t="n"/>
      <c r="J2813" s="319" t="n"/>
      <c r="K2813" s="1" t="n"/>
      <c r="L2813" s="1" t="n"/>
    </row>
    <row r="2814">
      <c r="B2814" s="1" t="n"/>
      <c r="C2814" s="13" t="inlineStr">
        <is>
          <t>Per</t>
        </is>
      </c>
      <c r="D2814" s="16" t="n">
        <v>12</v>
      </c>
      <c r="E2814" s="1" t="n"/>
      <c r="F2814" s="319" t="n"/>
      <c r="G2814" s="319" t="n"/>
      <c r="H2814" s="319" t="n"/>
      <c r="I2814" s="319" t="n"/>
      <c r="J2814" s="319" t="n"/>
      <c r="K2814" s="1" t="n"/>
      <c r="L2814" s="1" t="n"/>
    </row>
    <row r="2815">
      <c r="B2815" s="1" t="n"/>
      <c r="C2815" s="13" t="inlineStr">
        <is>
          <t>nPer</t>
        </is>
      </c>
      <c r="D2815" s="515">
        <f>D2813*D2814</f>
        <v/>
      </c>
      <c r="E2815" s="1" t="n"/>
      <c r="F2815" s="319" t="n"/>
      <c r="G2815" s="319" t="n"/>
      <c r="H2815" s="319" t="n"/>
      <c r="I2815" s="319" t="n"/>
      <c r="J2815" s="319" t="n"/>
      <c r="K2815" s="1" t="n"/>
      <c r="L2815" s="1" t="n"/>
    </row>
    <row r="2816">
      <c r="B2816" s="1" t="n"/>
      <c r="C2816" s="13" t="inlineStr">
        <is>
          <t>Days in a year</t>
        </is>
      </c>
      <c r="D2816" s="18" t="n">
        <v>365</v>
      </c>
      <c r="E2816" s="1" t="n"/>
      <c r="F2816" s="319" t="n"/>
      <c r="G2816" s="319" t="n"/>
      <c r="H2816" s="319" t="n"/>
      <c r="I2816" s="319" t="n"/>
      <c r="J2816" s="319" t="n"/>
      <c r="K2816" s="1" t="n"/>
      <c r="L2816" s="1" t="n"/>
    </row>
    <row r="2817">
      <c r="B2817" s="1" t="n"/>
      <c r="C2817" s="19" t="inlineStr">
        <is>
          <t>Pmt (MK)</t>
        </is>
      </c>
      <c r="D2817" s="20">
        <f>-PMT(D2812/D2814,D2815,D2811,0,0)</f>
        <v/>
      </c>
      <c r="E2817" s="319" t="n"/>
      <c r="F2817" s="319" t="n"/>
      <c r="G2817" s="319" t="n"/>
      <c r="H2817" s="319" t="n"/>
      <c r="I2817" s="319" t="n"/>
      <c r="J2817" s="319" t="n"/>
      <c r="K2817" s="1" t="n"/>
      <c r="L2817" s="1" t="n"/>
    </row>
    <row r="2818">
      <c r="B2818" s="1" t="n"/>
      <c r="C2818" s="1" t="n"/>
      <c r="D2818" s="319" t="n"/>
      <c r="E2818" s="319" t="n"/>
      <c r="F2818" s="319" t="n"/>
      <c r="G2818" s="319" t="n"/>
      <c r="H2818" s="319" t="n"/>
      <c r="I2818" s="319" t="n"/>
      <c r="J2818" s="319" t="n"/>
      <c r="K2818" s="1" t="n"/>
      <c r="L2818" s="1" t="n"/>
    </row>
    <row r="2819">
      <c r="B2819" s="1" t="n"/>
      <c r="C2819" s="21" t="inlineStr">
        <is>
          <t>Period Start</t>
        </is>
      </c>
      <c r="D2819" s="22" t="inlineStr">
        <is>
          <t>Period End</t>
        </is>
      </c>
      <c r="E2819" s="22" t="inlineStr">
        <is>
          <t>Days</t>
        </is>
      </c>
      <c r="F2819" s="294" t="inlineStr">
        <is>
          <t>Opening bal.</t>
        </is>
      </c>
      <c r="G2819" s="294" t="inlineStr">
        <is>
          <t>Pmt</t>
        </is>
      </c>
      <c r="H2819" s="294" t="inlineStr">
        <is>
          <t>Interest</t>
        </is>
      </c>
      <c r="I2819" s="294" t="inlineStr">
        <is>
          <t>Principal</t>
        </is>
      </c>
      <c r="J2819" s="294" t="inlineStr">
        <is>
          <t>Closing balance</t>
        </is>
      </c>
      <c r="K2819" s="23" t="inlineStr">
        <is>
          <t>Amount Repaid</t>
        </is>
      </c>
      <c r="L2819" s="23" t="inlineStr">
        <is>
          <t>Accumulated Arrears</t>
        </is>
      </c>
    </row>
    <row r="2820">
      <c r="B2820" s="1" t="n">
        <v>0</v>
      </c>
      <c r="C2820" s="24" t="n">
        <v>44950</v>
      </c>
      <c r="D2820" s="24" t="n">
        <v>44957</v>
      </c>
      <c r="E2820" s="25">
        <f>D2820-C2820+1</f>
        <v/>
      </c>
      <c r="F2820" s="319">
        <f>D2811</f>
        <v/>
      </c>
      <c r="G2820" s="319" t="n"/>
      <c r="H2820" s="319">
        <f>D2812/D2814*E2820*F2820/31</f>
        <v/>
      </c>
      <c r="I2820" s="319" t="n">
        <v>0</v>
      </c>
      <c r="J2820" s="319">
        <f>F2820+F2811-I2820</f>
        <v/>
      </c>
      <c r="K2820" s="516" t="n"/>
      <c r="L2820" s="516" t="n"/>
    </row>
    <row r="2821">
      <c r="B2821" s="1" t="n">
        <v>1</v>
      </c>
      <c r="C2821" s="24" t="n">
        <v>44958</v>
      </c>
      <c r="D2821" s="24" t="n">
        <v>44985</v>
      </c>
      <c r="E2821" s="25">
        <f>D2821-C2821+1</f>
        <v/>
      </c>
      <c r="F2821" s="319">
        <f>J2820</f>
        <v/>
      </c>
      <c r="G2821" s="319" t="n"/>
      <c r="H2821" s="319">
        <f>($D$2812/$D$2814*F2821)</f>
        <v/>
      </c>
      <c r="I2821" s="319" t="n">
        <v>0</v>
      </c>
      <c r="J2821" s="319">
        <f>F2821-I2821</f>
        <v/>
      </c>
      <c r="K2821" s="516" t="n"/>
      <c r="L2821" s="516" t="n"/>
    </row>
    <row r="2822">
      <c r="B2822" s="1" t="n">
        <v>2</v>
      </c>
      <c r="C2822" s="24" t="n">
        <v>44986</v>
      </c>
      <c r="D2822" s="24" t="n">
        <v>45016</v>
      </c>
      <c r="E2822" s="25">
        <f>D2822-C2822+1</f>
        <v/>
      </c>
      <c r="F2822" s="319">
        <f>J2821</f>
        <v/>
      </c>
      <c r="G2822" s="319" t="n"/>
      <c r="H2822" s="319">
        <f>($D$2812/$D$2814*F2822)</f>
        <v/>
      </c>
      <c r="I2822" s="319" t="n">
        <v>0</v>
      </c>
      <c r="J2822" s="319">
        <f>F2822-I2822</f>
        <v/>
      </c>
      <c r="K2822" s="319" t="n">
        <v>787721</v>
      </c>
      <c r="L2822" s="27">
        <f>SUM(H2820:H2822)-K2822</f>
        <v/>
      </c>
    </row>
    <row r="2823">
      <c r="B2823" s="1" t="n">
        <v>3</v>
      </c>
      <c r="C2823" s="24" t="n">
        <v>45017</v>
      </c>
      <c r="D2823" s="24" t="n">
        <v>45046</v>
      </c>
      <c r="E2823" s="25">
        <f>D2823-C2823+1</f>
        <v/>
      </c>
      <c r="F2823" s="319">
        <f>J2822</f>
        <v/>
      </c>
      <c r="G2823" s="319" t="n"/>
      <c r="H2823" s="319">
        <f>($D$2812/$D$2814*F2823)</f>
        <v/>
      </c>
      <c r="I2823" s="319" t="n">
        <v>0</v>
      </c>
      <c r="J2823" s="319">
        <f>F2823-I2823</f>
        <v/>
      </c>
      <c r="K2823" s="516">
        <f>757500+757500</f>
        <v/>
      </c>
      <c r="L2823" s="27">
        <f>L2822+H2823-K2823</f>
        <v/>
      </c>
    </row>
    <row r="2824">
      <c r="B2824" s="1" t="n">
        <v>4</v>
      </c>
      <c r="C2824" s="24" t="n">
        <v>45047</v>
      </c>
      <c r="D2824" s="24" t="n">
        <v>45077</v>
      </c>
      <c r="E2824" s="25">
        <f>D2824-C2824+1</f>
        <v/>
      </c>
      <c r="F2824" s="319">
        <f>J2823</f>
        <v/>
      </c>
      <c r="G2824" s="319">
        <f>-PMT($D$2812/$D$2814,33,$F$2824,,0)</f>
        <v/>
      </c>
      <c r="H2824" s="319">
        <f>($D$2812/$D$2814*F2824)</f>
        <v/>
      </c>
      <c r="I2824" s="319">
        <f>G2824-H2824</f>
        <v/>
      </c>
      <c r="J2824" s="319">
        <f>F2824-I2824</f>
        <v/>
      </c>
      <c r="K2824" s="516" t="n">
        <v>3162023</v>
      </c>
      <c r="L2824" s="27">
        <f>L2823+G2824-K2824</f>
        <v/>
      </c>
    </row>
    <row r="2825">
      <c r="B2825" s="1" t="n">
        <v>5</v>
      </c>
      <c r="C2825" s="24" t="n">
        <v>45078</v>
      </c>
      <c r="D2825" s="24" t="n">
        <v>45107</v>
      </c>
      <c r="E2825" s="25">
        <f>D2825-C2825+1</f>
        <v/>
      </c>
      <c r="F2825" s="319">
        <f>J2824</f>
        <v/>
      </c>
      <c r="G2825" s="319">
        <f>-PMT($D$2812/$D$2814,33,$F$2824,,0)</f>
        <v/>
      </c>
      <c r="H2825" s="319">
        <f>($D$2812/$D$2814*F2825)</f>
        <v/>
      </c>
      <c r="I2825" s="319">
        <f>G2825-H2825</f>
        <v/>
      </c>
      <c r="J2825" s="319">
        <f>F2825-I2825</f>
        <v/>
      </c>
      <c r="K2825" s="516" t="n">
        <v>3162022.73</v>
      </c>
      <c r="L2825" s="286">
        <f>L2824+G2825-K2825</f>
        <v/>
      </c>
    </row>
    <row r="2826">
      <c r="B2826" s="1" t="n">
        <v>6</v>
      </c>
      <c r="C2826" s="24" t="n">
        <v>45108</v>
      </c>
      <c r="D2826" s="24" t="n">
        <v>45138</v>
      </c>
      <c r="E2826" s="25">
        <f>D2826-C2826+1</f>
        <v/>
      </c>
      <c r="F2826" s="319">
        <f>J2825</f>
        <v/>
      </c>
      <c r="G2826" s="319">
        <f>-PMT($D$2812/$D$2814,33,$F$2824,,0)</f>
        <v/>
      </c>
      <c r="H2826" s="319">
        <f>($D$2812/$D$2814*F2826)</f>
        <v/>
      </c>
      <c r="I2826" s="319">
        <f>G2826-H2826</f>
        <v/>
      </c>
      <c r="J2826" s="319">
        <f>F2826-I2826</f>
        <v/>
      </c>
      <c r="K2826" s="516" t="n">
        <v>3162022.73</v>
      </c>
      <c r="L2826" s="27">
        <f>L2825+G2826-K2826</f>
        <v/>
      </c>
    </row>
    <row r="2827">
      <c r="B2827" s="1" t="n">
        <v>7</v>
      </c>
      <c r="C2827" s="24" t="n">
        <v>45139</v>
      </c>
      <c r="D2827" s="24" t="n">
        <v>45169</v>
      </c>
      <c r="E2827" s="25">
        <f>D2827-C2827+1</f>
        <v/>
      </c>
      <c r="F2827" s="319">
        <f>J2826</f>
        <v/>
      </c>
      <c r="G2827" s="319">
        <f>-PMT($D$2812/$D$2814,33,$F$2824,,0)</f>
        <v/>
      </c>
      <c r="H2827" s="319">
        <f>($D$2812/$D$2814*F2827)</f>
        <v/>
      </c>
      <c r="I2827" s="319">
        <f>G2827-H2827</f>
        <v/>
      </c>
      <c r="J2827" s="319">
        <f>F2827-I2827</f>
        <v/>
      </c>
      <c r="K2827" s="516" t="n">
        <v>3162022.73</v>
      </c>
      <c r="L2827" s="27">
        <f>L2826+G2827-K2827</f>
        <v/>
      </c>
    </row>
    <row r="2828">
      <c r="B2828" s="1" t="n">
        <v>8</v>
      </c>
      <c r="C2828" s="24" t="n">
        <v>45170</v>
      </c>
      <c r="D2828" s="24" t="n">
        <v>45199</v>
      </c>
      <c r="E2828" s="25">
        <f>D2828-C2828+1</f>
        <v/>
      </c>
      <c r="F2828" s="319">
        <f>J2827</f>
        <v/>
      </c>
      <c r="G2828" s="319">
        <f>-PMT($D$2812/$D$2814,33,$F$2824,,0)</f>
        <v/>
      </c>
      <c r="H2828" s="319">
        <f>($D$2812/$D$2814*F2828)</f>
        <v/>
      </c>
      <c r="I2828" s="319">
        <f>G2828-H2828</f>
        <v/>
      </c>
      <c r="J2828" s="319">
        <f>F2828-I2828</f>
        <v/>
      </c>
      <c r="K2828" s="516" t="n">
        <v>3162022.73</v>
      </c>
      <c r="L2828" s="27">
        <f>L2827+G2828-K2828</f>
        <v/>
      </c>
    </row>
    <row r="2829">
      <c r="B2829" s="1" t="n">
        <v>9</v>
      </c>
      <c r="C2829" s="24" t="n">
        <v>45200</v>
      </c>
      <c r="D2829" s="24" t="n">
        <v>45230</v>
      </c>
      <c r="E2829" s="25">
        <f>D2829-C2829+1</f>
        <v/>
      </c>
      <c r="F2829" s="319">
        <f>J2828</f>
        <v/>
      </c>
      <c r="G2829" s="319">
        <f>-PMT($D$2812/$D$2814,33,$F$2824,,0)</f>
        <v/>
      </c>
      <c r="H2829" s="319">
        <f>($D$2812/$D$2814*F2829)</f>
        <v/>
      </c>
      <c r="I2829" s="319">
        <f>G2829-H2829</f>
        <v/>
      </c>
      <c r="J2829" s="319">
        <f>F2829-I2829</f>
        <v/>
      </c>
      <c r="K2829" s="516" t="n">
        <v>3162023</v>
      </c>
      <c r="L2829" s="27">
        <f>L2828+G2829-K2829</f>
        <v/>
      </c>
    </row>
    <row r="2830">
      <c r="B2830" s="1" t="n">
        <v>10</v>
      </c>
      <c r="C2830" s="24" t="n">
        <v>45231</v>
      </c>
      <c r="D2830" s="24" t="n">
        <v>45260</v>
      </c>
      <c r="E2830" s="25">
        <f>D2830-C2830+1</f>
        <v/>
      </c>
      <c r="F2830" s="319">
        <f>J2829</f>
        <v/>
      </c>
      <c r="G2830" s="319">
        <f>-PMT($D$2812/$D$2814,33,$F$2824,,0)</f>
        <v/>
      </c>
      <c r="H2830" s="319">
        <f>($D$2812/$D$2814*F2830)</f>
        <v/>
      </c>
      <c r="I2830" s="319">
        <f>G2830-H2830</f>
        <v/>
      </c>
      <c r="J2830" s="319">
        <f>F2830-I2830</f>
        <v/>
      </c>
      <c r="K2830" s="516" t="n">
        <v>3162023</v>
      </c>
      <c r="L2830" s="27">
        <f>L2829+G2830-K2830</f>
        <v/>
      </c>
    </row>
    <row r="2831">
      <c r="B2831" s="1" t="n">
        <v>11</v>
      </c>
      <c r="C2831" s="24" t="n">
        <v>45261</v>
      </c>
      <c r="D2831" s="24" t="n">
        <v>45291</v>
      </c>
      <c r="E2831" s="25">
        <f>D2831-C2831+1</f>
        <v/>
      </c>
      <c r="F2831" s="319">
        <f>J2830</f>
        <v/>
      </c>
      <c r="G2831" s="319">
        <f>-PMT($D$2812/$D$2814,33,$F$2824,,0)</f>
        <v/>
      </c>
      <c r="H2831" s="319">
        <f>($D$2812/$D$2814*F2831)</f>
        <v/>
      </c>
      <c r="I2831" s="319">
        <f>G2831-H2831</f>
        <v/>
      </c>
      <c r="J2831" s="319">
        <f>F2831-I2831</f>
        <v/>
      </c>
      <c r="K2831" s="516" t="n">
        <v>3162023</v>
      </c>
      <c r="L2831" s="27">
        <f>L2830+G2831-K2831</f>
        <v/>
      </c>
    </row>
    <row r="2832">
      <c r="B2832" s="1" t="n">
        <v>12</v>
      </c>
      <c r="C2832" s="24" t="n">
        <v>45292</v>
      </c>
      <c r="D2832" s="24" t="n">
        <v>45322</v>
      </c>
      <c r="E2832" s="25">
        <f>D2832-C2832+1</f>
        <v/>
      </c>
      <c r="F2832" s="319">
        <f>J2831</f>
        <v/>
      </c>
      <c r="G2832" s="319">
        <f>-PMT($D$2812/$D$2814,33,$F$2824,,0)</f>
        <v/>
      </c>
      <c r="H2832" s="319">
        <f>($D$2812/$D$2814*F2832)</f>
        <v/>
      </c>
      <c r="I2832" s="319">
        <f>G2832-H2832</f>
        <v/>
      </c>
      <c r="J2832" s="319">
        <f>F2832-I2832</f>
        <v/>
      </c>
      <c r="K2832" s="516" t="n">
        <v>3162023</v>
      </c>
      <c r="L2832" s="27">
        <f>L2831+G2832-K2832</f>
        <v/>
      </c>
    </row>
    <row r="2833">
      <c r="B2833" s="1" t="n">
        <v>13</v>
      </c>
      <c r="C2833" s="24" t="n">
        <v>45323</v>
      </c>
      <c r="D2833" s="24" t="n">
        <v>45351</v>
      </c>
      <c r="E2833" s="25">
        <f>D2833-C2833+1</f>
        <v/>
      </c>
      <c r="F2833" s="319">
        <f>J2832</f>
        <v/>
      </c>
      <c r="G2833" s="319">
        <f>-PMT($D$2812/$D$2814,33,$F$2824,,0)</f>
        <v/>
      </c>
      <c r="H2833" s="319">
        <f>($D$2812/$D$2814*F2833)</f>
        <v/>
      </c>
      <c r="I2833" s="319">
        <f>G2833-H2833</f>
        <v/>
      </c>
      <c r="J2833" s="319">
        <f>F2833-I2833</f>
        <v/>
      </c>
      <c r="K2833" s="516" t="n">
        <v>3162023</v>
      </c>
      <c r="L2833" s="27">
        <f>L2832+G2833-K2833</f>
        <v/>
      </c>
    </row>
    <row r="2834">
      <c r="B2834" s="1" t="n">
        <v>14</v>
      </c>
      <c r="C2834" s="24" t="n">
        <v>45352</v>
      </c>
      <c r="D2834" s="24" t="n">
        <v>45382</v>
      </c>
      <c r="E2834" s="25">
        <f>D2834-C2834+1</f>
        <v/>
      </c>
      <c r="F2834" s="319">
        <f>J2833</f>
        <v/>
      </c>
      <c r="G2834" s="319">
        <f>-PMT($D$2812/$D$2814,33,$F$2824,,0)</f>
        <v/>
      </c>
      <c r="H2834" s="319">
        <f>($D$2812/$D$2814*F2834)</f>
        <v/>
      </c>
      <c r="I2834" s="319">
        <f>G2834-H2834</f>
        <v/>
      </c>
      <c r="J2834" s="319">
        <f>F2834-I2834</f>
        <v/>
      </c>
      <c r="K2834" s="516" t="n">
        <v>3162023</v>
      </c>
      <c r="L2834" s="27">
        <f>L2833+G2834-K2834</f>
        <v/>
      </c>
    </row>
    <row r="2835">
      <c r="B2835" s="1" t="n">
        <v>15</v>
      </c>
      <c r="C2835" s="24" t="n">
        <v>45383</v>
      </c>
      <c r="D2835" s="24" t="n">
        <v>45412</v>
      </c>
      <c r="E2835" s="25">
        <f>D2835-C2835+1</f>
        <v/>
      </c>
      <c r="F2835" s="319">
        <f>J2834</f>
        <v/>
      </c>
      <c r="G2835" s="319">
        <f>-PMT($D$2812/$D$2814,33,$F$2824,,0)</f>
        <v/>
      </c>
      <c r="H2835" s="319">
        <f>($D$2812/$D$2814*F2835)</f>
        <v/>
      </c>
      <c r="I2835" s="319">
        <f>G2835-H2835</f>
        <v/>
      </c>
      <c r="J2835" s="319">
        <f>F2835-I2835</f>
        <v/>
      </c>
      <c r="K2835" s="516" t="n">
        <v>3162023</v>
      </c>
      <c r="L2835" s="27">
        <f>L2834+G2835-K2835</f>
        <v/>
      </c>
    </row>
    <row r="2836">
      <c r="B2836" s="1" t="n">
        <v>16</v>
      </c>
      <c r="C2836" s="24" t="n">
        <v>45413</v>
      </c>
      <c r="D2836" s="24" t="n">
        <v>45443</v>
      </c>
      <c r="E2836" s="25">
        <f>D2836-C2836+1</f>
        <v/>
      </c>
      <c r="F2836" s="319">
        <f>J2835</f>
        <v/>
      </c>
      <c r="G2836" s="319">
        <f>-PMT($D$2812/$D$2814,33,$F$2824,,0)</f>
        <v/>
      </c>
      <c r="H2836" s="319">
        <f>($D$2812/$D$2814*F2836)</f>
        <v/>
      </c>
      <c r="I2836" s="319">
        <f>G2836-H2836</f>
        <v/>
      </c>
      <c r="J2836" s="319">
        <f>F2836-I2836</f>
        <v/>
      </c>
      <c r="K2836" s="516" t="n"/>
      <c r="L2836" s="27">
        <f>L2835+G2836-K2836</f>
        <v/>
      </c>
    </row>
    <row r="2837">
      <c r="B2837" s="1" t="n">
        <v>17</v>
      </c>
      <c r="C2837" s="24" t="n">
        <v>45444</v>
      </c>
      <c r="D2837" s="24" t="n">
        <v>45473</v>
      </c>
      <c r="E2837" s="25">
        <f>D2837-C2837+1</f>
        <v/>
      </c>
      <c r="F2837" s="319">
        <f>J2836</f>
        <v/>
      </c>
      <c r="G2837" s="319">
        <f>-PMT($D$2812/$D$2814,33,$F$2824,,0)</f>
        <v/>
      </c>
      <c r="H2837" s="317">
        <f>($D$2812/$D$2814*F2837)</f>
        <v/>
      </c>
      <c r="I2837" s="319">
        <f>G2837-H2837</f>
        <v/>
      </c>
      <c r="J2837" s="319">
        <f>F2837-I2837</f>
        <v/>
      </c>
      <c r="K2837" s="516">
        <f>165260.38+3162023+3162023</f>
        <v/>
      </c>
      <c r="L2837" s="27">
        <f>L2836+G2837-K2837</f>
        <v/>
      </c>
    </row>
    <row r="2838">
      <c r="B2838" s="1" t="n">
        <v>18</v>
      </c>
      <c r="C2838" s="24" t="n">
        <v>45474</v>
      </c>
      <c r="D2838" s="24" t="n">
        <v>45504</v>
      </c>
      <c r="E2838" s="25">
        <f>D2838-C2838+1</f>
        <v/>
      </c>
      <c r="F2838" s="319">
        <f>J2837</f>
        <v/>
      </c>
      <c r="G2838" s="319">
        <f>-PMT($D$2812/$D$2814,33,$F$2824,,0)</f>
        <v/>
      </c>
      <c r="H2838" s="319">
        <f>($D$2812/$D$2814*F2838)</f>
        <v/>
      </c>
      <c r="I2838" s="319">
        <f>G2838-H2838</f>
        <v/>
      </c>
      <c r="J2838" s="319">
        <f>F2838-I2838</f>
        <v/>
      </c>
      <c r="K2838" s="516" t="n">
        <v>3162023</v>
      </c>
      <c r="L2838" s="27">
        <f>L2837+G2838-K2838</f>
        <v/>
      </c>
    </row>
    <row r="2839">
      <c r="B2839" s="1" t="n">
        <v>19</v>
      </c>
      <c r="C2839" s="24" t="n">
        <v>45505</v>
      </c>
      <c r="D2839" s="24" t="n">
        <v>45535</v>
      </c>
      <c r="E2839" s="25">
        <f>D2839-C2839+1</f>
        <v/>
      </c>
      <c r="F2839" s="319">
        <f>J2838</f>
        <v/>
      </c>
      <c r="G2839" s="319">
        <f>-PMT($D$2812/$D$2814,33,$F$2824,,0)</f>
        <v/>
      </c>
      <c r="H2839" s="319">
        <f>($D$2812/$D$2814*F2839)</f>
        <v/>
      </c>
      <c r="I2839" s="319">
        <f>G2839-H2839</f>
        <v/>
      </c>
      <c r="J2839" s="319">
        <f>F2839-I2839</f>
        <v/>
      </c>
      <c r="K2839" s="516" t="n"/>
      <c r="L2839" s="27">
        <f>L2838+G2839-K2839</f>
        <v/>
      </c>
    </row>
    <row r="2840">
      <c r="B2840" s="1" t="n">
        <v>20</v>
      </c>
      <c r="C2840" s="24" t="n">
        <v>45536</v>
      </c>
      <c r="D2840" s="24" t="n">
        <v>45565</v>
      </c>
      <c r="E2840" s="25">
        <f>D2840-C2840+1</f>
        <v/>
      </c>
      <c r="F2840" s="319">
        <f>J2839</f>
        <v/>
      </c>
      <c r="G2840" s="319">
        <f>-PMT($D$2812/$D$2814,33,$F$2824,,0)</f>
        <v/>
      </c>
      <c r="H2840" s="319">
        <f>($D$2812/$D$2814*F2840)</f>
        <v/>
      </c>
      <c r="I2840" s="319">
        <f>G2840-H2840</f>
        <v/>
      </c>
      <c r="J2840" s="319">
        <f>F2840-I2840</f>
        <v/>
      </c>
      <c r="K2840" s="516">
        <f>3162023+3162023</f>
        <v/>
      </c>
      <c r="L2840" s="27">
        <f>L2839+G2840-K2840</f>
        <v/>
      </c>
    </row>
    <row r="2841">
      <c r="B2841" s="1" t="n">
        <v>21</v>
      </c>
      <c r="C2841" s="24" t="n">
        <v>45566</v>
      </c>
      <c r="D2841" s="24" t="n">
        <v>45596</v>
      </c>
      <c r="E2841" s="25">
        <f>D2841-C2841+1</f>
        <v/>
      </c>
      <c r="F2841" s="319">
        <f>J2840</f>
        <v/>
      </c>
      <c r="G2841" s="319">
        <f>-PMT($D$2812/$D$2814,33,$F$2824,,0)</f>
        <v/>
      </c>
      <c r="H2841" s="319">
        <f>($D$2812/$D$2814*F2841)</f>
        <v/>
      </c>
      <c r="I2841" s="319">
        <f>G2841-H2841</f>
        <v/>
      </c>
      <c r="J2841" s="319">
        <f>F2841-I2841</f>
        <v/>
      </c>
      <c r="K2841" s="516" t="n">
        <v>3162023</v>
      </c>
      <c r="L2841" s="330">
        <f>L2840+G2841-K2841</f>
        <v/>
      </c>
    </row>
    <row r="2842">
      <c r="B2842" s="1" t="n">
        <v>22</v>
      </c>
      <c r="C2842" s="24" t="n">
        <v>45597</v>
      </c>
      <c r="D2842" s="24" t="n">
        <v>45626</v>
      </c>
      <c r="E2842" s="25">
        <f>D2842-C2842+1</f>
        <v/>
      </c>
      <c r="F2842" s="319">
        <f>J2841</f>
        <v/>
      </c>
      <c r="G2842" s="319">
        <f>-PMT($D$2812/$D$2814,33,$F$2824,,0)</f>
        <v/>
      </c>
      <c r="H2842" s="319">
        <f>($D$2812/$D$2814*F2842)</f>
        <v/>
      </c>
      <c r="I2842" s="319">
        <f>G2842-H2842</f>
        <v/>
      </c>
      <c r="J2842" s="319">
        <f>F2842-I2842</f>
        <v/>
      </c>
      <c r="K2842" s="516" t="n"/>
      <c r="L2842" s="516" t="n"/>
    </row>
    <row r="2843">
      <c r="B2843" s="1" t="n">
        <v>23</v>
      </c>
      <c r="C2843" s="24" t="n">
        <v>45627</v>
      </c>
      <c r="D2843" s="24" t="n">
        <v>45657</v>
      </c>
      <c r="E2843" s="25">
        <f>D2843-C2843+1</f>
        <v/>
      </c>
      <c r="F2843" s="319">
        <f>J2842</f>
        <v/>
      </c>
      <c r="G2843" s="319">
        <f>-PMT($D$2812/$D$2814,33,$F$2824,,0)</f>
        <v/>
      </c>
      <c r="H2843" s="319">
        <f>($D$2812/$D$2814*F2843)</f>
        <v/>
      </c>
      <c r="I2843" s="319">
        <f>G2843-H2843</f>
        <v/>
      </c>
      <c r="J2843" s="319">
        <f>F2843-I2843</f>
        <v/>
      </c>
      <c r="K2843" s="516" t="n"/>
      <c r="L2843" s="516" t="n"/>
    </row>
    <row r="2844">
      <c r="B2844" s="1" t="n">
        <v>24</v>
      </c>
      <c r="C2844" s="24" t="n">
        <v>45658</v>
      </c>
      <c r="D2844" s="24" t="n">
        <v>45688</v>
      </c>
      <c r="E2844" s="25">
        <f>D2844-C2844+1</f>
        <v/>
      </c>
      <c r="F2844" s="319">
        <f>J2843</f>
        <v/>
      </c>
      <c r="G2844" s="319">
        <f>-PMT($D$2812/$D$2814,33,$F$2824,,0)</f>
        <v/>
      </c>
      <c r="H2844" s="319">
        <f>($D$2812/$D$2814*F2844)</f>
        <v/>
      </c>
      <c r="I2844" s="319">
        <f>G2844-H2844</f>
        <v/>
      </c>
      <c r="J2844" s="319">
        <f>F2844-I2844</f>
        <v/>
      </c>
      <c r="K2844" s="516" t="n"/>
      <c r="L2844" s="516" t="n"/>
    </row>
    <row r="2845">
      <c r="B2845" s="1" t="n">
        <v>25</v>
      </c>
      <c r="C2845" s="24" t="n">
        <v>45689</v>
      </c>
      <c r="D2845" s="24" t="n">
        <v>45716</v>
      </c>
      <c r="E2845" s="25">
        <f>D2845-C2845+1</f>
        <v/>
      </c>
      <c r="F2845" s="319">
        <f>J2844</f>
        <v/>
      </c>
      <c r="G2845" s="319">
        <f>-PMT($D$2812/$D$2814,33,$F$2824,,0)</f>
        <v/>
      </c>
      <c r="H2845" s="319">
        <f>($D$2812/$D$2814*F2845)</f>
        <v/>
      </c>
      <c r="I2845" s="319">
        <f>G2845-H2845</f>
        <v/>
      </c>
      <c r="J2845" s="319">
        <f>F2845-I2845</f>
        <v/>
      </c>
      <c r="K2845" s="516" t="n"/>
      <c r="L2845" s="516" t="n"/>
    </row>
    <row r="2846">
      <c r="B2846" s="1" t="n">
        <v>26</v>
      </c>
      <c r="C2846" s="24" t="n">
        <v>45717</v>
      </c>
      <c r="D2846" s="24" t="n">
        <v>45747</v>
      </c>
      <c r="E2846" s="25">
        <f>D2846-C2846+1</f>
        <v/>
      </c>
      <c r="F2846" s="319">
        <f>J2845</f>
        <v/>
      </c>
      <c r="G2846" s="319">
        <f>-PMT($D$2812/$D$2814,33,$F$2824,,0)</f>
        <v/>
      </c>
      <c r="H2846" s="319">
        <f>($D$2812/$D$2814*F2846)</f>
        <v/>
      </c>
      <c r="I2846" s="319">
        <f>G2846-H2846</f>
        <v/>
      </c>
      <c r="J2846" s="319">
        <f>F2846-I2846</f>
        <v/>
      </c>
      <c r="K2846" s="516" t="n"/>
      <c r="L2846" s="516" t="n"/>
    </row>
    <row r="2847">
      <c r="B2847" s="1" t="n">
        <v>27</v>
      </c>
      <c r="C2847" s="24" t="n">
        <v>45748</v>
      </c>
      <c r="D2847" s="24" t="n">
        <v>45777</v>
      </c>
      <c r="E2847" s="25">
        <f>D2847-C2847+1</f>
        <v/>
      </c>
      <c r="F2847" s="319">
        <f>J2846</f>
        <v/>
      </c>
      <c r="G2847" s="319">
        <f>-PMT($D$2812/$D$2814,33,$F$2824,,0)</f>
        <v/>
      </c>
      <c r="H2847" s="319">
        <f>($D$2812/$D$2814*F2847)</f>
        <v/>
      </c>
      <c r="I2847" s="319">
        <f>G2847-H2847</f>
        <v/>
      </c>
      <c r="J2847" s="319">
        <f>F2847-I2847</f>
        <v/>
      </c>
      <c r="K2847" s="516" t="n"/>
      <c r="L2847" s="516" t="n"/>
    </row>
    <row r="2848">
      <c r="B2848" s="1" t="n">
        <v>28</v>
      </c>
      <c r="C2848" s="24" t="n">
        <v>45778</v>
      </c>
      <c r="D2848" s="24" t="n">
        <v>45808</v>
      </c>
      <c r="E2848" s="25">
        <f>D2848-C2848+1</f>
        <v/>
      </c>
      <c r="F2848" s="319">
        <f>J2847</f>
        <v/>
      </c>
      <c r="G2848" s="319">
        <f>-PMT($D$2812/$D$2814,33,$F$2824,,0)</f>
        <v/>
      </c>
      <c r="H2848" s="319">
        <f>($D$2812/$D$2814*F2848)</f>
        <v/>
      </c>
      <c r="I2848" s="319">
        <f>G2848-H2848</f>
        <v/>
      </c>
      <c r="J2848" s="319">
        <f>F2848-I2848</f>
        <v/>
      </c>
      <c r="K2848" s="516" t="n"/>
      <c r="L2848" s="516" t="n"/>
    </row>
    <row r="2849">
      <c r="B2849" s="1" t="n">
        <v>29</v>
      </c>
      <c r="C2849" s="24" t="n">
        <v>45809</v>
      </c>
      <c r="D2849" s="24" t="n">
        <v>45838</v>
      </c>
      <c r="E2849" s="25">
        <f>D2849-C2849+1</f>
        <v/>
      </c>
      <c r="F2849" s="319">
        <f>J2848</f>
        <v/>
      </c>
      <c r="G2849" s="319">
        <f>-PMT($D$2812/$D$2814,33,$F$2824,,0)</f>
        <v/>
      </c>
      <c r="H2849" s="319">
        <f>($D$2812/$D$2814*F2849)</f>
        <v/>
      </c>
      <c r="I2849" s="319">
        <f>G2849-H2849</f>
        <v/>
      </c>
      <c r="J2849" s="319">
        <f>F2849-I2849</f>
        <v/>
      </c>
      <c r="K2849" s="516" t="n"/>
      <c r="L2849" s="516" t="n"/>
    </row>
    <row r="2850">
      <c r="B2850" s="1" t="n">
        <v>30</v>
      </c>
      <c r="C2850" s="24" t="n">
        <v>45839</v>
      </c>
      <c r="D2850" s="24" t="n">
        <v>45869</v>
      </c>
      <c r="E2850" s="25">
        <f>D2850-C2850+1</f>
        <v/>
      </c>
      <c r="F2850" s="319">
        <f>J2849</f>
        <v/>
      </c>
      <c r="G2850" s="319">
        <f>-PMT($D$2812/$D$2814,33,$F$2824,,0)</f>
        <v/>
      </c>
      <c r="H2850" s="319">
        <f>($D$2812/$D$2814*F2850)</f>
        <v/>
      </c>
      <c r="I2850" s="319">
        <f>G2850-H2850</f>
        <v/>
      </c>
      <c r="J2850" s="319">
        <f>F2850-I2850</f>
        <v/>
      </c>
      <c r="K2850" s="516" t="n"/>
      <c r="L2850" s="516" t="n"/>
    </row>
    <row r="2851">
      <c r="B2851" s="1" t="n">
        <v>31</v>
      </c>
      <c r="C2851" s="24" t="n">
        <v>45870</v>
      </c>
      <c r="D2851" s="24" t="n">
        <v>45900</v>
      </c>
      <c r="E2851" s="25">
        <f>D2851-C2851+1</f>
        <v/>
      </c>
      <c r="F2851" s="319">
        <f>J2850</f>
        <v/>
      </c>
      <c r="G2851" s="319">
        <f>-PMT($D$2812/$D$2814,33,$F$2824,,0)</f>
        <v/>
      </c>
      <c r="H2851" s="319">
        <f>($D$2812/$D$2814*F2851)</f>
        <v/>
      </c>
      <c r="I2851" s="319">
        <f>G2851-H2851</f>
        <v/>
      </c>
      <c r="J2851" s="319">
        <f>F2851-I2851</f>
        <v/>
      </c>
      <c r="K2851" s="516" t="n"/>
      <c r="L2851" s="516" t="n"/>
    </row>
    <row r="2852">
      <c r="B2852" s="1" t="n">
        <v>32</v>
      </c>
      <c r="C2852" s="24" t="n">
        <v>45901</v>
      </c>
      <c r="D2852" s="24" t="n">
        <v>45930</v>
      </c>
      <c r="E2852" s="25">
        <f>D2852-C2852+1</f>
        <v/>
      </c>
      <c r="F2852" s="319">
        <f>J2851</f>
        <v/>
      </c>
      <c r="G2852" s="319">
        <f>-PMT($D$2812/$D$2814,33,$F$2824,,0)</f>
        <v/>
      </c>
      <c r="H2852" s="319">
        <f>($D$2812/$D$2814*F2852)</f>
        <v/>
      </c>
      <c r="I2852" s="319">
        <f>G2852-H2852</f>
        <v/>
      </c>
      <c r="J2852" s="319">
        <f>F2852-I2852</f>
        <v/>
      </c>
      <c r="K2852" s="516" t="n"/>
      <c r="L2852" s="516" t="n"/>
    </row>
    <row r="2853">
      <c r="B2853" s="1" t="n">
        <v>33</v>
      </c>
      <c r="C2853" s="24" t="n">
        <v>45931</v>
      </c>
      <c r="D2853" s="24" t="n">
        <v>45961</v>
      </c>
      <c r="E2853" s="25">
        <f>D2853-C2853+1</f>
        <v/>
      </c>
      <c r="F2853" s="319">
        <f>J2852</f>
        <v/>
      </c>
      <c r="G2853" s="319">
        <f>-PMT($D$2812/$D$2814,33,$F$2824,,0)</f>
        <v/>
      </c>
      <c r="H2853" s="319">
        <f>($D$2812/$D$2814*F2853)</f>
        <v/>
      </c>
      <c r="I2853" s="319">
        <f>G2853-H2853</f>
        <v/>
      </c>
      <c r="J2853" s="319">
        <f>F2853-I2853</f>
        <v/>
      </c>
      <c r="K2853" s="516" t="n"/>
      <c r="L2853" s="516" t="n"/>
    </row>
    <row r="2854">
      <c r="B2854" s="1" t="n">
        <v>34</v>
      </c>
      <c r="C2854" s="24" t="n">
        <v>45962</v>
      </c>
      <c r="D2854" s="24" t="n">
        <v>45991</v>
      </c>
      <c r="E2854" s="25">
        <f>D2854-C2854+1</f>
        <v/>
      </c>
      <c r="F2854" s="319">
        <f>J2853</f>
        <v/>
      </c>
      <c r="G2854" s="319">
        <f>-PMT($D$2812/$D$2814,33,$F$2824,,0)</f>
        <v/>
      </c>
      <c r="H2854" s="319">
        <f>($D$2812/$D$2814*F2854)</f>
        <v/>
      </c>
      <c r="I2854" s="319">
        <f>G2854-H2854</f>
        <v/>
      </c>
      <c r="J2854" s="319">
        <f>F2854-I2854</f>
        <v/>
      </c>
      <c r="K2854" s="516" t="n"/>
      <c r="L2854" s="516" t="n"/>
    </row>
    <row r="2855">
      <c r="B2855" s="1" t="n">
        <v>35</v>
      </c>
      <c r="C2855" s="24" t="n">
        <v>45992</v>
      </c>
      <c r="D2855" s="24" t="n">
        <v>46022</v>
      </c>
      <c r="E2855" s="25">
        <f>D2855-C2855+1</f>
        <v/>
      </c>
      <c r="F2855" s="319">
        <f>J2854</f>
        <v/>
      </c>
      <c r="G2855" s="319">
        <f>-PMT($D$2812/$D$2814,33,$F$2824,,0)</f>
        <v/>
      </c>
      <c r="H2855" s="319">
        <f>($D$2812/$D$2814*F2855)</f>
        <v/>
      </c>
      <c r="I2855" s="319">
        <f>G2855-H2855</f>
        <v/>
      </c>
      <c r="J2855" s="319">
        <f>F2855-I2855</f>
        <v/>
      </c>
      <c r="K2855" s="516" t="n"/>
      <c r="L2855" s="516" t="n"/>
    </row>
    <row r="2856">
      <c r="B2856" s="1" t="n">
        <v>36</v>
      </c>
      <c r="C2856" s="24" t="n">
        <v>46023</v>
      </c>
      <c r="D2856" s="24" t="n">
        <v>46053</v>
      </c>
      <c r="E2856" s="25">
        <f>D2856-C2856+1</f>
        <v/>
      </c>
      <c r="F2856" s="319">
        <f>J2855</f>
        <v/>
      </c>
      <c r="G2856" s="319">
        <f>-PMT($D$2812/$D$2814,33,$F$2824,,0)</f>
        <v/>
      </c>
      <c r="H2856" s="319">
        <f>($D$2812/$D$2814*F2856)</f>
        <v/>
      </c>
      <c r="I2856" s="319">
        <f>G2856-H2856</f>
        <v/>
      </c>
      <c r="J2856" s="319">
        <f>F2856-I2856</f>
        <v/>
      </c>
      <c r="K2856" s="516" t="n"/>
      <c r="L2856" s="516" t="n"/>
    </row>
    <row r="2857">
      <c r="B2857" s="1" t="n"/>
      <c r="C2857" s="24" t="n"/>
      <c r="D2857" s="24" t="n"/>
      <c r="E2857" s="25" t="n"/>
      <c r="F2857" s="319" t="n"/>
      <c r="G2857" s="319" t="n"/>
      <c r="H2857" s="319" t="n"/>
      <c r="I2857" s="319" t="n"/>
      <c r="J2857" s="319" t="n"/>
      <c r="K2857" s="516" t="n"/>
      <c r="L2857" s="516" t="n"/>
    </row>
    <row r="2858">
      <c r="B2858" s="1" t="n"/>
      <c r="C2858" s="24" t="n"/>
      <c r="D2858" s="24" t="n"/>
      <c r="E2858" s="30">
        <f>SUM(E2820:E2844)</f>
        <v/>
      </c>
      <c r="F2858" s="319" t="n"/>
      <c r="G2858" s="319" t="n"/>
      <c r="H2858" s="319" t="n"/>
      <c r="I2858" s="319" t="n"/>
      <c r="J2858" s="319" t="n"/>
      <c r="K2858" s="516" t="n"/>
      <c r="L2858" s="516" t="n"/>
    </row>
    <row r="2864">
      <c r="B2864" s="1" t="n"/>
      <c r="C2864" s="9" t="inlineStr">
        <is>
          <t>VNC Bricks</t>
        </is>
      </c>
      <c r="D2864" s="319" t="n"/>
      <c r="E2864" s="319" t="n"/>
      <c r="F2864" s="319" t="n"/>
      <c r="G2864" s="319" t="n"/>
      <c r="H2864" s="319" t="n"/>
      <c r="I2864" s="319" t="n"/>
      <c r="J2864" s="319" t="n"/>
      <c r="K2864" s="319" t="n"/>
      <c r="L2864" s="319" t="n"/>
      <c r="R2864" s="514" t="inlineStr">
        <is>
          <t>E-Banker account (Dupleix)</t>
        </is>
      </c>
      <c r="S2864" s="495">
        <f>IFERROR(INDEX('Blocks'!$I$2:$I$101,MATCH(53,'Blocks'!$A$2:$A$101,0)),"")</f>
        <v/>
      </c>
    </row>
    <row r="2865">
      <c r="B2865" s="1" t="n"/>
      <c r="C2865" s="1" t="n"/>
      <c r="D2865" s="319" t="n"/>
      <c r="E2865" s="319" t="n"/>
      <c r="F2865" s="290" t="inlineStr">
        <is>
          <t>17.3% to 20%</t>
        </is>
      </c>
      <c r="G2865" s="290" t="inlineStr">
        <is>
          <t>20% to 21.40%</t>
        </is>
      </c>
      <c r="H2865" s="290" t="inlineStr">
        <is>
          <t>21.40% to 22.70%</t>
        </is>
      </c>
      <c r="I2865" s="290" t="inlineStr">
        <is>
          <t>22.70% to 23.40%</t>
        </is>
      </c>
      <c r="J2865" s="290" t="inlineStr">
        <is>
          <t>23.40% to 23.50%</t>
        </is>
      </c>
      <c r="K2865" s="290" t="inlineStr">
        <is>
          <t>23.50% to 23.60%</t>
        </is>
      </c>
      <c r="L2865" s="290" t="inlineStr">
        <is>
          <t>23.60% to 24.90%</t>
        </is>
      </c>
      <c r="M2865" s="290" t="inlineStr">
        <is>
          <t>24.90% to 25%</t>
        </is>
      </c>
      <c r="N2865" s="290" t="inlineStr">
        <is>
          <t>25.00% to 25.1%</t>
        </is>
      </c>
      <c r="R2865" s="514" t="inlineStr">
        <is>
          <t>Facility (Loan Book)</t>
        </is>
      </c>
      <c r="S2865" s="495">
        <f>IFERROR(INDEX('Blocks'!$H$2:$H$101,MATCH(53,'Blocks'!$A$2:$A$101,0)),"")</f>
        <v/>
      </c>
    </row>
    <row r="2866">
      <c r="B2866" s="1" t="n"/>
      <c r="C2866" s="10" t="inlineStr">
        <is>
          <t>Principal (MK)</t>
        </is>
      </c>
      <c r="D2866" s="11" t="n">
        <v>200000000</v>
      </c>
      <c r="E2866" s="319" t="n"/>
      <c r="F2866" s="536" t="n">
        <v>45047</v>
      </c>
      <c r="G2866" s="290" t="n">
        <v>45108</v>
      </c>
      <c r="H2866" s="536" t="n">
        <v>45139</v>
      </c>
      <c r="I2866" s="290" t="n">
        <v>45170</v>
      </c>
      <c r="J2866" s="536" t="n">
        <v>45200</v>
      </c>
      <c r="K2866" s="248" t="n">
        <v>45261</v>
      </c>
      <c r="L2866" s="248" t="n">
        <v>44958</v>
      </c>
      <c r="M2866" s="248" t="n">
        <v>45047</v>
      </c>
      <c r="N2866" s="248" t="n">
        <v>45047</v>
      </c>
      <c r="R2866" s="514" t="inlineStr">
        <is>
          <t>Take-on posting 31 Jul 2024</t>
        </is>
      </c>
      <c r="S2866" s="496">
        <f>IFERROR(INDEX('E-Banker master'!$N$2:$N$186,MATCH(S2864,'E-Banker master'!$A$2:$A$186,0)),"")</f>
        <v/>
      </c>
    </row>
    <row r="2867">
      <c r="B2867" s="1" t="n"/>
      <c r="C2867" s="13" t="inlineStr">
        <is>
          <t>Rate</t>
        </is>
      </c>
      <c r="D2867" s="14" t="n">
        <v>0.253</v>
      </c>
      <c r="E2867" s="257" t="n"/>
      <c r="F2867" s="290" t="inlineStr">
        <is>
          <t>Rate Adj</t>
        </is>
      </c>
      <c r="G2867" s="290" t="inlineStr">
        <is>
          <t>Rate Adj</t>
        </is>
      </c>
      <c r="H2867" s="290" t="inlineStr">
        <is>
          <t>Rate Adj</t>
        </is>
      </c>
      <c r="I2867" s="290" t="inlineStr">
        <is>
          <t>Rate Adj</t>
        </is>
      </c>
      <c r="J2867" s="290" t="inlineStr">
        <is>
          <t>Rate Adj</t>
        </is>
      </c>
      <c r="K2867" s="290" t="inlineStr">
        <is>
          <t>Rate Adj</t>
        </is>
      </c>
      <c r="L2867" s="290" t="inlineStr">
        <is>
          <t>Rate Adj</t>
        </is>
      </c>
      <c r="M2867" s="290" t="inlineStr">
        <is>
          <t>Rate Adj</t>
        </is>
      </c>
      <c r="N2867" s="290" t="inlineStr">
        <is>
          <t>Rate Adj</t>
        </is>
      </c>
      <c r="R2867" s="514" t="inlineStr">
        <is>
          <t>E-Banker balance 31 Oct 2024</t>
        </is>
      </c>
      <c r="S2867" s="496">
        <f>IFERROR(INDEX('E-Banker master'!$P$2:$P$186,MATCH(S2864,'E-Banker master'!$A$2:$A$186,0)),"")</f>
        <v/>
      </c>
    </row>
    <row r="2868">
      <c r="B2868" s="1" t="n"/>
      <c r="C2868" s="13" t="inlineStr">
        <is>
          <t>n</t>
        </is>
      </c>
      <c r="D2868" s="16" t="n">
        <v>4</v>
      </c>
      <c r="E2868" s="1" t="n"/>
      <c r="F2868" s="323">
        <f>D2867+2.7%</f>
        <v/>
      </c>
      <c r="G2868" s="319">
        <f>F2868+1.4%</f>
        <v/>
      </c>
      <c r="H2868" s="323">
        <f>G2868+1.3%</f>
        <v/>
      </c>
      <c r="I2868" s="319">
        <f>H2868+0.7%</f>
        <v/>
      </c>
      <c r="J2868" s="323">
        <f>I2868+0.1%</f>
        <v/>
      </c>
      <c r="K2868" s="257">
        <f>J2868+0.1%</f>
        <v/>
      </c>
      <c r="L2868" s="257">
        <f>K2868+1.3%</f>
        <v/>
      </c>
      <c r="M2868" s="257">
        <f>L2868+0.1%</f>
        <v/>
      </c>
      <c r="N2868" s="257">
        <f>M2868+0.1%</f>
        <v/>
      </c>
    </row>
    <row r="2869">
      <c r="B2869" s="1" t="n"/>
      <c r="C2869" s="13" t="inlineStr">
        <is>
          <t>Per</t>
        </is>
      </c>
      <c r="D2869" s="16" t="n">
        <v>12</v>
      </c>
      <c r="E2869" s="1" t="n"/>
      <c r="F2869" s="319" t="n"/>
      <c r="G2869" s="319" t="n"/>
      <c r="H2869" s="319" t="n"/>
      <c r="I2869" s="319" t="n"/>
      <c r="J2869" s="319" t="n"/>
      <c r="K2869" s="1" t="n"/>
      <c r="L2869" s="1" t="n"/>
    </row>
    <row r="2870">
      <c r="B2870" s="1" t="n"/>
      <c r="C2870" s="13" t="inlineStr">
        <is>
          <t>nPer</t>
        </is>
      </c>
      <c r="D2870" s="515">
        <f>D2868*D2869</f>
        <v/>
      </c>
      <c r="E2870" s="1" t="n"/>
      <c r="F2870" s="290" t="inlineStr">
        <is>
          <t>25.10% to 25.4%</t>
        </is>
      </c>
      <c r="G2870" s="319" t="n"/>
      <c r="H2870" s="319" t="n"/>
      <c r="I2870" s="319" t="n"/>
      <c r="J2870" s="319" t="n"/>
      <c r="K2870" s="1" t="n"/>
      <c r="L2870" s="1" t="n"/>
    </row>
    <row r="2871">
      <c r="B2871" s="1" t="n"/>
      <c r="C2871" s="13" t="inlineStr">
        <is>
          <t>Days in a year</t>
        </is>
      </c>
      <c r="D2871" s="18" t="n">
        <v>365</v>
      </c>
      <c r="E2871" s="1" t="n"/>
      <c r="F2871" s="248" t="n">
        <v>45047</v>
      </c>
      <c r="G2871" s="319" t="n"/>
      <c r="H2871" s="319" t="n"/>
      <c r="I2871" s="319" t="n"/>
      <c r="J2871" s="319" t="n"/>
      <c r="K2871" s="1" t="n"/>
      <c r="L2871" s="1" t="n"/>
    </row>
    <row r="2872">
      <c r="B2872" s="1" t="n"/>
      <c r="C2872" s="19" t="inlineStr">
        <is>
          <t>Pmt (MK)</t>
        </is>
      </c>
      <c r="D2872" s="20">
        <f>-PMT(D2867/D2869,D2870,D2866,0,0)</f>
        <v/>
      </c>
      <c r="E2872" s="319" t="n"/>
      <c r="F2872" s="290" t="inlineStr">
        <is>
          <t>Rate Adj</t>
        </is>
      </c>
      <c r="G2872" s="319" t="n"/>
      <c r="H2872" s="319" t="n"/>
      <c r="I2872" s="319" t="n"/>
      <c r="J2872" s="319" t="n"/>
      <c r="K2872" s="1" t="n"/>
      <c r="L2872" s="1" t="n"/>
    </row>
    <row r="2873">
      <c r="B2873" s="1" t="n"/>
      <c r="C2873" s="1" t="n"/>
      <c r="D2873" s="319" t="n"/>
      <c r="E2873" s="319" t="n"/>
      <c r="F2873" s="257">
        <f>N2868+0.3%</f>
        <v/>
      </c>
      <c r="G2873" s="319" t="n"/>
      <c r="H2873" s="319" t="n"/>
      <c r="I2873" s="319" t="n"/>
      <c r="J2873" s="319" t="n"/>
      <c r="K2873" s="1" t="n"/>
      <c r="L2873" s="1" t="n"/>
    </row>
    <row r="2874">
      <c r="B2874" s="1" t="n"/>
      <c r="C2874" s="21" t="inlineStr">
        <is>
          <t>Period Start</t>
        </is>
      </c>
      <c r="D2874" s="22" t="inlineStr">
        <is>
          <t>Period End</t>
        </is>
      </c>
      <c r="E2874" s="22" t="inlineStr">
        <is>
          <t>Days</t>
        </is>
      </c>
      <c r="F2874" s="294" t="inlineStr">
        <is>
          <t>Opening bal.</t>
        </is>
      </c>
      <c r="G2874" s="294" t="inlineStr">
        <is>
          <t>Pmt</t>
        </is>
      </c>
      <c r="H2874" s="294" t="inlineStr">
        <is>
          <t>Interest</t>
        </is>
      </c>
      <c r="I2874" s="294" t="inlineStr">
        <is>
          <t>Principal</t>
        </is>
      </c>
      <c r="J2874" s="294" t="inlineStr">
        <is>
          <t>Closing balance</t>
        </is>
      </c>
      <c r="K2874" s="23" t="inlineStr">
        <is>
          <t>Amount Repaid</t>
        </is>
      </c>
      <c r="L2874" s="23" t="inlineStr">
        <is>
          <t>Accumulated Arrears</t>
        </is>
      </c>
    </row>
    <row r="2875">
      <c r="B2875" s="1" t="n">
        <v>0</v>
      </c>
      <c r="C2875" s="24" t="n">
        <v>44952</v>
      </c>
      <c r="D2875" s="24" t="n">
        <v>44957</v>
      </c>
      <c r="E2875" s="25">
        <f>D2875-C2875+1</f>
        <v/>
      </c>
      <c r="F2875" s="319">
        <f>D2866</f>
        <v/>
      </c>
      <c r="G2875" s="319" t="n"/>
      <c r="H2875" s="319">
        <f>D2867/D2869*E2875*F2875/31</f>
        <v/>
      </c>
      <c r="I2875" s="319">
        <f>G2875-H2875</f>
        <v/>
      </c>
      <c r="J2875" s="319">
        <f>F2875+F2866-I2875</f>
        <v/>
      </c>
      <c r="K2875" s="516" t="n"/>
      <c r="L2875" s="516" t="n"/>
    </row>
    <row r="2876">
      <c r="B2876" s="1" t="n">
        <v>1</v>
      </c>
      <c r="C2876" s="24" t="n">
        <v>44958</v>
      </c>
      <c r="D2876" s="24" t="n">
        <v>44985</v>
      </c>
      <c r="E2876" s="25">
        <f>D2876-C2876+1</f>
        <v/>
      </c>
      <c r="F2876" s="319">
        <f>J2875</f>
        <v/>
      </c>
      <c r="G2876" s="319" t="n"/>
      <c r="H2876" s="319">
        <f>($D$2867/$D$2869*F2876)</f>
        <v/>
      </c>
      <c r="I2876" s="319">
        <f>G2876-H2876</f>
        <v/>
      </c>
      <c r="J2876" s="319">
        <f>F2876-I2876</f>
        <v/>
      </c>
      <c r="K2876" s="516" t="n"/>
      <c r="L2876" s="516" t="n"/>
    </row>
    <row r="2877">
      <c r="B2877" s="1" t="n">
        <v>2</v>
      </c>
      <c r="C2877" s="24" t="n">
        <v>44986</v>
      </c>
      <c r="D2877" s="24" t="n">
        <v>45016</v>
      </c>
      <c r="E2877" s="25">
        <f>D2877-C2877+1</f>
        <v/>
      </c>
      <c r="F2877" s="319">
        <f>J2876</f>
        <v/>
      </c>
      <c r="G2877" s="319" t="n"/>
      <c r="H2877" s="319">
        <f>($D$2867/$D$2869*F2877)</f>
        <v/>
      </c>
      <c r="I2877" s="319">
        <f>G2877-H2877</f>
        <v/>
      </c>
      <c r="J2877" s="319">
        <f>F2877-I2877</f>
        <v/>
      </c>
    </row>
    <row r="2878">
      <c r="B2878" s="1" t="n">
        <v>3</v>
      </c>
      <c r="C2878" s="24" t="n">
        <v>45017</v>
      </c>
      <c r="D2878" s="24" t="n">
        <v>45046</v>
      </c>
      <c r="E2878" s="25">
        <f>D2878-C2878+1</f>
        <v/>
      </c>
      <c r="F2878" s="319">
        <f>J2877</f>
        <v/>
      </c>
      <c r="G2878" s="319" t="n"/>
      <c r="H2878" s="319">
        <f>($D$2867/$D$2869*F2878)</f>
        <v/>
      </c>
      <c r="I2878" s="319">
        <f>G2878-H2878</f>
        <v/>
      </c>
      <c r="J2878" s="319">
        <f>F2878-I2878</f>
        <v/>
      </c>
      <c r="K2878" s="516" t="n"/>
      <c r="L2878" s="516" t="n"/>
    </row>
    <row r="2879">
      <c r="B2879" s="1" t="n">
        <v>4</v>
      </c>
      <c r="C2879" s="24" t="n">
        <v>45047</v>
      </c>
      <c r="D2879" s="24" t="n">
        <v>45077</v>
      </c>
      <c r="E2879" s="25">
        <f>D2879-C2879+1</f>
        <v/>
      </c>
      <c r="F2879" s="319">
        <f>J2878</f>
        <v/>
      </c>
      <c r="G2879" s="319" t="n"/>
      <c r="H2879" s="319">
        <f>($F$2868/$D$2869*F2879)</f>
        <v/>
      </c>
      <c r="I2879" s="319">
        <f>G2879-H2879</f>
        <v/>
      </c>
      <c r="J2879" s="319">
        <f>F2879-I2879</f>
        <v/>
      </c>
      <c r="K2879" s="516" t="n"/>
      <c r="L2879" s="516" t="n"/>
    </row>
    <row r="2880">
      <c r="B2880" s="1" t="n">
        <v>5</v>
      </c>
      <c r="C2880" s="24" t="n">
        <v>45078</v>
      </c>
      <c r="D2880" s="24" t="n">
        <v>45107</v>
      </c>
      <c r="E2880" s="25">
        <f>D2880-C2880+1</f>
        <v/>
      </c>
      <c r="F2880" s="319">
        <f>J2879</f>
        <v/>
      </c>
      <c r="G2880" s="319" t="n"/>
      <c r="H2880" s="319">
        <f>($F$2868/$D$2869*F2880)</f>
        <v/>
      </c>
      <c r="I2880" s="319">
        <f>G2880-H2880</f>
        <v/>
      </c>
      <c r="J2880" s="319">
        <f>F2880-I2880</f>
        <v/>
      </c>
      <c r="K2880" s="516" t="n"/>
      <c r="L2880" s="516" t="n"/>
    </row>
    <row r="2881">
      <c r="B2881" s="1" t="n">
        <v>6</v>
      </c>
      <c r="C2881" s="24" t="n">
        <v>45108</v>
      </c>
      <c r="D2881" s="24" t="n">
        <v>45138</v>
      </c>
      <c r="E2881" s="25">
        <f>D2881-C2881+1</f>
        <v/>
      </c>
      <c r="F2881" s="319">
        <f>J2880</f>
        <v/>
      </c>
      <c r="G2881" s="319" t="n"/>
      <c r="H2881" s="319">
        <f>($G$2868/$D$2869*F2881)</f>
        <v/>
      </c>
      <c r="I2881" s="319">
        <f>G2881-H2881</f>
        <v/>
      </c>
      <c r="J2881" s="319">
        <f>F2881-I2881</f>
        <v/>
      </c>
      <c r="K2881" s="516" t="n"/>
      <c r="L2881" s="519" t="n"/>
    </row>
    <row r="2882">
      <c r="B2882" s="1" t="n">
        <v>7</v>
      </c>
      <c r="C2882" s="24" t="n">
        <v>45139</v>
      </c>
      <c r="D2882" s="24" t="n">
        <v>45169</v>
      </c>
      <c r="E2882" s="25">
        <f>D2882-C2882+1</f>
        <v/>
      </c>
      <c r="F2882" s="319">
        <f>J2881</f>
        <v/>
      </c>
      <c r="G2882" s="319">
        <f>-PMT($H$2868/$D$2869,42,$F$2882,,0)</f>
        <v/>
      </c>
      <c r="H2882" s="319">
        <f>($H$2868/$D$2869*F2882)</f>
        <v/>
      </c>
      <c r="I2882" s="319">
        <f>G2882-H2882</f>
        <v/>
      </c>
      <c r="J2882" s="319">
        <f>F2882-I2882</f>
        <v/>
      </c>
      <c r="K2882" s="516" t="n"/>
      <c r="L2882" s="27">
        <f>L2881+G2882-K2882</f>
        <v/>
      </c>
    </row>
    <row r="2883">
      <c r="B2883" s="1" t="n">
        <v>8</v>
      </c>
      <c r="C2883" s="24" t="n">
        <v>45170</v>
      </c>
      <c r="D2883" s="24" t="n">
        <v>45199</v>
      </c>
      <c r="E2883" s="25">
        <f>D2883-C2883+1</f>
        <v/>
      </c>
      <c r="F2883" s="319">
        <f>J2882</f>
        <v/>
      </c>
      <c r="G2883" s="319">
        <f>-PMT($I$2868/$D$2869,41,$F$2883,,0)</f>
        <v/>
      </c>
      <c r="H2883" s="319">
        <f>($I$2868/$D$2869*F2883)</f>
        <v/>
      </c>
      <c r="I2883" s="319">
        <f>G2883-H2883</f>
        <v/>
      </c>
      <c r="J2883" s="319">
        <f>F2883-I2883</f>
        <v/>
      </c>
      <c r="K2883" s="516" t="n"/>
      <c r="L2883" s="27">
        <f>L2882+G2883-K2883</f>
        <v/>
      </c>
    </row>
    <row r="2884">
      <c r="B2884" s="1" t="n">
        <v>9</v>
      </c>
      <c r="C2884" s="24" t="n">
        <v>45200</v>
      </c>
      <c r="D2884" s="24" t="n">
        <v>45230</v>
      </c>
      <c r="E2884" s="25">
        <f>D2884-C2884+1</f>
        <v/>
      </c>
      <c r="F2884" s="319">
        <f>J2883</f>
        <v/>
      </c>
      <c r="G2884" s="319">
        <f>-PMT($J$2868/$D$2869,40,$F$2884,,0)</f>
        <v/>
      </c>
      <c r="H2884" s="319">
        <f>($J$2868/$D$2869*F2884)</f>
        <v/>
      </c>
      <c r="I2884" s="319">
        <f>G2884-H2884</f>
        <v/>
      </c>
      <c r="J2884" s="319">
        <f>F2884-I2884</f>
        <v/>
      </c>
      <c r="K2884" s="516" t="n"/>
      <c r="L2884" s="27">
        <f>L2883+G2884-K2884</f>
        <v/>
      </c>
    </row>
    <row r="2885">
      <c r="B2885" s="1" t="n">
        <v>10</v>
      </c>
      <c r="C2885" s="24" t="n">
        <v>45231</v>
      </c>
      <c r="D2885" s="24" t="n">
        <v>45260</v>
      </c>
      <c r="E2885" s="25">
        <f>D2885-C2885+1</f>
        <v/>
      </c>
      <c r="F2885" s="319">
        <f>J2884</f>
        <v/>
      </c>
      <c r="G2885" s="319">
        <f>-PMT($J$2868/$D$2869,40,$F$2884,,0)</f>
        <v/>
      </c>
      <c r="H2885" s="319">
        <f>($J$2868/$D$2869*F2885)</f>
        <v/>
      </c>
      <c r="I2885" s="319">
        <f>G2885-H2885</f>
        <v/>
      </c>
      <c r="J2885" s="319">
        <f>F2885-I2885</f>
        <v/>
      </c>
      <c r="K2885" s="516" t="n"/>
      <c r="L2885" s="27">
        <f>L2884+G2885-K2885</f>
        <v/>
      </c>
    </row>
    <row r="2886">
      <c r="B2886" s="1" t="n">
        <v>11</v>
      </c>
      <c r="C2886" s="24" t="n">
        <v>45261</v>
      </c>
      <c r="D2886" s="24" t="n">
        <v>45291</v>
      </c>
      <c r="E2886" s="25">
        <f>D2886-C2886+1</f>
        <v/>
      </c>
      <c r="F2886" s="319">
        <f>J2885</f>
        <v/>
      </c>
      <c r="G2886" s="319">
        <f>-PMT($K$2868/$D$2869,38,$F$2886,,0)</f>
        <v/>
      </c>
      <c r="H2886" s="319">
        <f>($K$2868/$D$2869*F2886)</f>
        <v/>
      </c>
      <c r="I2886" s="319">
        <f>G2886-H2886</f>
        <v/>
      </c>
      <c r="J2886" s="319">
        <f>F2886-I2886</f>
        <v/>
      </c>
      <c r="K2886" s="516" t="n"/>
      <c r="L2886" s="27">
        <f>L2885+G2886-K2886</f>
        <v/>
      </c>
    </row>
    <row r="2887">
      <c r="B2887" s="1" t="n">
        <v>12</v>
      </c>
      <c r="C2887" s="24" t="n">
        <v>45292</v>
      </c>
      <c r="D2887" s="24" t="n">
        <v>45322</v>
      </c>
      <c r="E2887" s="25">
        <f>D2887-C2887+1</f>
        <v/>
      </c>
      <c r="F2887" s="319">
        <f>J2886</f>
        <v/>
      </c>
      <c r="G2887" s="319">
        <f>-PMT($K$2868/$D$2869,38,$F$2886,,0)</f>
        <v/>
      </c>
      <c r="H2887" s="319">
        <f>($K$2868/$D$2869*F2887)</f>
        <v/>
      </c>
      <c r="I2887" s="319">
        <f>G2887-H2887</f>
        <v/>
      </c>
      <c r="J2887" s="319">
        <f>F2887-I2887</f>
        <v/>
      </c>
      <c r="K2887" s="516" t="n"/>
      <c r="L2887" s="27">
        <f>L2886+G2887-K2887</f>
        <v/>
      </c>
    </row>
    <row r="2888">
      <c r="B2888" s="1" t="n">
        <v>13</v>
      </c>
      <c r="C2888" s="24" t="n">
        <v>45323</v>
      </c>
      <c r="D2888" s="24" t="n">
        <v>45351</v>
      </c>
      <c r="E2888" s="25">
        <f>D2888-C2888+1</f>
        <v/>
      </c>
      <c r="F2888" s="319">
        <f>J2887</f>
        <v/>
      </c>
      <c r="G2888" s="319">
        <f>-PMT($L$2868/$D$2869,36,$F$2888,,0)</f>
        <v/>
      </c>
      <c r="H2888" s="319">
        <f>($L$2868/$D$2869*F2888)</f>
        <v/>
      </c>
      <c r="I2888" s="319">
        <f>G2888-H2888</f>
        <v/>
      </c>
      <c r="J2888" s="319">
        <f>F2888-I2888</f>
        <v/>
      </c>
      <c r="K2888" s="516" t="n"/>
      <c r="L2888" s="27">
        <f>L2887+G2888-K2888</f>
        <v/>
      </c>
    </row>
    <row r="2889">
      <c r="B2889" s="1" t="n">
        <v>14</v>
      </c>
      <c r="C2889" s="24" t="n">
        <v>45352</v>
      </c>
      <c r="D2889" s="24" t="n">
        <v>45382</v>
      </c>
      <c r="E2889" s="25">
        <f>D2889-C2889+1</f>
        <v/>
      </c>
      <c r="F2889" s="319">
        <f>J2888</f>
        <v/>
      </c>
      <c r="G2889" s="319">
        <f>-PMT($L$2868/$D$2869,36,$F$2888,,0)</f>
        <v/>
      </c>
      <c r="H2889" s="319">
        <f>($L$2868/$D$2869*F2889)</f>
        <v/>
      </c>
      <c r="I2889" s="319">
        <f>G2889-H2889</f>
        <v/>
      </c>
      <c r="J2889" s="319">
        <f>F2889-I2889</f>
        <v/>
      </c>
      <c r="K2889" s="516" t="n"/>
      <c r="L2889" s="27">
        <f>L2888+G2889-K2889</f>
        <v/>
      </c>
    </row>
    <row r="2890">
      <c r="B2890" s="1" t="n">
        <v>15</v>
      </c>
      <c r="C2890" s="24" t="n">
        <v>45383</v>
      </c>
      <c r="D2890" s="24" t="n">
        <v>45412</v>
      </c>
      <c r="E2890" s="25">
        <f>D2890-C2890+1</f>
        <v/>
      </c>
      <c r="F2890" s="319">
        <f>J2889</f>
        <v/>
      </c>
      <c r="G2890" s="319">
        <f>-PMT($L$2868/$D$2869,36,$F$2888,,0)</f>
        <v/>
      </c>
      <c r="H2890" s="319">
        <f>($L$2868/$D$2869*F2890)</f>
        <v/>
      </c>
      <c r="I2890" s="319">
        <f>G2890-H2890</f>
        <v/>
      </c>
      <c r="J2890" s="319">
        <f>F2890-I2890</f>
        <v/>
      </c>
      <c r="K2890" s="516" t="n"/>
      <c r="L2890" s="27">
        <f>L2889+G2890-K2890</f>
        <v/>
      </c>
    </row>
    <row r="2891">
      <c r="B2891" s="1" t="n">
        <v>16</v>
      </c>
      <c r="C2891" s="24" t="n">
        <v>45413</v>
      </c>
      <c r="D2891" s="24" t="n">
        <v>45443</v>
      </c>
      <c r="E2891" s="25">
        <f>D2891-C2891+1</f>
        <v/>
      </c>
      <c r="F2891" s="319">
        <f>J2890</f>
        <v/>
      </c>
      <c r="G2891" s="319">
        <f>-PMT($M$2868/$D$2869,33,$F$2891,,0)</f>
        <v/>
      </c>
      <c r="H2891" s="319">
        <f>($M$2868/$D$2869*F2891)</f>
        <v/>
      </c>
      <c r="I2891" s="319">
        <f>G2891-H2891</f>
        <v/>
      </c>
      <c r="J2891" s="319">
        <f>F2891-I2891</f>
        <v/>
      </c>
      <c r="K2891" s="516" t="n"/>
      <c r="L2891" s="27">
        <f>L2890+G2891-K2891</f>
        <v/>
      </c>
    </row>
    <row r="2892">
      <c r="B2892" s="1" t="n">
        <v>17</v>
      </c>
      <c r="C2892" s="24" t="n">
        <v>45444</v>
      </c>
      <c r="D2892" s="24" t="n">
        <v>45473</v>
      </c>
      <c r="E2892" s="25">
        <f>D2892-C2892+1</f>
        <v/>
      </c>
      <c r="F2892" s="319">
        <f>J2891</f>
        <v/>
      </c>
      <c r="G2892" s="319">
        <f>-PMT($N$2868/$D$2869,32,$F$2892,,0)</f>
        <v/>
      </c>
      <c r="H2892" s="319">
        <f>($N$2868/$D$2869*F2892)</f>
        <v/>
      </c>
      <c r="I2892" s="319">
        <f>G2892-H2892</f>
        <v/>
      </c>
      <c r="J2892" s="319">
        <f>F2892-I2892</f>
        <v/>
      </c>
      <c r="K2892" s="516" t="n"/>
      <c r="L2892" s="27">
        <f>L2891+G2892-K2892</f>
        <v/>
      </c>
    </row>
    <row r="2893">
      <c r="B2893" s="1" t="n">
        <v>18</v>
      </c>
      <c r="C2893" s="24" t="n">
        <v>45474</v>
      </c>
      <c r="D2893" s="24" t="n">
        <v>45504</v>
      </c>
      <c r="E2893" s="25">
        <f>D2893-C2893+1</f>
        <v/>
      </c>
      <c r="F2893" s="319">
        <f>J2892</f>
        <v/>
      </c>
      <c r="G2893" s="319">
        <f>-PMT($F$2873/$D$2869,31,$F$2893,,0)</f>
        <v/>
      </c>
      <c r="H2893" s="319">
        <f>($F$2873/$D$2869*F2893)</f>
        <v/>
      </c>
      <c r="I2893" s="319">
        <f>G2893-H2893</f>
        <v/>
      </c>
      <c r="J2893" s="319">
        <f>F2893-I2893</f>
        <v/>
      </c>
      <c r="K2893" s="516" t="n"/>
      <c r="L2893" s="27">
        <f>L2892+G2893-K2893</f>
        <v/>
      </c>
    </row>
    <row r="2894">
      <c r="B2894" s="1" t="n">
        <v>19</v>
      </c>
      <c r="C2894" s="24" t="n">
        <v>45505</v>
      </c>
      <c r="D2894" s="24" t="n">
        <v>45535</v>
      </c>
      <c r="E2894" s="25">
        <f>D2894-C2894+1</f>
        <v/>
      </c>
      <c r="F2894" s="319">
        <f>J2893</f>
        <v/>
      </c>
      <c r="G2894" s="319">
        <f>-PMT($F$2873/$D$2869,31,$F$2893,,0)</f>
        <v/>
      </c>
      <c r="H2894" s="319">
        <f>($F$2873/$D$2869*F2894)</f>
        <v/>
      </c>
      <c r="I2894" s="319">
        <f>G2894-H2894</f>
        <v/>
      </c>
      <c r="J2894" s="319">
        <f>F2894-I2894</f>
        <v/>
      </c>
      <c r="K2894" s="516" t="n">
        <v>20000000</v>
      </c>
      <c r="L2894" s="27">
        <f>L2893+G2894-K2894</f>
        <v/>
      </c>
    </row>
    <row r="2895">
      <c r="B2895" s="1" t="n">
        <v>20</v>
      </c>
      <c r="C2895" s="24" t="n">
        <v>45536</v>
      </c>
      <c r="D2895" s="24" t="n">
        <v>45565</v>
      </c>
      <c r="E2895" s="25">
        <f>D2895-C2895+1</f>
        <v/>
      </c>
      <c r="F2895" s="319">
        <f>J2894</f>
        <v/>
      </c>
      <c r="G2895" s="319">
        <f>-PMT($F$2873/$D$2869,31,$F$2893,,0)</f>
        <v/>
      </c>
      <c r="H2895" s="319">
        <f>($F$2873/$D$2869*F2895)</f>
        <v/>
      </c>
      <c r="I2895" s="319">
        <f>G2895-H2895</f>
        <v/>
      </c>
      <c r="J2895" s="319">
        <f>F2895-I2895</f>
        <v/>
      </c>
      <c r="K2895" s="516" t="n">
        <v>30000000</v>
      </c>
      <c r="L2895" s="27">
        <f>L2894+G2895-K2895</f>
        <v/>
      </c>
    </row>
    <row r="2896">
      <c r="B2896" s="1" t="n">
        <v>21</v>
      </c>
      <c r="C2896" s="24" t="n">
        <v>45566</v>
      </c>
      <c r="D2896" s="24" t="n">
        <v>45596</v>
      </c>
      <c r="E2896" s="25">
        <f>D2896-C2896+1</f>
        <v/>
      </c>
      <c r="F2896" s="319">
        <f>J2895</f>
        <v/>
      </c>
      <c r="G2896" s="319">
        <f>-PMT($F$2873/$D$2869,31,$F$2893,,0)</f>
        <v/>
      </c>
      <c r="H2896" s="319">
        <f>($F$2873/$D$2869*F2896)</f>
        <v/>
      </c>
      <c r="I2896" s="319">
        <f>G2896-H2896</f>
        <v/>
      </c>
      <c r="J2896" s="319">
        <f>F2896-I2896</f>
        <v/>
      </c>
      <c r="K2896" s="516" t="n">
        <v>30000000</v>
      </c>
      <c r="L2896" s="331">
        <f>L2895+G2896-K2896</f>
        <v/>
      </c>
    </row>
    <row r="2897">
      <c r="B2897" s="1" t="n">
        <v>22</v>
      </c>
      <c r="C2897" s="24" t="n">
        <v>45597</v>
      </c>
      <c r="D2897" s="24" t="n">
        <v>45626</v>
      </c>
      <c r="E2897" s="25">
        <f>D2897-C2897+1</f>
        <v/>
      </c>
      <c r="F2897" s="319">
        <f>J2896</f>
        <v/>
      </c>
      <c r="G2897" s="319">
        <f>-PMT($F$2873/$D$2869,31,$F$2893,,0)</f>
        <v/>
      </c>
      <c r="H2897" s="319">
        <f>($F$2873/$D$2869*F2897)</f>
        <v/>
      </c>
      <c r="I2897" s="319">
        <f>G2897-H2897</f>
        <v/>
      </c>
      <c r="J2897" s="319">
        <f>F2897-I2897</f>
        <v/>
      </c>
      <c r="K2897" s="516" t="n"/>
      <c r="L2897" s="516" t="n"/>
    </row>
    <row r="2898">
      <c r="B2898" s="1" t="n">
        <v>23</v>
      </c>
      <c r="C2898" s="24" t="n">
        <v>45627</v>
      </c>
      <c r="D2898" s="24" t="n">
        <v>45657</v>
      </c>
      <c r="E2898" s="25">
        <f>D2898-C2898+1</f>
        <v/>
      </c>
      <c r="F2898" s="319">
        <f>J2897</f>
        <v/>
      </c>
      <c r="G2898" s="319">
        <f>-PMT($F$2873/$D$2869,31,$F$2893,,0)</f>
        <v/>
      </c>
      <c r="H2898" s="319">
        <f>($F$2873/$D$2869*F2898)</f>
        <v/>
      </c>
      <c r="I2898" s="319">
        <f>G2898-H2898</f>
        <v/>
      </c>
      <c r="J2898" s="319">
        <f>F2898-I2898</f>
        <v/>
      </c>
      <c r="K2898" s="516" t="n"/>
      <c r="L2898" s="516" t="n"/>
    </row>
    <row r="2899">
      <c r="B2899" s="1" t="n">
        <v>24</v>
      </c>
      <c r="C2899" s="24" t="n">
        <v>45658</v>
      </c>
      <c r="D2899" s="24" t="n">
        <v>45688</v>
      </c>
      <c r="E2899" s="25">
        <f>D2899-C2899+1</f>
        <v/>
      </c>
      <c r="F2899" s="319">
        <f>J2898</f>
        <v/>
      </c>
      <c r="G2899" s="319">
        <f>-PMT($F$2873/$D$2869,31,$F$2893,,0)</f>
        <v/>
      </c>
      <c r="H2899" s="319">
        <f>($F$2873/$D$2869*F2899)</f>
        <v/>
      </c>
      <c r="I2899" s="319">
        <f>G2899-H2899</f>
        <v/>
      </c>
      <c r="J2899" s="319">
        <f>F2899-I2899</f>
        <v/>
      </c>
      <c r="K2899" s="516" t="n"/>
      <c r="L2899" s="516" t="n"/>
    </row>
    <row r="2900">
      <c r="B2900" s="1" t="n">
        <v>25</v>
      </c>
      <c r="C2900" s="24" t="n">
        <v>45689</v>
      </c>
      <c r="D2900" s="24" t="n">
        <v>45716</v>
      </c>
      <c r="E2900" s="25">
        <f>D2900-C2900+1</f>
        <v/>
      </c>
      <c r="F2900" s="319">
        <f>J2899</f>
        <v/>
      </c>
      <c r="G2900" s="319">
        <f>-PMT($F$2873/$D$2869,31,$F$2893,,0)</f>
        <v/>
      </c>
      <c r="H2900" s="319">
        <f>($F$2873/$D$2869*F2900)</f>
        <v/>
      </c>
      <c r="I2900" s="319">
        <f>G2900-H2900</f>
        <v/>
      </c>
      <c r="J2900" s="319">
        <f>F2900-I2900</f>
        <v/>
      </c>
      <c r="K2900" s="516" t="n"/>
      <c r="L2900" s="516" t="n"/>
    </row>
    <row r="2901">
      <c r="B2901" s="1" t="n">
        <v>26</v>
      </c>
      <c r="C2901" s="24" t="n">
        <v>45717</v>
      </c>
      <c r="D2901" s="24" t="n">
        <v>45747</v>
      </c>
      <c r="E2901" s="25">
        <f>D2901-C2901+1</f>
        <v/>
      </c>
      <c r="F2901" s="319">
        <f>J2900</f>
        <v/>
      </c>
      <c r="G2901" s="319">
        <f>-PMT($F$2873/$D$2869,31,$F$2893,,0)</f>
        <v/>
      </c>
      <c r="H2901" s="319">
        <f>($F$2873/$D$2869*F2901)</f>
        <v/>
      </c>
      <c r="I2901" s="319">
        <f>G2901-H2901</f>
        <v/>
      </c>
      <c r="J2901" s="319">
        <f>F2901-I2901</f>
        <v/>
      </c>
      <c r="K2901" s="516" t="n"/>
      <c r="L2901" s="516" t="n"/>
    </row>
    <row r="2902">
      <c r="B2902" s="1" t="n">
        <v>27</v>
      </c>
      <c r="C2902" s="24" t="n">
        <v>45748</v>
      </c>
      <c r="D2902" s="24" t="n">
        <v>45777</v>
      </c>
      <c r="E2902" s="25">
        <f>D2902-C2902+1</f>
        <v/>
      </c>
      <c r="F2902" s="319">
        <f>J2901</f>
        <v/>
      </c>
      <c r="G2902" s="319">
        <f>-PMT($F$2873/$D$2869,31,$F$2893,,0)</f>
        <v/>
      </c>
      <c r="H2902" s="319">
        <f>($F$2873/$D$2869*F2902)</f>
        <v/>
      </c>
      <c r="I2902" s="319">
        <f>G2902-H2902</f>
        <v/>
      </c>
      <c r="J2902" s="319">
        <f>F2902-I2902</f>
        <v/>
      </c>
      <c r="K2902" s="516" t="n"/>
      <c r="L2902" s="516" t="n"/>
    </row>
    <row r="2903">
      <c r="B2903" s="1" t="n">
        <v>28</v>
      </c>
      <c r="C2903" s="24" t="n">
        <v>45778</v>
      </c>
      <c r="D2903" s="24" t="n">
        <v>45808</v>
      </c>
      <c r="E2903" s="25">
        <f>D2903-C2903+1</f>
        <v/>
      </c>
      <c r="F2903" s="319">
        <f>J2902</f>
        <v/>
      </c>
      <c r="G2903" s="319">
        <f>-PMT($F$2873/$D$2869,31,$F$2893,,0)</f>
        <v/>
      </c>
      <c r="H2903" s="319">
        <f>($F$2873/$D$2869*F2903)</f>
        <v/>
      </c>
      <c r="I2903" s="319">
        <f>G2903-H2903</f>
        <v/>
      </c>
      <c r="J2903" s="319">
        <f>F2903-I2903</f>
        <v/>
      </c>
      <c r="K2903" s="516" t="n"/>
      <c r="L2903" s="516" t="n"/>
    </row>
    <row r="2904">
      <c r="B2904" s="1" t="n">
        <v>29</v>
      </c>
      <c r="C2904" s="24" t="n">
        <v>45809</v>
      </c>
      <c r="D2904" s="24" t="n">
        <v>45838</v>
      </c>
      <c r="E2904" s="25">
        <f>D2904-C2904+1</f>
        <v/>
      </c>
      <c r="F2904" s="319">
        <f>J2903</f>
        <v/>
      </c>
      <c r="G2904" s="319">
        <f>-PMT($F$2873/$D$2869,31,$F$2893,,0)</f>
        <v/>
      </c>
      <c r="H2904" s="319">
        <f>($F$2873/$D$2869*F2904)</f>
        <v/>
      </c>
      <c r="I2904" s="319">
        <f>G2904-H2904</f>
        <v/>
      </c>
      <c r="J2904" s="319">
        <f>F2904-I2904</f>
        <v/>
      </c>
      <c r="K2904" s="516" t="n"/>
      <c r="L2904" s="516" t="n"/>
    </row>
    <row r="2905">
      <c r="B2905" s="1" t="n">
        <v>30</v>
      </c>
      <c r="C2905" s="24" t="n">
        <v>45839</v>
      </c>
      <c r="D2905" s="24" t="n">
        <v>45869</v>
      </c>
      <c r="E2905" s="25">
        <f>D2905-C2905+1</f>
        <v/>
      </c>
      <c r="F2905" s="319">
        <f>J2904</f>
        <v/>
      </c>
      <c r="G2905" s="319">
        <f>-PMT($F$2873/$D$2869,31,$F$2893,,0)</f>
        <v/>
      </c>
      <c r="H2905" s="319">
        <f>($F$2873/$D$2869*F2905)</f>
        <v/>
      </c>
      <c r="I2905" s="319">
        <f>G2905-H2905</f>
        <v/>
      </c>
      <c r="J2905" s="319">
        <f>F2905-I2905</f>
        <v/>
      </c>
      <c r="K2905" s="516" t="n"/>
      <c r="L2905" s="516" t="n"/>
    </row>
    <row r="2906">
      <c r="B2906" s="1" t="n">
        <v>31</v>
      </c>
      <c r="C2906" s="24" t="n">
        <v>45870</v>
      </c>
      <c r="D2906" s="24" t="n">
        <v>45900</v>
      </c>
      <c r="E2906" s="25">
        <f>D2906-C2906+1</f>
        <v/>
      </c>
      <c r="F2906" s="319">
        <f>J2905</f>
        <v/>
      </c>
      <c r="G2906" s="319">
        <f>-PMT($F$2873/$D$2869,31,$F$2893,,0)</f>
        <v/>
      </c>
      <c r="H2906" s="319">
        <f>($F$2873/$D$2869*F2906)</f>
        <v/>
      </c>
      <c r="I2906" s="319">
        <f>G2906-H2906</f>
        <v/>
      </c>
      <c r="J2906" s="319">
        <f>F2906-I2906</f>
        <v/>
      </c>
      <c r="K2906" s="516" t="n"/>
      <c r="L2906" s="516" t="n"/>
    </row>
    <row r="2907">
      <c r="B2907" s="1" t="n">
        <v>32</v>
      </c>
      <c r="C2907" s="24" t="n">
        <v>45901</v>
      </c>
      <c r="D2907" s="24" t="n">
        <v>45930</v>
      </c>
      <c r="E2907" s="25">
        <f>D2907-C2907+1</f>
        <v/>
      </c>
      <c r="F2907" s="319">
        <f>J2906</f>
        <v/>
      </c>
      <c r="G2907" s="319">
        <f>-PMT($F$2873/$D$2869,31,$F$2893,,0)</f>
        <v/>
      </c>
      <c r="H2907" s="319">
        <f>($F$2873/$D$2869*F2907)</f>
        <v/>
      </c>
      <c r="I2907" s="319">
        <f>G2907-H2907</f>
        <v/>
      </c>
      <c r="J2907" s="319">
        <f>F2907-I2907</f>
        <v/>
      </c>
      <c r="K2907" s="516" t="n"/>
      <c r="L2907" s="516" t="n"/>
    </row>
    <row r="2908">
      <c r="B2908" s="1" t="n">
        <v>33</v>
      </c>
      <c r="C2908" s="24" t="n">
        <v>45931</v>
      </c>
      <c r="D2908" s="24" t="n">
        <v>45961</v>
      </c>
      <c r="E2908" s="25">
        <f>D2908-C2908+1</f>
        <v/>
      </c>
      <c r="F2908" s="319">
        <f>J2907</f>
        <v/>
      </c>
      <c r="G2908" s="319">
        <f>-PMT($F$2873/$D$2869,31,$F$2893,,0)</f>
        <v/>
      </c>
      <c r="H2908" s="319">
        <f>($F$2873/$D$2869*F2908)</f>
        <v/>
      </c>
      <c r="I2908" s="319">
        <f>G2908-H2908</f>
        <v/>
      </c>
      <c r="J2908" s="319">
        <f>F2908-I2908</f>
        <v/>
      </c>
      <c r="K2908" s="516" t="n"/>
      <c r="L2908" s="516" t="n"/>
    </row>
    <row r="2909">
      <c r="B2909" s="1" t="n">
        <v>34</v>
      </c>
      <c r="C2909" s="24" t="n">
        <v>45962</v>
      </c>
      <c r="D2909" s="24" t="n">
        <v>45991</v>
      </c>
      <c r="E2909" s="25">
        <f>D2909-C2909+1</f>
        <v/>
      </c>
      <c r="F2909" s="319">
        <f>J2908</f>
        <v/>
      </c>
      <c r="G2909" s="319">
        <f>-PMT($F$2873/$D$2869,31,$F$2893,,0)</f>
        <v/>
      </c>
      <c r="H2909" s="319">
        <f>($F$2873/$D$2869*F2909)</f>
        <v/>
      </c>
      <c r="I2909" s="319">
        <f>G2909-H2909</f>
        <v/>
      </c>
      <c r="J2909" s="319">
        <f>F2909-I2909</f>
        <v/>
      </c>
      <c r="K2909" s="516" t="n"/>
      <c r="L2909" s="516" t="n"/>
    </row>
    <row r="2910">
      <c r="B2910" s="1" t="n">
        <v>35</v>
      </c>
      <c r="C2910" s="24" t="n">
        <v>45992</v>
      </c>
      <c r="D2910" s="24" t="n">
        <v>46022</v>
      </c>
      <c r="E2910" s="25">
        <f>D2910-C2910+1</f>
        <v/>
      </c>
      <c r="F2910" s="319">
        <f>J2909</f>
        <v/>
      </c>
      <c r="G2910" s="319">
        <f>-PMT($F$2873/$D$2869,31,$F$2893,,0)</f>
        <v/>
      </c>
      <c r="H2910" s="319">
        <f>($F$2873/$D$2869*F2910)</f>
        <v/>
      </c>
      <c r="I2910" s="319">
        <f>G2910-H2910</f>
        <v/>
      </c>
      <c r="J2910" s="319">
        <f>F2910-I2910</f>
        <v/>
      </c>
      <c r="K2910" s="516" t="n"/>
      <c r="L2910" s="516" t="n"/>
    </row>
    <row r="2911">
      <c r="B2911" s="1" t="n">
        <v>36</v>
      </c>
      <c r="C2911" s="24" t="n">
        <v>46023</v>
      </c>
      <c r="D2911" s="24" t="n">
        <v>46053</v>
      </c>
      <c r="E2911" s="25">
        <f>D2911-C2911+1</f>
        <v/>
      </c>
      <c r="F2911" s="319">
        <f>J2910</f>
        <v/>
      </c>
      <c r="G2911" s="319">
        <f>-PMT($F$2873/$D$2869,31,$F$2893,,0)</f>
        <v/>
      </c>
      <c r="H2911" s="319">
        <f>($F$2873/$D$2869*F2911)</f>
        <v/>
      </c>
      <c r="I2911" s="319">
        <f>G2911-H2911</f>
        <v/>
      </c>
      <c r="J2911" s="319">
        <f>F2911-I2911</f>
        <v/>
      </c>
      <c r="K2911" s="516" t="n"/>
      <c r="L2911" s="516" t="n"/>
    </row>
    <row r="2912">
      <c r="B2912" s="1" t="n">
        <v>37</v>
      </c>
      <c r="C2912" s="24" t="n">
        <v>46054</v>
      </c>
      <c r="D2912" s="24" t="n">
        <v>46081</v>
      </c>
      <c r="E2912" s="25">
        <f>D2912-C2912+1</f>
        <v/>
      </c>
      <c r="F2912" s="319">
        <f>J2911</f>
        <v/>
      </c>
      <c r="G2912" s="319">
        <f>-PMT($F$2873/$D$2869,31,$F$2893,,0)</f>
        <v/>
      </c>
      <c r="H2912" s="319">
        <f>($F$2873/$D$2869*F2912)</f>
        <v/>
      </c>
      <c r="I2912" s="319">
        <f>G2912-H2912</f>
        <v/>
      </c>
      <c r="J2912" s="319">
        <f>F2912-I2912</f>
        <v/>
      </c>
      <c r="K2912" s="516" t="n"/>
      <c r="L2912" s="516" t="n"/>
    </row>
    <row r="2913">
      <c r="B2913" s="1" t="n">
        <v>38</v>
      </c>
      <c r="C2913" s="24" t="n">
        <v>46082</v>
      </c>
      <c r="D2913" s="24" t="n">
        <v>46112</v>
      </c>
      <c r="E2913" s="25">
        <f>D2913-C2913+1</f>
        <v/>
      </c>
      <c r="F2913" s="319">
        <f>J2912</f>
        <v/>
      </c>
      <c r="G2913" s="319">
        <f>-PMT($F$2873/$D$2869,31,$F$2893,,0)</f>
        <v/>
      </c>
      <c r="H2913" s="319">
        <f>($F$2873/$D$2869*F2913)</f>
        <v/>
      </c>
      <c r="I2913" s="319">
        <f>G2913-H2913</f>
        <v/>
      </c>
      <c r="J2913" s="319">
        <f>F2913-I2913</f>
        <v/>
      </c>
      <c r="K2913" s="516" t="n"/>
      <c r="L2913" s="516" t="n"/>
    </row>
    <row r="2914">
      <c r="B2914" s="1" t="n">
        <v>39</v>
      </c>
      <c r="C2914" s="24" t="n">
        <v>46113</v>
      </c>
      <c r="D2914" s="24" t="n">
        <v>46142</v>
      </c>
      <c r="E2914" s="25">
        <f>D2914-C2914+1</f>
        <v/>
      </c>
      <c r="F2914" s="319">
        <f>J2913</f>
        <v/>
      </c>
      <c r="G2914" s="319">
        <f>-PMT($F$2873/$D$2869,31,$F$2893,,0)</f>
        <v/>
      </c>
      <c r="H2914" s="319">
        <f>($F$2873/$D$2869*F2914)</f>
        <v/>
      </c>
      <c r="I2914" s="319">
        <f>G2914-H2914</f>
        <v/>
      </c>
      <c r="J2914" s="319">
        <f>F2914-I2914</f>
        <v/>
      </c>
      <c r="K2914" s="516" t="n"/>
      <c r="L2914" s="516" t="n"/>
    </row>
    <row r="2915">
      <c r="B2915" s="1" t="n">
        <v>40</v>
      </c>
      <c r="C2915" s="24" t="n">
        <v>46143</v>
      </c>
      <c r="D2915" s="24" t="n">
        <v>46173</v>
      </c>
      <c r="E2915" s="25">
        <f>D2915-C2915+1</f>
        <v/>
      </c>
      <c r="F2915" s="319">
        <f>J2914</f>
        <v/>
      </c>
      <c r="G2915" s="319">
        <f>-PMT($F$2873/$D$2869,31,$F$2893,,0)</f>
        <v/>
      </c>
      <c r="H2915" s="319">
        <f>($F$2873/$D$2869*F2915)</f>
        <v/>
      </c>
      <c r="I2915" s="319">
        <f>G2915-H2915</f>
        <v/>
      </c>
      <c r="J2915" s="319">
        <f>F2915-I2915</f>
        <v/>
      </c>
      <c r="K2915" s="516" t="n"/>
      <c r="L2915" s="516" t="n"/>
    </row>
    <row r="2916">
      <c r="B2916" s="1" t="n">
        <v>41</v>
      </c>
      <c r="C2916" s="24" t="n">
        <v>46174</v>
      </c>
      <c r="D2916" s="24" t="n">
        <v>46203</v>
      </c>
      <c r="E2916" s="25">
        <f>D2916-C2916+1</f>
        <v/>
      </c>
      <c r="F2916" s="319">
        <f>J2915</f>
        <v/>
      </c>
      <c r="G2916" s="319">
        <f>-PMT($F$2873/$D$2869,31,$F$2893,,0)</f>
        <v/>
      </c>
      <c r="H2916" s="319">
        <f>($F$2873/$D$2869*F2916)</f>
        <v/>
      </c>
      <c r="I2916" s="319">
        <f>G2916-H2916</f>
        <v/>
      </c>
      <c r="J2916" s="319">
        <f>F2916-I2916</f>
        <v/>
      </c>
      <c r="K2916" s="516" t="n"/>
      <c r="L2916" s="516" t="n"/>
    </row>
    <row r="2917">
      <c r="B2917" s="1" t="n">
        <v>42</v>
      </c>
      <c r="C2917" s="24" t="n">
        <v>46204</v>
      </c>
      <c r="D2917" s="24" t="n">
        <v>46234</v>
      </c>
      <c r="E2917" s="25">
        <f>D2917-C2917+1</f>
        <v/>
      </c>
      <c r="F2917" s="319">
        <f>J2916</f>
        <v/>
      </c>
      <c r="G2917" s="319">
        <f>-PMT($F$2873/$D$2869,31,$F$2893,,0)</f>
        <v/>
      </c>
      <c r="H2917" s="319">
        <f>($F$2873/$D$2869*F2917)</f>
        <v/>
      </c>
      <c r="I2917" s="319">
        <f>G2917-H2917</f>
        <v/>
      </c>
      <c r="J2917" s="319">
        <f>F2917-I2917</f>
        <v/>
      </c>
      <c r="K2917" s="516" t="n"/>
      <c r="L2917" s="516" t="n"/>
    </row>
    <row r="2918">
      <c r="B2918" s="1" t="n">
        <v>43</v>
      </c>
      <c r="C2918" s="24" t="n">
        <v>46235</v>
      </c>
      <c r="D2918" s="24" t="n">
        <v>46265</v>
      </c>
      <c r="E2918" s="25">
        <f>D2918-C2918+1</f>
        <v/>
      </c>
      <c r="F2918" s="319">
        <f>J2917</f>
        <v/>
      </c>
      <c r="G2918" s="319">
        <f>-PMT($F$2873/$D$2869,31,$F$2893,,0)</f>
        <v/>
      </c>
      <c r="H2918" s="319">
        <f>($F$2873/$D$2869*F2918)</f>
        <v/>
      </c>
      <c r="I2918" s="319">
        <f>G2918-H2918</f>
        <v/>
      </c>
      <c r="J2918" s="319">
        <f>F2918-I2918</f>
        <v/>
      </c>
      <c r="K2918" s="516" t="n"/>
      <c r="L2918" s="516" t="n"/>
    </row>
    <row r="2919">
      <c r="B2919" s="1" t="n">
        <v>44</v>
      </c>
      <c r="C2919" s="24" t="n">
        <v>46266</v>
      </c>
      <c r="D2919" s="24" t="n">
        <v>46295</v>
      </c>
      <c r="E2919" s="25">
        <f>D2919-C2919+1</f>
        <v/>
      </c>
      <c r="F2919" s="319">
        <f>J2918</f>
        <v/>
      </c>
      <c r="G2919" s="319">
        <f>-PMT($F$2873/$D$2869,31,$F$2893,,0)</f>
        <v/>
      </c>
      <c r="H2919" s="319">
        <f>($F$2873/$D$2869*F2919)</f>
        <v/>
      </c>
      <c r="I2919" s="319">
        <f>G2919-H2919</f>
        <v/>
      </c>
      <c r="J2919" s="319">
        <f>F2919-I2919</f>
        <v/>
      </c>
      <c r="K2919" s="516" t="n"/>
      <c r="L2919" s="516" t="n"/>
    </row>
    <row r="2920">
      <c r="B2920" s="1" t="n">
        <v>45</v>
      </c>
      <c r="C2920" s="24" t="n">
        <v>46296</v>
      </c>
      <c r="D2920" s="24" t="n">
        <v>46326</v>
      </c>
      <c r="E2920" s="25">
        <f>D2920-C2920+1</f>
        <v/>
      </c>
      <c r="F2920" s="319">
        <f>J2919</f>
        <v/>
      </c>
      <c r="G2920" s="319">
        <f>-PMT($F$2873/$D$2869,31,$F$2893,,0)</f>
        <v/>
      </c>
      <c r="H2920" s="319">
        <f>($F$2873/$D$2869*F2920)</f>
        <v/>
      </c>
      <c r="I2920" s="319">
        <f>G2920-H2920</f>
        <v/>
      </c>
      <c r="J2920" s="319">
        <f>F2920-I2920</f>
        <v/>
      </c>
      <c r="K2920" s="516" t="n"/>
      <c r="L2920" s="516" t="n"/>
    </row>
    <row r="2921">
      <c r="B2921" s="1" t="n">
        <v>46</v>
      </c>
      <c r="C2921" s="24" t="n">
        <v>46327</v>
      </c>
      <c r="D2921" s="24" t="n">
        <v>46356</v>
      </c>
      <c r="E2921" s="25">
        <f>D2921-C2921+1</f>
        <v/>
      </c>
      <c r="F2921" s="319">
        <f>J2920</f>
        <v/>
      </c>
      <c r="G2921" s="319">
        <f>-PMT($F$2873/$D$2869,31,$F$2893,,0)</f>
        <v/>
      </c>
      <c r="H2921" s="319">
        <f>($F$2873/$D$2869*F2921)</f>
        <v/>
      </c>
      <c r="I2921" s="319">
        <f>G2921-H2921</f>
        <v/>
      </c>
      <c r="J2921" s="319">
        <f>F2921-I2921</f>
        <v/>
      </c>
      <c r="K2921" s="516" t="n"/>
      <c r="L2921" s="516" t="n"/>
    </row>
    <row r="2922">
      <c r="B2922" s="1" t="n">
        <v>47</v>
      </c>
      <c r="C2922" s="24" t="n">
        <v>46357</v>
      </c>
      <c r="D2922" s="24" t="n">
        <v>46387</v>
      </c>
      <c r="E2922" s="25">
        <f>D2922-C2922+1</f>
        <v/>
      </c>
      <c r="F2922" s="319">
        <f>J2921</f>
        <v/>
      </c>
      <c r="G2922" s="319">
        <f>-PMT($F$2873/$D$2869,31,$F$2893,,0)</f>
        <v/>
      </c>
      <c r="H2922" s="319">
        <f>($F$2873/$D$2869*F2922)</f>
        <v/>
      </c>
      <c r="I2922" s="319">
        <f>G2922-H2922</f>
        <v/>
      </c>
      <c r="J2922" s="319">
        <f>F2922-I2922</f>
        <v/>
      </c>
      <c r="K2922" s="516" t="n"/>
      <c r="L2922" s="516" t="n"/>
    </row>
    <row r="2923">
      <c r="B2923" s="1" t="n">
        <v>48</v>
      </c>
      <c r="C2923" s="24" t="n">
        <v>46388</v>
      </c>
      <c r="D2923" s="24" t="n">
        <v>46418</v>
      </c>
      <c r="E2923" s="25">
        <f>D2923-C2923+1</f>
        <v/>
      </c>
      <c r="F2923" s="319">
        <f>J2922</f>
        <v/>
      </c>
      <c r="G2923" s="319">
        <f>-PMT($F$2873/$D$2869,31,$F$2893,,0)</f>
        <v/>
      </c>
      <c r="H2923" s="319">
        <f>($F$2873/$D$2869*F2923)</f>
        <v/>
      </c>
      <c r="I2923" s="319">
        <f>G2923-H2923</f>
        <v/>
      </c>
      <c r="J2923" s="319">
        <f>F2923-I2923</f>
        <v/>
      </c>
      <c r="K2923" s="516" t="n"/>
      <c r="L2923" s="516" t="n"/>
    </row>
    <row r="2924">
      <c r="B2924" s="1" t="n"/>
      <c r="C2924" s="24" t="n"/>
      <c r="D2924" s="24" t="n"/>
      <c r="E2924" s="25" t="n"/>
      <c r="F2924" s="319" t="n"/>
      <c r="G2924" s="319" t="n"/>
      <c r="H2924" s="319" t="n"/>
      <c r="I2924" s="319" t="n"/>
      <c r="J2924" s="319" t="n"/>
      <c r="K2924" s="516" t="n"/>
      <c r="L2924" s="516" t="n"/>
    </row>
    <row r="2925">
      <c r="B2925" s="1" t="n"/>
      <c r="C2925" s="24" t="n"/>
      <c r="D2925" s="24" t="n"/>
      <c r="E2925" s="30">
        <f>SUM(E2875:E2899)</f>
        <v/>
      </c>
      <c r="F2925" s="319" t="n"/>
      <c r="G2925" s="319" t="n"/>
      <c r="H2925" s="319" t="n"/>
      <c r="I2925" s="319" t="n"/>
      <c r="J2925" s="319" t="n"/>
      <c r="K2925" s="516" t="n"/>
      <c r="L2925" s="516" t="n"/>
    </row>
    <row r="2930">
      <c r="B2930" s="1" t="n"/>
      <c r="C2930" s="9" t="inlineStr">
        <is>
          <t>RUO Textiles</t>
        </is>
      </c>
      <c r="D2930" s="319" t="n"/>
      <c r="E2930" s="319" t="n"/>
      <c r="F2930" s="319" t="n"/>
      <c r="G2930" s="319" t="n"/>
      <c r="H2930" s="319" t="n"/>
      <c r="I2930" s="319" t="n"/>
      <c r="J2930" s="319" t="n"/>
      <c r="K2930" s="319" t="n"/>
      <c r="L2930" s="319" t="n"/>
      <c r="R2930" s="514" t="inlineStr">
        <is>
          <t>E-Banker account (Dupleix)</t>
        </is>
      </c>
      <c r="S2930" s="495">
        <f>IFERROR(INDEX('Blocks'!$I$2:$I$101,MATCH(54,'Blocks'!$A$2:$A$101,0)),"")</f>
        <v/>
      </c>
    </row>
    <row r="2931">
      <c r="B2931" s="1" t="n"/>
      <c r="C2931" s="1" t="n"/>
      <c r="D2931" s="319" t="n"/>
      <c r="E2931" s="319" t="n"/>
      <c r="F2931" s="319" t="inlineStr">
        <is>
          <t>First draw down</t>
        </is>
      </c>
      <c r="G2931" s="319" t="inlineStr">
        <is>
          <t>2nd draw down</t>
        </is>
      </c>
      <c r="H2931" s="319" t="inlineStr">
        <is>
          <t>3rd draw down</t>
        </is>
      </c>
      <c r="J2931" s="319" t="n"/>
      <c r="K2931" s="319" t="n"/>
      <c r="L2931" s="319" t="n"/>
      <c r="R2931" s="514" t="inlineStr">
        <is>
          <t>Facility (Loan Book)</t>
        </is>
      </c>
      <c r="S2931" s="495">
        <f>IFERROR(INDEX('Blocks'!$H$2:$H$101,MATCH(54,'Blocks'!$A$2:$A$101,0)),"")</f>
        <v/>
      </c>
    </row>
    <row r="2932">
      <c r="B2932" s="1" t="n"/>
      <c r="C2932" s="10" t="inlineStr">
        <is>
          <t>Principal (MK)</t>
        </is>
      </c>
      <c r="D2932" s="11" t="n">
        <v>70000000</v>
      </c>
      <c r="E2932" s="319" t="n"/>
      <c r="F2932" s="319" t="n">
        <v>9673171.109999999</v>
      </c>
      <c r="G2932" s="319" t="n">
        <v>4659041.1</v>
      </c>
      <c r="H2932" s="319" t="n">
        <v>7130495.92</v>
      </c>
      <c r="J2932" s="319" t="n"/>
      <c r="K2932" s="319" t="n"/>
      <c r="L2932" s="319" t="n"/>
      <c r="R2932" s="514" t="inlineStr">
        <is>
          <t>Take-on posting 31 Jul 2024</t>
        </is>
      </c>
      <c r="S2932" s="496">
        <f>IFERROR(INDEX('E-Banker master'!$N$2:$N$186,MATCH(S2930,'E-Banker master'!$A$2:$A$186,0)),"")</f>
        <v/>
      </c>
    </row>
    <row r="2933">
      <c r="B2933" s="1" t="n"/>
      <c r="C2933" s="13" t="inlineStr">
        <is>
          <t>Rate</t>
        </is>
      </c>
      <c r="D2933" s="14" t="n">
        <v>0.1</v>
      </c>
      <c r="E2933" s="257" t="n"/>
      <c r="F2933" s="319" t="n"/>
      <c r="G2933" s="319" t="n"/>
      <c r="H2933" s="319" t="n"/>
      <c r="I2933" s="319" t="n"/>
      <c r="J2933" s="319" t="n"/>
      <c r="K2933" s="319" t="n"/>
      <c r="L2933" s="319" t="n"/>
      <c r="R2933" s="514" t="inlineStr">
        <is>
          <t>E-Banker balance 31 Oct 2024</t>
        </is>
      </c>
      <c r="S2933" s="496">
        <f>IFERROR(INDEX('E-Banker master'!$P$2:$P$186,MATCH(S2930,'E-Banker master'!$A$2:$A$186,0)),"")</f>
        <v/>
      </c>
    </row>
    <row r="2934">
      <c r="B2934" s="1" t="n"/>
      <c r="C2934" s="13" t="inlineStr">
        <is>
          <t>n</t>
        </is>
      </c>
      <c r="D2934" s="16" t="n">
        <v>3</v>
      </c>
      <c r="E2934" s="1" t="n"/>
      <c r="F2934" s="319" t="n"/>
      <c r="G2934" s="319" t="n"/>
      <c r="H2934" s="319" t="n"/>
      <c r="I2934" s="319" t="n"/>
      <c r="J2934" s="319" t="n"/>
      <c r="K2934" s="1" t="n"/>
      <c r="L2934" s="1" t="n"/>
    </row>
    <row r="2935">
      <c r="B2935" s="1" t="n"/>
      <c r="C2935" s="13" t="inlineStr">
        <is>
          <t>Per</t>
        </is>
      </c>
      <c r="D2935" s="16" t="n">
        <v>12</v>
      </c>
      <c r="E2935" s="1" t="n"/>
      <c r="F2935" s="319" t="n"/>
      <c r="G2935" s="319" t="n"/>
      <c r="H2935" s="319" t="n"/>
      <c r="I2935" s="319" t="n"/>
      <c r="J2935" s="319" t="n"/>
      <c r="K2935" s="1" t="n"/>
      <c r="L2935" s="1" t="n"/>
    </row>
    <row r="2936">
      <c r="B2936" s="1" t="n"/>
      <c r="C2936" s="13" t="inlineStr">
        <is>
          <t>nPer</t>
        </is>
      </c>
      <c r="D2936" s="515">
        <f>D2934*D2935</f>
        <v/>
      </c>
      <c r="E2936" s="1" t="n"/>
      <c r="F2936" s="319" t="n"/>
      <c r="G2936" s="319" t="n"/>
      <c r="H2936" s="319" t="n"/>
      <c r="I2936" s="319" t="n"/>
      <c r="J2936" s="319" t="n"/>
      <c r="K2936" s="1" t="n"/>
      <c r="L2936" s="1" t="n"/>
    </row>
    <row r="2937">
      <c r="B2937" s="1" t="n"/>
      <c r="C2937" s="13" t="inlineStr">
        <is>
          <t>Days in a year</t>
        </is>
      </c>
      <c r="D2937" s="18" t="n">
        <v>365</v>
      </c>
      <c r="E2937" s="1" t="n"/>
      <c r="F2937" s="319" t="n"/>
      <c r="G2937" s="319" t="n"/>
      <c r="H2937" s="319" t="n"/>
      <c r="I2937" s="319" t="n"/>
      <c r="J2937" s="319" t="n"/>
      <c r="K2937" s="1" t="n"/>
      <c r="L2937" s="1" t="n"/>
    </row>
    <row r="2938">
      <c r="B2938" s="1" t="n"/>
      <c r="C2938" s="19" t="inlineStr">
        <is>
          <t>Pmt (MK)</t>
        </is>
      </c>
      <c r="D2938" s="20">
        <f>-PMT(D2933/D2935,D2936,D2932,0,0)</f>
        <v/>
      </c>
      <c r="E2938" s="319" t="n"/>
      <c r="F2938" s="319" t="n"/>
      <c r="G2938" s="319" t="n"/>
      <c r="H2938" s="319" t="n"/>
      <c r="I2938" s="319" t="n"/>
      <c r="J2938" s="319" t="n"/>
      <c r="K2938" s="1" t="n"/>
      <c r="L2938" s="1" t="n"/>
    </row>
    <row r="2939">
      <c r="B2939" s="1" t="n"/>
      <c r="C2939" s="1" t="n"/>
      <c r="D2939" s="319" t="n"/>
      <c r="E2939" s="319" t="n"/>
      <c r="F2939" s="319" t="n"/>
      <c r="G2939" s="319" t="n"/>
      <c r="H2939" s="319" t="n"/>
      <c r="I2939" s="319" t="n"/>
      <c r="J2939" s="319" t="n"/>
      <c r="K2939" s="1" t="n"/>
      <c r="L2939" s="1" t="n"/>
    </row>
    <row r="2940">
      <c r="B2940" s="1" t="n"/>
      <c r="C2940" s="21" t="inlineStr">
        <is>
          <t>Period Start</t>
        </is>
      </c>
      <c r="D2940" s="22" t="inlineStr">
        <is>
          <t>Period End</t>
        </is>
      </c>
      <c r="E2940" s="22" t="inlineStr">
        <is>
          <t>Days</t>
        </is>
      </c>
      <c r="F2940" s="294" t="inlineStr">
        <is>
          <t>Opening bal.</t>
        </is>
      </c>
      <c r="G2940" s="294" t="inlineStr">
        <is>
          <t>Pmt</t>
        </is>
      </c>
      <c r="H2940" s="294" t="inlineStr">
        <is>
          <t>Interest</t>
        </is>
      </c>
      <c r="I2940" s="294" t="inlineStr">
        <is>
          <t>Principal</t>
        </is>
      </c>
      <c r="J2940" s="294" t="inlineStr">
        <is>
          <t>Closing balance</t>
        </is>
      </c>
      <c r="K2940" s="23" t="inlineStr">
        <is>
          <t>Amount Repaid</t>
        </is>
      </c>
      <c r="L2940" s="23" t="inlineStr">
        <is>
          <t>Accumulated Arrears</t>
        </is>
      </c>
    </row>
    <row r="2941">
      <c r="B2941" s="1" t="n">
        <v>0</v>
      </c>
      <c r="C2941" s="24" t="n">
        <v>44952</v>
      </c>
      <c r="D2941" s="24" t="n">
        <v>44957</v>
      </c>
      <c r="E2941" s="25">
        <f>D2941-C2941+1</f>
        <v/>
      </c>
      <c r="F2941" s="319">
        <f>F2932</f>
        <v/>
      </c>
      <c r="G2941" s="319" t="n"/>
      <c r="H2941" s="319">
        <f>D2933/D2935*E2941*F2941/31</f>
        <v/>
      </c>
      <c r="I2941" s="319" t="n">
        <v>0</v>
      </c>
      <c r="J2941" s="319">
        <f>F2941-I2941</f>
        <v/>
      </c>
      <c r="K2941" s="516" t="n"/>
      <c r="L2941" s="516" t="n"/>
    </row>
    <row r="2942">
      <c r="B2942" s="1" t="n">
        <v>1</v>
      </c>
      <c r="C2942" s="24" t="n">
        <v>44958</v>
      </c>
      <c r="D2942" s="24" t="n">
        <v>44985</v>
      </c>
      <c r="E2942" s="25">
        <f>D2942-C2942+1</f>
        <v/>
      </c>
      <c r="F2942" s="319">
        <f>J2941</f>
        <v/>
      </c>
      <c r="G2942" s="319" t="n"/>
      <c r="H2942" s="319">
        <f>($D$2933/$D$2935*F2942)+(G2932*D2933*26/365)</f>
        <v/>
      </c>
      <c r="I2942" s="319" t="n">
        <v>0</v>
      </c>
      <c r="J2942" s="319">
        <f>F2942-I2942+G2932</f>
        <v/>
      </c>
      <c r="K2942" s="516" t="n"/>
      <c r="L2942" s="516" t="n"/>
    </row>
    <row r="2943">
      <c r="B2943" s="1" t="n">
        <v>2</v>
      </c>
      <c r="C2943" s="24" t="n">
        <v>44986</v>
      </c>
      <c r="D2943" s="24" t="n">
        <v>45016</v>
      </c>
      <c r="E2943" s="25">
        <f>D2943-C2943+1</f>
        <v/>
      </c>
      <c r="F2943" s="319">
        <f>J2942</f>
        <v/>
      </c>
      <c r="G2943" s="319" t="n"/>
      <c r="H2943" s="319">
        <f>($D$2933/$D$2935*F2943)</f>
        <v/>
      </c>
      <c r="I2943" s="319" t="n">
        <v>0</v>
      </c>
      <c r="J2943" s="319">
        <f>F2943-I2943</f>
        <v/>
      </c>
    </row>
    <row r="2944">
      <c r="B2944" s="1" t="n">
        <v>3</v>
      </c>
      <c r="C2944" s="24" t="n">
        <v>45017</v>
      </c>
      <c r="D2944" s="24" t="n">
        <v>45046</v>
      </c>
      <c r="E2944" s="25">
        <f>D2944-C2944+1</f>
        <v/>
      </c>
      <c r="F2944" s="319">
        <f>J2943</f>
        <v/>
      </c>
      <c r="G2944" s="319" t="n"/>
      <c r="H2944" s="319">
        <f>($D$2933/$D$2935*F2944)+(H2932*D2933*11/365)</f>
        <v/>
      </c>
      <c r="I2944" s="319" t="n">
        <v>0</v>
      </c>
      <c r="J2944" s="319">
        <f>F2944-I2944+H2932</f>
        <v/>
      </c>
      <c r="K2944" s="516" t="n"/>
      <c r="L2944" s="516" t="n"/>
    </row>
    <row r="2945">
      <c r="B2945" s="1" t="n">
        <v>4</v>
      </c>
      <c r="C2945" s="24" t="n">
        <v>45047</v>
      </c>
      <c r="D2945" s="24" t="n">
        <v>45077</v>
      </c>
      <c r="E2945" s="25">
        <f>D2945-C2945+1</f>
        <v/>
      </c>
      <c r="F2945" s="319">
        <f>J2944</f>
        <v/>
      </c>
      <c r="G2945" s="319" t="n"/>
      <c r="H2945" s="319">
        <f>($D$2933/$D$2935*F2945)+H2932*D2933*19/365</f>
        <v/>
      </c>
      <c r="I2945" s="319" t="n">
        <v>0</v>
      </c>
      <c r="J2945" s="319">
        <f>F2945-I2945</f>
        <v/>
      </c>
      <c r="K2945" s="516" t="n"/>
      <c r="L2945" s="516" t="n"/>
    </row>
    <row r="2946">
      <c r="B2946" s="1" t="n">
        <v>5</v>
      </c>
      <c r="C2946" s="24" t="n">
        <v>45078</v>
      </c>
      <c r="D2946" s="24" t="n">
        <v>45107</v>
      </c>
      <c r="E2946" s="25">
        <f>D2946-C2946+1</f>
        <v/>
      </c>
      <c r="F2946" s="319">
        <f>J2945</f>
        <v/>
      </c>
      <c r="G2946" s="319" t="n"/>
      <c r="H2946" s="319">
        <f>($D$2933/$D$2935*F2946)</f>
        <v/>
      </c>
      <c r="I2946" s="319" t="n">
        <v>0</v>
      </c>
      <c r="J2946" s="319">
        <f>F2946-I2946</f>
        <v/>
      </c>
      <c r="K2946" s="516" t="n"/>
      <c r="L2946" s="516" t="n"/>
    </row>
    <row r="2947">
      <c r="B2947" s="1" t="n">
        <v>6</v>
      </c>
      <c r="C2947" s="24" t="n">
        <v>45108</v>
      </c>
      <c r="D2947" s="24" t="n">
        <v>45138</v>
      </c>
      <c r="E2947" s="25">
        <f>D2947-C2947+1</f>
        <v/>
      </c>
      <c r="F2947" s="319">
        <f>J2946</f>
        <v/>
      </c>
      <c r="G2947" s="319" t="n"/>
      <c r="H2947" s="319">
        <f>($D$2933/$D$2935*F2947)</f>
        <v/>
      </c>
      <c r="I2947" s="319" t="n">
        <v>0</v>
      </c>
      <c r="J2947" s="319">
        <f>F2947-I2947</f>
        <v/>
      </c>
      <c r="K2947" s="516" t="n"/>
      <c r="L2947" s="519" t="n"/>
    </row>
    <row r="2948">
      <c r="B2948" s="1" t="n">
        <v>7</v>
      </c>
      <c r="C2948" s="24" t="n">
        <v>45139</v>
      </c>
      <c r="D2948" s="24" t="n">
        <v>45169</v>
      </c>
      <c r="E2948" s="25">
        <f>D2948-C2948+1</f>
        <v/>
      </c>
      <c r="F2948" s="319">
        <f>J2947</f>
        <v/>
      </c>
      <c r="G2948" s="319" t="n"/>
      <c r="H2948" s="319">
        <f>($D$2933/$D$2935*F2948)</f>
        <v/>
      </c>
      <c r="I2948" s="319" t="n">
        <v>0</v>
      </c>
      <c r="J2948" s="319">
        <f>F2948-I2948</f>
        <v/>
      </c>
      <c r="K2948" s="516" t="n"/>
      <c r="L2948" s="516" t="n"/>
    </row>
    <row r="2949">
      <c r="B2949" s="1" t="n">
        <v>8</v>
      </c>
      <c r="C2949" s="24" t="n">
        <v>45170</v>
      </c>
      <c r="D2949" s="24" t="n">
        <v>45199</v>
      </c>
      <c r="E2949" s="25">
        <f>D2949-C2949+1</f>
        <v/>
      </c>
      <c r="F2949" s="319">
        <f>J2948</f>
        <v/>
      </c>
      <c r="G2949" s="319" t="n"/>
      <c r="H2949" s="319">
        <f>($D$2933/$D$2935*F2949)</f>
        <v/>
      </c>
      <c r="I2949" s="319" t="n">
        <v>0</v>
      </c>
      <c r="J2949" s="319">
        <f>F2949-I2949</f>
        <v/>
      </c>
      <c r="K2949" s="516" t="n"/>
      <c r="L2949" s="516" t="n"/>
    </row>
    <row r="2950">
      <c r="B2950" s="1" t="n">
        <v>9</v>
      </c>
      <c r="C2950" s="24" t="n">
        <v>45200</v>
      </c>
      <c r="D2950" s="24" t="n">
        <v>45230</v>
      </c>
      <c r="E2950" s="25">
        <f>D2950-C2950+1</f>
        <v/>
      </c>
      <c r="F2950" s="319">
        <f>J2949</f>
        <v/>
      </c>
      <c r="G2950" s="319" t="n"/>
      <c r="H2950" s="319">
        <f>($D$2933/$D$2935*F2950)</f>
        <v/>
      </c>
      <c r="I2950" s="319" t="n">
        <v>0</v>
      </c>
      <c r="J2950" s="319">
        <f>F2950-I2950</f>
        <v/>
      </c>
      <c r="K2950" s="516" t="n"/>
      <c r="L2950" s="519" t="n"/>
    </row>
    <row r="2951">
      <c r="B2951" s="1" t="n">
        <v>10</v>
      </c>
      <c r="C2951" s="24" t="n">
        <v>45231</v>
      </c>
      <c r="D2951" s="24" t="n">
        <v>45260</v>
      </c>
      <c r="E2951" s="25">
        <f>D2951-C2951+1</f>
        <v/>
      </c>
      <c r="F2951" s="319">
        <f>J2950</f>
        <v/>
      </c>
      <c r="G2951" s="319" t="n"/>
      <c r="H2951" s="319">
        <f>($D$2933/$D$2935*F2951)</f>
        <v/>
      </c>
      <c r="I2951" s="319" t="n">
        <v>0</v>
      </c>
      <c r="J2951" s="319">
        <f>F2951-I2951</f>
        <v/>
      </c>
      <c r="K2951" s="516">
        <f>1000000+463000</f>
        <v/>
      </c>
      <c r="L2951" s="516" t="n"/>
    </row>
    <row r="2952">
      <c r="B2952" s="1" t="n">
        <v>11</v>
      </c>
      <c r="C2952" s="24" t="n">
        <v>45261</v>
      </c>
      <c r="D2952" s="24" t="n">
        <v>45291</v>
      </c>
      <c r="E2952" s="25">
        <f>D2952-C2952+1</f>
        <v/>
      </c>
      <c r="F2952" s="319">
        <f>J2951</f>
        <v/>
      </c>
      <c r="G2952" s="319" t="n"/>
      <c r="H2952" s="319">
        <f>($D$2933/$D$2935*F2952)</f>
        <v/>
      </c>
      <c r="I2952" s="319" t="n">
        <v>0</v>
      </c>
      <c r="J2952" s="319">
        <f>F2952-I2952</f>
        <v/>
      </c>
      <c r="K2952" s="516" t="n"/>
      <c r="L2952" s="516" t="n"/>
    </row>
    <row r="2953">
      <c r="B2953" s="1" t="n">
        <v>12</v>
      </c>
      <c r="C2953" s="24" t="n">
        <v>45292</v>
      </c>
      <c r="D2953" s="24" t="n">
        <v>45322</v>
      </c>
      <c r="E2953" s="25">
        <f>D2953-C2953+1</f>
        <v/>
      </c>
      <c r="F2953" s="319">
        <f>J2952</f>
        <v/>
      </c>
      <c r="G2953" s="319" t="n"/>
      <c r="H2953" s="319">
        <f>($D$2933/$D$2935*F2953)</f>
        <v/>
      </c>
      <c r="I2953" s="319" t="n">
        <v>0</v>
      </c>
      <c r="J2953" s="319">
        <f>F2953-I2953</f>
        <v/>
      </c>
      <c r="K2953" s="516" t="n"/>
      <c r="L2953" s="516" t="n"/>
    </row>
    <row r="2954">
      <c r="B2954" s="1" t="n">
        <v>13</v>
      </c>
      <c r="C2954" s="24" t="n">
        <v>45323</v>
      </c>
      <c r="D2954" s="24" t="n">
        <v>45351</v>
      </c>
      <c r="E2954" s="25">
        <f>D2954-C2954+1</f>
        <v/>
      </c>
      <c r="F2954" s="319">
        <f>J2953</f>
        <v/>
      </c>
      <c r="G2954" s="319">
        <f>-PMT($D$2933/$D$2935,24,$F$2954,,0)</f>
        <v/>
      </c>
      <c r="H2954" s="319">
        <f>($D$2933/$D$2935*F2954)</f>
        <v/>
      </c>
      <c r="I2954" s="319">
        <f>G2954-H2954</f>
        <v/>
      </c>
      <c r="J2954" s="319">
        <f>F2954-I2954</f>
        <v/>
      </c>
      <c r="K2954" s="516" t="n"/>
      <c r="L2954" s="516">
        <f>L2953+G2954-K2951</f>
        <v/>
      </c>
    </row>
    <row r="2955">
      <c r="B2955" s="1" t="n">
        <v>14</v>
      </c>
      <c r="C2955" s="24" t="n">
        <v>45352</v>
      </c>
      <c r="D2955" s="24" t="n">
        <v>45382</v>
      </c>
      <c r="E2955" s="25">
        <f>D2955-C2955+1</f>
        <v/>
      </c>
      <c r="F2955" s="319">
        <f>J2954</f>
        <v/>
      </c>
      <c r="G2955" s="319">
        <f>-PMT($D$2933/$D$2935,24,$F$2954,,0)</f>
        <v/>
      </c>
      <c r="H2955" s="319">
        <f>($D$2933/$D$2935*F2955)</f>
        <v/>
      </c>
      <c r="I2955" s="319">
        <f>G2955-H2955</f>
        <v/>
      </c>
      <c r="J2955" s="319">
        <f>F2955-I2955</f>
        <v/>
      </c>
      <c r="K2955" s="516" t="n"/>
      <c r="L2955" s="516">
        <f>L2954+G2955-K2955</f>
        <v/>
      </c>
    </row>
    <row r="2956">
      <c r="B2956" s="1" t="n">
        <v>15</v>
      </c>
      <c r="C2956" s="24" t="n">
        <v>45383</v>
      </c>
      <c r="D2956" s="24" t="n">
        <v>45412</v>
      </c>
      <c r="E2956" s="25">
        <f>D2956-C2956+1</f>
        <v/>
      </c>
      <c r="F2956" s="319">
        <f>J2955</f>
        <v/>
      </c>
      <c r="G2956" s="319">
        <f>-PMT($D$2933/$D$2935,24,$F$2954,,0)</f>
        <v/>
      </c>
      <c r="H2956" s="319">
        <f>($D$2933/$D$2935*F2956)</f>
        <v/>
      </c>
      <c r="I2956" s="319">
        <f>G2956-H2956</f>
        <v/>
      </c>
      <c r="J2956" s="319">
        <f>F2956-I2956</f>
        <v/>
      </c>
      <c r="K2956" s="516" t="n"/>
      <c r="L2956" s="516">
        <f>L2955+G2956-K2956</f>
        <v/>
      </c>
    </row>
    <row r="2957">
      <c r="B2957" s="1" t="n">
        <v>16</v>
      </c>
      <c r="C2957" s="24" t="n">
        <v>45413</v>
      </c>
      <c r="D2957" s="24" t="n">
        <v>45443</v>
      </c>
      <c r="E2957" s="25">
        <f>D2957-C2957+1</f>
        <v/>
      </c>
      <c r="F2957" s="319">
        <f>J2956</f>
        <v/>
      </c>
      <c r="G2957" s="319">
        <f>-PMT($D$2933/$D$2935,24,$F$2954,,0)</f>
        <v/>
      </c>
      <c r="H2957" s="319">
        <f>($D$2933/$D$2935*F2957)</f>
        <v/>
      </c>
      <c r="I2957" s="319">
        <f>G2957-H2957</f>
        <v/>
      </c>
      <c r="J2957" s="319">
        <f>F2957-I2957</f>
        <v/>
      </c>
      <c r="K2957" s="516" t="n"/>
      <c r="L2957" s="516">
        <f>L2956+G2957-K2957</f>
        <v/>
      </c>
    </row>
    <row r="2958">
      <c r="B2958" s="1" t="n">
        <v>17</v>
      </c>
      <c r="C2958" s="24" t="n">
        <v>45444</v>
      </c>
      <c r="D2958" s="24" t="n">
        <v>45473</v>
      </c>
      <c r="E2958" s="25">
        <f>D2958-C2958+1</f>
        <v/>
      </c>
      <c r="F2958" s="319">
        <f>J2957</f>
        <v/>
      </c>
      <c r="G2958" s="319">
        <f>-PMT($D$2933/$D$2935,24,$F$2954,,0)</f>
        <v/>
      </c>
      <c r="H2958" s="319">
        <f>($D$2933/$D$2935*F2958)</f>
        <v/>
      </c>
      <c r="I2958" s="319">
        <f>G2958-H2958</f>
        <v/>
      </c>
      <c r="J2958" s="319">
        <f>F2958-I2958</f>
        <v/>
      </c>
      <c r="K2958" s="516" t="n"/>
      <c r="L2958" s="516">
        <f>L2957+G2958-K2958</f>
        <v/>
      </c>
    </row>
    <row r="2959">
      <c r="B2959" s="1" t="n">
        <v>18</v>
      </c>
      <c r="C2959" s="24" t="n">
        <v>45474</v>
      </c>
      <c r="D2959" s="24" t="n">
        <v>45504</v>
      </c>
      <c r="E2959" s="25">
        <f>D2959-C2959+1</f>
        <v/>
      </c>
      <c r="F2959" s="319">
        <f>J2958</f>
        <v/>
      </c>
      <c r="G2959" s="319">
        <f>-PMT($D$2933/$D$2935,24,$F$2954,,0)</f>
        <v/>
      </c>
      <c r="H2959" s="319">
        <f>($D$2933/$D$2935*F2959)</f>
        <v/>
      </c>
      <c r="I2959" s="319">
        <f>G2959-H2959</f>
        <v/>
      </c>
      <c r="J2959" s="319">
        <f>F2959-I2959</f>
        <v/>
      </c>
      <c r="K2959" s="516" t="n"/>
      <c r="L2959" s="516">
        <f>L2958+G2959-K2959</f>
        <v/>
      </c>
    </row>
    <row r="2960">
      <c r="B2960" s="1" t="n">
        <v>19</v>
      </c>
      <c r="C2960" s="24" t="n">
        <v>45505</v>
      </c>
      <c r="D2960" s="24" t="n">
        <v>45535</v>
      </c>
      <c r="E2960" s="25">
        <f>D2960-C2960+1</f>
        <v/>
      </c>
      <c r="F2960" s="319">
        <f>J2959</f>
        <v/>
      </c>
      <c r="G2960" s="319">
        <f>-PMT($D$2933/$D$2935,24,$F$2954,,0)</f>
        <v/>
      </c>
      <c r="H2960" s="319">
        <f>($D$2933/$D$2935*F2960)</f>
        <v/>
      </c>
      <c r="I2960" s="319">
        <f>G2960-H2960</f>
        <v/>
      </c>
      <c r="J2960" s="319">
        <f>F2960-I2960</f>
        <v/>
      </c>
      <c r="K2960" s="516" t="n">
        <v>5000000</v>
      </c>
      <c r="L2960" s="516">
        <f>L2959+G2960-K2960</f>
        <v/>
      </c>
    </row>
    <row r="2961">
      <c r="B2961" s="1" t="n">
        <v>20</v>
      </c>
      <c r="C2961" s="24" t="n">
        <v>45536</v>
      </c>
      <c r="D2961" s="24" t="n">
        <v>45565</v>
      </c>
      <c r="E2961" s="25">
        <f>D2961-C2961+1</f>
        <v/>
      </c>
      <c r="F2961" s="319">
        <f>J2960</f>
        <v/>
      </c>
      <c r="G2961" s="319">
        <f>-PMT($D$2933/$D$2935,24,$F$2954,,0)</f>
        <v/>
      </c>
      <c r="H2961" s="319">
        <f>($D$2933/$D$2935*F2961)</f>
        <v/>
      </c>
      <c r="I2961" s="319">
        <f>G2961-H2961</f>
        <v/>
      </c>
      <c r="J2961" s="319">
        <f>F2961-I2961</f>
        <v/>
      </c>
      <c r="K2961" s="516" t="n">
        <v>469765.6</v>
      </c>
      <c r="L2961" s="516">
        <f>L2960+G2961-K2961</f>
        <v/>
      </c>
    </row>
    <row r="2962">
      <c r="B2962" s="1" t="n">
        <v>21</v>
      </c>
      <c r="C2962" s="24" t="n">
        <v>45566</v>
      </c>
      <c r="D2962" s="24" t="n">
        <v>45596</v>
      </c>
      <c r="E2962" s="25">
        <f>D2962-C2962+1</f>
        <v/>
      </c>
      <c r="F2962" s="319">
        <f>J2961</f>
        <v/>
      </c>
      <c r="G2962" s="319">
        <f>-PMT($D$2933/$D$2935,24,$F$2954,,0)</f>
        <v/>
      </c>
      <c r="H2962" s="319">
        <f>($D$2933/$D$2935*F2962)</f>
        <v/>
      </c>
      <c r="I2962" s="319">
        <f>G2962-H2962</f>
        <v/>
      </c>
      <c r="J2962" s="319">
        <f>F2962-I2962</f>
        <v/>
      </c>
      <c r="K2962" s="516" t="n">
        <v>991000</v>
      </c>
      <c r="L2962" s="520">
        <f>L2961+G2962-K2962</f>
        <v/>
      </c>
    </row>
    <row r="2963">
      <c r="B2963" s="1" t="n">
        <v>22</v>
      </c>
      <c r="C2963" s="24" t="n">
        <v>45597</v>
      </c>
      <c r="D2963" s="24" t="n">
        <v>45626</v>
      </c>
      <c r="E2963" s="25">
        <f>D2963-C2963+1</f>
        <v/>
      </c>
      <c r="F2963" s="319">
        <f>J2962</f>
        <v/>
      </c>
      <c r="G2963" s="319">
        <f>-PMT($D$2933/$D$2935,24,$F$2954,,0)</f>
        <v/>
      </c>
      <c r="H2963" s="319">
        <f>($D$2933/$D$2935*F2963)</f>
        <v/>
      </c>
      <c r="I2963" s="319">
        <f>G2963-H2963</f>
        <v/>
      </c>
      <c r="J2963" s="319">
        <f>F2963-I2963</f>
        <v/>
      </c>
      <c r="K2963" s="516" t="n"/>
      <c r="L2963" s="516" t="n"/>
    </row>
    <row r="2964">
      <c r="B2964" s="1" t="n">
        <v>23</v>
      </c>
      <c r="C2964" s="24" t="n">
        <v>45627</v>
      </c>
      <c r="D2964" s="24" t="n">
        <v>45657</v>
      </c>
      <c r="E2964" s="25">
        <f>D2964-C2964+1</f>
        <v/>
      </c>
      <c r="F2964" s="319">
        <f>J2963</f>
        <v/>
      </c>
      <c r="G2964" s="319">
        <f>-PMT($D$2933/$D$2935,24,$F$2954,,0)</f>
        <v/>
      </c>
      <c r="H2964" s="319">
        <f>($D$2933/$D$2935*F2964)</f>
        <v/>
      </c>
      <c r="I2964" s="319">
        <f>G2964-H2964</f>
        <v/>
      </c>
      <c r="J2964" s="319">
        <f>F2964-I2964</f>
        <v/>
      </c>
      <c r="K2964" s="516" t="n"/>
      <c r="L2964" s="516" t="n"/>
    </row>
    <row r="2965">
      <c r="B2965" s="1" t="n">
        <v>24</v>
      </c>
      <c r="C2965" s="24" t="n">
        <v>45658</v>
      </c>
      <c r="D2965" s="24" t="n">
        <v>45688</v>
      </c>
      <c r="E2965" s="25">
        <f>D2965-C2965+1</f>
        <v/>
      </c>
      <c r="F2965" s="319">
        <f>J2964</f>
        <v/>
      </c>
      <c r="G2965" s="319">
        <f>-PMT($D$2933/$D$2935,24,$F$2954,,0)</f>
        <v/>
      </c>
      <c r="H2965" s="319">
        <f>($D$2933/$D$2935*F2965)</f>
        <v/>
      </c>
      <c r="I2965" s="319">
        <f>G2965-H2965</f>
        <v/>
      </c>
      <c r="J2965" s="319">
        <f>F2965-I2965</f>
        <v/>
      </c>
      <c r="K2965" s="516" t="n"/>
      <c r="L2965" s="516" t="n"/>
    </row>
    <row r="2966">
      <c r="B2966" s="1" t="n">
        <v>25</v>
      </c>
      <c r="C2966" s="24" t="n">
        <v>45689</v>
      </c>
      <c r="D2966" s="24" t="n">
        <v>45716</v>
      </c>
      <c r="E2966" s="25">
        <f>D2966-C2966+1</f>
        <v/>
      </c>
      <c r="F2966" s="319">
        <f>J2965</f>
        <v/>
      </c>
      <c r="G2966" s="319">
        <f>-PMT($D$2933/$D$2935,24,$F$2954,,0)</f>
        <v/>
      </c>
      <c r="H2966" s="319">
        <f>($D$2933/$D$2935*F2966)</f>
        <v/>
      </c>
      <c r="I2966" s="319">
        <f>G2966-H2966</f>
        <v/>
      </c>
      <c r="J2966" s="319">
        <f>F2966-I2966</f>
        <v/>
      </c>
      <c r="K2966" s="516" t="n"/>
      <c r="L2966" s="516" t="n"/>
    </row>
    <row r="2967">
      <c r="B2967" s="1" t="n">
        <v>26</v>
      </c>
      <c r="C2967" s="24" t="n">
        <v>45717</v>
      </c>
      <c r="D2967" s="24" t="n">
        <v>45747</v>
      </c>
      <c r="E2967" s="25">
        <f>D2967-C2967+1</f>
        <v/>
      </c>
      <c r="F2967" s="319">
        <f>J2966</f>
        <v/>
      </c>
      <c r="G2967" s="319">
        <f>-PMT($D$2933/$D$2935,24,$F$2954,,0)</f>
        <v/>
      </c>
      <c r="H2967" s="319">
        <f>($D$2933/$D$2935*F2967)</f>
        <v/>
      </c>
      <c r="I2967" s="319">
        <f>G2967-H2967</f>
        <v/>
      </c>
      <c r="J2967" s="319">
        <f>F2967-I2967</f>
        <v/>
      </c>
      <c r="K2967" s="516" t="n"/>
      <c r="L2967" s="516" t="n"/>
    </row>
    <row r="2968">
      <c r="B2968" s="1" t="n">
        <v>27</v>
      </c>
      <c r="C2968" s="24" t="n">
        <v>45748</v>
      </c>
      <c r="D2968" s="24" t="n">
        <v>45777</v>
      </c>
      <c r="E2968" s="25">
        <f>D2968-C2968+1</f>
        <v/>
      </c>
      <c r="F2968" s="319">
        <f>J2967</f>
        <v/>
      </c>
      <c r="G2968" s="319">
        <f>-PMT($D$2933/$D$2935,24,$F$2954,,0)</f>
        <v/>
      </c>
      <c r="H2968" s="319">
        <f>($D$2933/$D$2935*F2968)</f>
        <v/>
      </c>
      <c r="I2968" s="319">
        <f>G2968-H2968</f>
        <v/>
      </c>
      <c r="J2968" s="319">
        <f>F2968-I2968</f>
        <v/>
      </c>
      <c r="K2968" s="516" t="n"/>
      <c r="L2968" s="516" t="n"/>
    </row>
    <row r="2969">
      <c r="B2969" s="1" t="n">
        <v>28</v>
      </c>
      <c r="C2969" s="24" t="n">
        <v>45778</v>
      </c>
      <c r="D2969" s="24" t="n">
        <v>45808</v>
      </c>
      <c r="E2969" s="25">
        <f>D2969-C2969+1</f>
        <v/>
      </c>
      <c r="F2969" s="319">
        <f>J2968</f>
        <v/>
      </c>
      <c r="G2969" s="319">
        <f>-PMT($D$2933/$D$2935,24,$F$2954,,0)</f>
        <v/>
      </c>
      <c r="H2969" s="319">
        <f>($D$2933/$D$2935*F2969)</f>
        <v/>
      </c>
      <c r="I2969" s="319">
        <f>G2969-H2969</f>
        <v/>
      </c>
      <c r="J2969" s="319">
        <f>F2969-I2969</f>
        <v/>
      </c>
      <c r="K2969" s="516" t="n"/>
      <c r="L2969" s="516" t="n"/>
    </row>
    <row r="2970">
      <c r="B2970" s="1" t="n">
        <v>29</v>
      </c>
      <c r="C2970" s="24" t="n">
        <v>45809</v>
      </c>
      <c r="D2970" s="24" t="n">
        <v>45838</v>
      </c>
      <c r="E2970" s="25">
        <f>D2970-C2970+1</f>
        <v/>
      </c>
      <c r="F2970" s="319">
        <f>J2969</f>
        <v/>
      </c>
      <c r="G2970" s="319">
        <f>-PMT($D$2933/$D$2935,24,$F$2954,,0)</f>
        <v/>
      </c>
      <c r="H2970" s="319">
        <f>($D$2933/$D$2935*F2970)</f>
        <v/>
      </c>
      <c r="I2970" s="319">
        <f>G2970-H2970</f>
        <v/>
      </c>
      <c r="J2970" s="319">
        <f>F2970-I2970</f>
        <v/>
      </c>
      <c r="K2970" s="516" t="n"/>
      <c r="L2970" s="516" t="n"/>
    </row>
    <row r="2971">
      <c r="B2971" s="1" t="n">
        <v>30</v>
      </c>
      <c r="C2971" s="24" t="n">
        <v>45839</v>
      </c>
      <c r="D2971" s="24" t="n">
        <v>45869</v>
      </c>
      <c r="E2971" s="25">
        <f>D2971-C2971+1</f>
        <v/>
      </c>
      <c r="F2971" s="319">
        <f>J2970</f>
        <v/>
      </c>
      <c r="G2971" s="319">
        <f>-PMT($D$2933/$D$2935,24,$F$2954,,0)</f>
        <v/>
      </c>
      <c r="H2971" s="319">
        <f>($D$2933/$D$2935*F2971)</f>
        <v/>
      </c>
      <c r="I2971" s="319">
        <f>G2971-H2971</f>
        <v/>
      </c>
      <c r="J2971" s="319">
        <f>F2971-I2971</f>
        <v/>
      </c>
      <c r="K2971" s="516" t="n"/>
      <c r="L2971" s="516" t="n"/>
    </row>
    <row r="2972">
      <c r="B2972" s="1" t="n">
        <v>31</v>
      </c>
      <c r="C2972" s="24" t="n">
        <v>45870</v>
      </c>
      <c r="D2972" s="24" t="n">
        <v>45900</v>
      </c>
      <c r="E2972" s="25">
        <f>D2972-C2972+1</f>
        <v/>
      </c>
      <c r="F2972" s="319">
        <f>J2971</f>
        <v/>
      </c>
      <c r="G2972" s="319">
        <f>-PMT($D$2933/$D$2935,24,$F$2954,,0)</f>
        <v/>
      </c>
      <c r="H2972" s="319">
        <f>($D$2933/$D$2935*F2972)</f>
        <v/>
      </c>
      <c r="I2972" s="319">
        <f>G2972-H2972</f>
        <v/>
      </c>
      <c r="J2972" s="319">
        <f>F2972-I2972</f>
        <v/>
      </c>
      <c r="K2972" s="516" t="n"/>
      <c r="L2972" s="516" t="n"/>
    </row>
    <row r="2973">
      <c r="B2973" s="1" t="n">
        <v>32</v>
      </c>
      <c r="C2973" s="24" t="n">
        <v>45901</v>
      </c>
      <c r="D2973" s="24" t="n">
        <v>45930</v>
      </c>
      <c r="E2973" s="25">
        <f>D2973-C2973+1</f>
        <v/>
      </c>
      <c r="F2973" s="319">
        <f>J2972</f>
        <v/>
      </c>
      <c r="G2973" s="319">
        <f>-PMT($D$2933/$D$2935,24,$F$2954,,0)</f>
        <v/>
      </c>
      <c r="H2973" s="319">
        <f>($D$2933/$D$2935*F2973)</f>
        <v/>
      </c>
      <c r="I2973" s="319">
        <f>G2973-H2973</f>
        <v/>
      </c>
      <c r="J2973" s="319">
        <f>F2973-I2973</f>
        <v/>
      </c>
      <c r="K2973" s="516" t="n"/>
      <c r="L2973" s="516" t="n"/>
    </row>
    <row r="2974">
      <c r="B2974" s="1" t="n">
        <v>33</v>
      </c>
      <c r="C2974" s="24" t="n">
        <v>45931</v>
      </c>
      <c r="D2974" s="24" t="n">
        <v>45961</v>
      </c>
      <c r="E2974" s="25">
        <f>D2974-C2974+1</f>
        <v/>
      </c>
      <c r="F2974" s="319">
        <f>J2973</f>
        <v/>
      </c>
      <c r="G2974" s="319">
        <f>-PMT($D$2933/$D$2935,24,$F$2954,,0)</f>
        <v/>
      </c>
      <c r="H2974" s="319">
        <f>($D$2933/$D$2935*F2974)</f>
        <v/>
      </c>
      <c r="I2974" s="319">
        <f>G2974-H2974</f>
        <v/>
      </c>
      <c r="J2974" s="319">
        <f>F2974-I2974</f>
        <v/>
      </c>
      <c r="K2974" s="516" t="n"/>
      <c r="L2974" s="516" t="n"/>
    </row>
    <row r="2975">
      <c r="B2975" s="1" t="n">
        <v>34</v>
      </c>
      <c r="C2975" s="24" t="n">
        <v>45962</v>
      </c>
      <c r="D2975" s="24" t="n">
        <v>45991</v>
      </c>
      <c r="E2975" s="25">
        <f>D2975-C2975+1</f>
        <v/>
      </c>
      <c r="F2975" s="319">
        <f>J2974</f>
        <v/>
      </c>
      <c r="G2975" s="319">
        <f>-PMT($D$2933/$D$2935,24,$F$2954,,0)</f>
        <v/>
      </c>
      <c r="H2975" s="319">
        <f>($D$2933/$D$2935*F2975)</f>
        <v/>
      </c>
      <c r="I2975" s="319">
        <f>G2975-H2975</f>
        <v/>
      </c>
      <c r="J2975" s="319">
        <f>F2975-I2975</f>
        <v/>
      </c>
      <c r="K2975" s="516" t="n"/>
      <c r="L2975" s="516" t="n"/>
    </row>
    <row r="2976">
      <c r="B2976" s="1" t="n">
        <v>35</v>
      </c>
      <c r="C2976" s="24" t="n">
        <v>45992</v>
      </c>
      <c r="D2976" s="24" t="n">
        <v>46022</v>
      </c>
      <c r="E2976" s="25">
        <f>D2976-C2976+1</f>
        <v/>
      </c>
      <c r="F2976" s="319">
        <f>J2975</f>
        <v/>
      </c>
      <c r="G2976" s="319">
        <f>-PMT($D$2933/$D$2935,24,$F$2954,,0)</f>
        <v/>
      </c>
      <c r="H2976" s="319">
        <f>($D$2933/$D$2935*F2976)</f>
        <v/>
      </c>
      <c r="I2976" s="319">
        <f>G2976-H2976</f>
        <v/>
      </c>
      <c r="J2976" s="319">
        <f>F2976-I2976</f>
        <v/>
      </c>
      <c r="K2976" s="516" t="n"/>
      <c r="L2976" s="516" t="n"/>
    </row>
    <row r="2977">
      <c r="B2977" s="1" t="n">
        <v>36</v>
      </c>
      <c r="C2977" s="24" t="n">
        <v>46023</v>
      </c>
      <c r="D2977" s="24" t="n">
        <v>46053</v>
      </c>
      <c r="E2977" s="25">
        <f>D2977-C2977+1</f>
        <v/>
      </c>
      <c r="F2977" s="319">
        <f>J2976</f>
        <v/>
      </c>
      <c r="G2977" s="319">
        <f>-PMT($D$2933/$D$2935,24,$F$2954,,0)</f>
        <v/>
      </c>
      <c r="H2977" s="319">
        <f>($D$2933/$D$2935*F2977)</f>
        <v/>
      </c>
      <c r="I2977" s="319">
        <f>G2977-H2977</f>
        <v/>
      </c>
      <c r="J2977" s="319">
        <f>F2977-I2977</f>
        <v/>
      </c>
      <c r="K2977" s="516" t="n"/>
      <c r="L2977" s="516" t="n"/>
    </row>
    <row r="2978">
      <c r="B2978" s="1" t="n"/>
      <c r="C2978" s="24" t="n"/>
      <c r="D2978" s="24" t="n"/>
      <c r="E2978" s="25" t="n"/>
      <c r="F2978" s="319" t="n"/>
      <c r="G2978" s="319" t="n"/>
      <c r="H2978" s="319" t="n"/>
      <c r="I2978" s="319" t="n"/>
      <c r="J2978" s="319" t="n"/>
      <c r="K2978" s="516" t="n"/>
      <c r="L2978" s="516" t="n"/>
    </row>
    <row r="2979">
      <c r="B2979" s="1" t="n"/>
      <c r="C2979" s="24" t="n"/>
      <c r="D2979" s="24" t="n"/>
      <c r="E2979" s="30">
        <f>SUM(E2941:E2965)</f>
        <v/>
      </c>
      <c r="F2979" s="319" t="n"/>
      <c r="G2979" s="319" t="n"/>
      <c r="H2979" s="319" t="n"/>
      <c r="I2979" s="319" t="n"/>
      <c r="J2979" s="319" t="n"/>
      <c r="K2979" s="516" t="n"/>
      <c r="L2979" s="516" t="n"/>
    </row>
    <row r="2982">
      <c r="B2982" s="1" t="n"/>
      <c r="C2982" s="9" t="inlineStr">
        <is>
          <t>UNDON Business Solutions</t>
        </is>
      </c>
      <c r="D2982" s="319" t="n"/>
      <c r="E2982" s="319" t="n"/>
      <c r="F2982" s="319" t="n"/>
      <c r="G2982" s="319" t="n"/>
      <c r="H2982" s="319" t="n"/>
      <c r="I2982" s="319" t="n"/>
      <c r="J2982" s="319" t="n"/>
      <c r="K2982" s="319" t="n"/>
      <c r="L2982" s="319" t="n"/>
      <c r="R2982" s="514" t="inlineStr">
        <is>
          <t>E-Banker account (Dupleix)</t>
        </is>
      </c>
      <c r="S2982" s="495">
        <f>IFERROR(INDEX('Blocks'!$I$2:$I$101,MATCH(55,'Blocks'!$A$2:$A$101,0)),"")</f>
        <v/>
      </c>
    </row>
    <row r="2983">
      <c r="B2983" s="1" t="n"/>
      <c r="C2983" s="1" t="n"/>
      <c r="D2983" s="319" t="n"/>
      <c r="E2983" s="319" t="n"/>
      <c r="F2983" s="319" t="n"/>
      <c r="G2983" s="319" t="n"/>
      <c r="H2983" s="319" t="n"/>
      <c r="I2983" s="319" t="n"/>
      <c r="J2983" s="319" t="n"/>
      <c r="K2983" s="319" t="n"/>
      <c r="L2983" s="319" t="n"/>
      <c r="R2983" s="514" t="inlineStr">
        <is>
          <t>Facility (Loan Book)</t>
        </is>
      </c>
      <c r="S2983" s="495">
        <f>IFERROR(INDEX('Blocks'!$H$2:$H$101,MATCH(55,'Blocks'!$A$2:$A$101,0)),"")</f>
        <v/>
      </c>
    </row>
    <row r="2984">
      <c r="B2984" s="1" t="n"/>
      <c r="C2984" s="10" t="inlineStr">
        <is>
          <t>Principal (MK)</t>
        </is>
      </c>
      <c r="D2984" s="11" t="n">
        <v>133814780</v>
      </c>
      <c r="E2984" s="308" t="n">
        <v>134253000</v>
      </c>
      <c r="F2984" s="319" t="n"/>
      <c r="G2984" s="319" t="n"/>
      <c r="H2984" s="319" t="n"/>
      <c r="I2984" s="319" t="n"/>
      <c r="J2984" s="319" t="n"/>
      <c r="K2984" s="319" t="n"/>
      <c r="L2984" s="319" t="n"/>
      <c r="R2984" s="514" t="inlineStr">
        <is>
          <t>Take-on posting 31 Jul 2024</t>
        </is>
      </c>
      <c r="S2984" s="496">
        <f>IFERROR(INDEX('E-Banker master'!$N$2:$N$186,MATCH(S2982,'E-Banker master'!$A$2:$A$186,0)),"")</f>
        <v/>
      </c>
    </row>
    <row r="2985">
      <c r="B2985" s="1" t="n"/>
      <c r="C2985" s="13" t="inlineStr">
        <is>
          <t>Rate</t>
        </is>
      </c>
      <c r="D2985" s="14" t="n">
        <v>0.1</v>
      </c>
      <c r="E2985" s="257" t="n"/>
      <c r="F2985" s="319" t="n"/>
      <c r="G2985" s="319" t="n"/>
      <c r="H2985" s="319" t="n"/>
      <c r="I2985" s="319" t="n"/>
      <c r="J2985" s="319" t="n"/>
      <c r="K2985" s="319" t="n"/>
      <c r="L2985" s="319" t="n"/>
      <c r="R2985" s="514" t="inlineStr">
        <is>
          <t>E-Banker balance 31 Oct 2024</t>
        </is>
      </c>
      <c r="S2985" s="496">
        <f>IFERROR(INDEX('E-Banker master'!$P$2:$P$186,MATCH(S2982,'E-Banker master'!$A$2:$A$186,0)),"")</f>
        <v/>
      </c>
    </row>
    <row r="2986">
      <c r="B2986" s="1" t="n"/>
      <c r="C2986" s="13" t="inlineStr">
        <is>
          <t>n</t>
        </is>
      </c>
      <c r="D2986" s="16" t="n">
        <v>6</v>
      </c>
      <c r="E2986" s="1" t="n"/>
      <c r="F2986" s="319" t="n"/>
      <c r="G2986" s="319" t="n"/>
      <c r="H2986" s="319" t="n"/>
      <c r="I2986" s="319" t="n"/>
      <c r="J2986" s="319" t="n"/>
      <c r="K2986" s="1" t="n"/>
      <c r="L2986" s="1" t="n"/>
    </row>
    <row r="2987">
      <c r="B2987" s="1" t="n"/>
      <c r="C2987" s="13" t="inlineStr">
        <is>
          <t>Per</t>
        </is>
      </c>
      <c r="D2987" s="16" t="n">
        <v>12</v>
      </c>
      <c r="E2987" s="1" t="n"/>
      <c r="F2987" s="319" t="n"/>
      <c r="G2987" s="319" t="n"/>
      <c r="H2987" s="319" t="n"/>
      <c r="I2987" s="319" t="n"/>
      <c r="J2987" s="319" t="n"/>
      <c r="K2987" s="1" t="n"/>
      <c r="L2987" s="1" t="n"/>
    </row>
    <row r="2988">
      <c r="B2988" s="1" t="n"/>
      <c r="C2988" s="13" t="inlineStr">
        <is>
          <t>nPer</t>
        </is>
      </c>
      <c r="D2988" s="515">
        <f>D2986*D2987</f>
        <v/>
      </c>
      <c r="E2988" s="1" t="n"/>
      <c r="F2988" s="319" t="n"/>
      <c r="G2988" s="319" t="n"/>
      <c r="H2988" s="319" t="n"/>
      <c r="I2988" s="319" t="n"/>
      <c r="J2988" s="319" t="n"/>
      <c r="K2988" s="1" t="n"/>
      <c r="L2988" s="1" t="n"/>
    </row>
    <row r="2989">
      <c r="B2989" s="1" t="n"/>
      <c r="C2989" s="13" t="inlineStr">
        <is>
          <t>Days in a year</t>
        </is>
      </c>
      <c r="D2989" s="18" t="n">
        <v>365</v>
      </c>
      <c r="E2989" s="1" t="n"/>
      <c r="F2989" s="319" t="n"/>
      <c r="G2989" s="319" t="n"/>
      <c r="H2989" s="319" t="n"/>
      <c r="I2989" s="319" t="n"/>
      <c r="J2989" s="319" t="n"/>
      <c r="K2989" s="1" t="n"/>
      <c r="L2989" s="1" t="n"/>
    </row>
    <row r="2990">
      <c r="B2990" s="1" t="n"/>
      <c r="C2990" s="19" t="inlineStr">
        <is>
          <t>Pmt (MK)</t>
        </is>
      </c>
      <c r="D2990" s="20">
        <f>-PMT(D2985/D2987,D2988,D2984,0,0)</f>
        <v/>
      </c>
      <c r="E2990" s="319" t="n"/>
      <c r="F2990" s="319" t="n"/>
      <c r="G2990" s="319" t="n"/>
      <c r="H2990" s="319" t="n"/>
      <c r="I2990" s="319" t="n"/>
      <c r="J2990" s="319" t="n"/>
      <c r="K2990" s="1" t="n"/>
      <c r="L2990" s="1" t="n"/>
    </row>
    <row r="2991">
      <c r="B2991" s="1" t="n"/>
      <c r="C2991" s="1" t="n"/>
      <c r="D2991" s="319" t="n"/>
      <c r="E2991" s="319" t="n"/>
      <c r="F2991" s="319" t="n"/>
      <c r="G2991" s="319" t="n"/>
      <c r="H2991" s="319" t="n"/>
      <c r="I2991" s="319" t="n"/>
      <c r="J2991" s="319" t="n"/>
      <c r="K2991" s="1" t="n"/>
      <c r="L2991" s="1" t="n"/>
    </row>
    <row r="2992">
      <c r="B2992" s="1" t="n"/>
      <c r="C2992" s="21" t="inlineStr">
        <is>
          <t>Period Start</t>
        </is>
      </c>
      <c r="D2992" s="22" t="inlineStr">
        <is>
          <t>Period End</t>
        </is>
      </c>
      <c r="E2992" s="22" t="inlineStr">
        <is>
          <t>Days</t>
        </is>
      </c>
      <c r="F2992" s="294" t="inlineStr">
        <is>
          <t>Opening bal.</t>
        </is>
      </c>
      <c r="G2992" s="294" t="inlineStr">
        <is>
          <t>Pmt</t>
        </is>
      </c>
      <c r="H2992" s="294" t="inlineStr">
        <is>
          <t>Interest</t>
        </is>
      </c>
      <c r="I2992" s="294" t="inlineStr">
        <is>
          <t>Principal</t>
        </is>
      </c>
      <c r="J2992" s="294" t="inlineStr">
        <is>
          <t>Closing balance</t>
        </is>
      </c>
      <c r="K2992" s="23" t="inlineStr">
        <is>
          <t>Amount Repaid</t>
        </is>
      </c>
      <c r="L2992" s="23" t="inlineStr">
        <is>
          <t>Accumulated Arrears</t>
        </is>
      </c>
    </row>
    <row r="2993">
      <c r="B2993" s="1" t="n">
        <v>0</v>
      </c>
      <c r="C2993" s="24" t="n">
        <v>44959</v>
      </c>
      <c r="D2993" s="24" t="n">
        <v>44985</v>
      </c>
      <c r="E2993" s="25">
        <f>D2993-C2993+1</f>
        <v/>
      </c>
      <c r="F2993" s="319">
        <f>E2984</f>
        <v/>
      </c>
      <c r="G2993" s="319" t="n"/>
      <c r="H2993" s="319">
        <f>D2985/D2987*E2993*F2993/28</f>
        <v/>
      </c>
      <c r="I2993" s="319">
        <f>-H2993</f>
        <v/>
      </c>
      <c r="J2993" s="319">
        <f>F2993-I2993</f>
        <v/>
      </c>
      <c r="K2993" s="516" t="n"/>
      <c r="L2993" s="516" t="n"/>
    </row>
    <row r="2994">
      <c r="B2994" s="1" t="n">
        <v>1</v>
      </c>
      <c r="C2994" s="24" t="n">
        <v>44986</v>
      </c>
      <c r="D2994" s="24" t="n">
        <v>45016</v>
      </c>
      <c r="E2994" s="25">
        <f>D2994-C2994+1</f>
        <v/>
      </c>
      <c r="F2994" s="319">
        <f>J2993</f>
        <v/>
      </c>
      <c r="G2994" s="319" t="n"/>
      <c r="H2994" s="319">
        <f>($D$2985/$D$2987*F2994)</f>
        <v/>
      </c>
      <c r="I2994" s="319">
        <f>-H2994</f>
        <v/>
      </c>
      <c r="J2994" s="319">
        <f>F2994-I2994</f>
        <v/>
      </c>
      <c r="K2994" s="516" t="n"/>
      <c r="L2994" s="516" t="n"/>
    </row>
    <row r="2995">
      <c r="B2995" s="1" t="n">
        <v>2</v>
      </c>
      <c r="C2995" s="24" t="n">
        <v>45017</v>
      </c>
      <c r="D2995" s="24" t="n">
        <v>45046</v>
      </c>
      <c r="E2995" s="25">
        <f>D2995-C2995+1</f>
        <v/>
      </c>
      <c r="F2995" s="319">
        <f>J2994</f>
        <v/>
      </c>
      <c r="G2995" s="319" t="n"/>
      <c r="H2995" s="319">
        <f>($D$2985/$D$2987*F2995)</f>
        <v/>
      </c>
      <c r="I2995" s="319">
        <f>-H2995</f>
        <v/>
      </c>
      <c r="J2995" s="319">
        <f>F2995-I2995</f>
        <v/>
      </c>
    </row>
    <row r="2996">
      <c r="B2996" s="1" t="n">
        <v>3</v>
      </c>
      <c r="C2996" s="24" t="n">
        <v>45047</v>
      </c>
      <c r="D2996" s="24" t="n">
        <v>45077</v>
      </c>
      <c r="E2996" s="25">
        <f>D2996-C2996+1</f>
        <v/>
      </c>
      <c r="F2996" s="319">
        <f>J2995</f>
        <v/>
      </c>
      <c r="G2996" s="319" t="n"/>
      <c r="H2996" s="319">
        <f>($D$2985/$D$2987*F2996)</f>
        <v/>
      </c>
      <c r="I2996" s="319">
        <f>-H2996</f>
        <v/>
      </c>
      <c r="J2996" s="319">
        <f>F2996-I2996</f>
        <v/>
      </c>
      <c r="K2996" s="516" t="n"/>
      <c r="L2996" s="516" t="n"/>
    </row>
    <row r="2997">
      <c r="B2997" s="1" t="n">
        <v>4</v>
      </c>
      <c r="C2997" s="24" t="n">
        <v>45078</v>
      </c>
      <c r="D2997" s="24" t="n">
        <v>45107</v>
      </c>
      <c r="E2997" s="25">
        <f>D2997-C2997+1</f>
        <v/>
      </c>
      <c r="F2997" s="319">
        <f>J2996</f>
        <v/>
      </c>
      <c r="G2997" s="319" t="n"/>
      <c r="H2997" s="319">
        <f>($D$2985/$D$2987*F2997)</f>
        <v/>
      </c>
      <c r="I2997" s="319">
        <f>-H2997</f>
        <v/>
      </c>
      <c r="J2997" s="319">
        <f>F2997-I2997</f>
        <v/>
      </c>
      <c r="K2997" s="516" t="n"/>
      <c r="L2997" s="516" t="n"/>
    </row>
    <row r="2998">
      <c r="B2998" s="1" t="n">
        <v>5</v>
      </c>
      <c r="C2998" s="24" t="n">
        <v>45108</v>
      </c>
      <c r="D2998" s="24" t="n">
        <v>45138</v>
      </c>
      <c r="E2998" s="25">
        <f>D2998-C2998+1</f>
        <v/>
      </c>
      <c r="F2998" s="319">
        <f>J2997</f>
        <v/>
      </c>
      <c r="G2998" s="319" t="n"/>
      <c r="H2998" s="319">
        <f>($D$2985/$D$2987*F2998)</f>
        <v/>
      </c>
      <c r="I2998" s="319">
        <f>-H2998</f>
        <v/>
      </c>
      <c r="J2998" s="319">
        <f>F2998-I2998</f>
        <v/>
      </c>
      <c r="K2998" s="516" t="n"/>
      <c r="L2998" s="516" t="n"/>
    </row>
    <row r="2999">
      <c r="B2999" s="1" t="n">
        <v>6</v>
      </c>
      <c r="C2999" s="24" t="n">
        <v>45139</v>
      </c>
      <c r="D2999" s="24" t="n">
        <v>45169</v>
      </c>
      <c r="E2999" s="25">
        <f>D2999-C2999+1</f>
        <v/>
      </c>
      <c r="F2999" s="319">
        <f>J2998</f>
        <v/>
      </c>
      <c r="G2999" s="319" t="n"/>
      <c r="H2999" s="319">
        <f>($D$2985/$D$2987*F2999)</f>
        <v/>
      </c>
      <c r="I2999" s="319">
        <f>-H2999</f>
        <v/>
      </c>
      <c r="J2999" s="319">
        <f>F2999-I2999</f>
        <v/>
      </c>
      <c r="K2999" s="516" t="n"/>
      <c r="L2999" s="519" t="n"/>
    </row>
    <row r="3000">
      <c r="B3000" s="1" t="n">
        <v>7</v>
      </c>
      <c r="C3000" s="24" t="n">
        <v>45170</v>
      </c>
      <c r="D3000" s="24" t="n">
        <v>45199</v>
      </c>
      <c r="E3000" s="25">
        <f>D3000-C3000+1</f>
        <v/>
      </c>
      <c r="F3000" s="319">
        <f>J2999</f>
        <v/>
      </c>
      <c r="G3000" s="319" t="n"/>
      <c r="H3000" s="319">
        <f>($D$2985/$D$2987*F3000)</f>
        <v/>
      </c>
      <c r="I3000" s="319">
        <f>-H3000</f>
        <v/>
      </c>
      <c r="J3000" s="319">
        <f>F3000-I3000</f>
        <v/>
      </c>
      <c r="K3000" s="516" t="n"/>
      <c r="L3000" s="516" t="n"/>
    </row>
    <row r="3001">
      <c r="B3001" s="1" t="n">
        <v>8</v>
      </c>
      <c r="C3001" s="24" t="n">
        <v>45200</v>
      </c>
      <c r="D3001" s="24" t="n">
        <v>45230</v>
      </c>
      <c r="E3001" s="25">
        <f>D3001-C3001+1</f>
        <v/>
      </c>
      <c r="F3001" s="319">
        <f>J3000</f>
        <v/>
      </c>
      <c r="G3001" s="319" t="n"/>
      <c r="H3001" s="319">
        <f>($D$2985/$D$2987*F3001)</f>
        <v/>
      </c>
      <c r="I3001" s="319">
        <f>-H3001</f>
        <v/>
      </c>
      <c r="J3001" s="319">
        <f>F3001-I3001</f>
        <v/>
      </c>
      <c r="K3001" s="516" t="n"/>
      <c r="L3001" s="516" t="n"/>
    </row>
    <row r="3002">
      <c r="B3002" s="1" t="n">
        <v>9</v>
      </c>
      <c r="C3002" s="24" t="n">
        <v>45231</v>
      </c>
      <c r="D3002" s="24" t="n">
        <v>45260</v>
      </c>
      <c r="E3002" s="25">
        <f>D3002-C3002+1</f>
        <v/>
      </c>
      <c r="F3002" s="319">
        <f>J3001</f>
        <v/>
      </c>
      <c r="G3002" s="319" t="n"/>
      <c r="H3002" s="319">
        <f>($D$2985/$D$2987*F3002)</f>
        <v/>
      </c>
      <c r="I3002" s="319">
        <f>-H3002</f>
        <v/>
      </c>
      <c r="J3002" s="319">
        <f>F3002-I3002</f>
        <v/>
      </c>
      <c r="K3002" s="516" t="n"/>
      <c r="L3002" s="519" t="n"/>
    </row>
    <row r="3003">
      <c r="B3003" s="1" t="n">
        <v>10</v>
      </c>
      <c r="C3003" s="24" t="n">
        <v>45261</v>
      </c>
      <c r="D3003" s="24" t="n">
        <v>45291</v>
      </c>
      <c r="E3003" s="25">
        <f>D3003-C3003+1</f>
        <v/>
      </c>
      <c r="F3003" s="319">
        <f>J3002</f>
        <v/>
      </c>
      <c r="G3003" s="319" t="n"/>
      <c r="H3003" s="319">
        <f>($D$2985/$D$2987*F3003)</f>
        <v/>
      </c>
      <c r="I3003" s="319">
        <f>-H3003</f>
        <v/>
      </c>
      <c r="J3003" s="319">
        <f>F3003-I3003</f>
        <v/>
      </c>
      <c r="K3003" s="516" t="n"/>
      <c r="L3003" s="516" t="n"/>
    </row>
    <row r="3004">
      <c r="B3004" s="1" t="n">
        <v>11</v>
      </c>
      <c r="C3004" s="24" t="n">
        <v>45292</v>
      </c>
      <c r="D3004" s="24" t="n">
        <v>45322</v>
      </c>
      <c r="E3004" s="25">
        <f>D3004-C3004+1</f>
        <v/>
      </c>
      <c r="F3004" s="319">
        <f>J3003</f>
        <v/>
      </c>
      <c r="G3004" s="319" t="n"/>
      <c r="H3004" s="319">
        <f>($D$2985/$D$2987*F3004)</f>
        <v/>
      </c>
      <c r="I3004" s="319">
        <f>-H3004</f>
        <v/>
      </c>
      <c r="J3004" s="319">
        <f>F3004-I3004</f>
        <v/>
      </c>
      <c r="K3004" s="516" t="n"/>
      <c r="L3004" s="516" t="n"/>
    </row>
    <row r="3005">
      <c r="B3005" s="1" t="n">
        <v>12</v>
      </c>
      <c r="C3005" s="24" t="n">
        <v>45323</v>
      </c>
      <c r="D3005" s="24" t="n">
        <v>45351</v>
      </c>
      <c r="E3005" s="25">
        <f>D3005-C3005+1</f>
        <v/>
      </c>
      <c r="F3005" s="319">
        <f>J3004</f>
        <v/>
      </c>
      <c r="G3005" s="319" t="n"/>
      <c r="H3005" s="319">
        <f>($D$2985/$D$2987*F3005)</f>
        <v/>
      </c>
      <c r="I3005" s="319">
        <f>-H3005</f>
        <v/>
      </c>
      <c r="J3005" s="319">
        <f>F3005-I3005</f>
        <v/>
      </c>
      <c r="K3005" s="516" t="n"/>
      <c r="L3005" s="516" t="n"/>
    </row>
    <row r="3006">
      <c r="B3006" s="1" t="n">
        <v>13</v>
      </c>
      <c r="C3006" s="24" t="n">
        <v>45352</v>
      </c>
      <c r="D3006" s="24" t="n">
        <v>45382</v>
      </c>
      <c r="E3006" s="25">
        <f>D3006-C3006+1</f>
        <v/>
      </c>
      <c r="F3006" s="319">
        <f>J3005</f>
        <v/>
      </c>
      <c r="G3006" s="319">
        <f>-PMT($D$2985/$D$2987,60,$F$3006,,0)</f>
        <v/>
      </c>
      <c r="H3006" s="319">
        <f>($D$2985/$D$2987*F3006)</f>
        <v/>
      </c>
      <c r="I3006" s="319">
        <f>G3006-H3006</f>
        <v/>
      </c>
      <c r="J3006" s="319">
        <f>F3006-I3006</f>
        <v/>
      </c>
      <c r="K3006" s="516" t="n"/>
      <c r="L3006" s="27">
        <f>L3005+G3006-K3006</f>
        <v/>
      </c>
    </row>
    <row r="3007">
      <c r="B3007" s="1" t="n">
        <v>14</v>
      </c>
      <c r="C3007" s="24" t="n">
        <v>45383</v>
      </c>
      <c r="D3007" s="24" t="n">
        <v>45412</v>
      </c>
      <c r="E3007" s="25">
        <f>D3007-C3007+1</f>
        <v/>
      </c>
      <c r="F3007" s="319">
        <f>J3006</f>
        <v/>
      </c>
      <c r="G3007" s="319">
        <f>-PMT($D$2985/$D$2987,60,$F$3006,,0)</f>
        <v/>
      </c>
      <c r="H3007" s="319">
        <f>($D$2985/$D$2987*F3007)</f>
        <v/>
      </c>
      <c r="I3007" s="319">
        <f>G3007-H3007</f>
        <v/>
      </c>
      <c r="J3007" s="319">
        <f>F3007-I3007</f>
        <v/>
      </c>
      <c r="K3007" s="516" t="n">
        <v>3200000</v>
      </c>
      <c r="L3007" s="27">
        <f>L3006+G3007-K3007</f>
        <v/>
      </c>
    </row>
    <row r="3008">
      <c r="B3008" s="1" t="n">
        <v>15</v>
      </c>
      <c r="C3008" s="24" t="n">
        <v>45413</v>
      </c>
      <c r="D3008" s="24" t="n">
        <v>45443</v>
      </c>
      <c r="E3008" s="25">
        <f>D3008-C3008+1</f>
        <v/>
      </c>
      <c r="F3008" s="319">
        <f>J3007</f>
        <v/>
      </c>
      <c r="G3008" s="319">
        <f>-PMT($D$2985/$D$2987,60,$F$3006,,0)</f>
        <v/>
      </c>
      <c r="H3008" s="319">
        <f>($D$2985/$D$2987*F3008)</f>
        <v/>
      </c>
      <c r="I3008" s="319">
        <f>G3008-H3008</f>
        <v/>
      </c>
      <c r="J3008" s="319">
        <f>F3008-I3008</f>
        <v/>
      </c>
      <c r="K3008" s="516" t="n"/>
      <c r="L3008" s="27">
        <f>L3007+G3008-K3008</f>
        <v/>
      </c>
    </row>
    <row r="3009">
      <c r="B3009" s="1" t="n">
        <v>16</v>
      </c>
      <c r="C3009" s="24" t="n">
        <v>45444</v>
      </c>
      <c r="D3009" s="24" t="n">
        <v>45473</v>
      </c>
      <c r="E3009" s="25">
        <f>D3009-C3009+1</f>
        <v/>
      </c>
      <c r="F3009" s="319">
        <f>J3008</f>
        <v/>
      </c>
      <c r="G3009" s="319">
        <f>-PMT($D$2985/$D$2987,60,$F$3006,,0)</f>
        <v/>
      </c>
      <c r="H3009" s="319">
        <f>($D$2985/$D$2987*F3009)</f>
        <v/>
      </c>
      <c r="I3009" s="319">
        <f>G3009-H3009</f>
        <v/>
      </c>
      <c r="J3009" s="319">
        <f>F3009-I3009</f>
        <v/>
      </c>
      <c r="K3009" s="516" t="n">
        <v>4000000</v>
      </c>
      <c r="L3009" s="27">
        <f>L3008+G3009-K3009</f>
        <v/>
      </c>
    </row>
    <row r="3010">
      <c r="B3010" s="1" t="n">
        <v>17</v>
      </c>
      <c r="C3010" s="24" t="n">
        <v>45474</v>
      </c>
      <c r="D3010" s="24" t="n">
        <v>45504</v>
      </c>
      <c r="E3010" s="25">
        <f>D3010-C3010+1</f>
        <v/>
      </c>
      <c r="F3010" s="319">
        <f>J3009</f>
        <v/>
      </c>
      <c r="G3010" s="319">
        <f>-PMT($D$2985/$D$2987,60,$F$3006,,0)</f>
        <v/>
      </c>
      <c r="H3010" s="319">
        <f>($D$2985/$D$2987*F3010)</f>
        <v/>
      </c>
      <c r="I3010" s="319">
        <f>G3010-H3010</f>
        <v/>
      </c>
      <c r="J3010" s="319">
        <f>F3010-I3010</f>
        <v/>
      </c>
      <c r="K3010" s="516" t="n">
        <v>4000000</v>
      </c>
      <c r="L3010" s="27">
        <f>L3009+G3010-K3010</f>
        <v/>
      </c>
    </row>
    <row r="3011">
      <c r="B3011" s="1" t="n">
        <v>18</v>
      </c>
      <c r="C3011" s="24" t="n">
        <v>45505</v>
      </c>
      <c r="D3011" s="24" t="n">
        <v>45535</v>
      </c>
      <c r="E3011" s="25">
        <f>D3011-C3011+1</f>
        <v/>
      </c>
      <c r="F3011" s="319">
        <f>J3010</f>
        <v/>
      </c>
      <c r="G3011" s="319">
        <f>-PMT($D$2985/$D$2987,60,$F$3006,,0)</f>
        <v/>
      </c>
      <c r="H3011" s="319">
        <f>($D$2985/$D$2987*F3011)</f>
        <v/>
      </c>
      <c r="I3011" s="319">
        <f>G3011-H3011</f>
        <v/>
      </c>
      <c r="J3011" s="319">
        <f>F3011-I3011</f>
        <v/>
      </c>
      <c r="K3011" s="516" t="n">
        <v>4000000</v>
      </c>
      <c r="L3011" s="27">
        <f>L3010+G3011-K3011</f>
        <v/>
      </c>
    </row>
    <row r="3012">
      <c r="B3012" s="1" t="n">
        <v>19</v>
      </c>
      <c r="C3012" s="24" t="n">
        <v>45536</v>
      </c>
      <c r="D3012" s="24" t="n">
        <v>45565</v>
      </c>
      <c r="E3012" s="25">
        <f>D3012-C3012+1</f>
        <v/>
      </c>
      <c r="F3012" s="319">
        <f>J3011</f>
        <v/>
      </c>
      <c r="G3012" s="319">
        <f>-PMT($D$2985/$D$2987,60,$F$3006,,0)</f>
        <v/>
      </c>
      <c r="H3012" s="319">
        <f>($D$2985/$D$2987*F3012)</f>
        <v/>
      </c>
      <c r="I3012" s="319">
        <f>G3012-H3012</f>
        <v/>
      </c>
      <c r="J3012" s="319">
        <f>F3012-I3012</f>
        <v/>
      </c>
      <c r="K3012" s="516">
        <f>4000000</f>
        <v/>
      </c>
      <c r="L3012" s="27">
        <f>L3011+G3012-K3012</f>
        <v/>
      </c>
    </row>
    <row r="3013">
      <c r="B3013" s="1" t="n">
        <v>20</v>
      </c>
      <c r="C3013" s="24" t="n">
        <v>45566</v>
      </c>
      <c r="D3013" s="24" t="n">
        <v>45596</v>
      </c>
      <c r="E3013" s="25">
        <f>D3013-C3013+1</f>
        <v/>
      </c>
      <c r="F3013" s="319">
        <f>J3012</f>
        <v/>
      </c>
      <c r="G3013" s="319">
        <f>-PMT($D$2985/$D$2987,60,$F$3006,,0)</f>
        <v/>
      </c>
      <c r="H3013" s="319">
        <f>($D$2985/$D$2987*F3013)</f>
        <v/>
      </c>
      <c r="I3013" s="319">
        <f>G3013-H3013</f>
        <v/>
      </c>
      <c r="J3013" s="319">
        <f>F3013-I3013</f>
        <v/>
      </c>
      <c r="K3013" s="516" t="n">
        <v>4000000</v>
      </c>
      <c r="L3013" s="331">
        <f>L3012+G3013-K3013</f>
        <v/>
      </c>
    </row>
    <row r="3014">
      <c r="B3014" s="1" t="n">
        <v>21</v>
      </c>
      <c r="C3014" s="24" t="n">
        <v>45597</v>
      </c>
      <c r="D3014" s="24" t="n">
        <v>45626</v>
      </c>
      <c r="E3014" s="25">
        <f>D3014-C3014+1</f>
        <v/>
      </c>
      <c r="F3014" s="319">
        <f>J3013</f>
        <v/>
      </c>
      <c r="G3014" s="319">
        <f>-PMT($D$2985/$D$2987,60,$F$3006,,0)</f>
        <v/>
      </c>
      <c r="H3014" s="319">
        <f>($D$2985/$D$2987*F3014)</f>
        <v/>
      </c>
      <c r="I3014" s="319">
        <f>G3014-H3014</f>
        <v/>
      </c>
      <c r="J3014" s="319">
        <f>F3014-I3014</f>
        <v/>
      </c>
      <c r="K3014" s="516" t="n"/>
      <c r="L3014" s="516" t="n"/>
    </row>
    <row r="3015">
      <c r="B3015" s="1" t="n">
        <v>22</v>
      </c>
      <c r="C3015" s="24" t="n">
        <v>45627</v>
      </c>
      <c r="D3015" s="24" t="n">
        <v>45657</v>
      </c>
      <c r="E3015" s="25">
        <f>D3015-C3015+1</f>
        <v/>
      </c>
      <c r="F3015" s="319">
        <f>J3014</f>
        <v/>
      </c>
      <c r="G3015" s="319">
        <f>-PMT($D$2985/$D$2987,60,$F$3006,,0)</f>
        <v/>
      </c>
      <c r="H3015" s="319">
        <f>($D$2985/$D$2987*F3015)</f>
        <v/>
      </c>
      <c r="I3015" s="319">
        <f>G3015-H3015</f>
        <v/>
      </c>
      <c r="J3015" s="319">
        <f>F3015-I3015</f>
        <v/>
      </c>
      <c r="K3015" s="516" t="n"/>
      <c r="L3015" s="516" t="n"/>
    </row>
    <row r="3016">
      <c r="B3016" s="1" t="n">
        <v>23</v>
      </c>
      <c r="C3016" s="24" t="n">
        <v>45658</v>
      </c>
      <c r="D3016" s="24" t="n">
        <v>45688</v>
      </c>
      <c r="E3016" s="25">
        <f>D3016-C3016+1</f>
        <v/>
      </c>
      <c r="F3016" s="319">
        <f>J3015</f>
        <v/>
      </c>
      <c r="G3016" s="319">
        <f>-PMT($D$2985/$D$2987,60,$F$3006,,0)</f>
        <v/>
      </c>
      <c r="H3016" s="319">
        <f>($D$2985/$D$2987*F3016)</f>
        <v/>
      </c>
      <c r="I3016" s="319">
        <f>G3016-H3016</f>
        <v/>
      </c>
      <c r="J3016" s="319">
        <f>F3016-I3016</f>
        <v/>
      </c>
      <c r="K3016" s="516" t="n"/>
      <c r="L3016" s="516" t="n"/>
    </row>
    <row r="3017">
      <c r="B3017" s="1" t="n">
        <v>24</v>
      </c>
      <c r="C3017" s="24" t="n">
        <v>45689</v>
      </c>
      <c r="D3017" s="24" t="n">
        <v>45716</v>
      </c>
      <c r="E3017" s="25">
        <f>D3017-C3017+1</f>
        <v/>
      </c>
      <c r="F3017" s="319">
        <f>J3016</f>
        <v/>
      </c>
      <c r="G3017" s="319">
        <f>-PMT($D$2985/$D$2987,60,$F$3006,,0)</f>
        <v/>
      </c>
      <c r="H3017" s="319">
        <f>($D$2985/$D$2987*F3017)</f>
        <v/>
      </c>
      <c r="I3017" s="319">
        <f>G3017-H3017</f>
        <v/>
      </c>
      <c r="J3017" s="319">
        <f>F3017-I3017</f>
        <v/>
      </c>
      <c r="K3017" s="516" t="n"/>
      <c r="L3017" s="516" t="n"/>
    </row>
    <row r="3018">
      <c r="B3018" s="1" t="n">
        <v>25</v>
      </c>
      <c r="C3018" s="24" t="n">
        <v>45717</v>
      </c>
      <c r="D3018" s="24" t="n">
        <v>45747</v>
      </c>
      <c r="E3018" s="25">
        <f>D3018-C3018+1</f>
        <v/>
      </c>
      <c r="F3018" s="319">
        <f>J3017</f>
        <v/>
      </c>
      <c r="G3018" s="319">
        <f>-PMT($D$2985/$D$2987,60,$F$3006,,0)</f>
        <v/>
      </c>
      <c r="H3018" s="319">
        <f>($D$2985/$D$2987*F3018)</f>
        <v/>
      </c>
      <c r="I3018" s="319">
        <f>G3018-H3018</f>
        <v/>
      </c>
      <c r="J3018" s="319">
        <f>F3018-I3018</f>
        <v/>
      </c>
      <c r="K3018" s="516" t="n"/>
      <c r="L3018" s="516" t="n"/>
    </row>
    <row r="3019">
      <c r="B3019" s="1" t="n">
        <v>26</v>
      </c>
      <c r="C3019" s="24" t="n">
        <v>45748</v>
      </c>
      <c r="D3019" s="24" t="n">
        <v>45777</v>
      </c>
      <c r="E3019" s="25">
        <f>D3019-C3019+1</f>
        <v/>
      </c>
      <c r="F3019" s="319">
        <f>J3018</f>
        <v/>
      </c>
      <c r="G3019" s="319">
        <f>-PMT($D$2985/$D$2987,60,$F$3006,,0)</f>
        <v/>
      </c>
      <c r="H3019" s="319">
        <f>($D$2985/$D$2987*F3019)</f>
        <v/>
      </c>
      <c r="I3019" s="319">
        <f>G3019-H3019</f>
        <v/>
      </c>
      <c r="J3019" s="319">
        <f>F3019-I3019</f>
        <v/>
      </c>
      <c r="K3019" s="516" t="n"/>
      <c r="L3019" s="516" t="n"/>
    </row>
    <row r="3020">
      <c r="B3020" s="1" t="n">
        <v>27</v>
      </c>
      <c r="C3020" s="24" t="n">
        <v>45778</v>
      </c>
      <c r="D3020" s="24" t="n">
        <v>45808</v>
      </c>
      <c r="E3020" s="25">
        <f>D3020-C3020+1</f>
        <v/>
      </c>
      <c r="F3020" s="319">
        <f>J3019</f>
        <v/>
      </c>
      <c r="G3020" s="319">
        <f>-PMT($D$2985/$D$2987,60,$F$3006,,0)</f>
        <v/>
      </c>
      <c r="H3020" s="319">
        <f>($D$2985/$D$2987*F3020)</f>
        <v/>
      </c>
      <c r="I3020" s="319">
        <f>G3020-H3020</f>
        <v/>
      </c>
      <c r="J3020" s="319">
        <f>F3020-I3020</f>
        <v/>
      </c>
      <c r="K3020" s="516" t="n"/>
      <c r="L3020" s="516" t="n"/>
    </row>
    <row r="3021">
      <c r="B3021" s="1" t="n">
        <v>28</v>
      </c>
      <c r="C3021" s="24" t="n">
        <v>45809</v>
      </c>
      <c r="D3021" s="24" t="n">
        <v>45838</v>
      </c>
      <c r="E3021" s="25">
        <f>D3021-C3021+1</f>
        <v/>
      </c>
      <c r="F3021" s="319">
        <f>J3020</f>
        <v/>
      </c>
      <c r="G3021" s="319">
        <f>-PMT($D$2985/$D$2987,60,$F$3006,,0)</f>
        <v/>
      </c>
      <c r="H3021" s="319">
        <f>($D$2985/$D$2987*F3021)</f>
        <v/>
      </c>
      <c r="I3021" s="319">
        <f>G3021-H3021</f>
        <v/>
      </c>
      <c r="J3021" s="319">
        <f>F3021-I3021</f>
        <v/>
      </c>
      <c r="K3021" s="516" t="n"/>
      <c r="L3021" s="516" t="n"/>
    </row>
    <row r="3022">
      <c r="B3022" s="1" t="n">
        <v>29</v>
      </c>
      <c r="C3022" s="24" t="n">
        <v>45839</v>
      </c>
      <c r="D3022" s="24" t="n">
        <v>45869</v>
      </c>
      <c r="E3022" s="25">
        <f>D3022-C3022+1</f>
        <v/>
      </c>
      <c r="F3022" s="319">
        <f>J3021</f>
        <v/>
      </c>
      <c r="G3022" s="319">
        <f>-PMT($D$2985/$D$2987,60,$F$3006,,0)</f>
        <v/>
      </c>
      <c r="H3022" s="319">
        <f>($D$2985/$D$2987*F3022)</f>
        <v/>
      </c>
      <c r="I3022" s="319">
        <f>G3022-H3022</f>
        <v/>
      </c>
      <c r="J3022" s="319">
        <f>F3022-I3022</f>
        <v/>
      </c>
      <c r="K3022" s="516" t="n"/>
      <c r="L3022" s="516" t="n"/>
    </row>
    <row r="3023">
      <c r="B3023" s="1" t="n">
        <v>30</v>
      </c>
      <c r="C3023" s="24" t="n">
        <v>45870</v>
      </c>
      <c r="D3023" s="24" t="n">
        <v>45900</v>
      </c>
      <c r="E3023" s="25">
        <f>D3023-C3023+1</f>
        <v/>
      </c>
      <c r="F3023" s="319">
        <f>J3022</f>
        <v/>
      </c>
      <c r="G3023" s="319">
        <f>-PMT($D$2985/$D$2987,60,$F$3006,,0)</f>
        <v/>
      </c>
      <c r="H3023" s="319">
        <f>($D$2985/$D$2987*F3023)</f>
        <v/>
      </c>
      <c r="I3023" s="319">
        <f>G3023-H3023</f>
        <v/>
      </c>
      <c r="J3023" s="319">
        <f>F3023-I3023</f>
        <v/>
      </c>
      <c r="K3023" s="516" t="n"/>
      <c r="L3023" s="516" t="n"/>
    </row>
    <row r="3024">
      <c r="B3024" s="1" t="n">
        <v>31</v>
      </c>
      <c r="C3024" s="24" t="n">
        <v>45901</v>
      </c>
      <c r="D3024" s="24" t="n">
        <v>45930</v>
      </c>
      <c r="E3024" s="25">
        <f>D3024-C3024+1</f>
        <v/>
      </c>
      <c r="F3024" s="319">
        <f>J3023</f>
        <v/>
      </c>
      <c r="G3024" s="319">
        <f>-PMT($D$2985/$D$2987,60,$F$3006,,0)</f>
        <v/>
      </c>
      <c r="H3024" s="319">
        <f>($D$2985/$D$2987*F3024)</f>
        <v/>
      </c>
      <c r="I3024" s="319">
        <f>G3024-H3024</f>
        <v/>
      </c>
      <c r="J3024" s="319">
        <f>F3024-I3024</f>
        <v/>
      </c>
      <c r="K3024" s="516" t="n"/>
      <c r="L3024" s="516" t="n"/>
    </row>
    <row r="3025">
      <c r="B3025" s="1" t="n">
        <v>32</v>
      </c>
      <c r="C3025" s="24" t="n">
        <v>45931</v>
      </c>
      <c r="D3025" s="24" t="n">
        <v>45961</v>
      </c>
      <c r="E3025" s="25">
        <f>D3025-C3025+1</f>
        <v/>
      </c>
      <c r="F3025" s="319">
        <f>J3024</f>
        <v/>
      </c>
      <c r="G3025" s="319">
        <f>-PMT($D$2985/$D$2987,60,$F$3006,,0)</f>
        <v/>
      </c>
      <c r="H3025" s="319">
        <f>($D$2985/$D$2987*F3025)</f>
        <v/>
      </c>
      <c r="I3025" s="319">
        <f>G3025-H3025</f>
        <v/>
      </c>
      <c r="J3025" s="319">
        <f>F3025-I3025</f>
        <v/>
      </c>
      <c r="K3025" s="516" t="n"/>
      <c r="L3025" s="516" t="n"/>
    </row>
    <row r="3026">
      <c r="B3026" s="1" t="n">
        <v>33</v>
      </c>
      <c r="C3026" s="24" t="n">
        <v>45962</v>
      </c>
      <c r="D3026" s="24" t="n">
        <v>45991</v>
      </c>
      <c r="E3026" s="25">
        <f>D3026-C3026+1</f>
        <v/>
      </c>
      <c r="F3026" s="319">
        <f>J3025</f>
        <v/>
      </c>
      <c r="G3026" s="319">
        <f>-PMT($D$2985/$D$2987,60,$F$3006,,0)</f>
        <v/>
      </c>
      <c r="H3026" s="319">
        <f>($D$2985/$D$2987*F3026)</f>
        <v/>
      </c>
      <c r="I3026" s="319">
        <f>G3026-H3026</f>
        <v/>
      </c>
      <c r="J3026" s="319">
        <f>F3026-I3026</f>
        <v/>
      </c>
      <c r="K3026" s="516" t="n"/>
      <c r="L3026" s="516" t="n"/>
    </row>
    <row r="3027">
      <c r="B3027" s="1" t="n">
        <v>34</v>
      </c>
      <c r="C3027" s="24" t="n">
        <v>45992</v>
      </c>
      <c r="D3027" s="24" t="n">
        <v>46022</v>
      </c>
      <c r="E3027" s="25">
        <f>D3027-C3027+1</f>
        <v/>
      </c>
      <c r="F3027" s="319">
        <f>J3026</f>
        <v/>
      </c>
      <c r="G3027" s="319">
        <f>-PMT($D$2985/$D$2987,60,$F$3006,,0)</f>
        <v/>
      </c>
      <c r="H3027" s="319">
        <f>($D$2985/$D$2987*F3027)</f>
        <v/>
      </c>
      <c r="I3027" s="319">
        <f>G3027-H3027</f>
        <v/>
      </c>
      <c r="J3027" s="319">
        <f>F3027-I3027</f>
        <v/>
      </c>
      <c r="K3027" s="516" t="n"/>
      <c r="L3027" s="516" t="n"/>
    </row>
    <row r="3028">
      <c r="B3028" s="1" t="n">
        <v>35</v>
      </c>
      <c r="C3028" s="24" t="n">
        <v>45992</v>
      </c>
      <c r="D3028" s="24" t="n">
        <v>46022</v>
      </c>
      <c r="E3028" s="25">
        <f>D3028-C3028+1</f>
        <v/>
      </c>
      <c r="F3028" s="319">
        <f>J3027</f>
        <v/>
      </c>
      <c r="G3028" s="319">
        <f>-PMT($D$2985/$D$2987,60,$F$3006,,0)</f>
        <v/>
      </c>
      <c r="H3028" s="319">
        <f>($D$2985/$D$2987*F3028)</f>
        <v/>
      </c>
      <c r="I3028" s="319">
        <f>G3028-H3028</f>
        <v/>
      </c>
      <c r="J3028" s="319">
        <f>F3028-I3028</f>
        <v/>
      </c>
      <c r="K3028" s="516" t="n"/>
      <c r="L3028" s="516" t="n"/>
    </row>
    <row r="3029">
      <c r="B3029" s="1" t="n">
        <v>36</v>
      </c>
      <c r="C3029" s="24" t="n">
        <v>45992</v>
      </c>
      <c r="D3029" s="24" t="n">
        <v>46022</v>
      </c>
      <c r="E3029" s="25">
        <f>D3029-C3029+1</f>
        <v/>
      </c>
      <c r="F3029" s="319">
        <f>J3028</f>
        <v/>
      </c>
      <c r="G3029" s="319">
        <f>-PMT($D$2985/$D$2987,60,$F$3006,,0)</f>
        <v/>
      </c>
      <c r="H3029" s="319">
        <f>($D$2985/$D$2987*F3029)</f>
        <v/>
      </c>
      <c r="I3029" s="319">
        <f>G3029-H3029</f>
        <v/>
      </c>
      <c r="J3029" s="319">
        <f>F3029-I3029</f>
        <v/>
      </c>
      <c r="K3029" s="516" t="n"/>
      <c r="L3029" s="516" t="n"/>
    </row>
    <row r="3030">
      <c r="B3030" s="1" t="n">
        <v>37</v>
      </c>
      <c r="C3030" s="24" t="n">
        <v>45992</v>
      </c>
      <c r="D3030" s="24" t="n">
        <v>46022</v>
      </c>
      <c r="E3030" s="25">
        <f>D3030-C3030+1</f>
        <v/>
      </c>
      <c r="F3030" s="319">
        <f>J3029</f>
        <v/>
      </c>
      <c r="G3030" s="319">
        <f>-PMT($D$2985/$D$2987,60,$F$3006,,0)</f>
        <v/>
      </c>
      <c r="H3030" s="319">
        <f>($D$2985/$D$2987*F3030)</f>
        <v/>
      </c>
      <c r="I3030" s="319">
        <f>G3030-H3030</f>
        <v/>
      </c>
      <c r="J3030" s="319">
        <f>F3030-I3030</f>
        <v/>
      </c>
      <c r="K3030" s="516" t="n"/>
      <c r="L3030" s="516" t="n"/>
    </row>
    <row r="3031">
      <c r="B3031" s="1" t="n">
        <v>38</v>
      </c>
      <c r="C3031" s="24" t="n">
        <v>45992</v>
      </c>
      <c r="D3031" s="24" t="n">
        <v>46022</v>
      </c>
      <c r="E3031" s="25">
        <f>D3031-C3031+1</f>
        <v/>
      </c>
      <c r="F3031" s="319">
        <f>J3030</f>
        <v/>
      </c>
      <c r="G3031" s="319">
        <f>-PMT($D$2985/$D$2987,60,$F$3006,,0)</f>
        <v/>
      </c>
      <c r="H3031" s="319">
        <f>($D$2985/$D$2987*F3031)</f>
        <v/>
      </c>
      <c r="I3031" s="319">
        <f>G3031-H3031</f>
        <v/>
      </c>
      <c r="J3031" s="319">
        <f>F3031-I3031</f>
        <v/>
      </c>
      <c r="K3031" s="516" t="n"/>
      <c r="L3031" s="516" t="n"/>
    </row>
    <row r="3032">
      <c r="B3032" s="1" t="n">
        <v>39</v>
      </c>
      <c r="C3032" s="24" t="n">
        <v>45992</v>
      </c>
      <c r="D3032" s="24" t="n">
        <v>46022</v>
      </c>
      <c r="E3032" s="25">
        <f>D3032-C3032+1</f>
        <v/>
      </c>
      <c r="F3032" s="319">
        <f>J3031</f>
        <v/>
      </c>
      <c r="G3032" s="319">
        <f>-PMT($D$2985/$D$2987,60,$F$3006,,0)</f>
        <v/>
      </c>
      <c r="H3032" s="319">
        <f>($D$2985/$D$2987*F3032)</f>
        <v/>
      </c>
      <c r="I3032" s="319">
        <f>G3032-H3032</f>
        <v/>
      </c>
      <c r="J3032" s="319">
        <f>F3032-I3032</f>
        <v/>
      </c>
      <c r="K3032" s="516" t="n"/>
      <c r="L3032" s="516" t="n"/>
    </row>
    <row r="3033">
      <c r="B3033" s="1" t="n">
        <v>40</v>
      </c>
      <c r="C3033" s="24" t="n">
        <v>45992</v>
      </c>
      <c r="D3033" s="24" t="n">
        <v>46022</v>
      </c>
      <c r="E3033" s="25">
        <f>D3033-C3033+1</f>
        <v/>
      </c>
      <c r="F3033" s="319">
        <f>J3032</f>
        <v/>
      </c>
      <c r="G3033" s="319">
        <f>-PMT($D$2985/$D$2987,60,$F$3006,,0)</f>
        <v/>
      </c>
      <c r="H3033" s="319">
        <f>($D$2985/$D$2987*F3033)</f>
        <v/>
      </c>
      <c r="I3033" s="319">
        <f>G3033-H3033</f>
        <v/>
      </c>
      <c r="J3033" s="319">
        <f>F3033-I3033</f>
        <v/>
      </c>
      <c r="K3033" s="516" t="n"/>
      <c r="L3033" s="516" t="n"/>
    </row>
    <row r="3034">
      <c r="B3034" s="1" t="n">
        <v>41</v>
      </c>
      <c r="C3034" s="24" t="n">
        <v>45992</v>
      </c>
      <c r="D3034" s="24" t="n">
        <v>46022</v>
      </c>
      <c r="E3034" s="25">
        <f>D3034-C3034+1</f>
        <v/>
      </c>
      <c r="F3034" s="319">
        <f>J3033</f>
        <v/>
      </c>
      <c r="G3034" s="319">
        <f>-PMT($D$2985/$D$2987,60,$F$3006,,0)</f>
        <v/>
      </c>
      <c r="H3034" s="319">
        <f>($D$2985/$D$2987*F3034)</f>
        <v/>
      </c>
      <c r="I3034" s="319">
        <f>G3034-H3034</f>
        <v/>
      </c>
      <c r="J3034" s="319">
        <f>F3034-I3034</f>
        <v/>
      </c>
      <c r="K3034" s="516" t="n"/>
      <c r="L3034" s="516" t="n"/>
    </row>
    <row r="3035">
      <c r="B3035" s="1" t="n">
        <v>42</v>
      </c>
      <c r="C3035" s="24" t="n">
        <v>45992</v>
      </c>
      <c r="D3035" s="24" t="n">
        <v>46022</v>
      </c>
      <c r="E3035" s="25">
        <f>D3035-C3035+1</f>
        <v/>
      </c>
      <c r="F3035" s="319">
        <f>J3034</f>
        <v/>
      </c>
      <c r="G3035" s="319">
        <f>-PMT($D$2985/$D$2987,60,$F$3006,,0)</f>
        <v/>
      </c>
      <c r="H3035" s="319">
        <f>($D$2985/$D$2987*F3035)</f>
        <v/>
      </c>
      <c r="I3035" s="319">
        <f>G3035-H3035</f>
        <v/>
      </c>
      <c r="J3035" s="319">
        <f>F3035-I3035</f>
        <v/>
      </c>
      <c r="K3035" s="516" t="n"/>
      <c r="L3035" s="516" t="n"/>
    </row>
    <row r="3036">
      <c r="B3036" s="1" t="n">
        <v>43</v>
      </c>
      <c r="C3036" s="24" t="n">
        <v>45992</v>
      </c>
      <c r="D3036" s="24" t="n">
        <v>46022</v>
      </c>
      <c r="E3036" s="25">
        <f>D3036-C3036+1</f>
        <v/>
      </c>
      <c r="F3036" s="319">
        <f>J3035</f>
        <v/>
      </c>
      <c r="G3036" s="319">
        <f>-PMT($D$2985/$D$2987,60,$F$3006,,0)</f>
        <v/>
      </c>
      <c r="H3036" s="319">
        <f>($D$2985/$D$2987*F3036)</f>
        <v/>
      </c>
      <c r="I3036" s="319">
        <f>G3036-H3036</f>
        <v/>
      </c>
      <c r="J3036" s="319">
        <f>F3036-I3036</f>
        <v/>
      </c>
      <c r="K3036" s="516" t="n"/>
      <c r="L3036" s="516" t="n"/>
    </row>
    <row r="3037">
      <c r="B3037" s="1" t="n">
        <v>44</v>
      </c>
      <c r="C3037" s="24" t="n">
        <v>45992</v>
      </c>
      <c r="D3037" s="24" t="n">
        <v>46022</v>
      </c>
      <c r="E3037" s="25">
        <f>D3037-C3037+1</f>
        <v/>
      </c>
      <c r="F3037" s="319">
        <f>J3036</f>
        <v/>
      </c>
      <c r="G3037" s="319">
        <f>-PMT($D$2985/$D$2987,60,$F$3006,,0)</f>
        <v/>
      </c>
      <c r="H3037" s="319">
        <f>($D$2985/$D$2987*F3037)</f>
        <v/>
      </c>
      <c r="I3037" s="319">
        <f>G3037-H3037</f>
        <v/>
      </c>
      <c r="J3037" s="319">
        <f>F3037-I3037</f>
        <v/>
      </c>
      <c r="K3037" s="516" t="n"/>
      <c r="L3037" s="516" t="n"/>
    </row>
    <row r="3038">
      <c r="B3038" s="1" t="n">
        <v>45</v>
      </c>
      <c r="C3038" s="24" t="n">
        <v>45992</v>
      </c>
      <c r="D3038" s="24" t="n">
        <v>46022</v>
      </c>
      <c r="E3038" s="25">
        <f>D3038-C3038+1</f>
        <v/>
      </c>
      <c r="F3038" s="319">
        <f>J3037</f>
        <v/>
      </c>
      <c r="G3038" s="319">
        <f>-PMT($D$2985/$D$2987,60,$F$3006,,0)</f>
        <v/>
      </c>
      <c r="H3038" s="319">
        <f>($D$2985/$D$2987*F3038)</f>
        <v/>
      </c>
      <c r="I3038" s="319">
        <f>G3038-H3038</f>
        <v/>
      </c>
      <c r="J3038" s="319">
        <f>F3038-I3038</f>
        <v/>
      </c>
      <c r="K3038" s="516" t="n"/>
      <c r="L3038" s="516" t="n"/>
    </row>
    <row r="3039">
      <c r="B3039" s="1" t="n">
        <v>46</v>
      </c>
      <c r="C3039" s="24" t="n">
        <v>45992</v>
      </c>
      <c r="D3039" s="24" t="n">
        <v>46022</v>
      </c>
      <c r="E3039" s="25">
        <f>D3039-C3039+1</f>
        <v/>
      </c>
      <c r="F3039" s="319">
        <f>J3038</f>
        <v/>
      </c>
      <c r="G3039" s="319">
        <f>-PMT($D$2985/$D$2987,60,$F$3006,,0)</f>
        <v/>
      </c>
      <c r="H3039" s="319">
        <f>($D$2985/$D$2987*F3039)</f>
        <v/>
      </c>
      <c r="I3039" s="319">
        <f>G3039-H3039</f>
        <v/>
      </c>
      <c r="J3039" s="319">
        <f>F3039-I3039</f>
        <v/>
      </c>
      <c r="K3039" s="516" t="n"/>
      <c r="L3039" s="516" t="n"/>
    </row>
    <row r="3040">
      <c r="B3040" s="1" t="n">
        <v>47</v>
      </c>
      <c r="C3040" s="24" t="n">
        <v>45992</v>
      </c>
      <c r="D3040" s="24" t="n">
        <v>46022</v>
      </c>
      <c r="E3040" s="25">
        <f>D3040-C3040+1</f>
        <v/>
      </c>
      <c r="F3040" s="319">
        <f>J3039</f>
        <v/>
      </c>
      <c r="G3040" s="319">
        <f>-PMT($D$2985/$D$2987,60,$F$3006,,0)</f>
        <v/>
      </c>
      <c r="H3040" s="319">
        <f>($D$2985/$D$2987*F3040)</f>
        <v/>
      </c>
      <c r="I3040" s="319">
        <f>G3040-H3040</f>
        <v/>
      </c>
      <c r="J3040" s="319">
        <f>F3040-I3040</f>
        <v/>
      </c>
      <c r="K3040" s="516" t="n"/>
      <c r="L3040" s="516" t="n"/>
    </row>
    <row r="3041">
      <c r="B3041" s="1" t="n">
        <v>48</v>
      </c>
      <c r="C3041" s="24" t="n">
        <v>45992</v>
      </c>
      <c r="D3041" s="24" t="n">
        <v>46022</v>
      </c>
      <c r="E3041" s="25">
        <f>D3041-C3041+1</f>
        <v/>
      </c>
      <c r="F3041" s="319">
        <f>J3040</f>
        <v/>
      </c>
      <c r="G3041" s="319">
        <f>-PMT($D$2985/$D$2987,60,$F$3006,,0)</f>
        <v/>
      </c>
      <c r="H3041" s="319">
        <f>($D$2985/$D$2987*F3041)</f>
        <v/>
      </c>
      <c r="I3041" s="319">
        <f>G3041-H3041</f>
        <v/>
      </c>
      <c r="J3041" s="319">
        <f>F3041-I3041</f>
        <v/>
      </c>
      <c r="K3041" s="516" t="n"/>
      <c r="L3041" s="516" t="n"/>
    </row>
    <row r="3042">
      <c r="B3042" s="1" t="n">
        <v>49</v>
      </c>
      <c r="C3042" s="24" t="n">
        <v>45992</v>
      </c>
      <c r="D3042" s="24" t="n">
        <v>46022</v>
      </c>
      <c r="E3042" s="25">
        <f>D3042-C3042+1</f>
        <v/>
      </c>
      <c r="F3042" s="319">
        <f>J3041</f>
        <v/>
      </c>
      <c r="G3042" s="319">
        <f>-PMT($D$2985/$D$2987,60,$F$3006,,0)</f>
        <v/>
      </c>
      <c r="H3042" s="319">
        <f>($D$2985/$D$2987*F3042)</f>
        <v/>
      </c>
      <c r="I3042" s="319">
        <f>G3042-H3042</f>
        <v/>
      </c>
      <c r="J3042" s="319">
        <f>F3042-I3042</f>
        <v/>
      </c>
      <c r="K3042" s="516" t="n"/>
      <c r="L3042" s="516" t="n"/>
    </row>
    <row r="3043">
      <c r="B3043" s="1" t="n">
        <v>50</v>
      </c>
      <c r="C3043" s="24" t="n">
        <v>45992</v>
      </c>
      <c r="D3043" s="24" t="n">
        <v>46022</v>
      </c>
      <c r="E3043" s="25">
        <f>D3043-C3043+1</f>
        <v/>
      </c>
      <c r="F3043" s="319">
        <f>J3042</f>
        <v/>
      </c>
      <c r="G3043" s="319">
        <f>-PMT($D$2985/$D$2987,60,$F$3006,,0)</f>
        <v/>
      </c>
      <c r="H3043" s="319">
        <f>($D$2985/$D$2987*F3043)</f>
        <v/>
      </c>
      <c r="I3043" s="319">
        <f>G3043-H3043</f>
        <v/>
      </c>
      <c r="J3043" s="319">
        <f>F3043-I3043</f>
        <v/>
      </c>
      <c r="K3043" s="516" t="n"/>
      <c r="L3043" s="516" t="n"/>
    </row>
    <row r="3044">
      <c r="B3044" s="1" t="n">
        <v>51</v>
      </c>
      <c r="C3044" s="24" t="n">
        <v>45992</v>
      </c>
      <c r="D3044" s="24" t="n">
        <v>46022</v>
      </c>
      <c r="E3044" s="25">
        <f>D3044-C3044+1</f>
        <v/>
      </c>
      <c r="F3044" s="319">
        <f>J3043</f>
        <v/>
      </c>
      <c r="G3044" s="319">
        <f>-PMT($D$2985/$D$2987,60,$F$3006,,0)</f>
        <v/>
      </c>
      <c r="H3044" s="319">
        <f>($D$2985/$D$2987*F3044)</f>
        <v/>
      </c>
      <c r="I3044" s="319">
        <f>G3044-H3044</f>
        <v/>
      </c>
      <c r="J3044" s="319">
        <f>F3044-I3044</f>
        <v/>
      </c>
      <c r="K3044" s="516" t="n"/>
      <c r="L3044" s="516" t="n"/>
    </row>
    <row r="3045">
      <c r="B3045" s="1" t="n">
        <v>52</v>
      </c>
      <c r="C3045" s="24" t="n">
        <v>45992</v>
      </c>
      <c r="D3045" s="24" t="n">
        <v>46022</v>
      </c>
      <c r="E3045" s="25">
        <f>D3045-C3045+1</f>
        <v/>
      </c>
      <c r="F3045" s="319">
        <f>J3044</f>
        <v/>
      </c>
      <c r="G3045" s="319">
        <f>-PMT($D$2985/$D$2987,60,$F$3006,,0)</f>
        <v/>
      </c>
      <c r="H3045" s="319">
        <f>($D$2985/$D$2987*F3045)</f>
        <v/>
      </c>
      <c r="I3045" s="319">
        <f>G3045-H3045</f>
        <v/>
      </c>
      <c r="J3045" s="319">
        <f>F3045-I3045</f>
        <v/>
      </c>
      <c r="K3045" s="516" t="n"/>
      <c r="L3045" s="516" t="n"/>
    </row>
    <row r="3046">
      <c r="B3046" s="1" t="n">
        <v>53</v>
      </c>
      <c r="C3046" s="24" t="n">
        <v>45992</v>
      </c>
      <c r="D3046" s="24" t="n">
        <v>46022</v>
      </c>
      <c r="E3046" s="25">
        <f>D3046-C3046+1</f>
        <v/>
      </c>
      <c r="F3046" s="319">
        <f>J3045</f>
        <v/>
      </c>
      <c r="G3046" s="319">
        <f>-PMT($D$2985/$D$2987,60,$F$3006,,0)</f>
        <v/>
      </c>
      <c r="H3046" s="319">
        <f>($D$2985/$D$2987*F3046)</f>
        <v/>
      </c>
      <c r="I3046" s="319">
        <f>G3046-H3046</f>
        <v/>
      </c>
      <c r="J3046" s="319">
        <f>F3046-I3046</f>
        <v/>
      </c>
      <c r="K3046" s="516" t="n"/>
      <c r="L3046" s="516" t="n"/>
    </row>
    <row r="3047">
      <c r="B3047" s="1" t="n">
        <v>54</v>
      </c>
      <c r="C3047" s="24" t="n">
        <v>45992</v>
      </c>
      <c r="D3047" s="24" t="n">
        <v>46022</v>
      </c>
      <c r="E3047" s="25">
        <f>D3047-C3047+1</f>
        <v/>
      </c>
      <c r="F3047" s="319">
        <f>J3046</f>
        <v/>
      </c>
      <c r="G3047" s="319">
        <f>-PMT($D$2985/$D$2987,60,$F$3006,,0)</f>
        <v/>
      </c>
      <c r="H3047" s="319">
        <f>($D$2985/$D$2987*F3047)</f>
        <v/>
      </c>
      <c r="I3047" s="319">
        <f>G3047-H3047</f>
        <v/>
      </c>
      <c r="J3047" s="319">
        <f>F3047-I3047</f>
        <v/>
      </c>
      <c r="K3047" s="516" t="n"/>
      <c r="L3047" s="516" t="n"/>
    </row>
    <row r="3048">
      <c r="B3048" s="1" t="n">
        <v>55</v>
      </c>
      <c r="C3048" s="24" t="n">
        <v>45992</v>
      </c>
      <c r="D3048" s="24" t="n">
        <v>46022</v>
      </c>
      <c r="E3048" s="25">
        <f>D3048-C3048+1</f>
        <v/>
      </c>
      <c r="F3048" s="319">
        <f>J3047</f>
        <v/>
      </c>
      <c r="G3048" s="319">
        <f>-PMT($D$2985/$D$2987,60,$F$3006,,0)</f>
        <v/>
      </c>
      <c r="H3048" s="319">
        <f>($D$2985/$D$2987*F3048)</f>
        <v/>
      </c>
      <c r="I3048" s="319">
        <f>G3048-H3048</f>
        <v/>
      </c>
      <c r="J3048" s="319">
        <f>F3048-I3048</f>
        <v/>
      </c>
      <c r="K3048" s="516" t="n"/>
      <c r="L3048" s="516" t="n"/>
    </row>
    <row r="3049">
      <c r="B3049" s="1" t="n">
        <v>56</v>
      </c>
      <c r="C3049" s="24" t="n">
        <v>45992</v>
      </c>
      <c r="D3049" s="24" t="n">
        <v>46022</v>
      </c>
      <c r="E3049" s="25">
        <f>D3049-C3049+1</f>
        <v/>
      </c>
      <c r="F3049" s="319">
        <f>J3048</f>
        <v/>
      </c>
      <c r="G3049" s="319">
        <f>-PMT($D$2985/$D$2987,60,$F$3006,,0)</f>
        <v/>
      </c>
      <c r="H3049" s="319">
        <f>($D$2985/$D$2987*F3049)</f>
        <v/>
      </c>
      <c r="I3049" s="319">
        <f>G3049-H3049</f>
        <v/>
      </c>
      <c r="J3049" s="319">
        <f>F3049-I3049</f>
        <v/>
      </c>
      <c r="K3049" s="516" t="n"/>
      <c r="L3049" s="516" t="n"/>
    </row>
    <row r="3050">
      <c r="B3050" s="1" t="n">
        <v>57</v>
      </c>
      <c r="C3050" s="24" t="n">
        <v>45992</v>
      </c>
      <c r="D3050" s="24" t="n">
        <v>46022</v>
      </c>
      <c r="E3050" s="25">
        <f>D3050-C3050+1</f>
        <v/>
      </c>
      <c r="F3050" s="319">
        <f>J3049</f>
        <v/>
      </c>
      <c r="G3050" s="319">
        <f>-PMT($D$2985/$D$2987,60,$F$3006,,0)</f>
        <v/>
      </c>
      <c r="H3050" s="319">
        <f>($D$2985/$D$2987*F3050)</f>
        <v/>
      </c>
      <c r="I3050" s="319">
        <f>G3050-H3050</f>
        <v/>
      </c>
      <c r="J3050" s="319">
        <f>F3050-I3050</f>
        <v/>
      </c>
      <c r="K3050" s="516" t="n"/>
      <c r="L3050" s="516" t="n"/>
    </row>
    <row r="3051">
      <c r="B3051" s="1" t="n">
        <v>58</v>
      </c>
      <c r="C3051" s="24" t="n">
        <v>45992</v>
      </c>
      <c r="D3051" s="24" t="n">
        <v>46022</v>
      </c>
      <c r="E3051" s="25">
        <f>D3051-C3051+1</f>
        <v/>
      </c>
      <c r="F3051" s="319">
        <f>J3050</f>
        <v/>
      </c>
      <c r="G3051" s="319">
        <f>-PMT($D$2985/$D$2987,60,$F$3006,,0)</f>
        <v/>
      </c>
      <c r="H3051" s="319">
        <f>($D$2985/$D$2987*F3051)</f>
        <v/>
      </c>
      <c r="I3051" s="319">
        <f>G3051-H3051</f>
        <v/>
      </c>
      <c r="J3051" s="319">
        <f>F3051-I3051</f>
        <v/>
      </c>
      <c r="K3051" s="516" t="n"/>
      <c r="L3051" s="516" t="n"/>
    </row>
    <row r="3052">
      <c r="B3052" s="1" t="n">
        <v>59</v>
      </c>
      <c r="C3052" s="24" t="n">
        <v>45992</v>
      </c>
      <c r="D3052" s="24" t="n">
        <v>46022</v>
      </c>
      <c r="E3052" s="25">
        <f>D3052-C3052+1</f>
        <v/>
      </c>
      <c r="F3052" s="319">
        <f>J3051</f>
        <v/>
      </c>
      <c r="G3052" s="319">
        <f>-PMT($D$2985/$D$2987,60,$F$3006,,0)</f>
        <v/>
      </c>
      <c r="H3052" s="319">
        <f>($D$2985/$D$2987*F3052)</f>
        <v/>
      </c>
      <c r="I3052" s="319">
        <f>G3052-H3052</f>
        <v/>
      </c>
      <c r="J3052" s="319">
        <f>F3052-I3052</f>
        <v/>
      </c>
      <c r="K3052" s="516" t="n"/>
      <c r="L3052" s="516" t="n"/>
    </row>
    <row r="3053">
      <c r="B3053" s="1" t="n">
        <v>60</v>
      </c>
      <c r="C3053" s="24" t="n">
        <v>45992</v>
      </c>
      <c r="D3053" s="24" t="n">
        <v>46022</v>
      </c>
      <c r="E3053" s="25">
        <f>D3053-C3053+1</f>
        <v/>
      </c>
      <c r="F3053" s="319">
        <f>J3052</f>
        <v/>
      </c>
      <c r="G3053" s="319">
        <f>-PMT($D$2985/$D$2987,60,$F$3006,,0)</f>
        <v/>
      </c>
      <c r="H3053" s="319">
        <f>($D$2985/$D$2987*F3053)</f>
        <v/>
      </c>
      <c r="I3053" s="319">
        <f>G3053-H3053</f>
        <v/>
      </c>
      <c r="J3053" s="319">
        <f>F3053-I3053</f>
        <v/>
      </c>
      <c r="K3053" s="516" t="n"/>
      <c r="L3053" s="516" t="n"/>
    </row>
    <row r="3054">
      <c r="B3054" s="1" t="n">
        <v>61</v>
      </c>
      <c r="C3054" s="24" t="n">
        <v>45992</v>
      </c>
      <c r="D3054" s="24" t="n">
        <v>46022</v>
      </c>
      <c r="E3054" s="25">
        <f>D3054-C3054+1</f>
        <v/>
      </c>
      <c r="F3054" s="319">
        <f>J3053</f>
        <v/>
      </c>
      <c r="G3054" s="319">
        <f>-PMT($D$2985/$D$2987,60,$F$3006,,0)</f>
        <v/>
      </c>
      <c r="H3054" s="319">
        <f>($D$2985/$D$2987*F3054)</f>
        <v/>
      </c>
      <c r="I3054" s="319">
        <f>G3054-H3054</f>
        <v/>
      </c>
      <c r="J3054" s="319">
        <f>F3054-I3054</f>
        <v/>
      </c>
      <c r="K3054" s="516" t="n"/>
      <c r="L3054" s="516" t="n"/>
    </row>
    <row r="3055">
      <c r="B3055" s="1" t="n">
        <v>62</v>
      </c>
      <c r="C3055" s="24" t="n">
        <v>45992</v>
      </c>
      <c r="D3055" s="24" t="n">
        <v>46022</v>
      </c>
      <c r="E3055" s="25">
        <f>D3055-C3055+1</f>
        <v/>
      </c>
      <c r="F3055" s="319">
        <f>J3054</f>
        <v/>
      </c>
      <c r="G3055" s="319">
        <f>-PMT($D$2985/$D$2987,60,$F$3006,,0)</f>
        <v/>
      </c>
      <c r="H3055" s="319">
        <f>($D$2985/$D$2987*F3055)</f>
        <v/>
      </c>
      <c r="I3055" s="319">
        <f>G3055-H3055</f>
        <v/>
      </c>
      <c r="J3055" s="319">
        <f>F3055-I3055</f>
        <v/>
      </c>
      <c r="K3055" s="516" t="n"/>
      <c r="L3055" s="516" t="n"/>
    </row>
    <row r="3056">
      <c r="B3056" s="1" t="n">
        <v>63</v>
      </c>
      <c r="C3056" s="24" t="n">
        <v>45992</v>
      </c>
      <c r="D3056" s="24" t="n">
        <v>46022</v>
      </c>
      <c r="E3056" s="25">
        <f>D3056-C3056+1</f>
        <v/>
      </c>
      <c r="F3056" s="319">
        <f>J3055</f>
        <v/>
      </c>
      <c r="G3056" s="319">
        <f>-PMT($D$2985/$D$2987,60,$F$3006,,0)</f>
        <v/>
      </c>
      <c r="H3056" s="319">
        <f>($D$2985/$D$2987*F3056)</f>
        <v/>
      </c>
      <c r="I3056" s="319">
        <f>G3056-H3056</f>
        <v/>
      </c>
      <c r="J3056" s="319">
        <f>F3056-I3056</f>
        <v/>
      </c>
      <c r="K3056" s="516" t="n"/>
      <c r="L3056" s="516" t="n"/>
    </row>
    <row r="3057">
      <c r="B3057" s="1" t="n">
        <v>64</v>
      </c>
      <c r="C3057" s="24" t="n">
        <v>45992</v>
      </c>
      <c r="D3057" s="24" t="n">
        <v>46022</v>
      </c>
      <c r="E3057" s="25">
        <f>D3057-C3057+1</f>
        <v/>
      </c>
      <c r="F3057" s="319">
        <f>J3056</f>
        <v/>
      </c>
      <c r="G3057" s="319">
        <f>-PMT($D$2985/$D$2987,60,$F$3006,,0)</f>
        <v/>
      </c>
      <c r="H3057" s="319">
        <f>($D$2985/$D$2987*F3057)</f>
        <v/>
      </c>
      <c r="I3057" s="319">
        <f>G3057-H3057</f>
        <v/>
      </c>
      <c r="J3057" s="319">
        <f>F3057-I3057</f>
        <v/>
      </c>
      <c r="K3057" s="516" t="n"/>
      <c r="L3057" s="516" t="n"/>
    </row>
    <row r="3058">
      <c r="B3058" s="1" t="n">
        <v>65</v>
      </c>
      <c r="C3058" s="24" t="n">
        <v>45992</v>
      </c>
      <c r="D3058" s="24" t="n">
        <v>46022</v>
      </c>
      <c r="E3058" s="25">
        <f>D3058-C3058+1</f>
        <v/>
      </c>
      <c r="F3058" s="319">
        <f>J3057</f>
        <v/>
      </c>
      <c r="G3058" s="319">
        <f>-PMT($D$2985/$D$2987,60,$F$3006,,0)</f>
        <v/>
      </c>
      <c r="H3058" s="319">
        <f>($D$2985/$D$2987*F3058)</f>
        <v/>
      </c>
      <c r="I3058" s="319">
        <f>G3058-H3058</f>
        <v/>
      </c>
      <c r="J3058" s="319">
        <f>F3058-I3058</f>
        <v/>
      </c>
      <c r="K3058" s="516" t="n"/>
      <c r="L3058" s="516" t="n"/>
    </row>
    <row r="3059">
      <c r="B3059" s="1" t="n">
        <v>66</v>
      </c>
      <c r="C3059" s="24" t="n">
        <v>45992</v>
      </c>
      <c r="D3059" s="24" t="n">
        <v>46022</v>
      </c>
      <c r="E3059" s="25">
        <f>D3059-C3059+1</f>
        <v/>
      </c>
      <c r="F3059" s="319">
        <f>J3058</f>
        <v/>
      </c>
      <c r="G3059" s="319">
        <f>-PMT($D$2985/$D$2987,60,$F$3006,,0)</f>
        <v/>
      </c>
      <c r="H3059" s="319">
        <f>($D$2985/$D$2987*F3059)</f>
        <v/>
      </c>
      <c r="I3059" s="319">
        <f>G3059-H3059</f>
        <v/>
      </c>
      <c r="J3059" s="319">
        <f>F3059-I3059</f>
        <v/>
      </c>
      <c r="K3059" s="516" t="n"/>
      <c r="L3059" s="516" t="n"/>
    </row>
    <row r="3060">
      <c r="B3060" s="1" t="n">
        <v>67</v>
      </c>
      <c r="C3060" s="24" t="n">
        <v>45992</v>
      </c>
      <c r="D3060" s="24" t="n">
        <v>46022</v>
      </c>
      <c r="E3060" s="25">
        <f>D3060-C3060+1</f>
        <v/>
      </c>
      <c r="F3060" s="319">
        <f>J3059</f>
        <v/>
      </c>
      <c r="G3060" s="319">
        <f>-PMT($D$2985/$D$2987,60,$F$3006,,0)</f>
        <v/>
      </c>
      <c r="H3060" s="319">
        <f>($D$2985/$D$2987*F3060)</f>
        <v/>
      </c>
      <c r="I3060" s="319">
        <f>G3060-H3060</f>
        <v/>
      </c>
      <c r="J3060" s="319">
        <f>F3060-I3060</f>
        <v/>
      </c>
      <c r="K3060" s="516" t="n"/>
      <c r="L3060" s="516" t="n"/>
    </row>
    <row r="3061">
      <c r="B3061" s="1" t="n">
        <v>68</v>
      </c>
      <c r="C3061" s="24" t="n">
        <v>45992</v>
      </c>
      <c r="D3061" s="24" t="n">
        <v>46022</v>
      </c>
      <c r="E3061" s="25">
        <f>D3061-C3061+1</f>
        <v/>
      </c>
      <c r="F3061" s="319">
        <f>J3060</f>
        <v/>
      </c>
      <c r="G3061" s="319">
        <f>-PMT($D$2985/$D$2987,60,$F$3006,,0)</f>
        <v/>
      </c>
      <c r="H3061" s="319">
        <f>($D$2985/$D$2987*F3061)</f>
        <v/>
      </c>
      <c r="I3061" s="319">
        <f>G3061-H3061</f>
        <v/>
      </c>
      <c r="J3061" s="319">
        <f>F3061-I3061</f>
        <v/>
      </c>
      <c r="K3061" s="516" t="n"/>
      <c r="L3061" s="516" t="n"/>
    </row>
    <row r="3062">
      <c r="B3062" s="1" t="n">
        <v>69</v>
      </c>
      <c r="C3062" s="24" t="n">
        <v>45992</v>
      </c>
      <c r="D3062" s="24" t="n">
        <v>46022</v>
      </c>
      <c r="E3062" s="25">
        <f>D3062-C3062+1</f>
        <v/>
      </c>
      <c r="F3062" s="319">
        <f>J3061</f>
        <v/>
      </c>
      <c r="G3062" s="319">
        <f>-PMT($D$2985/$D$2987,60,$F$3006,,0)</f>
        <v/>
      </c>
      <c r="H3062" s="319">
        <f>($D$2985/$D$2987*F3062)</f>
        <v/>
      </c>
      <c r="I3062" s="319">
        <f>G3062-H3062</f>
        <v/>
      </c>
      <c r="J3062" s="319">
        <f>F3062-I3062</f>
        <v/>
      </c>
      <c r="K3062" s="516" t="n"/>
      <c r="L3062" s="516" t="n"/>
    </row>
    <row r="3063">
      <c r="B3063" s="1" t="n">
        <v>70</v>
      </c>
      <c r="C3063" s="24" t="n">
        <v>45992</v>
      </c>
      <c r="D3063" s="24" t="n">
        <v>46022</v>
      </c>
      <c r="E3063" s="25">
        <f>D3063-C3063+1</f>
        <v/>
      </c>
      <c r="F3063" s="319">
        <f>J3062</f>
        <v/>
      </c>
      <c r="G3063" s="319">
        <f>-PMT($D$2985/$D$2987,60,$F$3006,,0)</f>
        <v/>
      </c>
      <c r="H3063" s="319">
        <f>($D$2985/$D$2987*F3063)</f>
        <v/>
      </c>
      <c r="I3063" s="319">
        <f>G3063-H3063</f>
        <v/>
      </c>
      <c r="J3063" s="319">
        <f>F3063-I3063</f>
        <v/>
      </c>
      <c r="K3063" s="516" t="n"/>
      <c r="L3063" s="516" t="n"/>
    </row>
    <row r="3064">
      <c r="B3064" s="1" t="n">
        <v>71</v>
      </c>
      <c r="C3064" s="24" t="n">
        <v>45992</v>
      </c>
      <c r="D3064" s="24" t="n">
        <v>46022</v>
      </c>
      <c r="E3064" s="25">
        <f>D3064-C3064+1</f>
        <v/>
      </c>
      <c r="F3064" s="319">
        <f>J3063</f>
        <v/>
      </c>
      <c r="G3064" s="319">
        <f>-PMT($D$2985/$D$2987,60,$F$3006,,0)</f>
        <v/>
      </c>
      <c r="H3064" s="319">
        <f>($D$2985/$D$2987*F3064)</f>
        <v/>
      </c>
      <c r="I3064" s="319">
        <f>G3064-H3064</f>
        <v/>
      </c>
      <c r="J3064" s="319">
        <f>F3064-I3064</f>
        <v/>
      </c>
      <c r="K3064" s="516" t="n"/>
      <c r="L3064" s="516" t="n"/>
    </row>
    <row r="3065">
      <c r="B3065" s="1" t="n">
        <v>72</v>
      </c>
      <c r="C3065" s="24" t="n">
        <v>45992</v>
      </c>
      <c r="D3065" s="24" t="n">
        <v>46022</v>
      </c>
      <c r="E3065" s="25">
        <f>D3065-C3065+1</f>
        <v/>
      </c>
      <c r="F3065" s="319">
        <f>J3064</f>
        <v/>
      </c>
      <c r="G3065" s="319">
        <f>-PMT($D$2985/$D$2987,60,$F$3006,,0)</f>
        <v/>
      </c>
      <c r="H3065" s="319">
        <f>($D$2985/$D$2987*F3065)</f>
        <v/>
      </c>
      <c r="I3065" s="319">
        <f>G3065-H3065</f>
        <v/>
      </c>
      <c r="J3065" s="319">
        <f>F3065-I3065</f>
        <v/>
      </c>
      <c r="K3065" s="516" t="n"/>
      <c r="L3065" s="516" t="n"/>
    </row>
    <row r="3066">
      <c r="B3066" s="1" t="n"/>
      <c r="C3066" s="24" t="n"/>
      <c r="D3066" s="24" t="n"/>
      <c r="E3066" s="25" t="n"/>
      <c r="F3066" s="319" t="n"/>
      <c r="G3066" s="319" t="n"/>
      <c r="H3066" s="319" t="n"/>
      <c r="I3066" s="319" t="n"/>
      <c r="J3066" s="319" t="n"/>
      <c r="K3066" s="516" t="n"/>
      <c r="L3066" s="516" t="n"/>
    </row>
    <row r="3067">
      <c r="B3067" s="1" t="n"/>
      <c r="C3067" s="24" t="n"/>
      <c r="D3067" s="24" t="n"/>
      <c r="E3067" s="30">
        <f>SUM(E2993:E3066)</f>
        <v/>
      </c>
      <c r="F3067" s="319" t="n"/>
      <c r="G3067" s="319" t="n"/>
      <c r="H3067" s="319" t="n"/>
      <c r="I3067" s="319" t="n"/>
      <c r="J3067" s="319" t="n"/>
      <c r="K3067" s="516" t="n"/>
      <c r="L3067" s="516" t="n"/>
    </row>
    <row r="3073">
      <c r="B3073" s="1" t="n"/>
      <c r="C3073" s="9" t="inlineStr">
        <is>
          <t>Debs Agro Dealer</t>
        </is>
      </c>
      <c r="D3073" s="319" t="n"/>
      <c r="E3073" s="319" t="n"/>
      <c r="F3073" s="319" t="n"/>
      <c r="G3073" s="319" t="n"/>
      <c r="H3073" s="319" t="n"/>
      <c r="I3073" s="319" t="n"/>
      <c r="J3073" s="319" t="n"/>
      <c r="K3073" s="319" t="n"/>
      <c r="L3073" s="319" t="n"/>
      <c r="R3073" s="514" t="inlineStr">
        <is>
          <t>E-Banker account (Dupleix)</t>
        </is>
      </c>
      <c r="S3073" s="495">
        <f>IFERROR(INDEX('Blocks'!$I$2:$I$101,MATCH(56,'Blocks'!$A$2:$A$101,0)),"")</f>
        <v/>
      </c>
    </row>
    <row r="3074">
      <c r="B3074" s="1" t="n"/>
      <c r="C3074" s="1" t="n"/>
      <c r="D3074" s="319" t="n"/>
      <c r="E3074" s="319" t="n"/>
      <c r="F3074" s="319" t="n"/>
      <c r="G3074" s="319" t="n"/>
      <c r="H3074" s="319" t="n"/>
      <c r="I3074" s="319" t="n"/>
      <c r="J3074" s="319" t="n"/>
      <c r="K3074" s="319" t="n"/>
      <c r="L3074" s="319" t="n"/>
      <c r="R3074" s="514" t="inlineStr">
        <is>
          <t>Facility (Loan Book)</t>
        </is>
      </c>
      <c r="S3074" s="495">
        <f>IFERROR(INDEX('Blocks'!$H$2:$H$101,MATCH(56,'Blocks'!$A$2:$A$101,0)),"")</f>
        <v/>
      </c>
    </row>
    <row r="3075">
      <c r="B3075" s="1" t="n"/>
      <c r="C3075" s="10" t="inlineStr">
        <is>
          <t>Principal (MK)</t>
        </is>
      </c>
      <c r="D3075" s="11" t="n">
        <v>24000000</v>
      </c>
      <c r="E3075" s="319" t="n"/>
      <c r="F3075" s="319" t="n"/>
      <c r="G3075" s="319" t="n"/>
      <c r="H3075" s="319" t="n"/>
      <c r="I3075" s="319" t="n"/>
      <c r="J3075" s="319" t="n"/>
      <c r="K3075" s="319" t="n"/>
      <c r="L3075" s="319" t="n"/>
      <c r="R3075" s="514" t="inlineStr">
        <is>
          <t>Take-on posting 31 Jul 2024</t>
        </is>
      </c>
      <c r="S3075" s="496">
        <f>IFERROR(INDEX('E-Banker master'!$N$2:$N$186,MATCH(S3073,'E-Banker master'!$A$2:$A$186,0)),"")</f>
        <v/>
      </c>
    </row>
    <row r="3076">
      <c r="B3076" s="1" t="n"/>
      <c r="C3076" s="13" t="inlineStr">
        <is>
          <t>Rate</t>
        </is>
      </c>
      <c r="D3076" s="14" t="n">
        <v>0.1</v>
      </c>
      <c r="E3076" s="257" t="n"/>
      <c r="F3076" s="319" t="n"/>
      <c r="G3076" s="319" t="n"/>
      <c r="H3076" s="319" t="n"/>
      <c r="I3076" s="319" t="n"/>
      <c r="J3076" s="319" t="n"/>
      <c r="K3076" s="319" t="n"/>
      <c r="L3076" s="319" t="n"/>
      <c r="R3076" s="514" t="inlineStr">
        <is>
          <t>E-Banker balance 31 Oct 2024</t>
        </is>
      </c>
      <c r="S3076" s="496">
        <f>IFERROR(INDEX('E-Banker master'!$P$2:$P$186,MATCH(S3073,'E-Banker master'!$A$2:$A$186,0)),"")</f>
        <v/>
      </c>
    </row>
    <row r="3077">
      <c r="B3077" s="1" t="n"/>
      <c r="C3077" s="13" t="inlineStr">
        <is>
          <t>n</t>
        </is>
      </c>
      <c r="D3077" s="16" t="n">
        <v>2</v>
      </c>
      <c r="E3077" s="1" t="n"/>
      <c r="F3077" s="319" t="n"/>
      <c r="G3077" s="319" t="n"/>
      <c r="H3077" s="319" t="n"/>
      <c r="I3077" s="319" t="n"/>
      <c r="J3077" s="319" t="n"/>
      <c r="K3077" s="1" t="n"/>
      <c r="L3077" s="1" t="n"/>
    </row>
    <row r="3078">
      <c r="B3078" s="1" t="n"/>
      <c r="C3078" s="13" t="inlineStr">
        <is>
          <t>Per</t>
        </is>
      </c>
      <c r="D3078" s="16" t="n">
        <v>12</v>
      </c>
      <c r="E3078" s="1" t="n"/>
      <c r="F3078" s="319" t="n"/>
      <c r="G3078" s="319" t="n"/>
      <c r="H3078" s="319" t="n"/>
      <c r="I3078" s="319" t="n"/>
      <c r="J3078" s="319" t="n"/>
      <c r="K3078" s="1" t="n"/>
      <c r="L3078" s="1" t="n"/>
    </row>
    <row r="3079">
      <c r="B3079" s="1" t="n"/>
      <c r="C3079" s="13" t="inlineStr">
        <is>
          <t>nPer</t>
        </is>
      </c>
      <c r="D3079" s="515">
        <f>D3077*D3078</f>
        <v/>
      </c>
      <c r="E3079" s="1" t="n"/>
      <c r="F3079" s="319" t="n"/>
      <c r="G3079" s="319" t="n"/>
      <c r="H3079" s="319" t="n"/>
      <c r="I3079" s="319" t="n"/>
      <c r="J3079" s="319" t="n"/>
      <c r="K3079" s="1" t="n"/>
      <c r="L3079" s="1" t="n"/>
    </row>
    <row r="3080">
      <c r="B3080" s="1" t="n"/>
      <c r="C3080" s="13" t="inlineStr">
        <is>
          <t>Days in a year</t>
        </is>
      </c>
      <c r="D3080" s="18" t="n">
        <v>365</v>
      </c>
      <c r="E3080" s="1" t="n"/>
      <c r="F3080" s="319" t="n"/>
      <c r="G3080" s="319" t="n"/>
      <c r="H3080" s="319" t="n"/>
      <c r="I3080" s="319" t="n"/>
      <c r="J3080" s="319" t="n"/>
      <c r="K3080" s="1" t="n"/>
      <c r="L3080" s="1" t="n"/>
    </row>
    <row r="3081">
      <c r="B3081" s="1" t="n"/>
      <c r="C3081" s="19" t="inlineStr">
        <is>
          <t>Pmt (MK)</t>
        </is>
      </c>
      <c r="D3081" s="20">
        <f>-PMT(D3076/D3078,D3079,D3075,0,0)</f>
        <v/>
      </c>
      <c r="E3081" s="319" t="n"/>
      <c r="F3081" s="319" t="n"/>
      <c r="G3081" s="319" t="n"/>
      <c r="H3081" s="319" t="n"/>
      <c r="I3081" s="319" t="n"/>
      <c r="J3081" s="319" t="n"/>
      <c r="K3081" s="1" t="n"/>
      <c r="L3081" s="1" t="n"/>
    </row>
    <row r="3082">
      <c r="B3082" s="1" t="n"/>
      <c r="C3082" s="1" t="n"/>
      <c r="D3082" s="319" t="n"/>
      <c r="E3082" s="319" t="n"/>
      <c r="F3082" s="319" t="n"/>
      <c r="G3082" s="319" t="n"/>
      <c r="H3082" s="319" t="n"/>
      <c r="I3082" s="319" t="n"/>
      <c r="J3082" s="319" t="n"/>
      <c r="K3082" s="1" t="n"/>
      <c r="L3082" s="1" t="n"/>
    </row>
    <row r="3083">
      <c r="B3083" s="1" t="n"/>
      <c r="C3083" s="21" t="inlineStr">
        <is>
          <t>Period Start</t>
        </is>
      </c>
      <c r="D3083" s="22" t="inlineStr">
        <is>
          <t>Period End</t>
        </is>
      </c>
      <c r="E3083" s="22" t="inlineStr">
        <is>
          <t>Days</t>
        </is>
      </c>
      <c r="F3083" s="294" t="inlineStr">
        <is>
          <t>Opening bal.</t>
        </is>
      </c>
      <c r="G3083" s="294" t="inlineStr">
        <is>
          <t>Pmt</t>
        </is>
      </c>
      <c r="H3083" s="294" t="inlineStr">
        <is>
          <t>Interest</t>
        </is>
      </c>
      <c r="I3083" s="294" t="inlineStr">
        <is>
          <t>Principal</t>
        </is>
      </c>
      <c r="J3083" s="294" t="inlineStr">
        <is>
          <t>Closing balance</t>
        </is>
      </c>
      <c r="K3083" s="23" t="inlineStr">
        <is>
          <t>Amount Repaid</t>
        </is>
      </c>
      <c r="L3083" s="23" t="inlineStr">
        <is>
          <t>Accumulated Arrears</t>
        </is>
      </c>
    </row>
    <row r="3084">
      <c r="B3084" s="1" t="n">
        <v>0</v>
      </c>
      <c r="C3084" s="24" t="n">
        <v>44964</v>
      </c>
      <c r="D3084" s="24" t="n">
        <v>44985</v>
      </c>
      <c r="E3084" s="25">
        <f>D3084-C3084+1</f>
        <v/>
      </c>
      <c r="F3084" s="319">
        <f>D3075</f>
        <v/>
      </c>
      <c r="G3084" s="319" t="n"/>
      <c r="H3084" s="319">
        <f>D3076/D3078*E3084*F3084/28</f>
        <v/>
      </c>
      <c r="I3084" s="319">
        <f>-H3084</f>
        <v/>
      </c>
      <c r="J3084" s="319">
        <f>F3084+F3075-I3084</f>
        <v/>
      </c>
      <c r="K3084" s="516" t="n"/>
      <c r="L3084" s="516" t="n"/>
    </row>
    <row r="3085">
      <c r="B3085" s="1" t="n">
        <v>1</v>
      </c>
      <c r="C3085" s="24" t="n">
        <v>44986</v>
      </c>
      <c r="D3085" s="24" t="n">
        <v>45016</v>
      </c>
      <c r="E3085" s="25">
        <f>D3085-C3085+1</f>
        <v/>
      </c>
      <c r="F3085" s="319">
        <f>J3084</f>
        <v/>
      </c>
      <c r="G3085" s="319" t="n"/>
      <c r="H3085" s="319">
        <f>($D$3076/$D$3078*F3085)</f>
        <v/>
      </c>
      <c r="I3085" s="319">
        <f>-H3085</f>
        <v/>
      </c>
      <c r="J3085" s="319">
        <f>F3085-I3085</f>
        <v/>
      </c>
      <c r="K3085" s="516" t="n"/>
      <c r="L3085" s="516" t="n"/>
    </row>
    <row r="3086">
      <c r="B3086" s="1" t="n">
        <v>2</v>
      </c>
      <c r="C3086" s="24" t="n">
        <v>45017</v>
      </c>
      <c r="D3086" s="24" t="n">
        <v>45046</v>
      </c>
      <c r="E3086" s="25">
        <f>D3086-C3086+1</f>
        <v/>
      </c>
      <c r="F3086" s="319">
        <f>J3085</f>
        <v/>
      </c>
      <c r="G3086" s="319" t="n"/>
      <c r="H3086" s="319">
        <f>($D$3076/$D$3078*F3086)</f>
        <v/>
      </c>
      <c r="I3086" s="319">
        <f>-H3086</f>
        <v/>
      </c>
      <c r="J3086" s="319">
        <f>F3086-I3086</f>
        <v/>
      </c>
    </row>
    <row r="3087">
      <c r="B3087" s="1" t="n">
        <v>3</v>
      </c>
      <c r="C3087" s="24" t="n">
        <v>45047</v>
      </c>
      <c r="D3087" s="24" t="n">
        <v>45077</v>
      </c>
      <c r="E3087" s="25">
        <f>D3087-C3087+1</f>
        <v/>
      </c>
      <c r="F3087" s="319">
        <f>J3086</f>
        <v/>
      </c>
      <c r="G3087" s="319" t="n"/>
      <c r="H3087" s="319">
        <f>($D$3076/$D$3078*F3087)</f>
        <v/>
      </c>
      <c r="I3087" s="319">
        <f>-H3087</f>
        <v/>
      </c>
      <c r="J3087" s="319">
        <f>F3087-I3087</f>
        <v/>
      </c>
      <c r="K3087" s="516" t="n"/>
      <c r="L3087" s="516" t="n"/>
    </row>
    <row r="3088">
      <c r="B3088" s="1" t="n">
        <v>4</v>
      </c>
      <c r="C3088" s="24" t="n">
        <v>45078</v>
      </c>
      <c r="D3088" s="24" t="n">
        <v>45107</v>
      </c>
      <c r="E3088" s="25">
        <f>D3088-C3088+1</f>
        <v/>
      </c>
      <c r="F3088" s="319">
        <f>J3087</f>
        <v/>
      </c>
      <c r="G3088" s="319">
        <f>-PMT($D$3076/$D$3078,21,$F$3088,,0)</f>
        <v/>
      </c>
      <c r="H3088" s="319">
        <f>($D$3076/$D$3078*F3088)</f>
        <v/>
      </c>
      <c r="I3088" s="319">
        <f>G3088-H3088</f>
        <v/>
      </c>
      <c r="J3088" s="319">
        <f>F3088-I3088</f>
        <v/>
      </c>
      <c r="K3088" s="516" t="n"/>
      <c r="L3088" s="27">
        <f>L3087+G3088-K3088</f>
        <v/>
      </c>
    </row>
    <row r="3089">
      <c r="B3089" s="1" t="n">
        <v>5</v>
      </c>
      <c r="C3089" s="24" t="n">
        <v>45108</v>
      </c>
      <c r="D3089" s="24" t="n">
        <v>45138</v>
      </c>
      <c r="E3089" s="25">
        <f>D3089-C3089+1</f>
        <v/>
      </c>
      <c r="F3089" s="319">
        <f>J3088</f>
        <v/>
      </c>
      <c r="G3089" s="319">
        <f>-PMT($D$3076/$D$3078,21,$F$3088,,0)</f>
        <v/>
      </c>
      <c r="H3089" s="319">
        <f>($D$3076/$D$3078*F3089)</f>
        <v/>
      </c>
      <c r="I3089" s="319">
        <f>G3089-H3089</f>
        <v/>
      </c>
      <c r="J3089" s="319">
        <f>F3089-I3089</f>
        <v/>
      </c>
      <c r="K3089" s="516" t="n"/>
      <c r="L3089" s="27">
        <f>L3088+G3089-K3089</f>
        <v/>
      </c>
    </row>
    <row r="3090">
      <c r="B3090" s="1" t="n">
        <v>6</v>
      </c>
      <c r="C3090" s="24" t="n">
        <v>45139</v>
      </c>
      <c r="D3090" s="24" t="n">
        <v>45169</v>
      </c>
      <c r="E3090" s="25">
        <f>D3090-C3090+1</f>
        <v/>
      </c>
      <c r="F3090" s="319">
        <f>J3089</f>
        <v/>
      </c>
      <c r="G3090" s="319">
        <f>-PMT($D$3076/$D$3078,21,$F$3088,,0)</f>
        <v/>
      </c>
      <c r="H3090" s="319">
        <f>($D$3076/$D$3078*F3090)</f>
        <v/>
      </c>
      <c r="I3090" s="319">
        <f>G3090-H3090</f>
        <v/>
      </c>
      <c r="J3090" s="319">
        <f>F3090-I3090</f>
        <v/>
      </c>
      <c r="K3090" s="516" t="n">
        <v>1300000</v>
      </c>
      <c r="L3090" s="27">
        <f>L3089+G3090-K3090</f>
        <v/>
      </c>
    </row>
    <row r="3091">
      <c r="B3091" s="1" t="n">
        <v>7</v>
      </c>
      <c r="C3091" s="24" t="n">
        <v>45170</v>
      </c>
      <c r="D3091" s="24" t="n">
        <v>45199</v>
      </c>
      <c r="E3091" s="25">
        <f>D3091-C3091+1</f>
        <v/>
      </c>
      <c r="F3091" s="319">
        <f>J3090</f>
        <v/>
      </c>
      <c r="G3091" s="319">
        <f>-PMT($D$3076/$D$3078,21,$F$3088,,0)</f>
        <v/>
      </c>
      <c r="H3091" s="319">
        <f>($D$3076/$D$3078*F3091)</f>
        <v/>
      </c>
      <c r="I3091" s="319">
        <f>G3091-H3091</f>
        <v/>
      </c>
      <c r="J3091" s="319">
        <f>F3091-I3091</f>
        <v/>
      </c>
      <c r="K3091" s="516" t="n"/>
      <c r="L3091" s="27">
        <f>L3090+G3091-K3091</f>
        <v/>
      </c>
    </row>
    <row r="3092">
      <c r="B3092" s="1" t="n">
        <v>8</v>
      </c>
      <c r="C3092" s="24" t="n">
        <v>45200</v>
      </c>
      <c r="D3092" s="24" t="n">
        <v>45230</v>
      </c>
      <c r="E3092" s="25">
        <f>D3092-C3092+1</f>
        <v/>
      </c>
      <c r="F3092" s="319">
        <f>J3091</f>
        <v/>
      </c>
      <c r="G3092" s="319">
        <f>-PMT($D$3076/$D$3078,21,$F$3088,,0)</f>
        <v/>
      </c>
      <c r="H3092" s="319">
        <f>($D$3076/$D$3078*F3092)</f>
        <v/>
      </c>
      <c r="I3092" s="319">
        <f>G3092-H3092</f>
        <v/>
      </c>
      <c r="J3092" s="319">
        <f>F3092-I3092</f>
        <v/>
      </c>
      <c r="K3092" s="516" t="n"/>
      <c r="L3092" s="27">
        <f>L3091+G3092-K3092</f>
        <v/>
      </c>
    </row>
    <row r="3093">
      <c r="B3093" s="1" t="n">
        <v>9</v>
      </c>
      <c r="C3093" s="24" t="n">
        <v>45231</v>
      </c>
      <c r="D3093" s="24" t="n">
        <v>45260</v>
      </c>
      <c r="E3093" s="25">
        <f>D3093-C3093+1</f>
        <v/>
      </c>
      <c r="F3093" s="319">
        <f>J3092</f>
        <v/>
      </c>
      <c r="G3093" s="319">
        <f>-PMT($D$3076/$D$3078,21,$F$3088,,0)</f>
        <v/>
      </c>
      <c r="H3093" s="319">
        <f>($D$3076/$D$3078*F3093)</f>
        <v/>
      </c>
      <c r="I3093" s="319">
        <f>G3093-H3093</f>
        <v/>
      </c>
      <c r="J3093" s="319">
        <f>F3093-I3093</f>
        <v/>
      </c>
      <c r="K3093" s="516" t="n">
        <v>3000000</v>
      </c>
      <c r="L3093" s="27">
        <f>L3092+G3093-K3093</f>
        <v/>
      </c>
    </row>
    <row r="3094">
      <c r="B3094" s="1" t="n">
        <v>10</v>
      </c>
      <c r="C3094" s="24" t="n">
        <v>45261</v>
      </c>
      <c r="D3094" s="24" t="n">
        <v>45291</v>
      </c>
      <c r="E3094" s="25">
        <f>D3094-C3094+1</f>
        <v/>
      </c>
      <c r="F3094" s="319">
        <f>J3093</f>
        <v/>
      </c>
      <c r="G3094" s="319">
        <f>-PMT($D$3076/$D$3078,21,$F$3088,,0)</f>
        <v/>
      </c>
      <c r="H3094" s="319">
        <f>($D$3076/$D$3078*F3094)</f>
        <v/>
      </c>
      <c r="I3094" s="319">
        <f>G3094-H3094</f>
        <v/>
      </c>
      <c r="J3094" s="319">
        <f>F3094-I3094</f>
        <v/>
      </c>
      <c r="K3094" s="516">
        <f>3000000+1000000+900000</f>
        <v/>
      </c>
      <c r="L3094" s="27">
        <f>L3093+G3094-K3094</f>
        <v/>
      </c>
    </row>
    <row r="3095">
      <c r="B3095" s="1" t="n">
        <v>11</v>
      </c>
      <c r="C3095" s="24" t="n">
        <v>45292</v>
      </c>
      <c r="D3095" s="24" t="n">
        <v>45322</v>
      </c>
      <c r="E3095" s="25">
        <f>D3095-C3095+1</f>
        <v/>
      </c>
      <c r="F3095" s="319">
        <f>J3094</f>
        <v/>
      </c>
      <c r="G3095" s="319">
        <f>-PMT($D$3076/$D$3078,21,$F$3088,,0)</f>
        <v/>
      </c>
      <c r="H3095" s="319">
        <f>($D$3076/$D$3078*F3095)</f>
        <v/>
      </c>
      <c r="I3095" s="319">
        <f>G3095-H3095</f>
        <v/>
      </c>
      <c r="J3095" s="319">
        <f>F3095-I3095</f>
        <v/>
      </c>
      <c r="K3095" s="516" t="n"/>
      <c r="L3095" s="27">
        <f>L3094+G3095-K3095</f>
        <v/>
      </c>
    </row>
    <row r="3096">
      <c r="B3096" s="1" t="n">
        <v>12</v>
      </c>
      <c r="C3096" s="24" t="n">
        <v>45323</v>
      </c>
      <c r="D3096" s="24" t="n">
        <v>45351</v>
      </c>
      <c r="E3096" s="25">
        <f>D3096-C3096+1</f>
        <v/>
      </c>
      <c r="F3096" s="319">
        <f>J3095</f>
        <v/>
      </c>
      <c r="G3096" s="319">
        <f>-PMT($D$3076/$D$3078,21,$F$3088,,0)</f>
        <v/>
      </c>
      <c r="H3096" s="319">
        <f>($D$3076/$D$3078*F3096)</f>
        <v/>
      </c>
      <c r="I3096" s="319">
        <f>G3096-H3096</f>
        <v/>
      </c>
      <c r="J3096" s="319">
        <f>F3096-I3096</f>
        <v/>
      </c>
      <c r="K3096" s="516" t="n"/>
      <c r="L3096" s="27">
        <f>L3095+G3096-K3096</f>
        <v/>
      </c>
    </row>
    <row r="3097">
      <c r="B3097" s="1" t="n">
        <v>13</v>
      </c>
      <c r="C3097" s="24" t="n">
        <v>45352</v>
      </c>
      <c r="D3097" s="24" t="n">
        <v>45382</v>
      </c>
      <c r="E3097" s="25">
        <f>D3097-C3097+1</f>
        <v/>
      </c>
      <c r="F3097" s="319">
        <f>J3096</f>
        <v/>
      </c>
      <c r="G3097" s="319">
        <f>-PMT($D$3076/$D$3078,21,$F$3088,,0)</f>
        <v/>
      </c>
      <c r="H3097" s="319">
        <f>($D$3076/$D$3078*F3097)</f>
        <v/>
      </c>
      <c r="I3097" s="319">
        <f>G3097-H3097</f>
        <v/>
      </c>
      <c r="J3097" s="319">
        <f>F3097-I3097</f>
        <v/>
      </c>
      <c r="K3097" s="516" t="n">
        <v>600000</v>
      </c>
      <c r="L3097" s="27">
        <f>L3096+G3097-K3097</f>
        <v/>
      </c>
    </row>
    <row r="3098">
      <c r="B3098" s="1" t="n">
        <v>14</v>
      </c>
      <c r="C3098" s="24" t="n">
        <v>45383</v>
      </c>
      <c r="D3098" s="24" t="n">
        <v>45412</v>
      </c>
      <c r="E3098" s="25">
        <f>D3098-C3098+1</f>
        <v/>
      </c>
      <c r="F3098" s="319">
        <f>J3097</f>
        <v/>
      </c>
      <c r="G3098" s="319">
        <f>-PMT($D$3076/$D$3078,21,$F$3088,,0)</f>
        <v/>
      </c>
      <c r="H3098" s="319">
        <f>($D$3076/$D$3078*F3098)</f>
        <v/>
      </c>
      <c r="I3098" s="319">
        <f>G3098-H3098</f>
        <v/>
      </c>
      <c r="J3098" s="319">
        <f>F3098-I3098</f>
        <v/>
      </c>
      <c r="K3098" s="516" t="n">
        <v>700000</v>
      </c>
      <c r="L3098" s="27">
        <f>L3097+G3098-K3098</f>
        <v/>
      </c>
    </row>
    <row r="3099">
      <c r="B3099" s="1" t="n">
        <v>15</v>
      </c>
      <c r="C3099" s="24" t="n">
        <v>45413</v>
      </c>
      <c r="D3099" s="24" t="n">
        <v>45443</v>
      </c>
      <c r="E3099" s="25">
        <f>D3099-C3099+1</f>
        <v/>
      </c>
      <c r="F3099" s="319">
        <f>J3098</f>
        <v/>
      </c>
      <c r="G3099" s="319">
        <f>-PMT($D$3076/$D$3078,21,$F$3088,,0)</f>
        <v/>
      </c>
      <c r="H3099" s="319">
        <f>($D$3076/$D$3078*F3099)</f>
        <v/>
      </c>
      <c r="I3099" s="319">
        <f>G3099-H3099</f>
        <v/>
      </c>
      <c r="J3099" s="319">
        <f>F3099-I3099</f>
        <v/>
      </c>
      <c r="K3099" s="516" t="n"/>
      <c r="L3099" s="27">
        <f>L3098+G3099-K3099</f>
        <v/>
      </c>
    </row>
    <row r="3100">
      <c r="B3100" s="1" t="n">
        <v>16</v>
      </c>
      <c r="C3100" s="24" t="n">
        <v>45444</v>
      </c>
      <c r="D3100" s="24" t="n">
        <v>45473</v>
      </c>
      <c r="E3100" s="25">
        <f>D3100-C3100+1</f>
        <v/>
      </c>
      <c r="F3100" s="319">
        <f>J3099</f>
        <v/>
      </c>
      <c r="G3100" s="319">
        <f>-PMT($D$3076/$D$3078,21,$F$3088,,0)</f>
        <v/>
      </c>
      <c r="H3100" s="319">
        <f>($D$3076/$D$3078*F3100)</f>
        <v/>
      </c>
      <c r="I3100" s="319">
        <f>G3100-H3100</f>
        <v/>
      </c>
      <c r="J3100" s="319">
        <f>F3100-I3100</f>
        <v/>
      </c>
      <c r="K3100" s="516">
        <f>3000000+1500000</f>
        <v/>
      </c>
      <c r="L3100" s="27">
        <f>L3099+G3100-K3100</f>
        <v/>
      </c>
    </row>
    <row r="3101">
      <c r="B3101" s="1" t="n">
        <v>17</v>
      </c>
      <c r="C3101" s="24" t="n">
        <v>45474</v>
      </c>
      <c r="D3101" s="24" t="n">
        <v>45504</v>
      </c>
      <c r="E3101" s="25">
        <f>D3101-C3101+1</f>
        <v/>
      </c>
      <c r="F3101" s="319">
        <f>J3100</f>
        <v/>
      </c>
      <c r="G3101" s="319">
        <f>-PMT($D$3076/$D$3078,21,$F$3088,,0)</f>
        <v/>
      </c>
      <c r="H3101" s="319">
        <f>($D$3076/$D$3078*F3101)</f>
        <v/>
      </c>
      <c r="I3101" s="319">
        <f>G3101-H3101</f>
        <v/>
      </c>
      <c r="J3101" s="319">
        <f>F3101-I3101</f>
        <v/>
      </c>
      <c r="K3101" s="516" t="n">
        <v>1300000</v>
      </c>
      <c r="L3101" s="27">
        <f>L3100+G3101-K3101</f>
        <v/>
      </c>
    </row>
    <row r="3102">
      <c r="B3102" s="1" t="n">
        <v>18</v>
      </c>
      <c r="C3102" s="24" t="n">
        <v>45505</v>
      </c>
      <c r="D3102" s="24" t="n">
        <v>45535</v>
      </c>
      <c r="E3102" s="25">
        <f>D3102-C3102+1</f>
        <v/>
      </c>
      <c r="F3102" s="319">
        <f>J3101</f>
        <v/>
      </c>
      <c r="G3102" s="319">
        <f>-PMT($D$3076/$D$3078,21,$F$3088,,0)</f>
        <v/>
      </c>
      <c r="H3102" s="319">
        <f>($D$3076/$D$3078*F3102)</f>
        <v/>
      </c>
      <c r="I3102" s="319">
        <f>G3102-H3102</f>
        <v/>
      </c>
      <c r="J3102" s="319">
        <f>F3102-I3102</f>
        <v/>
      </c>
      <c r="K3102" s="516" t="n"/>
      <c r="L3102" s="27">
        <f>L3101+G3102-K3102</f>
        <v/>
      </c>
    </row>
    <row r="3103">
      <c r="B3103" s="1" t="n">
        <v>19</v>
      </c>
      <c r="C3103" s="24" t="n">
        <v>45536</v>
      </c>
      <c r="D3103" s="24" t="n">
        <v>45565</v>
      </c>
      <c r="E3103" s="25">
        <f>D3103-C3103+1</f>
        <v/>
      </c>
      <c r="F3103" s="319">
        <f>J3102</f>
        <v/>
      </c>
      <c r="G3103" s="319">
        <f>-PMT($D$3076/$D$3078,21,$F$3088,,0)</f>
        <v/>
      </c>
      <c r="H3103" s="319">
        <f>($D$3076/$D$3078*F3103)</f>
        <v/>
      </c>
      <c r="I3103" s="319">
        <f>G3103-H3103</f>
        <v/>
      </c>
      <c r="J3103" s="319">
        <f>F3103-I3103</f>
        <v/>
      </c>
      <c r="K3103" s="516" t="n">
        <v>3060000</v>
      </c>
      <c r="L3103" s="27">
        <f>L3102+G3103-K3103</f>
        <v/>
      </c>
    </row>
    <row r="3104">
      <c r="B3104" s="1" t="n">
        <v>20</v>
      </c>
      <c r="C3104" s="24" t="n">
        <v>45566</v>
      </c>
      <c r="D3104" s="24" t="n">
        <v>45596</v>
      </c>
      <c r="E3104" s="25">
        <f>D3104-C3104+1</f>
        <v/>
      </c>
      <c r="F3104" s="319">
        <f>J3103</f>
        <v/>
      </c>
      <c r="G3104" s="319">
        <f>-PMT($D$3076/$D$3078,21,$F$3088,,0)</f>
        <v/>
      </c>
      <c r="H3104" s="319">
        <f>($D$3076/$D$3078*F3104)</f>
        <v/>
      </c>
      <c r="I3104" s="319">
        <f>G3104-H3104</f>
        <v/>
      </c>
      <c r="J3104" s="319">
        <f>F3104-I3104</f>
        <v/>
      </c>
      <c r="K3104" s="516" t="n"/>
      <c r="L3104" s="331">
        <f>L3103+G3104-K3104</f>
        <v/>
      </c>
    </row>
    <row r="3105">
      <c r="B3105" s="1" t="n">
        <v>21</v>
      </c>
      <c r="C3105" s="24" t="n">
        <v>45597</v>
      </c>
      <c r="D3105" s="24" t="n">
        <v>45626</v>
      </c>
      <c r="E3105" s="25">
        <f>D3105-C3105+1</f>
        <v/>
      </c>
      <c r="F3105" s="319">
        <f>J3104</f>
        <v/>
      </c>
      <c r="G3105" s="319">
        <f>-PMT($D$3076/$D$3078,21,$F$3088,,0)</f>
        <v/>
      </c>
      <c r="H3105" s="319">
        <f>($D$3076/$D$3078*F3105)</f>
        <v/>
      </c>
      <c r="I3105" s="319">
        <f>G3105-H3105</f>
        <v/>
      </c>
      <c r="J3105" s="319">
        <f>F3105-I3105</f>
        <v/>
      </c>
      <c r="K3105" s="516" t="n"/>
      <c r="L3105" s="516" t="n"/>
    </row>
    <row r="3106">
      <c r="B3106" s="1" t="n">
        <v>22</v>
      </c>
      <c r="C3106" s="24" t="n">
        <v>45627</v>
      </c>
      <c r="D3106" s="24" t="n">
        <v>45657</v>
      </c>
      <c r="E3106" s="25">
        <f>D3106-C3106+1</f>
        <v/>
      </c>
      <c r="F3106" s="319">
        <f>J3105</f>
        <v/>
      </c>
      <c r="G3106" s="319">
        <f>-PMT($D$3076/$D$3078,21,$F$3088,,0)</f>
        <v/>
      </c>
      <c r="H3106" s="319">
        <f>($D$3076/$D$3078*F3106)</f>
        <v/>
      </c>
      <c r="I3106" s="319">
        <f>G3106-H3106</f>
        <v/>
      </c>
      <c r="J3106" s="319">
        <f>F3106-I3106</f>
        <v/>
      </c>
      <c r="K3106" s="516" t="n"/>
      <c r="L3106" s="516" t="n"/>
    </row>
    <row r="3107">
      <c r="B3107" s="1" t="n">
        <v>23</v>
      </c>
      <c r="C3107" s="24" t="n">
        <v>45658</v>
      </c>
      <c r="D3107" s="24" t="n">
        <v>45688</v>
      </c>
      <c r="E3107" s="25">
        <f>D3107-C3107+1</f>
        <v/>
      </c>
      <c r="F3107" s="319">
        <f>J3106</f>
        <v/>
      </c>
      <c r="G3107" s="319">
        <f>-PMT($D$3076/$D$3078,21,$F$3088,,0)</f>
        <v/>
      </c>
      <c r="H3107" s="319">
        <f>($D$3076/$D$3078*F3107)</f>
        <v/>
      </c>
      <c r="I3107" s="319">
        <f>G3107-H3107</f>
        <v/>
      </c>
      <c r="J3107" s="319">
        <f>F3107-I3107</f>
        <v/>
      </c>
      <c r="K3107" s="516" t="n"/>
      <c r="L3107" s="516" t="n"/>
    </row>
    <row r="3108">
      <c r="B3108" s="1" t="n">
        <v>24</v>
      </c>
      <c r="C3108" s="24" t="n">
        <v>45689</v>
      </c>
      <c r="D3108" s="24" t="n">
        <v>45716</v>
      </c>
      <c r="E3108" s="25">
        <f>D3108-C3108+1</f>
        <v/>
      </c>
      <c r="F3108" s="319">
        <f>J3107</f>
        <v/>
      </c>
      <c r="G3108" s="319">
        <f>-PMT($D$3076/$D$3078,21,$F$3088,,0)</f>
        <v/>
      </c>
      <c r="H3108" s="319">
        <f>($D$3076/$D$3078*F3108)</f>
        <v/>
      </c>
      <c r="I3108" s="319">
        <f>G3108-H3108</f>
        <v/>
      </c>
      <c r="J3108" s="319">
        <f>F3108-I3108</f>
        <v/>
      </c>
      <c r="K3108" s="516" t="n"/>
      <c r="L3108" s="516" t="n"/>
    </row>
    <row r="3109">
      <c r="B3109" s="1" t="n"/>
      <c r="C3109" s="24" t="n"/>
      <c r="D3109" s="24" t="n"/>
      <c r="E3109" s="25" t="n"/>
      <c r="F3109" s="319" t="n"/>
      <c r="G3109" s="319" t="n"/>
      <c r="H3109" s="319" t="n"/>
      <c r="I3109" s="319" t="n"/>
      <c r="J3109" s="319" t="n"/>
      <c r="K3109" s="516" t="n"/>
      <c r="L3109" s="516" t="n"/>
    </row>
    <row r="3110">
      <c r="B3110" s="1" t="n"/>
      <c r="C3110" s="24" t="n"/>
      <c r="D3110" s="24" t="n"/>
      <c r="E3110" s="30">
        <f>SUM(E3084:E3108)</f>
        <v/>
      </c>
      <c r="F3110" s="319" t="n"/>
      <c r="G3110" s="319" t="n"/>
      <c r="H3110" s="319" t="n"/>
      <c r="I3110" s="319" t="n"/>
      <c r="J3110" s="319" t="n"/>
      <c r="K3110" s="516" t="n"/>
      <c r="L3110" s="516" t="n"/>
    </row>
    <row r="3114">
      <c r="B3114" s="9" t="inlineStr">
        <is>
          <t>Tapempha Medical Care Centre</t>
        </is>
      </c>
      <c r="C3114" s="319" t="n"/>
      <c r="D3114" s="319" t="n"/>
      <c r="E3114" s="319" t="n"/>
      <c r="F3114" s="319" t="n"/>
      <c r="G3114" s="319" t="n"/>
      <c r="H3114" s="319" t="n"/>
      <c r="I3114" s="319" t="n"/>
      <c r="K3114" s="319" t="n"/>
      <c r="L3114" s="319" t="n"/>
    </row>
    <row r="3115">
      <c r="B3115" s="1" t="n"/>
      <c r="C3115" s="319" t="n"/>
      <c r="D3115" s="319" t="n"/>
      <c r="E3115" s="319" t="inlineStr">
        <is>
          <t>First drawdown</t>
        </is>
      </c>
      <c r="F3115" s="319" t="inlineStr">
        <is>
          <t>second draw down</t>
        </is>
      </c>
      <c r="G3115" s="319" t="n"/>
      <c r="H3115" s="319" t="n"/>
      <c r="I3115" s="319" t="n"/>
      <c r="K3115" s="319" t="n"/>
      <c r="L3115" s="319" t="n"/>
    </row>
    <row r="3116">
      <c r="B3116" s="10" t="inlineStr">
        <is>
          <t>Principal (MK)</t>
        </is>
      </c>
      <c r="C3116" s="11" t="n">
        <v>53391150</v>
      </c>
      <c r="D3116" s="319" t="n"/>
      <c r="E3116" s="319" t="n">
        <v>23391150</v>
      </c>
      <c r="F3116" s="319" t="n">
        <v>30000000</v>
      </c>
      <c r="G3116" s="319" t="n"/>
      <c r="H3116" s="319" t="n"/>
      <c r="I3116" s="319" t="n"/>
      <c r="K3116" s="319" t="n"/>
      <c r="L3116" s="319" t="n"/>
    </row>
    <row r="3117">
      <c r="B3117" s="13" t="inlineStr">
        <is>
          <t>Rate</t>
        </is>
      </c>
      <c r="C3117" s="14" t="n">
        <v>0.24</v>
      </c>
      <c r="D3117" s="257" t="n"/>
      <c r="E3117" s="290" t="inlineStr">
        <is>
          <t>20% to 21.40%</t>
        </is>
      </c>
      <c r="F3117" s="290" t="inlineStr">
        <is>
          <t>21.40% to 22.70%</t>
        </is>
      </c>
      <c r="G3117" s="290" t="inlineStr">
        <is>
          <t>22.70% to 23.40%</t>
        </is>
      </c>
      <c r="H3117" s="290" t="inlineStr">
        <is>
          <t>23.40% to 23.50%</t>
        </is>
      </c>
      <c r="I3117" s="290" t="inlineStr">
        <is>
          <t>23.50% to 23.60%</t>
        </is>
      </c>
      <c r="J3117" s="290" t="inlineStr">
        <is>
          <t>23.60% to 24.90%</t>
        </is>
      </c>
      <c r="K3117" s="290" t="inlineStr">
        <is>
          <t>24.90% to 25%</t>
        </is>
      </c>
      <c r="L3117" s="290" t="inlineStr">
        <is>
          <t>25.00% to 25.10%</t>
        </is>
      </c>
      <c r="M3117" s="290" t="inlineStr">
        <is>
          <t>25.10% to 25.40%</t>
        </is>
      </c>
    </row>
    <row r="3118">
      <c r="B3118" s="13" t="inlineStr">
        <is>
          <t>n</t>
        </is>
      </c>
      <c r="C3118" s="16" t="n">
        <v>2</v>
      </c>
      <c r="D3118" s="1" t="n"/>
      <c r="E3118" s="248" t="n">
        <v>45108</v>
      </c>
      <c r="F3118" s="248" t="n">
        <v>45139</v>
      </c>
      <c r="G3118" s="290" t="n">
        <v>45170</v>
      </c>
      <c r="H3118" s="248" t="n">
        <v>45200</v>
      </c>
      <c r="I3118" s="290" t="n">
        <v>45261</v>
      </c>
      <c r="J3118" s="248" t="n">
        <v>44958</v>
      </c>
      <c r="K3118" s="248" t="n">
        <v>45047</v>
      </c>
      <c r="L3118" s="248" t="n">
        <v>45078</v>
      </c>
      <c r="M3118" s="248" t="n">
        <v>45108</v>
      </c>
    </row>
    <row r="3119">
      <c r="B3119" s="13" t="inlineStr">
        <is>
          <t>Per</t>
        </is>
      </c>
      <c r="C3119" s="16" t="n">
        <v>12</v>
      </c>
      <c r="D3119" s="1" t="n"/>
      <c r="E3119" s="290" t="inlineStr">
        <is>
          <t>Rate Adj</t>
        </is>
      </c>
      <c r="F3119" s="290" t="inlineStr">
        <is>
          <t>Rate Adj</t>
        </is>
      </c>
      <c r="G3119" s="290" t="inlineStr">
        <is>
          <t>Rate Adj</t>
        </is>
      </c>
      <c r="H3119" s="290" t="inlineStr">
        <is>
          <t>Rate Adj</t>
        </is>
      </c>
      <c r="I3119" s="290" t="inlineStr">
        <is>
          <t>Rate Adj</t>
        </is>
      </c>
      <c r="J3119" s="290" t="inlineStr">
        <is>
          <t>Rate Adj</t>
        </is>
      </c>
      <c r="K3119" s="290" t="inlineStr">
        <is>
          <t>Rate Adj</t>
        </is>
      </c>
      <c r="L3119" s="290" t="inlineStr">
        <is>
          <t>Rate Adj</t>
        </is>
      </c>
      <c r="M3119" s="290" t="inlineStr">
        <is>
          <t>Rate Adj</t>
        </is>
      </c>
    </row>
    <row r="3120">
      <c r="B3120" s="13" t="inlineStr">
        <is>
          <t>nPer</t>
        </is>
      </c>
      <c r="C3120" s="515">
        <f>C3118*C3119</f>
        <v/>
      </c>
      <c r="D3120" s="279" t="n">
        <v>0.24</v>
      </c>
      <c r="E3120" s="257">
        <f>D3120+1.4%</f>
        <v/>
      </c>
      <c r="F3120" s="257">
        <f>E3120+1.3%</f>
        <v/>
      </c>
      <c r="G3120" s="319">
        <f>F3120+0.7%</f>
        <v/>
      </c>
      <c r="H3120" s="257">
        <f>G3120+0.1%</f>
        <v/>
      </c>
      <c r="I3120" s="319">
        <f>H3120+0.1%</f>
        <v/>
      </c>
      <c r="J3120" s="257">
        <f>I3120+1.3%</f>
        <v/>
      </c>
      <c r="K3120" s="257">
        <f>J3120+0.1%</f>
        <v/>
      </c>
      <c r="L3120" s="257">
        <f>K3120+0.1%</f>
        <v/>
      </c>
      <c r="M3120" s="257">
        <f>L3120+0.3%</f>
        <v/>
      </c>
    </row>
    <row r="3121">
      <c r="B3121" s="13" t="inlineStr">
        <is>
          <t>Days in a year</t>
        </is>
      </c>
      <c r="C3121" s="18" t="n">
        <v>365</v>
      </c>
      <c r="D3121" s="1" t="n"/>
      <c r="E3121" s="1" t="n"/>
      <c r="F3121" s="319" t="n"/>
      <c r="G3121" s="319" t="n"/>
      <c r="H3121" s="319" t="n"/>
      <c r="I3121" s="319" t="n"/>
      <c r="K3121" s="1" t="n"/>
      <c r="L3121" s="1" t="n"/>
    </row>
    <row r="3122">
      <c r="B3122" s="19" t="inlineStr">
        <is>
          <t>Pmt (MK)</t>
        </is>
      </c>
      <c r="C3122" s="20">
        <f>-PMT(C3117/C3119,C3120,C3116,0,0)</f>
        <v/>
      </c>
      <c r="D3122" s="319" t="n"/>
      <c r="E3122" s="1" t="n"/>
      <c r="F3122" s="319" t="n"/>
      <c r="G3122" s="319" t="n"/>
      <c r="H3122" s="319" t="n"/>
      <c r="I3122" s="319" t="n"/>
      <c r="K3122" s="1" t="n"/>
      <c r="L3122" s="1" t="n"/>
    </row>
    <row r="3123">
      <c r="B3123" s="1" t="n"/>
      <c r="C3123" s="319" t="n"/>
      <c r="D3123" s="319" t="n"/>
      <c r="E3123" s="1" t="n"/>
      <c r="F3123" s="319" t="n"/>
      <c r="G3123" s="319" t="n"/>
      <c r="H3123" s="319" t="n"/>
      <c r="I3123" s="319" t="n"/>
      <c r="K3123" s="1" t="n"/>
      <c r="L3123" s="1" t="n"/>
    </row>
    <row r="3124">
      <c r="C3124" s="21" t="inlineStr">
        <is>
          <t>Period Start</t>
        </is>
      </c>
      <c r="D3124" s="22" t="inlineStr">
        <is>
          <t>Period End</t>
        </is>
      </c>
      <c r="E3124" s="22" t="inlineStr">
        <is>
          <t>Days</t>
        </is>
      </c>
      <c r="F3124" s="294" t="inlineStr">
        <is>
          <t>Opening bal.</t>
        </is>
      </c>
      <c r="G3124" s="294" t="inlineStr">
        <is>
          <t>Pmt</t>
        </is>
      </c>
      <c r="H3124" s="294" t="inlineStr">
        <is>
          <t>Interest</t>
        </is>
      </c>
      <c r="I3124" s="294" t="inlineStr">
        <is>
          <t>Principal</t>
        </is>
      </c>
      <c r="J3124" s="294" t="inlineStr">
        <is>
          <t>Closing balance</t>
        </is>
      </c>
      <c r="K3124" s="23" t="inlineStr">
        <is>
          <t>Amount Repaid</t>
        </is>
      </c>
      <c r="L3124" s="23" t="inlineStr">
        <is>
          <t>Accumulated Arrears</t>
        </is>
      </c>
    </row>
    <row r="3125">
      <c r="B3125" s="7" t="n">
        <v>0</v>
      </c>
      <c r="C3125" s="24" t="n">
        <v>44972</v>
      </c>
      <c r="D3125" s="24" t="n">
        <v>44985</v>
      </c>
      <c r="E3125" s="25">
        <f>D3125-C3125+1</f>
        <v/>
      </c>
      <c r="F3125" s="319">
        <f>E3116</f>
        <v/>
      </c>
      <c r="G3125" s="319" t="n"/>
      <c r="H3125" s="319">
        <f>(C3117/C3119*E3125*F3125/28)+(C3117/C3119*F3116/28*13)</f>
        <v/>
      </c>
      <c r="I3125" s="319" t="n"/>
      <c r="J3125" s="319">
        <f>F3125+F3116-I3125</f>
        <v/>
      </c>
      <c r="K3125" s="516" t="n"/>
      <c r="L3125" s="516" t="n"/>
    </row>
    <row r="3126">
      <c r="B3126" s="7" t="n">
        <v>1</v>
      </c>
      <c r="C3126" s="24" t="n">
        <v>44986</v>
      </c>
      <c r="D3126" s="24" t="n">
        <v>45016</v>
      </c>
      <c r="E3126" s="25">
        <f>D3126-C3126+1</f>
        <v/>
      </c>
      <c r="F3126" s="319">
        <f>J3125</f>
        <v/>
      </c>
      <c r="G3126" s="319" t="n"/>
      <c r="H3126" s="319">
        <f>($C$3117/$C$3119*F3126)</f>
        <v/>
      </c>
      <c r="I3126" s="319" t="n"/>
      <c r="J3126" s="319">
        <f>F3126-I3126</f>
        <v/>
      </c>
      <c r="K3126" s="516" t="n"/>
      <c r="L3126" s="516" t="n"/>
    </row>
    <row r="3127">
      <c r="B3127" s="7" t="n">
        <v>2</v>
      </c>
      <c r="C3127" s="24" t="n">
        <v>45017</v>
      </c>
      <c r="D3127" s="24" t="n">
        <v>45046</v>
      </c>
      <c r="E3127" s="25">
        <f>D3127-C3127+1</f>
        <v/>
      </c>
      <c r="F3127" s="319">
        <f>J3126</f>
        <v/>
      </c>
      <c r="G3127" s="319" t="n"/>
      <c r="H3127" s="319">
        <f>($C$3117/$C$3119*F3127)</f>
        <v/>
      </c>
      <c r="I3127" s="319" t="n"/>
      <c r="J3127" s="319">
        <f>F3127-I3127</f>
        <v/>
      </c>
    </row>
    <row r="3128">
      <c r="B3128" s="7" t="n">
        <v>3</v>
      </c>
      <c r="C3128" s="24" t="n">
        <v>45047</v>
      </c>
      <c r="D3128" s="24" t="n">
        <v>45077</v>
      </c>
      <c r="E3128" s="25">
        <f>D3128-C3128+1</f>
        <v/>
      </c>
      <c r="F3128" s="319">
        <f>J3127</f>
        <v/>
      </c>
      <c r="G3128" s="319" t="n"/>
      <c r="H3128" s="319">
        <f>($C$3117/$C$3119*F3128)</f>
        <v/>
      </c>
      <c r="I3128" s="319" t="n"/>
      <c r="J3128" s="319">
        <f>F3128-I3128</f>
        <v/>
      </c>
      <c r="K3128" s="516" t="n"/>
      <c r="L3128" s="516">
        <f>SUM(H3125:H3128)</f>
        <v/>
      </c>
    </row>
    <row r="3129">
      <c r="B3129" s="1" t="n">
        <v>4</v>
      </c>
      <c r="C3129" s="24" t="n">
        <v>45078</v>
      </c>
      <c r="D3129" s="24" t="n">
        <v>45107</v>
      </c>
      <c r="E3129" s="25">
        <f>D3129-C3129+1</f>
        <v/>
      </c>
      <c r="F3129" s="319">
        <f>J3128</f>
        <v/>
      </c>
      <c r="G3129" s="319" t="n"/>
      <c r="H3129" s="319">
        <f>($C$3117/$C$3119*F3129)</f>
        <v/>
      </c>
      <c r="I3129" s="319" t="n"/>
      <c r="J3129" s="319">
        <f>F3129-I3129</f>
        <v/>
      </c>
      <c r="K3129" s="516" t="n"/>
      <c r="L3129" s="519">
        <f>L3128+H3129</f>
        <v/>
      </c>
    </row>
    <row r="3130">
      <c r="B3130" s="1" t="n">
        <v>5</v>
      </c>
      <c r="C3130" s="24" t="n">
        <v>45108</v>
      </c>
      <c r="D3130" s="24" t="n">
        <v>45138</v>
      </c>
      <c r="E3130" s="25">
        <f>D3130-C3130+1</f>
        <v/>
      </c>
      <c r="F3130" s="319">
        <f>J3129</f>
        <v/>
      </c>
      <c r="G3130" s="319" t="n"/>
      <c r="H3130" s="319">
        <f>($E$3120/$C$3119*F3130)</f>
        <v/>
      </c>
      <c r="I3130" s="319" t="n"/>
      <c r="J3130" s="319">
        <f>F3130-I3130</f>
        <v/>
      </c>
      <c r="K3130" s="516" t="n"/>
      <c r="L3130" s="516">
        <f>L3129+H3130</f>
        <v/>
      </c>
    </row>
    <row r="3131">
      <c r="B3131" s="1" t="n">
        <v>6</v>
      </c>
      <c r="C3131" s="24" t="n">
        <v>45139</v>
      </c>
      <c r="D3131" s="24" t="n">
        <v>45169</v>
      </c>
      <c r="E3131" s="25">
        <f>D3131-C3131+1</f>
        <v/>
      </c>
      <c r="F3131" s="319">
        <f>J3130</f>
        <v/>
      </c>
      <c r="G3131" s="319" t="n"/>
      <c r="H3131" s="319">
        <f>($F$3120/$C$3119*F3131)</f>
        <v/>
      </c>
      <c r="I3131" s="319" t="n"/>
      <c r="J3131" s="319">
        <f>F3131-I3131</f>
        <v/>
      </c>
      <c r="K3131" s="516" t="n"/>
      <c r="L3131" s="516">
        <f>L3130+H3131</f>
        <v/>
      </c>
    </row>
    <row r="3132">
      <c r="B3132" s="1" t="n">
        <v>7</v>
      </c>
      <c r="C3132" s="24" t="n">
        <v>45170</v>
      </c>
      <c r="D3132" s="24" t="n">
        <v>45199</v>
      </c>
      <c r="E3132" s="25">
        <f>D3132-C3132+1</f>
        <v/>
      </c>
      <c r="F3132" s="319">
        <f>J3131</f>
        <v/>
      </c>
      <c r="G3132" s="319">
        <f>-PMT($G$3120/$C$3119,18,$F$3132,,0)</f>
        <v/>
      </c>
      <c r="H3132" s="319">
        <f>($G$3120/$C$3119*F3132)</f>
        <v/>
      </c>
      <c r="I3132" s="319">
        <f>G3132-H3132</f>
        <v/>
      </c>
      <c r="J3132" s="319">
        <f>F3132-I3132</f>
        <v/>
      </c>
      <c r="K3132" s="516" t="n"/>
      <c r="L3132" s="516">
        <f>L3131+G3132</f>
        <v/>
      </c>
    </row>
    <row r="3133">
      <c r="B3133" s="1" t="n">
        <v>8</v>
      </c>
      <c r="C3133" s="24" t="n">
        <v>45200</v>
      </c>
      <c r="D3133" s="24" t="n">
        <v>45230</v>
      </c>
      <c r="E3133" s="25">
        <f>D3133-C3133+1</f>
        <v/>
      </c>
      <c r="F3133" s="319">
        <f>J3132</f>
        <v/>
      </c>
      <c r="G3133" s="319">
        <f>-PMT($H$3120/$C$3119,17,$F$3133,,0)</f>
        <v/>
      </c>
      <c r="H3133" s="319">
        <f>($H$3120/$C$3119*F3133)</f>
        <v/>
      </c>
      <c r="I3133" s="319">
        <f>G3133-H3133</f>
        <v/>
      </c>
      <c r="J3133" s="319">
        <f>F3133-I3133</f>
        <v/>
      </c>
      <c r="K3133" s="516" t="n"/>
      <c r="L3133" s="516">
        <f>L3132+G3133</f>
        <v/>
      </c>
    </row>
    <row r="3134">
      <c r="B3134" s="1" t="n">
        <v>9</v>
      </c>
      <c r="C3134" s="24" t="n">
        <v>45231</v>
      </c>
      <c r="D3134" s="24" t="n">
        <v>45260</v>
      </c>
      <c r="E3134" s="25">
        <f>D3134-C3134+1</f>
        <v/>
      </c>
      <c r="F3134" s="319">
        <f>J3133</f>
        <v/>
      </c>
      <c r="G3134" s="319">
        <f>-PMT($H$3120/$C$3119,17,$F$3133,,0)</f>
        <v/>
      </c>
      <c r="H3134" s="319">
        <f>($H$3120/$C$3119*F3134)</f>
        <v/>
      </c>
      <c r="I3134" s="319">
        <f>G3134-H3134</f>
        <v/>
      </c>
      <c r="J3134" s="319">
        <f>F3134-I3134</f>
        <v/>
      </c>
      <c r="K3134" s="516" t="n"/>
      <c r="L3134" s="516">
        <f>L3133+G3134</f>
        <v/>
      </c>
    </row>
    <row r="3135">
      <c r="B3135" s="1" t="n">
        <v>10</v>
      </c>
      <c r="C3135" s="24" t="n">
        <v>45261</v>
      </c>
      <c r="D3135" s="24" t="n">
        <v>45291</v>
      </c>
      <c r="E3135" s="25">
        <f>D3135-C3135+1</f>
        <v/>
      </c>
      <c r="F3135" s="319">
        <f>J3134</f>
        <v/>
      </c>
      <c r="G3135" s="319">
        <f>-PMT($I$3120/$C$3119,15,$F$3135,,0)</f>
        <v/>
      </c>
      <c r="H3135" s="319">
        <f>($I$3120/$C$3119*F3135)</f>
        <v/>
      </c>
      <c r="I3135" s="319">
        <f>G3135-H3135</f>
        <v/>
      </c>
      <c r="J3135" s="319">
        <f>F3135-I3135</f>
        <v/>
      </c>
      <c r="K3135" s="516" t="n"/>
      <c r="L3135" s="516">
        <f>L3134+G3135</f>
        <v/>
      </c>
    </row>
    <row r="3136">
      <c r="B3136" s="1" t="n">
        <v>11</v>
      </c>
      <c r="C3136" s="24" t="n">
        <v>45292</v>
      </c>
      <c r="D3136" s="24" t="n">
        <v>45322</v>
      </c>
      <c r="E3136" s="25">
        <f>D3136-C3136+1</f>
        <v/>
      </c>
      <c r="F3136" s="319">
        <f>J3135</f>
        <v/>
      </c>
      <c r="G3136" s="319">
        <f>-PMT($I$3120/$C$3119,15,$F$3135,,0)</f>
        <v/>
      </c>
      <c r="H3136" s="319">
        <f>($I$3120/$C$3119*F3136)</f>
        <v/>
      </c>
      <c r="I3136" s="319">
        <f>G3136-H3136</f>
        <v/>
      </c>
      <c r="J3136" s="319">
        <f>F3136-I3136</f>
        <v/>
      </c>
      <c r="K3136" s="516" t="n"/>
      <c r="L3136" s="516">
        <f>L3135+G3136</f>
        <v/>
      </c>
    </row>
    <row r="3137">
      <c r="B3137" s="1" t="n">
        <v>12</v>
      </c>
      <c r="C3137" s="24" t="n">
        <v>45323</v>
      </c>
      <c r="D3137" s="24" t="n">
        <v>45351</v>
      </c>
      <c r="E3137" s="25">
        <f>D3137-C3137+1</f>
        <v/>
      </c>
      <c r="F3137" s="319">
        <f>J3136</f>
        <v/>
      </c>
      <c r="G3137" s="319">
        <f>-PMT($J$3120/$C$3119,13,$F$3137,,0)</f>
        <v/>
      </c>
      <c r="H3137" s="317">
        <f>($J$3120/$C$3119*F3137)</f>
        <v/>
      </c>
      <c r="I3137" s="319">
        <f>G3137-H3137</f>
        <v/>
      </c>
      <c r="J3137" s="319">
        <f>F3137-I3137</f>
        <v/>
      </c>
      <c r="K3137" s="516" t="n"/>
      <c r="L3137" s="516">
        <f>L3136+G3137</f>
        <v/>
      </c>
    </row>
    <row r="3138">
      <c r="B3138" s="1" t="n">
        <v>13</v>
      </c>
      <c r="C3138" s="24" t="n">
        <v>45352</v>
      </c>
      <c r="D3138" s="24" t="n">
        <v>45382</v>
      </c>
      <c r="E3138" s="25">
        <f>D3138-C3138+1</f>
        <v/>
      </c>
      <c r="F3138" s="319">
        <f>J3137</f>
        <v/>
      </c>
      <c r="G3138" s="319">
        <f>-PMT($J$3120/$C$3119,13,$F$3137,,0)</f>
        <v/>
      </c>
      <c r="H3138" s="317">
        <f>($J$3120/$C$3119*F3138)</f>
        <v/>
      </c>
      <c r="I3138" s="319">
        <f>G3138-H3138</f>
        <v/>
      </c>
      <c r="J3138" s="319">
        <f>F3138-I3138</f>
        <v/>
      </c>
      <c r="K3138" s="516" t="n"/>
      <c r="L3138" s="516">
        <f>L3137+G3138</f>
        <v/>
      </c>
    </row>
    <row r="3139">
      <c r="B3139" s="1" t="n">
        <v>14</v>
      </c>
      <c r="C3139" s="24" t="n">
        <v>45383</v>
      </c>
      <c r="D3139" s="24" t="n">
        <v>45412</v>
      </c>
      <c r="E3139" s="25">
        <f>D3139-C3139+1</f>
        <v/>
      </c>
      <c r="F3139" s="319">
        <f>J3138</f>
        <v/>
      </c>
      <c r="G3139" s="319">
        <f>-PMT($J$3120/$C$3119,13,$F$3137,,0)</f>
        <v/>
      </c>
      <c r="H3139" s="319">
        <f>($J$3120/$C$3119*F3139)</f>
        <v/>
      </c>
      <c r="I3139" s="319">
        <f>G3139-H3139</f>
        <v/>
      </c>
      <c r="J3139" s="319">
        <f>F3139-I3139</f>
        <v/>
      </c>
      <c r="K3139" s="516" t="n"/>
      <c r="L3139" s="516">
        <f>L3138+G3139</f>
        <v/>
      </c>
    </row>
    <row r="3140">
      <c r="B3140" s="1" t="n">
        <v>15</v>
      </c>
      <c r="C3140" s="24" t="n">
        <v>45413</v>
      </c>
      <c r="D3140" s="24" t="n">
        <v>45443</v>
      </c>
      <c r="E3140" s="25">
        <f>D3140-C3140+1</f>
        <v/>
      </c>
      <c r="F3140" s="319">
        <f>J3139</f>
        <v/>
      </c>
      <c r="G3140" s="319">
        <f>-PMT($K$3120/$C$3119,10,$F$3140,,0)</f>
        <v/>
      </c>
      <c r="H3140" s="319">
        <f>($K$3120/$C$3119*F3140)</f>
        <v/>
      </c>
      <c r="I3140" s="319">
        <f>G3140-H3140</f>
        <v/>
      </c>
      <c r="J3140" s="319">
        <f>F3140-I3140</f>
        <v/>
      </c>
      <c r="K3140" s="516" t="n"/>
      <c r="L3140" s="516">
        <f>L3139+G3140</f>
        <v/>
      </c>
    </row>
    <row r="3141">
      <c r="B3141" s="1" t="n">
        <v>16</v>
      </c>
      <c r="C3141" s="24" t="n">
        <v>45444</v>
      </c>
      <c r="D3141" s="24" t="n">
        <v>45473</v>
      </c>
      <c r="E3141" s="25">
        <f>D3141-C3141+1</f>
        <v/>
      </c>
      <c r="F3141" s="319">
        <f>J3140</f>
        <v/>
      </c>
      <c r="G3141" s="319">
        <f>-PMT($L$3120/$C$3119,9,$F$3141,,0)</f>
        <v/>
      </c>
      <c r="H3141" s="319">
        <f>($L$3120/$C$3119*F3141)</f>
        <v/>
      </c>
      <c r="I3141" s="319">
        <f>G3141-H3141</f>
        <v/>
      </c>
      <c r="J3141" s="319">
        <f>F3141-I3141</f>
        <v/>
      </c>
      <c r="L3141" s="516">
        <f>L3140+G3141-M4305</f>
        <v/>
      </c>
    </row>
    <row r="3142">
      <c r="B3142" s="1" t="n">
        <v>17</v>
      </c>
      <c r="C3142" s="24" t="n">
        <v>45474</v>
      </c>
      <c r="D3142" s="24" t="n">
        <v>45504</v>
      </c>
      <c r="E3142" s="25">
        <f>D3142-C3142+1</f>
        <v/>
      </c>
      <c r="F3142" s="319">
        <f>J3141</f>
        <v/>
      </c>
      <c r="G3142" s="319">
        <f>-PMT($M$3120/$C$3119,8,$F$3142,,0)</f>
        <v/>
      </c>
      <c r="H3142" s="319">
        <f>($M$3120/$C$3119*F3142)</f>
        <v/>
      </c>
      <c r="I3142" s="319">
        <f>G3142-H3142</f>
        <v/>
      </c>
      <c r="J3142" s="319">
        <f>F3142-I3142</f>
        <v/>
      </c>
      <c r="K3142" s="516" t="n">
        <v>9000000</v>
      </c>
      <c r="L3142" s="516">
        <f>L3141+G3142-K3142</f>
        <v/>
      </c>
    </row>
    <row r="3143">
      <c r="B3143" s="1" t="n">
        <v>18</v>
      </c>
      <c r="C3143" s="24" t="n">
        <v>45505</v>
      </c>
      <c r="D3143" s="24" t="n">
        <v>45535</v>
      </c>
      <c r="E3143" s="25">
        <f>D3143-C3143+1</f>
        <v/>
      </c>
      <c r="F3143" s="319">
        <f>J3142</f>
        <v/>
      </c>
      <c r="G3143" s="319">
        <f>-PMT($M$3120/$C$3119,8,$F$3142,,0)</f>
        <v/>
      </c>
      <c r="H3143" s="319">
        <f>($M$3120/$C$3119*F3143)</f>
        <v/>
      </c>
      <c r="I3143" s="319">
        <f>G3143-H3143</f>
        <v/>
      </c>
      <c r="J3143" s="319">
        <f>F3143-I3143</f>
        <v/>
      </c>
      <c r="K3143" s="516" t="n"/>
      <c r="L3143" s="516">
        <f>L3142+G3143-K3143</f>
        <v/>
      </c>
    </row>
    <row r="3144">
      <c r="B3144" s="1" t="n">
        <v>19</v>
      </c>
      <c r="C3144" s="24" t="n">
        <v>45536</v>
      </c>
      <c r="D3144" s="24" t="n">
        <v>45565</v>
      </c>
      <c r="E3144" s="25">
        <f>D3144-C3144+1</f>
        <v/>
      </c>
      <c r="F3144" s="319">
        <f>J3143</f>
        <v/>
      </c>
      <c r="G3144" s="319">
        <f>-PMT($M$3120/$C$3119,8,$F$3142,,0)</f>
        <v/>
      </c>
      <c r="H3144" s="319">
        <f>($M$3120/$C$3119*F3144)</f>
        <v/>
      </c>
      <c r="I3144" s="319">
        <f>G3144-H3144</f>
        <v/>
      </c>
      <c r="J3144" s="319">
        <f>F3144-I3144</f>
        <v/>
      </c>
      <c r="K3144" s="516" t="n"/>
      <c r="L3144" s="516">
        <f>L3143+G3144-K3144</f>
        <v/>
      </c>
    </row>
    <row r="3145">
      <c r="B3145" s="1" t="n">
        <v>20</v>
      </c>
      <c r="C3145" s="24" t="n">
        <v>45566</v>
      </c>
      <c r="D3145" s="24" t="n">
        <v>45596</v>
      </c>
      <c r="E3145" s="25">
        <f>D3145-C3145+1</f>
        <v/>
      </c>
      <c r="F3145" s="319">
        <f>J3144</f>
        <v/>
      </c>
      <c r="G3145" s="319">
        <f>-PMT($M$3120/$C$3119,8,$F$3142,,0)</f>
        <v/>
      </c>
      <c r="H3145" s="319">
        <f>($M$3120/$C$3119*F3145)</f>
        <v/>
      </c>
      <c r="I3145" s="319">
        <f>G3145-H3145</f>
        <v/>
      </c>
      <c r="J3145" s="319">
        <f>F3145-I3145</f>
        <v/>
      </c>
      <c r="K3145" s="516" t="n"/>
      <c r="L3145" s="523">
        <f>L3144+G3145-K3145</f>
        <v/>
      </c>
    </row>
    <row r="3146">
      <c r="B3146" s="1" t="n">
        <v>21</v>
      </c>
      <c r="C3146" s="24" t="n">
        <v>45597</v>
      </c>
      <c r="D3146" s="24" t="n">
        <v>45626</v>
      </c>
      <c r="E3146" s="25">
        <f>D3146-C3146+1</f>
        <v/>
      </c>
      <c r="F3146" s="319">
        <f>J3145</f>
        <v/>
      </c>
      <c r="G3146" s="319">
        <f>-PMT($M$3120/$C$3119,8,$F$3142,,0)</f>
        <v/>
      </c>
      <c r="H3146" s="319">
        <f>($M$3120/$C$3119*F3146)</f>
        <v/>
      </c>
      <c r="I3146" s="319">
        <f>G3146-H3146</f>
        <v/>
      </c>
      <c r="J3146" s="319">
        <f>F3146-I3146</f>
        <v/>
      </c>
      <c r="K3146" s="516" t="n"/>
      <c r="L3146" s="516" t="n"/>
    </row>
    <row r="3147">
      <c r="B3147" s="1" t="n">
        <v>22</v>
      </c>
      <c r="C3147" s="24" t="n">
        <v>45627</v>
      </c>
      <c r="D3147" s="24" t="n">
        <v>45657</v>
      </c>
      <c r="E3147" s="25">
        <f>D3147-C3147+1</f>
        <v/>
      </c>
      <c r="F3147" s="319">
        <f>J3146</f>
        <v/>
      </c>
      <c r="G3147" s="319">
        <f>-PMT($M$3120/$C$3119,8,$F$3142,,0)</f>
        <v/>
      </c>
      <c r="H3147" s="319">
        <f>($M$3120/$C$3119*F3147)</f>
        <v/>
      </c>
      <c r="I3147" s="319">
        <f>G3147-H3147</f>
        <v/>
      </c>
      <c r="J3147" s="319">
        <f>F3147-I3147</f>
        <v/>
      </c>
      <c r="K3147" s="516" t="n"/>
      <c r="L3147" s="516" t="n"/>
    </row>
    <row r="3148">
      <c r="B3148" s="1" t="n">
        <v>23</v>
      </c>
      <c r="C3148" s="24" t="n">
        <v>45658</v>
      </c>
      <c r="D3148" s="24" t="n">
        <v>45688</v>
      </c>
      <c r="E3148" s="25">
        <f>D3148-C3148+1</f>
        <v/>
      </c>
      <c r="F3148" s="319">
        <f>J3147</f>
        <v/>
      </c>
      <c r="G3148" s="319">
        <f>-PMT($M$3120/$C$3119,8,$F$3142,,0)</f>
        <v/>
      </c>
      <c r="H3148" s="319">
        <f>($M$3120/$C$3119*F3148)</f>
        <v/>
      </c>
      <c r="I3148" s="319">
        <f>G3148-H3148</f>
        <v/>
      </c>
      <c r="J3148" s="319">
        <f>F3148-I3148</f>
        <v/>
      </c>
      <c r="K3148" s="516" t="n"/>
      <c r="L3148" s="516" t="n"/>
    </row>
    <row r="3149">
      <c r="B3149" s="1" t="n">
        <v>24</v>
      </c>
      <c r="C3149" s="24" t="n">
        <v>45689</v>
      </c>
      <c r="D3149" s="24" t="n">
        <v>45716</v>
      </c>
      <c r="E3149" s="25">
        <f>D3149-C3149+1</f>
        <v/>
      </c>
      <c r="F3149" s="319">
        <f>J3148</f>
        <v/>
      </c>
      <c r="G3149" s="319">
        <f>-PMT($M$3120/$C$3119,8,$F$3142,,0)</f>
        <v/>
      </c>
      <c r="H3149" s="319">
        <f>($M$3120/$C$3119*F3149)</f>
        <v/>
      </c>
      <c r="I3149" s="319">
        <f>G3149-H3149</f>
        <v/>
      </c>
      <c r="J3149" s="319">
        <f>F3149-I3149</f>
        <v/>
      </c>
      <c r="K3149" s="516" t="n"/>
      <c r="L3149" s="516" t="n"/>
    </row>
    <row r="3150">
      <c r="B3150" s="1" t="n"/>
      <c r="C3150" s="24" t="n"/>
      <c r="D3150" s="24" t="n"/>
      <c r="E3150" s="25" t="n"/>
      <c r="F3150" s="319" t="n"/>
      <c r="G3150" s="319" t="n"/>
      <c r="H3150" s="319" t="n"/>
      <c r="I3150" s="319" t="n"/>
      <c r="J3150" s="319" t="n"/>
      <c r="K3150" s="516" t="n"/>
      <c r="L3150" s="516" t="n"/>
    </row>
    <row r="3151">
      <c r="B3151" s="1" t="n"/>
      <c r="C3151" s="24" t="n"/>
      <c r="D3151" s="24" t="n"/>
      <c r="E3151" s="30">
        <f>SUM(E3125:E3149)</f>
        <v/>
      </c>
      <c r="F3151" s="319" t="n"/>
      <c r="G3151" s="319" t="n"/>
      <c r="H3151" s="319" t="n"/>
      <c r="I3151" s="319" t="n"/>
      <c r="J3151" s="319" t="n"/>
      <c r="K3151" s="516" t="n"/>
      <c r="L3151" s="516" t="n"/>
    </row>
    <row r="3157">
      <c r="B3157" s="1" t="n"/>
      <c r="C3157" s="9" t="inlineStr">
        <is>
          <t>BenCal Technologies</t>
        </is>
      </c>
      <c r="D3157" s="319" t="n"/>
      <c r="E3157" s="319" t="n"/>
      <c r="F3157" s="319" t="n"/>
      <c r="G3157" s="319" t="n"/>
      <c r="H3157" s="319" t="n"/>
      <c r="I3157" s="319" t="n"/>
      <c r="J3157" s="319" t="n"/>
      <c r="K3157" s="319" t="n"/>
      <c r="L3157" s="319" t="n"/>
      <c r="R3157" s="514" t="inlineStr">
        <is>
          <t>E-Banker account (Dupleix)</t>
        </is>
      </c>
      <c r="S3157" s="495">
        <f>IFERROR(INDEX('Blocks'!$I$2:$I$101,MATCH(57,'Blocks'!$A$2:$A$101,0)),"")</f>
        <v/>
      </c>
    </row>
    <row r="3158">
      <c r="B3158" s="1" t="n"/>
      <c r="C3158" s="1" t="n"/>
      <c r="D3158" s="319" t="n"/>
      <c r="E3158" s="319" t="n"/>
      <c r="F3158" s="319" t="inlineStr">
        <is>
          <t>First drawdown</t>
        </is>
      </c>
      <c r="G3158" s="319" t="inlineStr">
        <is>
          <t>second draw down</t>
        </is>
      </c>
      <c r="H3158" s="319" t="n"/>
      <c r="I3158" s="319" t="n"/>
      <c r="J3158" s="319" t="n"/>
      <c r="K3158" s="319" t="n"/>
      <c r="L3158" s="319" t="n"/>
      <c r="R3158" s="514" t="inlineStr">
        <is>
          <t>Facility (Loan Book)</t>
        </is>
      </c>
      <c r="S3158" s="495">
        <f>IFERROR(INDEX('Blocks'!$H$2:$H$101,MATCH(57,'Blocks'!$A$2:$A$101,0)),"")</f>
        <v/>
      </c>
    </row>
    <row r="3159">
      <c r="B3159" s="1" t="n"/>
      <c r="C3159" s="10" t="inlineStr">
        <is>
          <t>Principal (MK)</t>
        </is>
      </c>
      <c r="D3159" s="11" t="n">
        <v>153974500</v>
      </c>
      <c r="E3159" s="319" t="n"/>
      <c r="F3159" s="319" t="n">
        <v>132834502</v>
      </c>
      <c r="G3159" s="319" t="n"/>
      <c r="H3159" s="319" t="n">
        <v>21139998</v>
      </c>
      <c r="I3159" s="319" t="n"/>
      <c r="J3159" s="319" t="n"/>
      <c r="K3159" s="319" t="n"/>
      <c r="L3159" s="319" t="n"/>
      <c r="R3159" s="514" t="inlineStr">
        <is>
          <t>Take-on posting 31 Jul 2024</t>
        </is>
      </c>
      <c r="S3159" s="496">
        <f>IFERROR(INDEX('E-Banker master'!$N$2:$N$186,MATCH(S3157,'E-Banker master'!$A$2:$A$186,0)),"")</f>
        <v/>
      </c>
    </row>
    <row r="3160">
      <c r="B3160" s="1" t="n"/>
      <c r="C3160" s="13" t="inlineStr">
        <is>
          <t>Rate</t>
        </is>
      </c>
      <c r="D3160" s="14" t="n">
        <v>0.1</v>
      </c>
      <c r="E3160" s="257" t="n"/>
      <c r="F3160" s="319" t="n"/>
      <c r="G3160" s="319" t="n"/>
      <c r="H3160" s="319" t="n"/>
      <c r="I3160" s="319" t="n"/>
      <c r="J3160" s="319" t="n"/>
      <c r="K3160" s="319" t="n"/>
      <c r="L3160" s="319" t="n"/>
      <c r="R3160" s="514" t="inlineStr">
        <is>
          <t>E-Banker balance 31 Oct 2024</t>
        </is>
      </c>
      <c r="S3160" s="496">
        <f>IFERROR(INDEX('E-Banker master'!$P$2:$P$186,MATCH(S3157,'E-Banker master'!$A$2:$A$186,0)),"")</f>
        <v/>
      </c>
    </row>
    <row r="3161">
      <c r="B3161" s="1" t="n"/>
      <c r="C3161" s="13" t="inlineStr">
        <is>
          <t>n</t>
        </is>
      </c>
      <c r="D3161" s="16" t="n">
        <v>5</v>
      </c>
      <c r="E3161" s="1" t="n"/>
      <c r="F3161" s="319" t="n"/>
      <c r="G3161" s="319" t="n"/>
      <c r="H3161" s="319" t="n"/>
      <c r="I3161" s="319" t="n"/>
      <c r="J3161" s="319" t="n"/>
      <c r="K3161" s="1" t="n"/>
      <c r="L3161" s="1" t="n"/>
    </row>
    <row r="3162">
      <c r="B3162" s="1" t="n"/>
      <c r="C3162" s="13" t="inlineStr">
        <is>
          <t>Per</t>
        </is>
      </c>
      <c r="D3162" s="16" t="n">
        <v>12</v>
      </c>
      <c r="E3162" s="1" t="n"/>
      <c r="F3162" s="319" t="n"/>
      <c r="G3162" s="319" t="n"/>
      <c r="H3162" s="319" t="n"/>
      <c r="I3162" s="319" t="n"/>
      <c r="J3162" s="319" t="n"/>
      <c r="K3162" s="27" t="n"/>
      <c r="L3162" s="1" t="n"/>
    </row>
    <row r="3163">
      <c r="B3163" s="1" t="n"/>
      <c r="C3163" s="13" t="inlineStr">
        <is>
          <t>nPer</t>
        </is>
      </c>
      <c r="D3163" s="515">
        <f>D3161*D3162</f>
        <v/>
      </c>
      <c r="E3163" s="1" t="n"/>
      <c r="F3163" s="319" t="n"/>
      <c r="G3163" s="319" t="n"/>
      <c r="H3163" s="319" t="n"/>
      <c r="I3163" s="319" t="n"/>
      <c r="J3163" s="319" t="n"/>
      <c r="K3163" s="1" t="n"/>
      <c r="L3163" s="1" t="n"/>
    </row>
    <row r="3164">
      <c r="B3164" s="1" t="n"/>
      <c r="C3164" s="13" t="inlineStr">
        <is>
          <t>Days in a year</t>
        </is>
      </c>
      <c r="D3164" s="18" t="n">
        <v>365</v>
      </c>
      <c r="E3164" s="1" t="n"/>
      <c r="F3164" s="319" t="n"/>
      <c r="G3164" s="319" t="n"/>
      <c r="H3164" s="319" t="n"/>
      <c r="I3164" s="319" t="n"/>
      <c r="J3164" s="319" t="n"/>
      <c r="K3164" s="1" t="n"/>
      <c r="L3164" s="1" t="n"/>
    </row>
    <row r="3165">
      <c r="B3165" s="1" t="n"/>
      <c r="C3165" s="19" t="inlineStr">
        <is>
          <t>Pmt (MK)</t>
        </is>
      </c>
      <c r="D3165" s="20">
        <f>-PMT(D3160/D3162,D3163,D3159,0,0)</f>
        <v/>
      </c>
      <c r="E3165" s="319" t="n"/>
      <c r="F3165" s="319" t="n"/>
      <c r="G3165" s="319" t="n"/>
      <c r="H3165" s="319" t="n"/>
      <c r="I3165" s="319" t="n"/>
      <c r="J3165" s="319" t="n"/>
      <c r="K3165" s="1" t="n"/>
      <c r="L3165" s="1" t="n"/>
    </row>
    <row r="3166">
      <c r="B3166" s="1" t="n"/>
      <c r="C3166" s="1" t="n"/>
      <c r="D3166" s="319" t="n"/>
      <c r="E3166" s="319" t="n"/>
      <c r="F3166" s="319" t="n"/>
      <c r="G3166" s="319" t="n"/>
      <c r="H3166" s="319" t="n"/>
      <c r="I3166" s="319" t="n"/>
      <c r="J3166" s="319" t="n"/>
      <c r="K3166" s="1" t="n"/>
      <c r="L3166" s="1" t="n"/>
    </row>
    <row r="3167">
      <c r="B3167" s="1" t="n"/>
      <c r="C3167" s="21" t="inlineStr">
        <is>
          <t>Period Start</t>
        </is>
      </c>
      <c r="D3167" s="22" t="inlineStr">
        <is>
          <t>Period End</t>
        </is>
      </c>
      <c r="E3167" s="22" t="inlineStr">
        <is>
          <t>Days</t>
        </is>
      </c>
      <c r="F3167" s="294" t="inlineStr">
        <is>
          <t>Opening bal.</t>
        </is>
      </c>
      <c r="G3167" s="294" t="inlineStr">
        <is>
          <t>Pmt</t>
        </is>
      </c>
      <c r="H3167" s="294" t="inlineStr">
        <is>
          <t>Interest</t>
        </is>
      </c>
      <c r="I3167" s="294" t="inlineStr">
        <is>
          <t>Principal</t>
        </is>
      </c>
      <c r="J3167" s="294" t="inlineStr">
        <is>
          <t>Closing balance</t>
        </is>
      </c>
      <c r="K3167" s="23" t="inlineStr">
        <is>
          <t>Amount Repaid</t>
        </is>
      </c>
      <c r="L3167" s="23" t="inlineStr">
        <is>
          <t>Accumulated Arrears</t>
        </is>
      </c>
    </row>
    <row r="3168">
      <c r="B3168" s="1" t="n">
        <v>0</v>
      </c>
      <c r="C3168" s="24" t="n">
        <v>44977</v>
      </c>
      <c r="D3168" s="24" t="n">
        <v>44985</v>
      </c>
      <c r="E3168" s="25">
        <f>D3168-C3168+1</f>
        <v/>
      </c>
      <c r="F3168" s="319">
        <f>F3159</f>
        <v/>
      </c>
      <c r="G3168" s="319" t="n"/>
      <c r="H3168" s="319">
        <f>(D3160/D3162*E3168*F3168/28)</f>
        <v/>
      </c>
      <c r="I3168" s="319">
        <f>-H3168</f>
        <v/>
      </c>
      <c r="J3168" s="319">
        <f>F3168+G3159-I3168</f>
        <v/>
      </c>
      <c r="K3168" s="516" t="n"/>
      <c r="L3168" s="516" t="n"/>
    </row>
    <row r="3169">
      <c r="B3169" s="1" t="n">
        <v>1</v>
      </c>
      <c r="C3169" s="24" t="n">
        <v>44986</v>
      </c>
      <c r="D3169" s="24" t="n">
        <v>45016</v>
      </c>
      <c r="E3169" s="25">
        <f>D3169-C3169+1</f>
        <v/>
      </c>
      <c r="F3169" s="319">
        <f>J3168</f>
        <v/>
      </c>
      <c r="G3169" s="319" t="n"/>
      <c r="H3169" s="319">
        <f>($D$3160/$D$3162*F3169)</f>
        <v/>
      </c>
      <c r="I3169" s="319">
        <f>-H3169</f>
        <v/>
      </c>
      <c r="J3169" s="319">
        <f>F3169</f>
        <v/>
      </c>
      <c r="K3169" s="516" t="n"/>
      <c r="L3169" s="516" t="n"/>
    </row>
    <row r="3170">
      <c r="B3170" s="1" t="n">
        <v>2</v>
      </c>
      <c r="C3170" s="24" t="n">
        <v>45017</v>
      </c>
      <c r="D3170" s="24" t="n">
        <v>45046</v>
      </c>
      <c r="E3170" s="25">
        <f>D3170-C3170+1</f>
        <v/>
      </c>
      <c r="F3170" s="319">
        <f>J3169</f>
        <v/>
      </c>
      <c r="G3170" s="319" t="n"/>
      <c r="H3170" s="319">
        <f>($D$3160/$D$3162*F3170)</f>
        <v/>
      </c>
      <c r="I3170" s="319">
        <f>-H3170</f>
        <v/>
      </c>
      <c r="J3170" s="319">
        <f>F3170-I3170</f>
        <v/>
      </c>
    </row>
    <row r="3171">
      <c r="B3171" s="1" t="n">
        <v>3</v>
      </c>
      <c r="C3171" s="24" t="n">
        <v>45047</v>
      </c>
      <c r="D3171" s="24" t="n">
        <v>45077</v>
      </c>
      <c r="E3171" s="25">
        <f>D3171-C3171+1</f>
        <v/>
      </c>
      <c r="F3171" s="319">
        <f>J3170</f>
        <v/>
      </c>
      <c r="G3171" s="319" t="n"/>
      <c r="H3171" s="319">
        <f>($D$3160/$D$3162*F3171)</f>
        <v/>
      </c>
      <c r="I3171" s="319">
        <f>-H3171</f>
        <v/>
      </c>
      <c r="J3171" s="319">
        <f>F3171-I3171</f>
        <v/>
      </c>
      <c r="K3171" s="516" t="n"/>
      <c r="L3171" s="516" t="n"/>
    </row>
    <row r="3172">
      <c r="B3172" s="1" t="n">
        <v>4</v>
      </c>
      <c r="C3172" s="24" t="n">
        <v>45078</v>
      </c>
      <c r="D3172" s="24" t="n">
        <v>45107</v>
      </c>
      <c r="E3172" s="25">
        <f>D3172-C3172+1</f>
        <v/>
      </c>
      <c r="F3172" s="319">
        <f>J3171</f>
        <v/>
      </c>
      <c r="G3172" s="319" t="n"/>
      <c r="H3172" s="319">
        <f>($D$3160/$D$3162*F3172)</f>
        <v/>
      </c>
      <c r="I3172" s="319">
        <f>-H3172</f>
        <v/>
      </c>
      <c r="J3172" s="319">
        <f>F3172-I3172</f>
        <v/>
      </c>
      <c r="K3172" s="516" t="n"/>
      <c r="L3172" s="516" t="n"/>
    </row>
    <row r="3173">
      <c r="B3173" s="1" t="n">
        <v>5</v>
      </c>
      <c r="C3173" s="24" t="n">
        <v>45108</v>
      </c>
      <c r="D3173" s="24" t="n">
        <v>45138</v>
      </c>
      <c r="E3173" s="25">
        <f>D3173-C3173+1</f>
        <v/>
      </c>
      <c r="F3173" s="319">
        <f>J3172</f>
        <v/>
      </c>
      <c r="G3173" s="319" t="n"/>
      <c r="H3173" s="319">
        <f>($D$3160/$D$3162*F3173)</f>
        <v/>
      </c>
      <c r="I3173" s="319">
        <f>-H3173</f>
        <v/>
      </c>
      <c r="J3173" s="319">
        <f>F3173-I3173</f>
        <v/>
      </c>
      <c r="K3173" s="516" t="n"/>
      <c r="L3173" s="516" t="n"/>
    </row>
    <row r="3174">
      <c r="B3174" s="1" t="n">
        <v>6</v>
      </c>
      <c r="C3174" s="24" t="n">
        <v>45139</v>
      </c>
      <c r="D3174" s="24" t="n">
        <v>45169</v>
      </c>
      <c r="E3174" s="25">
        <f>D3174-C3174+1</f>
        <v/>
      </c>
      <c r="F3174" s="319">
        <f>J3173</f>
        <v/>
      </c>
      <c r="G3174" s="319" t="n"/>
      <c r="H3174" s="319">
        <f>($D$3160/$D$3162*F3174)</f>
        <v/>
      </c>
      <c r="I3174" s="319">
        <f>-H3174</f>
        <v/>
      </c>
      <c r="J3174" s="319">
        <f>F3174-I3174</f>
        <v/>
      </c>
      <c r="K3174" s="516" t="n"/>
      <c r="L3174" s="519" t="n"/>
    </row>
    <row r="3175">
      <c r="B3175" s="1" t="n">
        <v>7</v>
      </c>
      <c r="C3175" s="24" t="n">
        <v>45170</v>
      </c>
      <c r="D3175" s="24" t="n">
        <v>45199</v>
      </c>
      <c r="E3175" s="25">
        <f>D3175-C3175+1</f>
        <v/>
      </c>
      <c r="F3175" s="319">
        <f>J3174</f>
        <v/>
      </c>
      <c r="G3175" s="319">
        <f>-PMT($D$3160/$D$3162,54,$F$3175,,0)</f>
        <v/>
      </c>
      <c r="H3175" s="319">
        <f>($D$3160/$D$3162*F3175)</f>
        <v/>
      </c>
      <c r="I3175" s="319">
        <f>G3175-H3175</f>
        <v/>
      </c>
      <c r="J3175" s="319">
        <f>F3175-I3175</f>
        <v/>
      </c>
      <c r="K3175" s="516" t="n">
        <v>9689726.91</v>
      </c>
      <c r="L3175" s="516" t="n"/>
    </row>
    <row r="3176">
      <c r="B3176" s="1" t="n">
        <v>8</v>
      </c>
      <c r="C3176" s="24" t="n">
        <v>45200</v>
      </c>
      <c r="D3176" s="24" t="n">
        <v>45230</v>
      </c>
      <c r="E3176" s="25">
        <f>D3176-C3176+1</f>
        <v/>
      </c>
      <c r="F3176" s="319">
        <f>J3175</f>
        <v/>
      </c>
      <c r="G3176" s="319">
        <f>-PMT($D$3160/$D$3162,54,$F$3175,,0)</f>
        <v/>
      </c>
      <c r="H3176" s="319">
        <f>($D$3160/$D$3162*F3176)</f>
        <v/>
      </c>
      <c r="I3176" s="319">
        <f>G3176-H3176</f>
        <v/>
      </c>
      <c r="J3176" s="319">
        <f>F3176-I3176</f>
        <v/>
      </c>
      <c r="K3176" s="516" t="n"/>
      <c r="L3176" s="516" t="n"/>
    </row>
    <row r="3177">
      <c r="B3177" s="1" t="n">
        <v>9</v>
      </c>
      <c r="C3177" s="24" t="n">
        <v>45231</v>
      </c>
      <c r="D3177" s="24" t="n">
        <v>45260</v>
      </c>
      <c r="E3177" s="25">
        <f>D3177-C3177+1</f>
        <v/>
      </c>
      <c r="F3177" s="319">
        <f>J3176</f>
        <v/>
      </c>
      <c r="G3177" s="319">
        <f>-PMT($D$3160/$D$3162,54,$F$3175,,0)</f>
        <v/>
      </c>
      <c r="H3177" s="319">
        <f>($D$3160/$D$3162*F3177)</f>
        <v/>
      </c>
      <c r="I3177" s="319">
        <f>G3177-H3177</f>
        <v/>
      </c>
      <c r="J3177" s="319">
        <f>F3177-I3177</f>
        <v/>
      </c>
      <c r="K3177" s="516" t="n"/>
      <c r="L3177" s="519" t="n"/>
    </row>
    <row r="3178">
      <c r="B3178" s="1" t="n">
        <v>10</v>
      </c>
      <c r="C3178" s="24" t="n">
        <v>45261</v>
      </c>
      <c r="D3178" s="24" t="n">
        <v>45291</v>
      </c>
      <c r="E3178" s="25">
        <f>D3178-C3178+1</f>
        <v/>
      </c>
      <c r="F3178" s="319">
        <f>J3177</f>
        <v/>
      </c>
      <c r="G3178" s="319">
        <f>-PMT($D$3160/$D$3162,54,$F$3175,,0)</f>
        <v/>
      </c>
      <c r="H3178" s="319">
        <f>($D$3160/$D$3162*F3178)</f>
        <v/>
      </c>
      <c r="I3178" s="319">
        <f>G3178-H3178</f>
        <v/>
      </c>
      <c r="J3178" s="319">
        <f>F3178-I3178</f>
        <v/>
      </c>
      <c r="K3178" s="516" t="n"/>
      <c r="L3178" s="516">
        <f>G3178-K3178</f>
        <v/>
      </c>
    </row>
    <row r="3179">
      <c r="B3179" s="1" t="n">
        <v>11</v>
      </c>
      <c r="C3179" s="24" t="n">
        <v>45292</v>
      </c>
      <c r="D3179" s="24" t="n">
        <v>45322</v>
      </c>
      <c r="E3179" s="25">
        <f>D3179-C3179+1</f>
        <v/>
      </c>
      <c r="F3179" s="319">
        <f>J3178</f>
        <v/>
      </c>
      <c r="G3179" s="319">
        <f>-PMT($D$3160/$D$3162,54,$F$3175,,0)</f>
        <v/>
      </c>
      <c r="H3179" s="319">
        <f>($D$3160/$D$3162*F3179)</f>
        <v/>
      </c>
      <c r="I3179" s="319">
        <f>G3179-H3179</f>
        <v/>
      </c>
      <c r="J3179" s="319">
        <f>F3179-I3179</f>
        <v/>
      </c>
      <c r="K3179" s="516">
        <f>3229908.97+3229908.97</f>
        <v/>
      </c>
      <c r="L3179" s="516">
        <f>+G3178+L3178-K3179</f>
        <v/>
      </c>
    </row>
    <row r="3180">
      <c r="B3180" s="1" t="n">
        <v>12</v>
      </c>
      <c r="C3180" s="24" t="n">
        <v>45323</v>
      </c>
      <c r="D3180" s="24" t="n">
        <v>45351</v>
      </c>
      <c r="E3180" s="25">
        <f>D3180-C3180+1</f>
        <v/>
      </c>
      <c r="F3180" s="319">
        <f>J3179</f>
        <v/>
      </c>
      <c r="G3180" s="319">
        <f>-PMT($D$3160/$D$3162,54,$F$3175,,0)</f>
        <v/>
      </c>
      <c r="H3180" s="319" t="n">
        <v>1070248.837338458</v>
      </c>
      <c r="I3180" s="319">
        <f>G3180-H3180</f>
        <v/>
      </c>
      <c r="J3180" s="319">
        <f>F3180-I3180+H3159</f>
        <v/>
      </c>
      <c r="K3180" s="516" t="n">
        <v>3229908.97</v>
      </c>
      <c r="L3180" s="516">
        <f>+G3179+L3179-K3180</f>
        <v/>
      </c>
    </row>
    <row r="3181">
      <c r="B3181" s="1" t="n">
        <v>13</v>
      </c>
      <c r="C3181" s="24" t="n">
        <v>45352</v>
      </c>
      <c r="D3181" s="24" t="n">
        <v>45382</v>
      </c>
      <c r="E3181" s="25">
        <f>D3181-C3181+1</f>
        <v/>
      </c>
      <c r="F3181" s="319">
        <f>J3180</f>
        <v/>
      </c>
      <c r="G3181" s="319">
        <f>-PMT($D$3160/$D$3162,48,$F$3181,,0)</f>
        <v/>
      </c>
      <c r="H3181" s="319">
        <f>($D$3160/$D$3162*F3181)</f>
        <v/>
      </c>
      <c r="I3181" s="319">
        <f>G3181-H3181</f>
        <v/>
      </c>
      <c r="J3181" s="319">
        <f>F3181-I3181</f>
        <v/>
      </c>
      <c r="K3181" s="516" t="n"/>
      <c r="L3181" s="516">
        <f>+G3180+L3180-K3181</f>
        <v/>
      </c>
    </row>
    <row r="3182">
      <c r="B3182" s="1" t="n">
        <v>14</v>
      </c>
      <c r="C3182" s="24" t="n">
        <v>45383</v>
      </c>
      <c r="D3182" s="24" t="n">
        <v>45412</v>
      </c>
      <c r="E3182" s="25">
        <f>D3182-C3182+1</f>
        <v/>
      </c>
      <c r="F3182" s="319">
        <f>J3181</f>
        <v/>
      </c>
      <c r="G3182" s="319">
        <f>-PMT($D$3160/$D$3162,48,$F$3181,,0)</f>
        <v/>
      </c>
      <c r="H3182" s="319">
        <f>($D$3160/$D$3162*F3182)</f>
        <v/>
      </c>
      <c r="I3182" s="319">
        <f>G3182-H3182</f>
        <v/>
      </c>
      <c r="J3182" s="319">
        <f>F3182-I3182</f>
        <v/>
      </c>
      <c r="K3182" s="516" t="n">
        <v>3060573.76</v>
      </c>
      <c r="L3182" s="516">
        <f>+G3181+L3181-K3182</f>
        <v/>
      </c>
    </row>
    <row r="3183">
      <c r="B3183" s="1" t="n">
        <v>15</v>
      </c>
      <c r="C3183" s="24" t="n">
        <v>45413</v>
      </c>
      <c r="D3183" s="24" t="n">
        <v>45443</v>
      </c>
      <c r="E3183" s="25">
        <f>D3183-C3183+1</f>
        <v/>
      </c>
      <c r="F3183" s="319">
        <f>J3182</f>
        <v/>
      </c>
      <c r="G3183" s="319">
        <f>-PMT($D$3160/$D$3162,48,$F$3181,,0)</f>
        <v/>
      </c>
      <c r="H3183" s="319">
        <f>($D$3160/$D$3162*F3183)</f>
        <v/>
      </c>
      <c r="I3183" s="319">
        <f>G3183-H3183</f>
        <v/>
      </c>
      <c r="J3183" s="319">
        <f>F3183-I3183</f>
        <v/>
      </c>
      <c r="K3183" s="516" t="n"/>
      <c r="L3183" s="516">
        <f>+G3182+L3182-K3183</f>
        <v/>
      </c>
      <c r="M3183" s="237" t="n"/>
      <c r="N3183" s="148" t="n"/>
    </row>
    <row r="3184">
      <c r="B3184" s="1" t="n">
        <v>16</v>
      </c>
      <c r="C3184" s="24" t="n">
        <v>45444</v>
      </c>
      <c r="D3184" s="24" t="n">
        <v>45473</v>
      </c>
      <c r="E3184" s="25">
        <f>D3184-C3184+1</f>
        <v/>
      </c>
      <c r="F3184" s="319">
        <f>J3183</f>
        <v/>
      </c>
      <c r="G3184" s="319">
        <f>-PMT($D$3160/$D$3162,48,$F$3181,,0)</f>
        <v/>
      </c>
      <c r="H3184" s="319">
        <f>($D$3160/$D$3162*F3184)</f>
        <v/>
      </c>
      <c r="I3184" s="319">
        <f>G3184-H3184</f>
        <v/>
      </c>
      <c r="J3184" s="319">
        <f>F3184-I3184</f>
        <v/>
      </c>
      <c r="K3184" s="516" t="n"/>
      <c r="L3184" s="516">
        <f>+G3183+L3183-K3184</f>
        <v/>
      </c>
    </row>
    <row r="3185">
      <c r="B3185" s="1" t="n">
        <v>17</v>
      </c>
      <c r="C3185" s="24" t="n">
        <v>45474</v>
      </c>
      <c r="D3185" s="24" t="n">
        <v>45504</v>
      </c>
      <c r="E3185" s="25">
        <f>D3185-C3185+1</f>
        <v/>
      </c>
      <c r="F3185" s="319">
        <f>J3184</f>
        <v/>
      </c>
      <c r="G3185" s="319">
        <f>-PMT($D$3160/$D$3162,48,$F$3181,,0)</f>
        <v/>
      </c>
      <c r="H3185" s="319">
        <f>($D$3160/$D$3162*F3185)</f>
        <v/>
      </c>
      <c r="I3185" s="319">
        <f>G3185-H3185</f>
        <v/>
      </c>
      <c r="J3185" s="319">
        <f>F3185-I3185</f>
        <v/>
      </c>
      <c r="K3185" s="516" t="n">
        <v>11280702.77</v>
      </c>
      <c r="L3185" s="516">
        <f>+G3184+L3184-K3185</f>
        <v/>
      </c>
    </row>
    <row r="3186">
      <c r="B3186" s="1" t="n">
        <v>18</v>
      </c>
      <c r="C3186" s="24" t="n">
        <v>45505</v>
      </c>
      <c r="D3186" s="24" t="n">
        <v>45535</v>
      </c>
      <c r="E3186" s="25">
        <f>D3186-C3186+1</f>
        <v/>
      </c>
      <c r="F3186" s="319">
        <f>J3185</f>
        <v/>
      </c>
      <c r="G3186" s="319">
        <f>-PMT($D$3160/$D$3162,48,$F$3181,,0)</f>
        <v/>
      </c>
      <c r="H3186" s="319">
        <f>($D$3160/$D$3162*F3186)</f>
        <v/>
      </c>
      <c r="I3186" s="319">
        <f>G3186-H3186</f>
        <v/>
      </c>
      <c r="J3186" s="319">
        <f>F3186-I3186</f>
        <v/>
      </c>
      <c r="K3186" s="516">
        <f>3739380.47+100963272.7</f>
        <v/>
      </c>
      <c r="L3186" s="537">
        <f>+G3185+L3185-K3186</f>
        <v/>
      </c>
    </row>
    <row r="3187">
      <c r="B3187" s="1" t="n">
        <v>19</v>
      </c>
      <c r="C3187" s="24" t="n">
        <v>45536</v>
      </c>
      <c r="D3187" s="24" t="n">
        <v>45565</v>
      </c>
      <c r="E3187" s="25">
        <f>D3187-C3187+1</f>
        <v/>
      </c>
      <c r="F3187" s="319">
        <f>J3186</f>
        <v/>
      </c>
      <c r="G3187" s="319">
        <f>-PMT($D$3160/$D$3162,48,$F$3181,,0)</f>
        <v/>
      </c>
      <c r="H3187" s="319">
        <f>($D$3160/$D$3162*F3187)</f>
        <v/>
      </c>
      <c r="I3187" s="319">
        <f>G3187-H3187</f>
        <v/>
      </c>
      <c r="J3187" s="319">
        <f>F3187-I3187</f>
        <v/>
      </c>
      <c r="K3187" s="516" t="n"/>
      <c r="L3187" s="537">
        <f>+G3186+L3186-K3187</f>
        <v/>
      </c>
    </row>
    <row r="3188">
      <c r="B3188" s="1" t="n">
        <v>20</v>
      </c>
      <c r="C3188" s="24" t="n">
        <v>45566</v>
      </c>
      <c r="D3188" s="24" t="n">
        <v>45596</v>
      </c>
      <c r="E3188" s="25">
        <f>D3188-C3188+1</f>
        <v/>
      </c>
      <c r="F3188" s="319">
        <f>J3187</f>
        <v/>
      </c>
      <c r="G3188" s="319">
        <f>-PMT($D$3160/$D$3162,48,$F$3181,,0)</f>
        <v/>
      </c>
      <c r="H3188" s="319">
        <f>($D$3160/$D$3162*F3188)</f>
        <v/>
      </c>
      <c r="I3188" s="319">
        <f>G3188-H3188</f>
        <v/>
      </c>
      <c r="J3188" s="319">
        <f>F3188-I3188</f>
        <v/>
      </c>
      <c r="K3188" s="516" t="n"/>
      <c r="L3188" s="516" t="n"/>
    </row>
    <row r="3189">
      <c r="B3189" s="1" t="n">
        <v>21</v>
      </c>
      <c r="C3189" s="24" t="n">
        <v>45597</v>
      </c>
      <c r="D3189" s="24" t="n">
        <v>45626</v>
      </c>
      <c r="E3189" s="25">
        <f>D3189-C3189+1</f>
        <v/>
      </c>
      <c r="F3189" s="319">
        <f>J3188</f>
        <v/>
      </c>
      <c r="G3189" s="319">
        <f>-PMT($D$3160/$D$3162,48,$F$3181,,0)</f>
        <v/>
      </c>
      <c r="H3189" s="319">
        <f>($D$3160/$D$3162*F3189)</f>
        <v/>
      </c>
      <c r="I3189" s="319">
        <f>G3189-H3189</f>
        <v/>
      </c>
      <c r="J3189" s="319">
        <f>F3189-I3189</f>
        <v/>
      </c>
      <c r="K3189" s="516" t="n"/>
      <c r="L3189" s="516" t="n"/>
    </row>
    <row r="3190">
      <c r="B3190" s="1" t="n">
        <v>22</v>
      </c>
      <c r="C3190" s="24" t="n">
        <v>45627</v>
      </c>
      <c r="D3190" s="24" t="n">
        <v>45657</v>
      </c>
      <c r="E3190" s="25">
        <f>D3190-C3190+1</f>
        <v/>
      </c>
      <c r="F3190" s="319">
        <f>J3189</f>
        <v/>
      </c>
      <c r="G3190" s="319">
        <f>-PMT($D$3160/$D$3162,48,$F$3181,,0)</f>
        <v/>
      </c>
      <c r="H3190" s="319">
        <f>($D$3160/$D$3162*F3190)</f>
        <v/>
      </c>
      <c r="I3190" s="319">
        <f>G3190-H3190</f>
        <v/>
      </c>
      <c r="J3190" s="319">
        <f>F3190-I3190</f>
        <v/>
      </c>
      <c r="K3190" s="516" t="n"/>
      <c r="L3190" s="516" t="n"/>
    </row>
    <row r="3191">
      <c r="B3191" s="1" t="n">
        <v>23</v>
      </c>
      <c r="C3191" s="24" t="n">
        <v>45658</v>
      </c>
      <c r="D3191" s="24" t="n">
        <v>45688</v>
      </c>
      <c r="E3191" s="25">
        <f>D3191-C3191+1</f>
        <v/>
      </c>
      <c r="F3191" s="319">
        <f>J3190</f>
        <v/>
      </c>
      <c r="G3191" s="319">
        <f>-PMT($D$3160/$D$3162,48,$F$3181,,0)</f>
        <v/>
      </c>
      <c r="H3191" s="319">
        <f>($D$3160/$D$3162*F3191)</f>
        <v/>
      </c>
      <c r="I3191" s="319">
        <f>G3191-H3191</f>
        <v/>
      </c>
      <c r="J3191" s="319">
        <f>F3191-I3191</f>
        <v/>
      </c>
      <c r="K3191" s="516" t="n"/>
      <c r="L3191" s="516" t="n"/>
    </row>
    <row r="3192">
      <c r="B3192" s="1" t="n">
        <v>24</v>
      </c>
      <c r="C3192" s="24" t="n">
        <v>45689</v>
      </c>
      <c r="D3192" s="24" t="n">
        <v>45716</v>
      </c>
      <c r="E3192" s="25">
        <f>D3192-C3192+1</f>
        <v/>
      </c>
      <c r="F3192" s="319">
        <f>J3191</f>
        <v/>
      </c>
      <c r="G3192" s="319">
        <f>-PMT($D$3160/$D$3162,48,$F$3181,,0)</f>
        <v/>
      </c>
      <c r="H3192" s="319">
        <f>($D$3160/$D$3162*F3192)</f>
        <v/>
      </c>
      <c r="I3192" s="319">
        <f>G3192-H3192</f>
        <v/>
      </c>
      <c r="J3192" s="319">
        <f>F3192-I3192</f>
        <v/>
      </c>
      <c r="K3192" s="516" t="n"/>
      <c r="L3192" s="516" t="n"/>
    </row>
    <row r="3193">
      <c r="B3193" s="1" t="n">
        <v>25</v>
      </c>
      <c r="C3193" s="24" t="n">
        <v>45689</v>
      </c>
      <c r="D3193" s="24" t="n">
        <v>45716</v>
      </c>
      <c r="E3193" s="25">
        <f>D3193-C3193+1</f>
        <v/>
      </c>
      <c r="F3193" s="319">
        <f>J3192</f>
        <v/>
      </c>
      <c r="G3193" s="319">
        <f>-PMT($D$3160/$D$3162,48,$F$3181,,0)</f>
        <v/>
      </c>
      <c r="H3193" s="319">
        <f>($D$3160/$D$3162*F3193)</f>
        <v/>
      </c>
      <c r="I3193" s="319">
        <f>G3193-H3193</f>
        <v/>
      </c>
      <c r="J3193" s="319">
        <f>F3193-I3193</f>
        <v/>
      </c>
      <c r="K3193" s="516" t="n"/>
      <c r="L3193" s="516" t="n"/>
    </row>
    <row r="3194">
      <c r="B3194" s="1" t="n">
        <v>26</v>
      </c>
      <c r="C3194" s="24" t="n">
        <v>45689</v>
      </c>
      <c r="D3194" s="24" t="n">
        <v>45716</v>
      </c>
      <c r="E3194" s="25">
        <f>D3194-C3194+1</f>
        <v/>
      </c>
      <c r="F3194" s="319">
        <f>J3193</f>
        <v/>
      </c>
      <c r="G3194" s="319">
        <f>-PMT($D$3160/$D$3162,48,$F$3181,,0)</f>
        <v/>
      </c>
      <c r="H3194" s="319">
        <f>($D$3160/$D$3162*F3194)</f>
        <v/>
      </c>
      <c r="I3194" s="319">
        <f>G3194-H3194</f>
        <v/>
      </c>
      <c r="J3194" s="319">
        <f>F3194-I3194</f>
        <v/>
      </c>
      <c r="K3194" s="516" t="n"/>
      <c r="L3194" s="516" t="n"/>
    </row>
    <row r="3195">
      <c r="B3195" s="1" t="n">
        <v>27</v>
      </c>
      <c r="C3195" s="24" t="n">
        <v>45689</v>
      </c>
      <c r="D3195" s="24" t="n">
        <v>45716</v>
      </c>
      <c r="E3195" s="25">
        <f>D3195-C3195+1</f>
        <v/>
      </c>
      <c r="F3195" s="319">
        <f>J3194</f>
        <v/>
      </c>
      <c r="G3195" s="319">
        <f>-PMT($D$3160/$D$3162,48,$F$3181,,0)</f>
        <v/>
      </c>
      <c r="H3195" s="319">
        <f>($D$3160/$D$3162*F3195)</f>
        <v/>
      </c>
      <c r="I3195" s="319">
        <f>G3195-H3195</f>
        <v/>
      </c>
      <c r="J3195" s="319">
        <f>F3195-I3195</f>
        <v/>
      </c>
      <c r="K3195" s="516" t="n"/>
      <c r="L3195" s="516" t="n"/>
    </row>
    <row r="3196">
      <c r="B3196" s="1" t="n">
        <v>28</v>
      </c>
      <c r="C3196" s="24" t="n">
        <v>45689</v>
      </c>
      <c r="D3196" s="24" t="n">
        <v>45716</v>
      </c>
      <c r="E3196" s="25">
        <f>D3196-C3196+1</f>
        <v/>
      </c>
      <c r="F3196" s="319">
        <f>J3195</f>
        <v/>
      </c>
      <c r="G3196" s="319">
        <f>-PMT($D$3160/$D$3162,48,$F$3181,,0)</f>
        <v/>
      </c>
      <c r="H3196" s="319">
        <f>($D$3160/$D$3162*F3196)</f>
        <v/>
      </c>
      <c r="I3196" s="319">
        <f>G3196-H3196</f>
        <v/>
      </c>
      <c r="J3196" s="319">
        <f>F3196-I3196</f>
        <v/>
      </c>
      <c r="K3196" s="516" t="n"/>
      <c r="L3196" s="516" t="n"/>
    </row>
    <row r="3197">
      <c r="B3197" s="1" t="n">
        <v>29</v>
      </c>
      <c r="C3197" s="24" t="n">
        <v>45689</v>
      </c>
      <c r="D3197" s="24" t="n">
        <v>45716</v>
      </c>
      <c r="E3197" s="25">
        <f>D3197-C3197+1</f>
        <v/>
      </c>
      <c r="F3197" s="319">
        <f>J3196</f>
        <v/>
      </c>
      <c r="G3197" s="319">
        <f>-PMT($D$3160/$D$3162,48,$F$3181,,0)</f>
        <v/>
      </c>
      <c r="H3197" s="319">
        <f>($D$3160/$D$3162*F3197)</f>
        <v/>
      </c>
      <c r="I3197" s="319">
        <f>G3197-H3197</f>
        <v/>
      </c>
      <c r="J3197" s="319">
        <f>F3197-I3197</f>
        <v/>
      </c>
      <c r="K3197" s="516" t="n"/>
      <c r="L3197" s="516" t="n"/>
    </row>
    <row r="3198">
      <c r="B3198" s="1" t="n">
        <v>30</v>
      </c>
      <c r="C3198" s="24" t="n">
        <v>45689</v>
      </c>
      <c r="D3198" s="24" t="n">
        <v>45716</v>
      </c>
      <c r="E3198" s="25">
        <f>D3198-C3198+1</f>
        <v/>
      </c>
      <c r="F3198" s="319">
        <f>J3197</f>
        <v/>
      </c>
      <c r="G3198" s="319">
        <f>-PMT($D$3160/$D$3162,48,$F$3181,,0)</f>
        <v/>
      </c>
      <c r="H3198" s="319">
        <f>($D$3160/$D$3162*F3198)</f>
        <v/>
      </c>
      <c r="I3198" s="319">
        <f>G3198-H3198</f>
        <v/>
      </c>
      <c r="J3198" s="319">
        <f>F3198-I3198</f>
        <v/>
      </c>
      <c r="K3198" s="516" t="n"/>
      <c r="L3198" s="516" t="n"/>
    </row>
    <row r="3199">
      <c r="B3199" s="1" t="n">
        <v>31</v>
      </c>
      <c r="C3199" s="24" t="n">
        <v>45689</v>
      </c>
      <c r="D3199" s="24" t="n">
        <v>45716</v>
      </c>
      <c r="E3199" s="25">
        <f>D3199-C3199+1</f>
        <v/>
      </c>
      <c r="F3199" s="319">
        <f>J3198</f>
        <v/>
      </c>
      <c r="G3199" s="319">
        <f>-PMT($D$3160/$D$3162,48,$F$3181,,0)</f>
        <v/>
      </c>
      <c r="H3199" s="319">
        <f>($D$3160/$D$3162*F3199)</f>
        <v/>
      </c>
      <c r="I3199" s="319">
        <f>G3199-H3199</f>
        <v/>
      </c>
      <c r="J3199" s="319">
        <f>F3199-I3199</f>
        <v/>
      </c>
      <c r="K3199" s="516" t="n"/>
      <c r="L3199" s="516" t="n"/>
    </row>
    <row r="3200">
      <c r="B3200" s="1" t="n">
        <v>32</v>
      </c>
      <c r="C3200" s="24" t="n">
        <v>45689</v>
      </c>
      <c r="D3200" s="24" t="n">
        <v>45716</v>
      </c>
      <c r="E3200" s="25">
        <f>D3200-C3200+1</f>
        <v/>
      </c>
      <c r="F3200" s="319">
        <f>J3199</f>
        <v/>
      </c>
      <c r="G3200" s="319">
        <f>-PMT($D$3160/$D$3162,48,$F$3181,,0)</f>
        <v/>
      </c>
      <c r="H3200" s="319">
        <f>($D$3160/$D$3162*F3200)</f>
        <v/>
      </c>
      <c r="I3200" s="319">
        <f>G3200-H3200</f>
        <v/>
      </c>
      <c r="J3200" s="319">
        <f>F3200-I3200</f>
        <v/>
      </c>
      <c r="K3200" s="516" t="n"/>
      <c r="L3200" s="516" t="n"/>
    </row>
    <row r="3201">
      <c r="B3201" s="1" t="n">
        <v>33</v>
      </c>
      <c r="C3201" s="24" t="n">
        <v>45689</v>
      </c>
      <c r="D3201" s="24" t="n">
        <v>45716</v>
      </c>
      <c r="E3201" s="25">
        <f>D3201-C3201+1</f>
        <v/>
      </c>
      <c r="F3201" s="319">
        <f>J3200</f>
        <v/>
      </c>
      <c r="G3201" s="319">
        <f>-PMT($D$3160/$D$3162,48,$F$3181,,0)</f>
        <v/>
      </c>
      <c r="H3201" s="319">
        <f>($D$3160/$D$3162*F3201)</f>
        <v/>
      </c>
      <c r="I3201" s="319">
        <f>G3201-H3201</f>
        <v/>
      </c>
      <c r="J3201" s="319">
        <f>F3201-I3201</f>
        <v/>
      </c>
      <c r="K3201" s="516" t="n"/>
      <c r="L3201" s="516" t="n"/>
    </row>
    <row r="3202">
      <c r="B3202" s="1" t="n">
        <v>34</v>
      </c>
      <c r="C3202" s="24" t="n">
        <v>45689</v>
      </c>
      <c r="D3202" s="24" t="n">
        <v>45716</v>
      </c>
      <c r="E3202" s="25">
        <f>D3202-C3202+1</f>
        <v/>
      </c>
      <c r="F3202" s="319">
        <f>J3201</f>
        <v/>
      </c>
      <c r="G3202" s="319">
        <f>-PMT($D$3160/$D$3162,48,$F$3181,,0)</f>
        <v/>
      </c>
      <c r="H3202" s="319">
        <f>($D$3160/$D$3162*F3202)</f>
        <v/>
      </c>
      <c r="I3202" s="319">
        <f>G3202-H3202</f>
        <v/>
      </c>
      <c r="J3202" s="319">
        <f>F3202-I3202</f>
        <v/>
      </c>
      <c r="K3202" s="516" t="n"/>
      <c r="L3202" s="516" t="n"/>
    </row>
    <row r="3203">
      <c r="B3203" s="1" t="n">
        <v>35</v>
      </c>
      <c r="C3203" s="24" t="n">
        <v>45689</v>
      </c>
      <c r="D3203" s="24" t="n">
        <v>45716</v>
      </c>
      <c r="E3203" s="25">
        <f>D3203-C3203+1</f>
        <v/>
      </c>
      <c r="F3203" s="319">
        <f>J3202</f>
        <v/>
      </c>
      <c r="G3203" s="319">
        <f>-PMT($D$3160/$D$3162,48,$F$3181,,0)</f>
        <v/>
      </c>
      <c r="H3203" s="319">
        <f>($D$3160/$D$3162*F3203)</f>
        <v/>
      </c>
      <c r="I3203" s="319">
        <f>G3203-H3203</f>
        <v/>
      </c>
      <c r="J3203" s="319">
        <f>F3203-I3203</f>
        <v/>
      </c>
      <c r="K3203" s="516" t="n"/>
      <c r="L3203" s="516" t="n"/>
    </row>
    <row r="3204">
      <c r="B3204" s="1" t="n">
        <v>36</v>
      </c>
      <c r="C3204" s="24" t="n">
        <v>45689</v>
      </c>
      <c r="D3204" s="24" t="n">
        <v>45716</v>
      </c>
      <c r="E3204" s="25">
        <f>D3204-C3204+1</f>
        <v/>
      </c>
      <c r="F3204" s="319">
        <f>J3203</f>
        <v/>
      </c>
      <c r="G3204" s="319">
        <f>-PMT($D$3160/$D$3162,48,$F$3181,,0)</f>
        <v/>
      </c>
      <c r="H3204" s="319">
        <f>($D$3160/$D$3162*F3204)</f>
        <v/>
      </c>
      <c r="I3204" s="319">
        <f>G3204-H3204</f>
        <v/>
      </c>
      <c r="J3204" s="319">
        <f>F3204-I3204</f>
        <v/>
      </c>
      <c r="K3204" s="516" t="n"/>
      <c r="L3204" s="516" t="n"/>
    </row>
    <row r="3205">
      <c r="B3205" s="1" t="n">
        <v>37</v>
      </c>
      <c r="C3205" s="24" t="n">
        <v>45689</v>
      </c>
      <c r="D3205" s="24" t="n">
        <v>45716</v>
      </c>
      <c r="E3205" s="25">
        <f>D3205-C3205+1</f>
        <v/>
      </c>
      <c r="F3205" s="319">
        <f>J3204</f>
        <v/>
      </c>
      <c r="G3205" s="319">
        <f>-PMT($D$3160/$D$3162,48,$F$3181,,0)</f>
        <v/>
      </c>
      <c r="H3205" s="319">
        <f>($D$3160/$D$3162*F3205)</f>
        <v/>
      </c>
      <c r="I3205" s="319">
        <f>G3205-H3205</f>
        <v/>
      </c>
      <c r="J3205" s="319">
        <f>F3205-I3205</f>
        <v/>
      </c>
      <c r="K3205" s="516" t="n"/>
      <c r="L3205" s="516" t="n"/>
    </row>
    <row r="3206">
      <c r="B3206" s="1" t="n">
        <v>38</v>
      </c>
      <c r="C3206" s="24" t="n">
        <v>45689</v>
      </c>
      <c r="D3206" s="24" t="n">
        <v>45716</v>
      </c>
      <c r="E3206" s="25">
        <f>D3206-C3206+1</f>
        <v/>
      </c>
      <c r="F3206" s="319">
        <f>J3205</f>
        <v/>
      </c>
      <c r="G3206" s="319">
        <f>-PMT($D$3160/$D$3162,48,$F$3181,,0)</f>
        <v/>
      </c>
      <c r="H3206" s="319">
        <f>($D$3160/$D$3162*F3206)</f>
        <v/>
      </c>
      <c r="I3206" s="319">
        <f>G3206-H3206</f>
        <v/>
      </c>
      <c r="J3206" s="319">
        <f>F3206-I3206</f>
        <v/>
      </c>
      <c r="K3206" s="516" t="n"/>
      <c r="L3206" s="516" t="n"/>
    </row>
    <row r="3207">
      <c r="B3207" s="1" t="n">
        <v>39</v>
      </c>
      <c r="C3207" s="24" t="n">
        <v>45689</v>
      </c>
      <c r="D3207" s="24" t="n">
        <v>45716</v>
      </c>
      <c r="E3207" s="25">
        <f>D3207-C3207+1</f>
        <v/>
      </c>
      <c r="F3207" s="319">
        <f>J3206</f>
        <v/>
      </c>
      <c r="G3207" s="319">
        <f>-PMT($D$3160/$D$3162,48,$F$3181,,0)</f>
        <v/>
      </c>
      <c r="H3207" s="319">
        <f>($D$3160/$D$3162*F3207)</f>
        <v/>
      </c>
      <c r="I3207" s="319">
        <f>G3207-H3207</f>
        <v/>
      </c>
      <c r="J3207" s="319">
        <f>F3207-I3207</f>
        <v/>
      </c>
      <c r="K3207" s="516" t="n"/>
      <c r="L3207" s="516" t="n"/>
    </row>
    <row r="3208">
      <c r="B3208" s="1" t="n">
        <v>40</v>
      </c>
      <c r="C3208" s="24" t="n">
        <v>45689</v>
      </c>
      <c r="D3208" s="24" t="n">
        <v>45716</v>
      </c>
      <c r="E3208" s="25">
        <f>D3208-C3208+1</f>
        <v/>
      </c>
      <c r="F3208" s="319">
        <f>J3207</f>
        <v/>
      </c>
      <c r="G3208" s="319">
        <f>-PMT($D$3160/$D$3162,48,$F$3181,,0)</f>
        <v/>
      </c>
      <c r="H3208" s="319">
        <f>($D$3160/$D$3162*F3208)</f>
        <v/>
      </c>
      <c r="I3208" s="319">
        <f>G3208-H3208</f>
        <v/>
      </c>
      <c r="J3208" s="319">
        <f>F3208-I3208</f>
        <v/>
      </c>
      <c r="K3208" s="516" t="n"/>
      <c r="L3208" s="516" t="n"/>
    </row>
    <row r="3209">
      <c r="B3209" s="1" t="n">
        <v>41</v>
      </c>
      <c r="C3209" s="24" t="n">
        <v>45689</v>
      </c>
      <c r="D3209" s="24" t="n">
        <v>45716</v>
      </c>
      <c r="E3209" s="25">
        <f>D3209-C3209+1</f>
        <v/>
      </c>
      <c r="F3209" s="319">
        <f>J3208</f>
        <v/>
      </c>
      <c r="G3209" s="319">
        <f>-PMT($D$3160/$D$3162,48,$F$3181,,0)</f>
        <v/>
      </c>
      <c r="H3209" s="319">
        <f>($D$3160/$D$3162*F3209)</f>
        <v/>
      </c>
      <c r="I3209" s="319">
        <f>G3209-H3209</f>
        <v/>
      </c>
      <c r="J3209" s="319">
        <f>F3209-I3209</f>
        <v/>
      </c>
      <c r="K3209" s="516" t="n"/>
      <c r="L3209" s="516" t="n"/>
    </row>
    <row r="3210">
      <c r="B3210" s="1" t="n">
        <v>42</v>
      </c>
      <c r="C3210" s="24" t="n">
        <v>45689</v>
      </c>
      <c r="D3210" s="24" t="n">
        <v>45716</v>
      </c>
      <c r="E3210" s="25">
        <f>D3210-C3210+1</f>
        <v/>
      </c>
      <c r="F3210" s="319">
        <f>J3209</f>
        <v/>
      </c>
      <c r="G3210" s="319">
        <f>-PMT($D$3160/$D$3162,48,$F$3181,,0)</f>
        <v/>
      </c>
      <c r="H3210" s="319">
        <f>($D$3160/$D$3162*F3210)</f>
        <v/>
      </c>
      <c r="I3210" s="319">
        <f>G3210-H3210</f>
        <v/>
      </c>
      <c r="J3210" s="319">
        <f>F3210-I3210</f>
        <v/>
      </c>
      <c r="K3210" s="516" t="n"/>
      <c r="L3210" s="516" t="n"/>
    </row>
    <row r="3211">
      <c r="B3211" s="1" t="n">
        <v>43</v>
      </c>
      <c r="C3211" s="24" t="n">
        <v>45689</v>
      </c>
      <c r="D3211" s="24" t="n">
        <v>45716</v>
      </c>
      <c r="E3211" s="25">
        <f>D3211-C3211+1</f>
        <v/>
      </c>
      <c r="F3211" s="319">
        <f>J3210</f>
        <v/>
      </c>
      <c r="G3211" s="319">
        <f>-PMT($D$3160/$D$3162,48,$F$3181,,0)</f>
        <v/>
      </c>
      <c r="H3211" s="319">
        <f>($D$3160/$D$3162*F3211)</f>
        <v/>
      </c>
      <c r="I3211" s="319">
        <f>G3211-H3211</f>
        <v/>
      </c>
      <c r="J3211" s="319">
        <f>F3211-I3211</f>
        <v/>
      </c>
      <c r="K3211" s="516" t="n"/>
      <c r="L3211" s="516" t="n"/>
    </row>
    <row r="3212">
      <c r="B3212" s="1" t="n">
        <v>44</v>
      </c>
      <c r="C3212" s="24" t="n">
        <v>45689</v>
      </c>
      <c r="D3212" s="24" t="n">
        <v>45716</v>
      </c>
      <c r="E3212" s="25">
        <f>D3212-C3212+1</f>
        <v/>
      </c>
      <c r="F3212" s="319">
        <f>J3211</f>
        <v/>
      </c>
      <c r="G3212" s="319">
        <f>-PMT($D$3160/$D$3162,48,$F$3181,,0)</f>
        <v/>
      </c>
      <c r="H3212" s="319">
        <f>($D$3160/$D$3162*F3212)</f>
        <v/>
      </c>
      <c r="I3212" s="319">
        <f>G3212-H3212</f>
        <v/>
      </c>
      <c r="J3212" s="319">
        <f>F3212-I3212</f>
        <v/>
      </c>
      <c r="K3212" s="516" t="n"/>
      <c r="L3212" s="516" t="n"/>
    </row>
    <row r="3213">
      <c r="B3213" s="1" t="n">
        <v>45</v>
      </c>
      <c r="C3213" s="24" t="n">
        <v>45689</v>
      </c>
      <c r="D3213" s="24" t="n">
        <v>45716</v>
      </c>
      <c r="E3213" s="25">
        <f>D3213-C3213+1</f>
        <v/>
      </c>
      <c r="F3213" s="319">
        <f>J3212</f>
        <v/>
      </c>
      <c r="G3213" s="319">
        <f>-PMT($D$3160/$D$3162,48,$F$3181,,0)</f>
        <v/>
      </c>
      <c r="H3213" s="319">
        <f>($D$3160/$D$3162*F3213)</f>
        <v/>
      </c>
      <c r="I3213" s="319">
        <f>G3213-H3213</f>
        <v/>
      </c>
      <c r="J3213" s="319">
        <f>F3213-I3213</f>
        <v/>
      </c>
      <c r="K3213" s="516" t="n"/>
      <c r="L3213" s="516" t="n"/>
    </row>
    <row r="3214">
      <c r="B3214" s="1" t="n">
        <v>46</v>
      </c>
      <c r="C3214" s="24" t="n">
        <v>45689</v>
      </c>
      <c r="D3214" s="24" t="n">
        <v>45716</v>
      </c>
      <c r="E3214" s="25">
        <f>D3214-C3214+1</f>
        <v/>
      </c>
      <c r="F3214" s="319">
        <f>J3213</f>
        <v/>
      </c>
      <c r="G3214" s="319">
        <f>-PMT($D$3160/$D$3162,48,$F$3181,,0)</f>
        <v/>
      </c>
      <c r="H3214" s="319">
        <f>($D$3160/$D$3162*F3214)</f>
        <v/>
      </c>
      <c r="I3214" s="319">
        <f>G3214-H3214</f>
        <v/>
      </c>
      <c r="J3214" s="319">
        <f>F3214-I3214</f>
        <v/>
      </c>
      <c r="K3214" s="516" t="n"/>
      <c r="L3214" s="516" t="n"/>
    </row>
    <row r="3215">
      <c r="B3215" s="1" t="n">
        <v>47</v>
      </c>
      <c r="C3215" s="24" t="n">
        <v>45689</v>
      </c>
      <c r="D3215" s="24" t="n">
        <v>45716</v>
      </c>
      <c r="E3215" s="25">
        <f>D3215-C3215+1</f>
        <v/>
      </c>
      <c r="F3215" s="319">
        <f>J3214</f>
        <v/>
      </c>
      <c r="G3215" s="319">
        <f>-PMT($D$3160/$D$3162,48,$F$3181,,0)</f>
        <v/>
      </c>
      <c r="H3215" s="319">
        <f>($D$3160/$D$3162*F3215)</f>
        <v/>
      </c>
      <c r="I3215" s="319">
        <f>G3215-H3215</f>
        <v/>
      </c>
      <c r="J3215" s="319">
        <f>F3215-I3215</f>
        <v/>
      </c>
      <c r="K3215" s="516" t="n"/>
      <c r="L3215" s="516" t="n"/>
    </row>
    <row r="3216">
      <c r="B3216" s="1" t="n">
        <v>48</v>
      </c>
      <c r="C3216" s="24" t="n">
        <v>45689</v>
      </c>
      <c r="D3216" s="24" t="n">
        <v>45716</v>
      </c>
      <c r="E3216" s="25">
        <f>D3216-C3216+1</f>
        <v/>
      </c>
      <c r="F3216" s="319">
        <f>J3215</f>
        <v/>
      </c>
      <c r="G3216" s="319">
        <f>-PMT($D$3160/$D$3162,48,$F$3181,,0)</f>
        <v/>
      </c>
      <c r="H3216" s="319">
        <f>($D$3160/$D$3162*F3216)</f>
        <v/>
      </c>
      <c r="I3216" s="319">
        <f>G3216-H3216</f>
        <v/>
      </c>
      <c r="J3216" s="319">
        <f>F3216-I3216</f>
        <v/>
      </c>
      <c r="K3216" s="516" t="n"/>
      <c r="L3216" s="516" t="n"/>
    </row>
    <row r="3217">
      <c r="B3217" s="1" t="n">
        <v>49</v>
      </c>
      <c r="C3217" s="24" t="n">
        <v>45689</v>
      </c>
      <c r="D3217" s="24" t="n">
        <v>45716</v>
      </c>
      <c r="E3217" s="25">
        <f>D3217-C3217+1</f>
        <v/>
      </c>
      <c r="F3217" s="319">
        <f>J3216</f>
        <v/>
      </c>
      <c r="G3217" s="319">
        <f>-PMT($D$3160/$D$3162,48,$F$3181,,0)</f>
        <v/>
      </c>
      <c r="H3217" s="319">
        <f>($D$3160/$D$3162*F3217)</f>
        <v/>
      </c>
      <c r="I3217" s="319">
        <f>G3217-H3217</f>
        <v/>
      </c>
      <c r="J3217" s="319">
        <f>F3217-I3217</f>
        <v/>
      </c>
      <c r="K3217" s="516" t="n"/>
      <c r="L3217" s="516" t="n"/>
    </row>
    <row r="3218">
      <c r="B3218" s="1" t="n">
        <v>50</v>
      </c>
      <c r="C3218" s="24" t="n">
        <v>45689</v>
      </c>
      <c r="D3218" s="24" t="n">
        <v>45716</v>
      </c>
      <c r="E3218" s="25">
        <f>D3218-C3218+1</f>
        <v/>
      </c>
      <c r="F3218" s="319">
        <f>J3217</f>
        <v/>
      </c>
      <c r="G3218" s="319">
        <f>-PMT($D$3160/$D$3162,48,$F$3181,,0)</f>
        <v/>
      </c>
      <c r="H3218" s="319">
        <f>($D$3160/$D$3162*F3218)</f>
        <v/>
      </c>
      <c r="I3218" s="319">
        <f>G3218-H3218</f>
        <v/>
      </c>
      <c r="J3218" s="319">
        <f>F3218-I3218</f>
        <v/>
      </c>
      <c r="K3218" s="516" t="n"/>
      <c r="L3218" s="516" t="n"/>
    </row>
    <row r="3219">
      <c r="B3219" s="1" t="n">
        <v>51</v>
      </c>
      <c r="C3219" s="24" t="n">
        <v>45689</v>
      </c>
      <c r="D3219" s="24" t="n">
        <v>45716</v>
      </c>
      <c r="E3219" s="25">
        <f>D3219-C3219+1</f>
        <v/>
      </c>
      <c r="F3219" s="319">
        <f>J3218</f>
        <v/>
      </c>
      <c r="G3219" s="319">
        <f>-PMT($D$3160/$D$3162,48,$F$3181,,0)</f>
        <v/>
      </c>
      <c r="H3219" s="319">
        <f>($D$3160/$D$3162*F3219)</f>
        <v/>
      </c>
      <c r="I3219" s="319">
        <f>G3219-H3219</f>
        <v/>
      </c>
      <c r="J3219" s="319">
        <f>F3219-I3219</f>
        <v/>
      </c>
      <c r="K3219" s="516" t="n"/>
      <c r="L3219" s="516" t="n"/>
    </row>
    <row r="3220">
      <c r="B3220" s="1" t="n">
        <v>52</v>
      </c>
      <c r="C3220" s="24" t="n">
        <v>45689</v>
      </c>
      <c r="D3220" s="24" t="n">
        <v>45716</v>
      </c>
      <c r="E3220" s="25">
        <f>D3220-C3220+1</f>
        <v/>
      </c>
      <c r="F3220" s="319">
        <f>J3219</f>
        <v/>
      </c>
      <c r="G3220" s="319">
        <f>-PMT($D$3160/$D$3162,48,$F$3181,,0)</f>
        <v/>
      </c>
      <c r="H3220" s="319">
        <f>($D$3160/$D$3162*F3220)</f>
        <v/>
      </c>
      <c r="I3220" s="319">
        <f>G3220-H3220</f>
        <v/>
      </c>
      <c r="J3220" s="319">
        <f>F3220-I3220</f>
        <v/>
      </c>
      <c r="K3220" s="516" t="n"/>
      <c r="L3220" s="516" t="n"/>
    </row>
    <row r="3221">
      <c r="B3221" s="1" t="n">
        <v>53</v>
      </c>
      <c r="C3221" s="24" t="n">
        <v>45689</v>
      </c>
      <c r="D3221" s="24" t="n">
        <v>45716</v>
      </c>
      <c r="E3221" s="25">
        <f>D3221-C3221+1</f>
        <v/>
      </c>
      <c r="F3221" s="319">
        <f>J3220</f>
        <v/>
      </c>
      <c r="G3221" s="319">
        <f>-PMT($D$3160/$D$3162,48,$F$3181,,0)</f>
        <v/>
      </c>
      <c r="H3221" s="319">
        <f>($D$3160/$D$3162*F3221)</f>
        <v/>
      </c>
      <c r="I3221" s="319">
        <f>G3221-H3221</f>
        <v/>
      </c>
      <c r="J3221" s="319">
        <f>F3221-I3221</f>
        <v/>
      </c>
      <c r="K3221" s="516" t="n"/>
      <c r="L3221" s="516" t="n"/>
    </row>
    <row r="3222">
      <c r="B3222" s="1" t="n">
        <v>54</v>
      </c>
      <c r="C3222" s="24" t="n">
        <v>45689</v>
      </c>
      <c r="D3222" s="24" t="n">
        <v>45716</v>
      </c>
      <c r="E3222" s="25">
        <f>D3222-C3222+1</f>
        <v/>
      </c>
      <c r="F3222" s="319">
        <f>J3221</f>
        <v/>
      </c>
      <c r="G3222" s="319">
        <f>-PMT($D$3160/$D$3162,48,$F$3181,,0)</f>
        <v/>
      </c>
      <c r="H3222" s="319">
        <f>($D$3160/$D$3162*F3222)</f>
        <v/>
      </c>
      <c r="I3222" s="319">
        <f>G3222-H3222</f>
        <v/>
      </c>
      <c r="J3222" s="319">
        <f>F3222-I3222</f>
        <v/>
      </c>
      <c r="K3222" s="516" t="n"/>
      <c r="L3222" s="516" t="n"/>
    </row>
    <row r="3223">
      <c r="B3223" s="1" t="n">
        <v>55</v>
      </c>
      <c r="C3223" s="24" t="n">
        <v>45689</v>
      </c>
      <c r="D3223" s="24" t="n">
        <v>45716</v>
      </c>
      <c r="E3223" s="25">
        <f>D3223-C3223+1</f>
        <v/>
      </c>
      <c r="F3223" s="319">
        <f>J3222</f>
        <v/>
      </c>
      <c r="G3223" s="319">
        <f>-PMT($D$3160/$D$3162,48,$F$3181,,0)</f>
        <v/>
      </c>
      <c r="H3223" s="319">
        <f>($D$3160/$D$3162*F3223)</f>
        <v/>
      </c>
      <c r="I3223" s="319">
        <f>G3223-H3223</f>
        <v/>
      </c>
      <c r="J3223" s="319">
        <f>F3223-I3223</f>
        <v/>
      </c>
      <c r="K3223" s="516" t="n"/>
      <c r="L3223" s="516" t="n"/>
    </row>
    <row r="3224">
      <c r="B3224" s="1" t="n">
        <v>56</v>
      </c>
      <c r="C3224" s="24" t="n">
        <v>45689</v>
      </c>
      <c r="D3224" s="24" t="n">
        <v>45716</v>
      </c>
      <c r="E3224" s="25">
        <f>D3224-C3224+1</f>
        <v/>
      </c>
      <c r="F3224" s="319">
        <f>J3223</f>
        <v/>
      </c>
      <c r="G3224" s="319">
        <f>-PMT($D$3160/$D$3162,48,$F$3181,,0)</f>
        <v/>
      </c>
      <c r="H3224" s="319">
        <f>($D$3160/$D$3162*F3224)</f>
        <v/>
      </c>
      <c r="I3224" s="319">
        <f>G3224-H3224</f>
        <v/>
      </c>
      <c r="J3224" s="319">
        <f>F3224-I3224</f>
        <v/>
      </c>
      <c r="K3224" s="516" t="n"/>
      <c r="L3224" s="516" t="n"/>
    </row>
    <row r="3225">
      <c r="B3225" s="1" t="n">
        <v>57</v>
      </c>
      <c r="C3225" s="24" t="n">
        <v>45689</v>
      </c>
      <c r="D3225" s="24" t="n">
        <v>45716</v>
      </c>
      <c r="E3225" s="25">
        <f>D3225-C3225+1</f>
        <v/>
      </c>
      <c r="F3225" s="319">
        <f>J3224</f>
        <v/>
      </c>
      <c r="G3225" s="319">
        <f>-PMT($D$3160/$D$3162,48,$F$3181,,0)</f>
        <v/>
      </c>
      <c r="H3225" s="319">
        <f>($D$3160/$D$3162*F3225)</f>
        <v/>
      </c>
      <c r="I3225" s="319">
        <f>G3225-H3225</f>
        <v/>
      </c>
      <c r="J3225" s="319">
        <f>F3225-I3225</f>
        <v/>
      </c>
      <c r="K3225" s="516" t="n"/>
      <c r="L3225" s="516" t="n"/>
    </row>
    <row r="3226">
      <c r="B3226" s="1" t="n">
        <v>58</v>
      </c>
      <c r="C3226" s="24" t="n">
        <v>45689</v>
      </c>
      <c r="D3226" s="24" t="n">
        <v>45716</v>
      </c>
      <c r="E3226" s="25">
        <f>D3226-C3226+1</f>
        <v/>
      </c>
      <c r="F3226" s="319">
        <f>J3225</f>
        <v/>
      </c>
      <c r="G3226" s="319">
        <f>-PMT($D$3160/$D$3162,48,$F$3181,,0)</f>
        <v/>
      </c>
      <c r="H3226" s="319">
        <f>($D$3160/$D$3162*F3226)</f>
        <v/>
      </c>
      <c r="I3226" s="319">
        <f>G3226-H3226</f>
        <v/>
      </c>
      <c r="J3226" s="319">
        <f>F3226-I3226</f>
        <v/>
      </c>
      <c r="K3226" s="516" t="n"/>
      <c r="L3226" s="516" t="n"/>
    </row>
    <row r="3227">
      <c r="B3227" s="1" t="n">
        <v>59</v>
      </c>
      <c r="C3227" s="24" t="n">
        <v>45689</v>
      </c>
      <c r="D3227" s="24" t="n">
        <v>45716</v>
      </c>
      <c r="E3227" s="25">
        <f>D3227-C3227+1</f>
        <v/>
      </c>
      <c r="F3227" s="319">
        <f>J3226</f>
        <v/>
      </c>
      <c r="G3227" s="319">
        <f>-PMT($D$3160/$D$3162,48,$F$3181,,0)</f>
        <v/>
      </c>
      <c r="H3227" s="319">
        <f>($D$3160/$D$3162*F3227)</f>
        <v/>
      </c>
      <c r="I3227" s="319">
        <f>G3227-H3227</f>
        <v/>
      </c>
      <c r="J3227" s="319">
        <f>F3227-I3227</f>
        <v/>
      </c>
      <c r="K3227" s="516" t="n"/>
      <c r="L3227" s="516" t="n"/>
    </row>
    <row r="3228">
      <c r="B3228" s="1" t="n">
        <v>60</v>
      </c>
      <c r="C3228" s="24" t="n">
        <v>45689</v>
      </c>
      <c r="D3228" s="24" t="n">
        <v>45716</v>
      </c>
      <c r="E3228" s="25">
        <f>D3228-C3228+1</f>
        <v/>
      </c>
      <c r="F3228" s="319">
        <f>J3227</f>
        <v/>
      </c>
      <c r="G3228" s="319">
        <f>-PMT($D$3160/$D$3162,48,$F$3181,,0)</f>
        <v/>
      </c>
      <c r="H3228" s="319">
        <f>($D$3160/$D$3162*F3228)</f>
        <v/>
      </c>
      <c r="I3228" s="319">
        <f>G3228-H3228</f>
        <v/>
      </c>
      <c r="J3228" s="319">
        <f>F3228-I3228</f>
        <v/>
      </c>
      <c r="K3228" s="516" t="n"/>
      <c r="L3228" s="516" t="n"/>
    </row>
    <row r="3229">
      <c r="B3229" s="1" t="n"/>
      <c r="C3229" s="24" t="n"/>
      <c r="D3229" s="24" t="n"/>
      <c r="E3229" s="25" t="n"/>
      <c r="F3229" s="319" t="n"/>
      <c r="G3229" s="319" t="n"/>
      <c r="H3229" s="319" t="n"/>
      <c r="I3229" s="319" t="n"/>
      <c r="J3229" s="319" t="n"/>
      <c r="K3229" s="516" t="n"/>
      <c r="L3229" s="516" t="n"/>
    </row>
    <row r="3230">
      <c r="B3230" s="1" t="n"/>
      <c r="C3230" s="24" t="n"/>
      <c r="D3230" s="24" t="n"/>
      <c r="E3230" s="30">
        <f>SUM(E3168:E3192)</f>
        <v/>
      </c>
      <c r="F3230" s="319" t="n"/>
      <c r="G3230" s="319" t="n"/>
      <c r="H3230" s="319" t="n"/>
      <c r="I3230" s="319" t="n"/>
      <c r="J3230" s="319" t="n"/>
      <c r="K3230" s="516" t="n"/>
      <c r="L3230" s="516" t="n"/>
    </row>
    <row r="3235">
      <c r="B3235" s="1" t="n"/>
      <c r="C3235" s="9" t="inlineStr">
        <is>
          <t>Chuma Mkandawire T/A Chikoma Estates</t>
        </is>
      </c>
      <c r="D3235" s="319" t="n"/>
      <c r="E3235" s="319" t="n"/>
      <c r="F3235" s="319" t="n"/>
      <c r="G3235" s="319" t="n"/>
      <c r="H3235" s="319" t="n"/>
      <c r="I3235" s="319" t="n"/>
      <c r="J3235" s="319" t="n"/>
      <c r="K3235" s="319" t="n"/>
      <c r="L3235" s="319" t="n"/>
      <c r="R3235" s="514" t="inlineStr">
        <is>
          <t>E-Banker account (Dupleix)</t>
        </is>
      </c>
      <c r="S3235" s="495">
        <f>IFERROR(INDEX('Blocks'!$I$2:$I$101,MATCH(58,'Blocks'!$A$2:$A$101,0)),"")</f>
        <v/>
      </c>
    </row>
    <row r="3236">
      <c r="B3236" s="1" t="n"/>
      <c r="C3236" s="1" t="n"/>
      <c r="D3236" s="319" t="n"/>
      <c r="E3236" s="319" t="n"/>
      <c r="F3236" s="319" t="n"/>
      <c r="G3236" s="319" t="n"/>
      <c r="H3236" s="319" t="n"/>
      <c r="I3236" s="319" t="n"/>
      <c r="J3236" s="319" t="n"/>
      <c r="K3236" s="319" t="n"/>
      <c r="L3236" s="319" t="n"/>
      <c r="R3236" s="514" t="inlineStr">
        <is>
          <t>Facility (Loan Book)</t>
        </is>
      </c>
      <c r="S3236" s="495">
        <f>IFERROR(INDEX('Blocks'!$H$2:$H$101,MATCH(58,'Blocks'!$A$2:$A$101,0)),"")</f>
        <v/>
      </c>
    </row>
    <row r="3237">
      <c r="B3237" s="1" t="n"/>
      <c r="C3237" s="10" t="inlineStr">
        <is>
          <t>Principal (MK)</t>
        </is>
      </c>
      <c r="D3237" s="11" t="n">
        <v>20000000</v>
      </c>
      <c r="E3237" s="319" t="n"/>
      <c r="F3237" s="319" t="n"/>
      <c r="G3237" s="319" t="n"/>
      <c r="H3237" s="319" t="n"/>
      <c r="I3237" s="319" t="n"/>
      <c r="J3237" s="319" t="n"/>
      <c r="K3237" s="319" t="n"/>
      <c r="L3237" s="319" t="n"/>
      <c r="R3237" s="514" t="inlineStr">
        <is>
          <t>Take-on posting 31 Jul 2024</t>
        </is>
      </c>
      <c r="S3237" s="496">
        <f>IFERROR(INDEX('E-Banker master'!$N$2:$N$186,MATCH(S3235,'E-Banker master'!$A$2:$A$186,0)),"")</f>
        <v/>
      </c>
    </row>
    <row r="3238">
      <c r="B3238" s="1" t="n"/>
      <c r="C3238" s="13" t="inlineStr">
        <is>
          <t>Rate</t>
        </is>
      </c>
      <c r="D3238" s="14" t="n">
        <v>0.1</v>
      </c>
      <c r="E3238" s="257" t="n"/>
      <c r="F3238" s="319" t="n"/>
      <c r="G3238" s="319" t="n"/>
      <c r="H3238" s="319" t="n"/>
      <c r="I3238" s="319" t="n"/>
      <c r="J3238" s="319" t="n"/>
      <c r="K3238" s="319" t="n"/>
      <c r="L3238" s="319" t="n"/>
      <c r="R3238" s="514" t="inlineStr">
        <is>
          <t>E-Banker balance 31 Oct 2024</t>
        </is>
      </c>
      <c r="S3238" s="496">
        <f>IFERROR(INDEX('E-Banker master'!$P$2:$P$186,MATCH(S3235,'E-Banker master'!$A$2:$A$186,0)),"")</f>
        <v/>
      </c>
    </row>
    <row r="3239">
      <c r="B3239" s="1" t="n"/>
      <c r="C3239" s="13" t="inlineStr">
        <is>
          <t>n</t>
        </is>
      </c>
      <c r="D3239" s="16" t="n">
        <v>2</v>
      </c>
      <c r="E3239" s="1" t="n"/>
      <c r="F3239" s="319" t="n"/>
      <c r="G3239" s="319" t="n"/>
      <c r="H3239" s="319" t="n"/>
      <c r="I3239" s="319" t="n"/>
      <c r="J3239" s="319" t="n"/>
      <c r="K3239" s="1" t="n"/>
      <c r="L3239" s="1" t="n"/>
    </row>
    <row r="3240">
      <c r="B3240" s="1" t="n"/>
      <c r="C3240" s="13" t="inlineStr">
        <is>
          <t>Per</t>
        </is>
      </c>
      <c r="D3240" s="16" t="n">
        <v>12</v>
      </c>
      <c r="E3240" s="1" t="n"/>
      <c r="F3240" s="319" t="n"/>
      <c r="G3240" s="319" t="n"/>
      <c r="H3240" s="319" t="n"/>
      <c r="I3240" s="319" t="n"/>
      <c r="J3240" s="319" t="n"/>
      <c r="K3240" s="27" t="n"/>
      <c r="L3240" s="1" t="n"/>
    </row>
    <row r="3241">
      <c r="B3241" s="1" t="n"/>
      <c r="C3241" s="13" t="inlineStr">
        <is>
          <t>nPer</t>
        </is>
      </c>
      <c r="D3241" s="515">
        <f>D3239*D3240</f>
        <v/>
      </c>
      <c r="E3241" s="1" t="n"/>
      <c r="F3241" s="319" t="n"/>
      <c r="G3241" s="319" t="n"/>
      <c r="H3241" s="319" t="n"/>
      <c r="I3241" s="319" t="n"/>
      <c r="J3241" s="319" t="n"/>
      <c r="K3241" s="1" t="n"/>
      <c r="L3241" s="1" t="n"/>
    </row>
    <row r="3242">
      <c r="B3242" s="1" t="n"/>
      <c r="C3242" s="13" t="inlineStr">
        <is>
          <t>Days in a year</t>
        </is>
      </c>
      <c r="D3242" s="18" t="n">
        <v>365</v>
      </c>
      <c r="E3242" s="1" t="n"/>
      <c r="F3242" s="319" t="n"/>
      <c r="G3242" s="319" t="n"/>
      <c r="H3242" s="319" t="n"/>
      <c r="I3242" s="319" t="n"/>
      <c r="J3242" s="319" t="n"/>
      <c r="K3242" s="1" t="n"/>
      <c r="L3242" s="1" t="n"/>
    </row>
    <row r="3243">
      <c r="B3243" s="1" t="n"/>
      <c r="C3243" s="19" t="inlineStr">
        <is>
          <t>Pmt (MK)</t>
        </is>
      </c>
      <c r="D3243" s="20">
        <f>-PMT(D3238/D3240,D3241,D3237,0,0)</f>
        <v/>
      </c>
      <c r="E3243" s="319" t="n"/>
      <c r="F3243" s="319" t="n"/>
      <c r="G3243" s="319" t="n"/>
      <c r="H3243" s="319" t="n"/>
      <c r="I3243" s="319" t="n"/>
      <c r="J3243" s="319" t="n"/>
      <c r="K3243" s="1" t="n"/>
      <c r="L3243" s="1" t="n"/>
    </row>
    <row r="3244">
      <c r="B3244" s="1" t="n"/>
      <c r="C3244" s="1" t="n"/>
      <c r="D3244" s="319" t="n"/>
      <c r="E3244" s="319" t="n"/>
      <c r="F3244" s="319" t="n"/>
      <c r="G3244" s="319" t="n"/>
      <c r="H3244" s="319" t="n"/>
      <c r="I3244" s="319" t="n"/>
      <c r="J3244" s="319" t="n"/>
      <c r="K3244" s="1" t="n"/>
      <c r="L3244" s="1" t="n"/>
    </row>
    <row r="3245">
      <c r="B3245" s="1" t="n"/>
      <c r="C3245" s="21" t="inlineStr">
        <is>
          <t>Period Start</t>
        </is>
      </c>
      <c r="D3245" s="22" t="inlineStr">
        <is>
          <t>Period End</t>
        </is>
      </c>
      <c r="E3245" s="22" t="inlineStr">
        <is>
          <t>Days</t>
        </is>
      </c>
      <c r="F3245" s="294" t="inlineStr">
        <is>
          <t>Opening bal.</t>
        </is>
      </c>
      <c r="G3245" s="294" t="inlineStr">
        <is>
          <t>Pmt</t>
        </is>
      </c>
      <c r="H3245" s="294" t="inlineStr">
        <is>
          <t>Interest</t>
        </is>
      </c>
      <c r="I3245" s="294" t="inlineStr">
        <is>
          <t>Principal</t>
        </is>
      </c>
      <c r="J3245" s="294" t="inlineStr">
        <is>
          <t>Closing balance</t>
        </is>
      </c>
      <c r="K3245" s="23" t="inlineStr">
        <is>
          <t>Amount Repaid</t>
        </is>
      </c>
      <c r="L3245" s="23" t="inlineStr">
        <is>
          <t>Accumulated Arrears</t>
        </is>
      </c>
    </row>
    <row r="3246">
      <c r="B3246" s="1" t="n">
        <v>0</v>
      </c>
      <c r="C3246" s="24" t="n">
        <v>44985</v>
      </c>
      <c r="D3246" s="24" t="n">
        <v>44985</v>
      </c>
      <c r="E3246" s="25">
        <f>D3246-C3246+1</f>
        <v/>
      </c>
      <c r="F3246" s="319">
        <f>D3237</f>
        <v/>
      </c>
      <c r="G3246" s="319" t="n"/>
      <c r="H3246" s="319">
        <f>(D3238/D3240*E3246*F3246/28)</f>
        <v/>
      </c>
      <c r="I3246" s="319">
        <f>-H3246</f>
        <v/>
      </c>
      <c r="J3246" s="319">
        <f>F3246+G3237-I3246</f>
        <v/>
      </c>
      <c r="K3246" s="516" t="n"/>
      <c r="L3246" s="516" t="n"/>
    </row>
    <row r="3247">
      <c r="B3247" s="1" t="n">
        <v>1</v>
      </c>
      <c r="C3247" s="24" t="n">
        <v>44986</v>
      </c>
      <c r="D3247" s="24" t="n">
        <v>45016</v>
      </c>
      <c r="E3247" s="25">
        <f>D3247-C3247+1</f>
        <v/>
      </c>
      <c r="F3247" s="319">
        <f>J3246</f>
        <v/>
      </c>
      <c r="G3247" s="319" t="n"/>
      <c r="H3247" s="319">
        <f>($D$3238/$D$3240*F3247)</f>
        <v/>
      </c>
      <c r="I3247" s="319">
        <f>-H3247</f>
        <v/>
      </c>
      <c r="J3247" s="319">
        <f>F3247-I3247</f>
        <v/>
      </c>
      <c r="K3247" s="516" t="n"/>
      <c r="L3247" s="516" t="n"/>
    </row>
    <row r="3248">
      <c r="B3248" s="1" t="n">
        <v>2</v>
      </c>
      <c r="C3248" s="24" t="n">
        <v>45017</v>
      </c>
      <c r="D3248" s="24" t="n">
        <v>45046</v>
      </c>
      <c r="E3248" s="25">
        <f>D3248-C3248+1</f>
        <v/>
      </c>
      <c r="F3248" s="319">
        <f>J3247</f>
        <v/>
      </c>
      <c r="G3248" s="319" t="n"/>
      <c r="H3248" s="319">
        <f>($D$3238/$D$3240*F3248)</f>
        <v/>
      </c>
      <c r="I3248" s="319">
        <f>-H3248</f>
        <v/>
      </c>
      <c r="J3248" s="319">
        <f>F3248-I3248</f>
        <v/>
      </c>
    </row>
    <row r="3249">
      <c r="B3249" s="1" t="n">
        <v>3</v>
      </c>
      <c r="C3249" s="24" t="n">
        <v>45047</v>
      </c>
      <c r="D3249" s="24" t="n">
        <v>45077</v>
      </c>
      <c r="E3249" s="25">
        <f>D3249-C3249+1</f>
        <v/>
      </c>
      <c r="F3249" s="319">
        <f>J3248</f>
        <v/>
      </c>
      <c r="G3249" s="319" t="n"/>
      <c r="H3249" s="319">
        <f>($D$3238/$D$3240*F3249)</f>
        <v/>
      </c>
      <c r="I3249" s="319">
        <f>-H3249</f>
        <v/>
      </c>
      <c r="J3249" s="319">
        <f>F3249-I3249</f>
        <v/>
      </c>
      <c r="K3249" s="516" t="n"/>
      <c r="L3249" s="516" t="n"/>
    </row>
    <row r="3250">
      <c r="B3250" s="1" t="n">
        <v>4</v>
      </c>
      <c r="C3250" s="24" t="n">
        <v>45078</v>
      </c>
      <c r="D3250" s="24" t="n">
        <v>45107</v>
      </c>
      <c r="E3250" s="25">
        <f>D3250-C3250+1</f>
        <v/>
      </c>
      <c r="F3250" s="319">
        <f>J3249</f>
        <v/>
      </c>
      <c r="G3250" s="319" t="n"/>
      <c r="H3250" s="319">
        <f>($D$3238/$D$3240*F3250)</f>
        <v/>
      </c>
      <c r="I3250" s="319">
        <f>-H3250</f>
        <v/>
      </c>
      <c r="J3250" s="319">
        <f>F3250-I3250</f>
        <v/>
      </c>
      <c r="K3250" s="516" t="n"/>
      <c r="L3250" s="516" t="n"/>
    </row>
    <row r="3251">
      <c r="B3251" s="1" t="n">
        <v>5</v>
      </c>
      <c r="C3251" s="24" t="n">
        <v>45108</v>
      </c>
      <c r="D3251" s="24" t="n">
        <v>45138</v>
      </c>
      <c r="E3251" s="25">
        <f>D3251-C3251+1</f>
        <v/>
      </c>
      <c r="F3251" s="319">
        <f>J3250</f>
        <v/>
      </c>
      <c r="G3251" s="319" t="n"/>
      <c r="H3251" s="319">
        <f>($D$3238/$D$3240*F3251)</f>
        <v/>
      </c>
      <c r="I3251" s="319">
        <f>-H3251</f>
        <v/>
      </c>
      <c r="J3251" s="319">
        <f>F3251-I3251</f>
        <v/>
      </c>
      <c r="K3251" s="516" t="n"/>
      <c r="L3251" s="516" t="n"/>
    </row>
    <row r="3252">
      <c r="B3252" s="1" t="n">
        <v>6</v>
      </c>
      <c r="C3252" s="24" t="n">
        <v>45139</v>
      </c>
      <c r="D3252" s="24" t="n">
        <v>45169</v>
      </c>
      <c r="E3252" s="25">
        <f>D3252-C3252+1</f>
        <v/>
      </c>
      <c r="F3252" s="319">
        <f>J3251</f>
        <v/>
      </c>
      <c r="G3252" s="319" t="n"/>
      <c r="H3252" s="319">
        <f>($D$3238/$D$3240*F3252)</f>
        <v/>
      </c>
      <c r="I3252" s="319">
        <f>-H3252</f>
        <v/>
      </c>
      <c r="J3252" s="319">
        <f>F3252-I3252</f>
        <v/>
      </c>
      <c r="K3252" s="516" t="n">
        <v>21027322.54</v>
      </c>
      <c r="L3252" s="519" t="n"/>
    </row>
    <row r="3253">
      <c r="B3253" s="1" t="n">
        <v>7</v>
      </c>
      <c r="C3253" s="24" t="n">
        <v>45170</v>
      </c>
      <c r="D3253" s="24" t="n">
        <v>45199</v>
      </c>
      <c r="E3253" s="25">
        <f>D3253-C3253+1</f>
        <v/>
      </c>
      <c r="F3253" s="319">
        <f>J3252</f>
        <v/>
      </c>
      <c r="G3253" s="319" t="n"/>
      <c r="H3253" s="319">
        <f>($D$3238/$D$3240*F3253)</f>
        <v/>
      </c>
      <c r="I3253" s="319">
        <f>-H3253</f>
        <v/>
      </c>
      <c r="J3253" s="319">
        <f>F3253-I3253</f>
        <v/>
      </c>
      <c r="K3253" s="516" t="n"/>
      <c r="L3253" s="516" t="n"/>
    </row>
    <row r="3254">
      <c r="B3254" s="1" t="n">
        <v>8</v>
      </c>
      <c r="C3254" s="24" t="n">
        <v>45200</v>
      </c>
      <c r="D3254" s="24" t="n">
        <v>45230</v>
      </c>
      <c r="E3254" s="25">
        <f>D3254-C3254+1</f>
        <v/>
      </c>
      <c r="F3254" s="319">
        <f>J3253</f>
        <v/>
      </c>
      <c r="G3254" s="319" t="n"/>
      <c r="H3254" s="319">
        <f>($D$3238/$D$3240*F3254)</f>
        <v/>
      </c>
      <c r="I3254" s="319">
        <f>-H3254</f>
        <v/>
      </c>
      <c r="J3254" s="319">
        <f>F3254-I3254</f>
        <v/>
      </c>
      <c r="K3254" s="516" t="n"/>
      <c r="L3254" s="516" t="n"/>
    </row>
    <row r="3255">
      <c r="B3255" s="1" t="n">
        <v>9</v>
      </c>
      <c r="C3255" s="24" t="n">
        <v>45231</v>
      </c>
      <c r="D3255" s="24" t="n">
        <v>45260</v>
      </c>
      <c r="E3255" s="25">
        <f>D3255-C3255+1</f>
        <v/>
      </c>
      <c r="F3255" s="319">
        <f>J3254</f>
        <v/>
      </c>
      <c r="G3255" s="319" t="n"/>
      <c r="H3255" s="319">
        <f>($D$3238/$D$3240*F3255)</f>
        <v/>
      </c>
      <c r="I3255" s="319">
        <f>-H3255</f>
        <v/>
      </c>
      <c r="J3255" s="319">
        <f>F3255-I3255</f>
        <v/>
      </c>
      <c r="K3255" s="516" t="n"/>
      <c r="L3255" s="519" t="n"/>
    </row>
    <row r="3256">
      <c r="B3256" s="1" t="n">
        <v>10</v>
      </c>
      <c r="C3256" s="24" t="n">
        <v>45261</v>
      </c>
      <c r="D3256" s="24" t="n">
        <v>45291</v>
      </c>
      <c r="E3256" s="25">
        <f>D3256-C3256+1</f>
        <v/>
      </c>
      <c r="F3256" s="319">
        <f>J3255</f>
        <v/>
      </c>
      <c r="G3256" s="319" t="n"/>
      <c r="H3256" s="319">
        <f>($D$3238/$D$3240*F3256)</f>
        <v/>
      </c>
      <c r="I3256" s="319">
        <f>-H3256</f>
        <v/>
      </c>
      <c r="J3256" s="319">
        <f>F3256-I3256</f>
        <v/>
      </c>
      <c r="K3256" s="516" t="n"/>
      <c r="L3256" s="516" t="n"/>
    </row>
    <row r="3257">
      <c r="B3257" s="1" t="n">
        <v>11</v>
      </c>
      <c r="C3257" s="24" t="n">
        <v>45292</v>
      </c>
      <c r="D3257" s="24" t="n">
        <v>45322</v>
      </c>
      <c r="E3257" s="25">
        <f>D3257-C3257+1</f>
        <v/>
      </c>
      <c r="F3257" s="319">
        <f>J3256</f>
        <v/>
      </c>
      <c r="G3257" s="319" t="n"/>
      <c r="H3257" s="319">
        <f>($D$3238/$D$3240*F3257)</f>
        <v/>
      </c>
      <c r="I3257" s="319">
        <f>-H3257</f>
        <v/>
      </c>
      <c r="J3257" s="319">
        <f>F3257-I3257</f>
        <v/>
      </c>
      <c r="K3257" s="516" t="n"/>
      <c r="L3257" s="516" t="n"/>
    </row>
    <row r="3258">
      <c r="B3258" s="1" t="n">
        <v>12</v>
      </c>
      <c r="C3258" s="24" t="n">
        <v>45323</v>
      </c>
      <c r="D3258" s="24" t="n">
        <v>45351</v>
      </c>
      <c r="E3258" s="25">
        <f>D3258-C3258+1</f>
        <v/>
      </c>
      <c r="F3258" s="319">
        <f>J3257</f>
        <v/>
      </c>
      <c r="G3258" s="319" t="n">
        <v>22100837.02</v>
      </c>
      <c r="H3258" s="319">
        <f>($D$3238/$D$3240*F3258)</f>
        <v/>
      </c>
      <c r="I3258" s="319">
        <f>-H3258</f>
        <v/>
      </c>
      <c r="J3258" s="319">
        <f>F3258-I3258-G3258</f>
        <v/>
      </c>
      <c r="K3258" s="516" t="n"/>
      <c r="L3258" s="516" t="n"/>
    </row>
    <row r="3259">
      <c r="B3259" s="1" t="n"/>
      <c r="C3259" s="24" t="n"/>
      <c r="D3259" s="24" t="n"/>
      <c r="E3259" s="25" t="n"/>
      <c r="F3259" s="319" t="n"/>
      <c r="G3259" s="319" t="n"/>
      <c r="H3259" s="319" t="n"/>
      <c r="I3259" s="319" t="n"/>
      <c r="J3259" s="319" t="n"/>
      <c r="K3259" s="516" t="n"/>
      <c r="L3259" s="516" t="n"/>
    </row>
    <row r="3260">
      <c r="B3260" s="1" t="n"/>
      <c r="C3260" s="24" t="n"/>
      <c r="D3260" s="24" t="n"/>
      <c r="E3260" s="30">
        <f>SUM(E3246:E3258)</f>
        <v/>
      </c>
      <c r="F3260" s="319" t="n"/>
      <c r="G3260" s="319" t="n"/>
      <c r="H3260" s="319" t="n"/>
      <c r="I3260" s="319" t="n"/>
      <c r="J3260" s="319" t="n"/>
      <c r="K3260" s="516" t="n"/>
      <c r="L3260" s="516" t="n"/>
    </row>
    <row r="3264">
      <c r="B3264" s="1" t="n"/>
      <c r="C3264" s="9" t="inlineStr">
        <is>
          <t>Imani Investments</t>
        </is>
      </c>
      <c r="D3264" s="319" t="n"/>
      <c r="E3264" s="319" t="n"/>
      <c r="F3264" s="319" t="n"/>
      <c r="G3264" s="319" t="n"/>
      <c r="H3264" s="319" t="n"/>
      <c r="I3264" s="319" t="n"/>
      <c r="J3264" s="319" t="n"/>
      <c r="K3264" s="319" t="n"/>
      <c r="L3264" s="319" t="n"/>
      <c r="R3264" s="514" t="inlineStr">
        <is>
          <t>E-Banker account (Dupleix)</t>
        </is>
      </c>
      <c r="S3264" s="495">
        <f>IFERROR(INDEX('Blocks'!$I$2:$I$101,MATCH(59,'Blocks'!$A$2:$A$101,0)),"")</f>
        <v/>
      </c>
    </row>
    <row r="3265">
      <c r="B3265" s="1" t="n"/>
      <c r="C3265" s="1" t="n"/>
      <c r="D3265" s="319" t="n"/>
      <c r="E3265" s="319" t="n"/>
      <c r="F3265" s="319" t="n"/>
      <c r="G3265" s="319" t="n"/>
      <c r="H3265" s="319" t="n"/>
      <c r="I3265" s="319" t="n"/>
      <c r="J3265" s="319" t="n"/>
      <c r="K3265" s="319" t="n"/>
      <c r="L3265" s="319" t="n"/>
      <c r="R3265" s="514" t="inlineStr">
        <is>
          <t>Facility (Loan Book)</t>
        </is>
      </c>
      <c r="S3265" s="495">
        <f>IFERROR(INDEX('Blocks'!$H$2:$H$101,MATCH(59,'Blocks'!$A$2:$A$101,0)),"")</f>
        <v/>
      </c>
    </row>
    <row r="3266">
      <c r="B3266" s="1" t="n"/>
      <c r="C3266" s="10" t="inlineStr">
        <is>
          <t>Principal (MK)</t>
        </is>
      </c>
      <c r="D3266" s="11" t="n">
        <v>24000000</v>
      </c>
      <c r="E3266" s="319" t="n"/>
      <c r="F3266" s="319" t="n"/>
      <c r="G3266" s="319" t="n"/>
      <c r="H3266" s="319" t="n"/>
      <c r="I3266" s="319" t="n"/>
      <c r="J3266" s="319" t="n"/>
      <c r="K3266" s="319" t="n"/>
      <c r="L3266" s="319" t="n"/>
      <c r="R3266" s="514" t="inlineStr">
        <is>
          <t>Take-on posting 31 Jul 2024</t>
        </is>
      </c>
      <c r="S3266" s="496">
        <f>IFERROR(INDEX('E-Banker master'!$N$2:$N$186,MATCH(S3264,'E-Banker master'!$A$2:$A$186,0)),"")</f>
        <v/>
      </c>
    </row>
    <row r="3267">
      <c r="B3267" s="1" t="n"/>
      <c r="C3267" s="13" t="inlineStr">
        <is>
          <t>Rate</t>
        </is>
      </c>
      <c r="D3267" s="14" t="n">
        <v>0.1</v>
      </c>
      <c r="E3267" s="257" t="n"/>
      <c r="F3267" s="319" t="n"/>
      <c r="G3267" s="319" t="n"/>
      <c r="H3267" s="319" t="n"/>
      <c r="I3267" s="319" t="n"/>
      <c r="J3267" s="319" t="n"/>
      <c r="K3267" s="319" t="n"/>
      <c r="L3267" s="319" t="n"/>
      <c r="R3267" s="514" t="inlineStr">
        <is>
          <t>E-Banker balance 31 Oct 2024</t>
        </is>
      </c>
      <c r="S3267" s="496">
        <f>IFERROR(INDEX('E-Banker master'!$P$2:$P$186,MATCH(S3264,'E-Banker master'!$A$2:$A$186,0)),"")</f>
        <v/>
      </c>
    </row>
    <row r="3268">
      <c r="B3268" s="1" t="n"/>
      <c r="C3268" s="13" t="inlineStr">
        <is>
          <t>n</t>
        </is>
      </c>
      <c r="D3268" s="16" t="n">
        <v>2</v>
      </c>
      <c r="E3268" s="1" t="n"/>
      <c r="F3268" s="319" t="n"/>
      <c r="G3268" s="319" t="n"/>
      <c r="H3268" s="319" t="n"/>
      <c r="I3268" s="319" t="n"/>
      <c r="J3268" s="319" t="n"/>
      <c r="K3268" s="1" t="n"/>
      <c r="L3268" s="1" t="n"/>
    </row>
    <row r="3269">
      <c r="B3269" s="1" t="n"/>
      <c r="C3269" s="13" t="inlineStr">
        <is>
          <t>Per</t>
        </is>
      </c>
      <c r="D3269" s="16" t="n">
        <v>12</v>
      </c>
      <c r="E3269" s="1" t="n"/>
      <c r="F3269" s="319" t="n"/>
      <c r="G3269" s="319" t="n"/>
      <c r="H3269" s="319" t="n"/>
      <c r="I3269" s="319" t="n"/>
      <c r="J3269" s="319" t="n"/>
      <c r="K3269" s="1" t="n"/>
      <c r="L3269" s="1" t="n"/>
    </row>
    <row r="3270">
      <c r="B3270" s="1" t="n"/>
      <c r="C3270" s="13" t="inlineStr">
        <is>
          <t>nPer</t>
        </is>
      </c>
      <c r="D3270" s="515">
        <f>D3268*D3269</f>
        <v/>
      </c>
      <c r="E3270" s="1" t="n"/>
      <c r="F3270" s="319" t="n"/>
      <c r="G3270" s="319" t="n"/>
      <c r="H3270" s="319" t="n"/>
      <c r="I3270" s="319" t="n"/>
      <c r="J3270" s="319" t="n"/>
      <c r="K3270" s="1" t="n"/>
      <c r="L3270" s="1" t="n"/>
    </row>
    <row r="3271">
      <c r="B3271" s="1" t="n"/>
      <c r="C3271" s="13" t="inlineStr">
        <is>
          <t>Days in a year</t>
        </is>
      </c>
      <c r="D3271" s="18" t="n">
        <v>365</v>
      </c>
      <c r="E3271" s="1" t="n"/>
      <c r="F3271" s="319" t="n"/>
      <c r="G3271" s="319" t="n"/>
      <c r="H3271" s="319" t="n"/>
      <c r="I3271" s="319" t="n"/>
      <c r="J3271" s="319" t="n"/>
      <c r="K3271" s="1" t="n"/>
      <c r="L3271" s="1" t="n"/>
    </row>
    <row r="3272">
      <c r="B3272" s="1" t="n"/>
      <c r="C3272" s="19" t="inlineStr">
        <is>
          <t>Pmt (MK)</t>
        </is>
      </c>
      <c r="D3272" s="20">
        <f>-PMT(D3267/D3269,D3270,D3266,0,0)</f>
        <v/>
      </c>
      <c r="E3272" s="319" t="n"/>
      <c r="F3272" s="319" t="n"/>
      <c r="G3272" s="319" t="n"/>
      <c r="H3272" s="319" t="n"/>
      <c r="I3272" s="319" t="n"/>
      <c r="J3272" s="319" t="n"/>
      <c r="K3272" s="1" t="n"/>
      <c r="L3272" s="1" t="n"/>
    </row>
    <row r="3273">
      <c r="B3273" s="1" t="n"/>
      <c r="C3273" s="1" t="n"/>
      <c r="D3273" s="319" t="n"/>
      <c r="E3273" s="319" t="n"/>
      <c r="F3273" s="319" t="n"/>
      <c r="G3273" s="319" t="n"/>
      <c r="H3273" s="319" t="n"/>
      <c r="I3273" s="319" t="n"/>
      <c r="J3273" s="319" t="n"/>
      <c r="K3273" s="1" t="n"/>
      <c r="L3273" s="1" t="n"/>
    </row>
    <row r="3274">
      <c r="B3274" s="1" t="n"/>
      <c r="C3274" s="21" t="inlineStr">
        <is>
          <t>Period Start</t>
        </is>
      </c>
      <c r="D3274" s="22" t="inlineStr">
        <is>
          <t>Period End</t>
        </is>
      </c>
      <c r="E3274" s="22" t="inlineStr">
        <is>
          <t>Days</t>
        </is>
      </c>
      <c r="F3274" s="294" t="inlineStr">
        <is>
          <t>Opening bal.</t>
        </is>
      </c>
      <c r="G3274" s="294" t="inlineStr">
        <is>
          <t>Pmt</t>
        </is>
      </c>
      <c r="H3274" s="294" t="inlineStr">
        <is>
          <t>Interest</t>
        </is>
      </c>
      <c r="I3274" s="294" t="inlineStr">
        <is>
          <t>Principal</t>
        </is>
      </c>
      <c r="J3274" s="294" t="inlineStr">
        <is>
          <t>Closing balance</t>
        </is>
      </c>
      <c r="K3274" s="23" t="inlineStr">
        <is>
          <t>Amount Repaid</t>
        </is>
      </c>
      <c r="L3274" s="23" t="inlineStr">
        <is>
          <t>Accumulated Arrears</t>
        </is>
      </c>
    </row>
    <row r="3275">
      <c r="B3275" s="1" t="n">
        <v>0</v>
      </c>
      <c r="C3275" s="24" t="n">
        <v>45005</v>
      </c>
      <c r="D3275" s="24" t="n">
        <v>45016</v>
      </c>
      <c r="E3275" s="25">
        <f>D3275-C3275+1</f>
        <v/>
      </c>
      <c r="F3275" s="319">
        <f>D3266</f>
        <v/>
      </c>
      <c r="G3275" s="319" t="n"/>
      <c r="H3275" s="319">
        <f>D3267/D3269*E3275*F3275/31</f>
        <v/>
      </c>
      <c r="I3275" s="319">
        <f>-H3275</f>
        <v/>
      </c>
      <c r="J3275" s="319">
        <f>F3275+F3266-I3275</f>
        <v/>
      </c>
      <c r="K3275" s="516" t="n"/>
      <c r="L3275" s="516" t="n"/>
    </row>
    <row r="3276">
      <c r="B3276" s="1" t="n">
        <v>1</v>
      </c>
      <c r="C3276" s="24" t="n">
        <v>45017</v>
      </c>
      <c r="D3276" s="24" t="n">
        <v>45046</v>
      </c>
      <c r="E3276" s="25">
        <f>D3276-C3276+1</f>
        <v/>
      </c>
      <c r="F3276" s="319">
        <f>J3275</f>
        <v/>
      </c>
      <c r="G3276" s="319" t="n"/>
      <c r="H3276" s="319">
        <f>($D$3267/$D$3269*F3276)</f>
        <v/>
      </c>
      <c r="I3276" s="319">
        <f>-H3276</f>
        <v/>
      </c>
      <c r="J3276" s="319">
        <f>F3276-I3276</f>
        <v/>
      </c>
      <c r="K3276" s="516" t="n"/>
      <c r="L3276" s="516" t="n"/>
    </row>
    <row r="3277">
      <c r="B3277" s="1" t="n">
        <v>2</v>
      </c>
      <c r="C3277" s="24" t="n">
        <v>45047</v>
      </c>
      <c r="D3277" s="24" t="n">
        <v>45077</v>
      </c>
      <c r="E3277" s="25">
        <f>D3277-C3277+1</f>
        <v/>
      </c>
      <c r="F3277" s="319">
        <f>J3276</f>
        <v/>
      </c>
      <c r="G3277" s="319" t="n"/>
      <c r="H3277" s="319">
        <f>($D$3267/$D$3269*F3277)</f>
        <v/>
      </c>
      <c r="I3277" s="319">
        <f>-H3277</f>
        <v/>
      </c>
      <c r="J3277" s="319">
        <f>F3277-I3277</f>
        <v/>
      </c>
    </row>
    <row r="3278">
      <c r="B3278" s="1" t="n">
        <v>3</v>
      </c>
      <c r="C3278" s="24" t="n">
        <v>45078</v>
      </c>
      <c r="D3278" s="24" t="n">
        <v>45107</v>
      </c>
      <c r="E3278" s="25">
        <f>D3278-C3278+1</f>
        <v/>
      </c>
      <c r="F3278" s="319">
        <f>J3277</f>
        <v/>
      </c>
      <c r="G3278" s="319" t="n"/>
      <c r="H3278" s="319">
        <f>($D$3267/$D$3269*F3278)</f>
        <v/>
      </c>
      <c r="I3278" s="319">
        <f>-H3278</f>
        <v/>
      </c>
      <c r="J3278" s="319">
        <f>F3278-I3278</f>
        <v/>
      </c>
      <c r="K3278" s="516" t="n"/>
      <c r="L3278" s="516" t="n"/>
    </row>
    <row r="3279">
      <c r="B3279" s="1" t="n">
        <v>4</v>
      </c>
      <c r="C3279" s="24" t="n">
        <v>45108</v>
      </c>
      <c r="D3279" s="24" t="n">
        <v>45138</v>
      </c>
      <c r="E3279" s="25">
        <f>D3279-C3279+1</f>
        <v/>
      </c>
      <c r="F3279" s="319">
        <f>J3278</f>
        <v/>
      </c>
      <c r="G3279" s="319">
        <f>-PMT($D$3267/$D$3269,21,$F$3279,,0)</f>
        <v/>
      </c>
      <c r="H3279" s="319">
        <f>($D$3267/$D$3269*F3279)</f>
        <v/>
      </c>
      <c r="I3279" s="319">
        <f>G3279-H3279</f>
        <v/>
      </c>
      <c r="J3279" s="319">
        <f>F3279-I3279</f>
        <v/>
      </c>
      <c r="K3279" s="516" t="n"/>
      <c r="L3279" s="516">
        <f>L3278+G3279</f>
        <v/>
      </c>
    </row>
    <row r="3280">
      <c r="B3280" s="1" t="n">
        <v>5</v>
      </c>
      <c r="C3280" s="24" t="n">
        <v>45139</v>
      </c>
      <c r="D3280" s="24" t="n">
        <v>45169</v>
      </c>
      <c r="E3280" s="25">
        <f>D3280-C3280+1</f>
        <v/>
      </c>
      <c r="F3280" s="319">
        <f>J3279</f>
        <v/>
      </c>
      <c r="G3280" s="319">
        <f>-PMT($D$3267/$D$3269,21,$F$3279,,0)</f>
        <v/>
      </c>
      <c r="H3280" s="319">
        <f>($D$3267/$D$3269*F3280)</f>
        <v/>
      </c>
      <c r="I3280" s="319">
        <f>G3280-H3280</f>
        <v/>
      </c>
      <c r="J3280" s="319">
        <f>F3280-I3280</f>
        <v/>
      </c>
      <c r="K3280" s="516" t="n"/>
      <c r="L3280" s="516">
        <f>L3279+G3280</f>
        <v/>
      </c>
    </row>
    <row r="3281">
      <c r="B3281" s="1" t="n">
        <v>6</v>
      </c>
      <c r="C3281" s="24" t="n">
        <v>45170</v>
      </c>
      <c r="D3281" s="24" t="n">
        <v>45199</v>
      </c>
      <c r="E3281" s="25">
        <f>D3281-C3281+1</f>
        <v/>
      </c>
      <c r="F3281" s="319">
        <f>J3280</f>
        <v/>
      </c>
      <c r="G3281" s="319">
        <f>-PMT($D$3267/$D$3269,21,$F$3279,,0)</f>
        <v/>
      </c>
      <c r="H3281" s="319">
        <f>($D$3267/$D$3269*F3281)</f>
        <v/>
      </c>
      <c r="I3281" s="319">
        <f>G3281-H3281</f>
        <v/>
      </c>
      <c r="J3281" s="319">
        <f>F3281-I3281</f>
        <v/>
      </c>
      <c r="K3281" s="516" t="n"/>
      <c r="L3281" s="516">
        <f>L3280+G3281</f>
        <v/>
      </c>
    </row>
    <row r="3282">
      <c r="B3282" s="1" t="n">
        <v>7</v>
      </c>
      <c r="C3282" s="24" t="n">
        <v>45200</v>
      </c>
      <c r="D3282" s="24" t="n">
        <v>45230</v>
      </c>
      <c r="E3282" s="25">
        <f>D3282-C3282+1</f>
        <v/>
      </c>
      <c r="F3282" s="319">
        <f>J3281</f>
        <v/>
      </c>
      <c r="G3282" s="319">
        <f>-PMT($D$3267/$D$3269,21,$F$3279,,0)</f>
        <v/>
      </c>
      <c r="H3282" s="319">
        <f>($D$3267/$D$3269*F3282)</f>
        <v/>
      </c>
      <c r="I3282" s="319">
        <f>G3282-H3282</f>
        <v/>
      </c>
      <c r="J3282" s="319">
        <f>F3282-I3282</f>
        <v/>
      </c>
      <c r="K3282" s="516" t="n">
        <v>1300000</v>
      </c>
      <c r="L3282" s="516">
        <f>L3281+G3282-K3282</f>
        <v/>
      </c>
    </row>
    <row r="3283">
      <c r="B3283" s="1" t="n">
        <v>8</v>
      </c>
      <c r="C3283" s="24" t="n">
        <v>45231</v>
      </c>
      <c r="D3283" s="24" t="n">
        <v>45260</v>
      </c>
      <c r="E3283" s="25">
        <f>D3283-C3283+1</f>
        <v/>
      </c>
      <c r="F3283" s="319">
        <f>J3282</f>
        <v/>
      </c>
      <c r="G3283" s="319">
        <f>-PMT($D$3267/$D$3269,21,$F$3279,,0)</f>
        <v/>
      </c>
      <c r="H3283" s="319">
        <f>($D$3267/$D$3269*F3283)</f>
        <v/>
      </c>
      <c r="I3283" s="319">
        <f>G3283-H3283</f>
        <v/>
      </c>
      <c r="J3283" s="319">
        <f>F3283-I3283</f>
        <v/>
      </c>
      <c r="K3283" s="516" t="n"/>
      <c r="L3283" s="516">
        <f>L3282+G3283-K3283</f>
        <v/>
      </c>
    </row>
    <row r="3284">
      <c r="B3284" s="1" t="n">
        <v>9</v>
      </c>
      <c r="C3284" s="24" t="n">
        <v>45261</v>
      </c>
      <c r="D3284" s="24" t="n">
        <v>45291</v>
      </c>
      <c r="E3284" s="25">
        <f>D3284-C3284+1</f>
        <v/>
      </c>
      <c r="F3284" s="319">
        <f>J3283</f>
        <v/>
      </c>
      <c r="G3284" s="319">
        <f>-PMT($D$3267/$D$3269,21,$F$3279,,0)</f>
        <v/>
      </c>
      <c r="H3284" s="319">
        <f>($D$3267/$D$3269*F3284)</f>
        <v/>
      </c>
      <c r="I3284" s="319">
        <f>G3284-H3284</f>
        <v/>
      </c>
      <c r="J3284" s="319">
        <f>F3284-I3284</f>
        <v/>
      </c>
      <c r="K3284" s="516" t="n"/>
      <c r="L3284" s="516">
        <f>L3283+G3284-K3284</f>
        <v/>
      </c>
    </row>
    <row r="3285">
      <c r="B3285" s="1" t="n">
        <v>10</v>
      </c>
      <c r="C3285" s="24" t="n">
        <v>45292</v>
      </c>
      <c r="D3285" s="24" t="n">
        <v>45322</v>
      </c>
      <c r="E3285" s="25">
        <f>D3285-C3285+1</f>
        <v/>
      </c>
      <c r="F3285" s="319">
        <f>J3284</f>
        <v/>
      </c>
      <c r="G3285" s="319">
        <f>-PMT($D$3267/$D$3269,21,$F$3279,,0)</f>
        <v/>
      </c>
      <c r="H3285" s="319">
        <f>($D$3267/$D$3269*F3285)</f>
        <v/>
      </c>
      <c r="I3285" s="319">
        <f>G3285-H3285</f>
        <v/>
      </c>
      <c r="J3285" s="319">
        <f>F3285-I3285</f>
        <v/>
      </c>
      <c r="K3285" s="516">
        <f>3000000+2600000</f>
        <v/>
      </c>
      <c r="L3285" s="516">
        <f>L3284+G3285-K3285</f>
        <v/>
      </c>
    </row>
    <row r="3286">
      <c r="B3286" s="1" t="n">
        <v>11</v>
      </c>
      <c r="C3286" s="24" t="n">
        <v>45323</v>
      </c>
      <c r="D3286" s="24" t="n">
        <v>45351</v>
      </c>
      <c r="E3286" s="25">
        <f>D3286-C3286+1</f>
        <v/>
      </c>
      <c r="F3286" s="319">
        <f>J3285</f>
        <v/>
      </c>
      <c r="G3286" s="319">
        <f>-PMT($D$3267/$D$3269,21,$F$3279,,0)</f>
        <v/>
      </c>
      <c r="H3286" s="319">
        <f>($D$3267/$D$3269*F3286)</f>
        <v/>
      </c>
      <c r="I3286" s="319">
        <f>G3286-H3286</f>
        <v/>
      </c>
      <c r="J3286" s="319">
        <f>F3286-I3286</f>
        <v/>
      </c>
      <c r="K3286" s="516" t="n"/>
      <c r="L3286" s="516">
        <f>L3285+G3286-K3286</f>
        <v/>
      </c>
    </row>
    <row r="3287">
      <c r="B3287" s="1" t="n">
        <v>12</v>
      </c>
      <c r="C3287" s="24" t="n">
        <v>45352</v>
      </c>
      <c r="D3287" s="24" t="n">
        <v>45382</v>
      </c>
      <c r="E3287" s="25">
        <f>D3287-C3287+1</f>
        <v/>
      </c>
      <c r="F3287" s="319">
        <f>J3286</f>
        <v/>
      </c>
      <c r="G3287" s="319">
        <f>-PMT($D$3267/$D$3269,21,$F$3279,,0)</f>
        <v/>
      </c>
      <c r="H3287" s="319">
        <f>($D$3267/$D$3269*F3287)</f>
        <v/>
      </c>
      <c r="I3287" s="319">
        <f>G3287-H3287</f>
        <v/>
      </c>
      <c r="J3287" s="319">
        <f>F3287-I3287</f>
        <v/>
      </c>
      <c r="K3287" s="516" t="n"/>
      <c r="L3287" s="516">
        <f>L3286+G3287-K3287</f>
        <v/>
      </c>
    </row>
    <row r="3288">
      <c r="B3288" s="1" t="n">
        <v>13</v>
      </c>
      <c r="C3288" s="24" t="n">
        <v>45383</v>
      </c>
      <c r="D3288" s="24" t="n">
        <v>45412</v>
      </c>
      <c r="E3288" s="25">
        <f>D3288-C3288+1</f>
        <v/>
      </c>
      <c r="F3288" s="319">
        <f>J3287</f>
        <v/>
      </c>
      <c r="G3288" s="319">
        <f>-PMT($D$3267/$D$3269,21,$F$3279,,0)</f>
        <v/>
      </c>
      <c r="H3288" s="319">
        <f>($D$3267/$D$3269*F3288)</f>
        <v/>
      </c>
      <c r="I3288" s="319">
        <f>G3288-H3288</f>
        <v/>
      </c>
      <c r="J3288" s="319">
        <f>F3288-I3288</f>
        <v/>
      </c>
      <c r="K3288" s="516" t="n"/>
      <c r="L3288" s="516">
        <f>L3287+G3288-K3288</f>
        <v/>
      </c>
    </row>
    <row r="3289">
      <c r="B3289" s="1" t="n">
        <v>14</v>
      </c>
      <c r="C3289" s="24" t="n">
        <v>45413</v>
      </c>
      <c r="D3289" s="24" t="n">
        <v>45443</v>
      </c>
      <c r="E3289" s="25">
        <f>D3289-C3289+1</f>
        <v/>
      </c>
      <c r="F3289" s="319">
        <f>J3288</f>
        <v/>
      </c>
      <c r="G3289" s="319">
        <f>-PMT($D$3267/$D$3269,21,$F$3279,,0)</f>
        <v/>
      </c>
      <c r="H3289" s="319">
        <f>($D$3267/$D$3269*F3289)</f>
        <v/>
      </c>
      <c r="I3289" s="319">
        <f>G3289-H3289</f>
        <v/>
      </c>
      <c r="J3289" s="319">
        <f>F3289-I3289</f>
        <v/>
      </c>
      <c r="K3289" s="516" t="n">
        <v>3000000</v>
      </c>
      <c r="L3289" s="516">
        <f>L3288+G3289-K3289</f>
        <v/>
      </c>
    </row>
    <row r="3290">
      <c r="B3290" s="1" t="n">
        <v>15</v>
      </c>
      <c r="C3290" s="24" t="n">
        <v>45444</v>
      </c>
      <c r="D3290" s="24" t="n">
        <v>45473</v>
      </c>
      <c r="E3290" s="25">
        <f>D3290-C3290+1</f>
        <v/>
      </c>
      <c r="F3290" s="319">
        <f>J3289</f>
        <v/>
      </c>
      <c r="G3290" s="319">
        <f>-PMT($D$3267/$D$3269,21,$F$3279,,0)</f>
        <v/>
      </c>
      <c r="H3290" s="319">
        <f>($D$3267/$D$3269*F3290)</f>
        <v/>
      </c>
      <c r="I3290" s="319">
        <f>G3290-H3290</f>
        <v/>
      </c>
      <c r="J3290" s="319">
        <f>F3290-I3290</f>
        <v/>
      </c>
      <c r="K3290" s="516" t="n">
        <v>2400000</v>
      </c>
      <c r="L3290" s="516">
        <f>L3289+G3290-K3290</f>
        <v/>
      </c>
    </row>
    <row r="3291">
      <c r="B3291" s="1" t="n">
        <v>16</v>
      </c>
      <c r="C3291" s="24" t="n">
        <v>45474</v>
      </c>
      <c r="D3291" s="24" t="n">
        <v>45504</v>
      </c>
      <c r="E3291" s="25">
        <f>D3291-C3291+1</f>
        <v/>
      </c>
      <c r="F3291" s="319">
        <f>J3290</f>
        <v/>
      </c>
      <c r="G3291" s="319">
        <f>-PMT($D$3267/$D$3269,21,$F$3279,,0)</f>
        <v/>
      </c>
      <c r="H3291" s="319">
        <f>($D$3267/$D$3269*F3291)</f>
        <v/>
      </c>
      <c r="I3291" s="319">
        <f>G3291-H3291</f>
        <v/>
      </c>
      <c r="J3291" s="319">
        <f>F3291-I3291</f>
        <v/>
      </c>
      <c r="K3291" s="516" t="n"/>
      <c r="L3291" s="516">
        <f>L3290+G3291-K3291</f>
        <v/>
      </c>
    </row>
    <row r="3292">
      <c r="B3292" s="1" t="n">
        <v>17</v>
      </c>
      <c r="C3292" s="24" t="n">
        <v>45505</v>
      </c>
      <c r="D3292" s="24" t="n">
        <v>45535</v>
      </c>
      <c r="E3292" s="25">
        <f>D3292-C3292+1</f>
        <v/>
      </c>
      <c r="F3292" s="319">
        <f>J3291</f>
        <v/>
      </c>
      <c r="G3292" s="319">
        <f>-PMT($D$3267/$D$3269,21,$F$3279,,0)</f>
        <v/>
      </c>
      <c r="H3292" s="319">
        <f>($D$3267/$D$3269*F3292)</f>
        <v/>
      </c>
      <c r="I3292" s="319">
        <f>G3292-H3292</f>
        <v/>
      </c>
      <c r="J3292" s="319">
        <f>F3292-I3292</f>
        <v/>
      </c>
      <c r="K3292" s="516" t="n">
        <v>5706454.51</v>
      </c>
      <c r="L3292" s="516">
        <f>L3291+G3292-K3292</f>
        <v/>
      </c>
    </row>
    <row r="3293">
      <c r="B3293" s="1" t="n">
        <v>18</v>
      </c>
      <c r="C3293" s="24" t="n">
        <v>45536</v>
      </c>
      <c r="D3293" s="24" t="n">
        <v>45565</v>
      </c>
      <c r="E3293" s="25">
        <f>D3293-C3293+1</f>
        <v/>
      </c>
      <c r="F3293" s="319">
        <f>J3292</f>
        <v/>
      </c>
      <c r="G3293" s="319">
        <f>-PMT($D$3267/$D$3269,21,$F$3279,,0)</f>
        <v/>
      </c>
      <c r="H3293" s="319">
        <f>($D$3267/$D$3269*F3293)</f>
        <v/>
      </c>
      <c r="I3293" s="319">
        <f>G3293-H3293</f>
        <v/>
      </c>
      <c r="J3293" s="319">
        <f>F3293-I3293</f>
        <v/>
      </c>
      <c r="K3293" s="516" t="n"/>
      <c r="L3293" s="516">
        <f>L3292+G3293-K3293</f>
        <v/>
      </c>
    </row>
    <row r="3294">
      <c r="B3294" s="1" t="n">
        <v>19</v>
      </c>
      <c r="C3294" s="24" t="n">
        <v>45566</v>
      </c>
      <c r="D3294" s="24" t="n">
        <v>45596</v>
      </c>
      <c r="E3294" s="25">
        <f>D3294-C3294+1</f>
        <v/>
      </c>
      <c r="F3294" s="319">
        <f>J3293</f>
        <v/>
      </c>
      <c r="G3294" s="319">
        <f>-PMT($D$3267/$D$3269,21,$F$3279,,0)</f>
        <v/>
      </c>
      <c r="H3294" s="319">
        <f>($D$3267/$D$3269*F3294)</f>
        <v/>
      </c>
      <c r="I3294" s="319">
        <f>G3294-H3294</f>
        <v/>
      </c>
      <c r="J3294" s="319">
        <f>F3294-I3294</f>
        <v/>
      </c>
      <c r="K3294" s="516" t="n">
        <v>1287000</v>
      </c>
      <c r="L3294" s="520">
        <f>L3293+G3294-K3294</f>
        <v/>
      </c>
    </row>
    <row r="3295">
      <c r="B3295" s="1" t="n">
        <v>20</v>
      </c>
      <c r="C3295" s="24" t="n">
        <v>45597</v>
      </c>
      <c r="D3295" s="24" t="n">
        <v>45626</v>
      </c>
      <c r="E3295" s="25">
        <f>D3295-C3295+1</f>
        <v/>
      </c>
      <c r="F3295" s="319">
        <f>J3294</f>
        <v/>
      </c>
      <c r="G3295" s="319">
        <f>-PMT($D$3267/$D$3269,21,$F$3279,,0)</f>
        <v/>
      </c>
      <c r="H3295" s="319">
        <f>($D$3267/$D$3269*F3295)</f>
        <v/>
      </c>
      <c r="I3295" s="319">
        <f>G3295-H3295</f>
        <v/>
      </c>
      <c r="J3295" s="319">
        <f>F3295-I3295</f>
        <v/>
      </c>
      <c r="K3295" s="516" t="n"/>
      <c r="L3295" s="516" t="n"/>
    </row>
    <row r="3296">
      <c r="B3296" s="1" t="n">
        <v>21</v>
      </c>
      <c r="C3296" s="24" t="n">
        <v>45627</v>
      </c>
      <c r="D3296" s="24" t="n">
        <v>45657</v>
      </c>
      <c r="E3296" s="25">
        <f>D3296-C3296+1</f>
        <v/>
      </c>
      <c r="F3296" s="319">
        <f>J3295</f>
        <v/>
      </c>
      <c r="G3296" s="319">
        <f>-PMT($D$3267/$D$3269,21,$F$3279,,0)</f>
        <v/>
      </c>
      <c r="H3296" s="319">
        <f>($D$3267/$D$3269*F3296)</f>
        <v/>
      </c>
      <c r="I3296" s="319">
        <f>G3296-H3296</f>
        <v/>
      </c>
      <c r="J3296" s="319">
        <f>F3296-I3296</f>
        <v/>
      </c>
      <c r="K3296" s="516" t="n"/>
      <c r="L3296" s="516" t="n"/>
    </row>
    <row r="3297">
      <c r="B3297" s="1" t="n">
        <v>22</v>
      </c>
      <c r="C3297" s="24" t="n">
        <v>45658</v>
      </c>
      <c r="D3297" s="24" t="n">
        <v>45688</v>
      </c>
      <c r="E3297" s="25">
        <f>D3297-C3297+1</f>
        <v/>
      </c>
      <c r="F3297" s="319">
        <f>J3296</f>
        <v/>
      </c>
      <c r="G3297" s="319">
        <f>-PMT($D$3267/$D$3269,21,$F$3279,,0)</f>
        <v/>
      </c>
      <c r="H3297" s="319">
        <f>($D$3267/$D$3269*F3297)</f>
        <v/>
      </c>
      <c r="I3297" s="319">
        <f>G3297-H3297</f>
        <v/>
      </c>
      <c r="J3297" s="319">
        <f>F3297-I3297</f>
        <v/>
      </c>
      <c r="K3297" s="516" t="n"/>
      <c r="L3297" s="516" t="n"/>
    </row>
    <row r="3298">
      <c r="B3298" s="1" t="n">
        <v>23</v>
      </c>
      <c r="C3298" s="24" t="n">
        <v>45689</v>
      </c>
      <c r="D3298" s="24" t="n">
        <v>45716</v>
      </c>
      <c r="E3298" s="25">
        <f>D3298-C3298+1</f>
        <v/>
      </c>
      <c r="F3298" s="319">
        <f>J3297</f>
        <v/>
      </c>
      <c r="G3298" s="319">
        <f>-PMT($D$3267/$D$3269,21,$F$3279,,0)</f>
        <v/>
      </c>
      <c r="H3298" s="319">
        <f>($D$3267/$D$3269*F3298)</f>
        <v/>
      </c>
      <c r="I3298" s="319">
        <f>G3298-H3298</f>
        <v/>
      </c>
      <c r="J3298" s="319">
        <f>F3298-I3298</f>
        <v/>
      </c>
      <c r="K3298" s="516" t="n"/>
      <c r="L3298" s="516" t="n"/>
    </row>
    <row r="3299">
      <c r="B3299" s="1" t="n">
        <v>24</v>
      </c>
      <c r="C3299" s="24" t="n">
        <v>45717</v>
      </c>
      <c r="D3299" s="24" t="n">
        <v>45747</v>
      </c>
      <c r="E3299" s="25">
        <f>D3299-C3299+1</f>
        <v/>
      </c>
      <c r="F3299" s="319">
        <f>J3298</f>
        <v/>
      </c>
      <c r="G3299" s="319">
        <f>-PMT($D$3267/$D$3269,21,$F$3279,,0)</f>
        <v/>
      </c>
      <c r="H3299" s="319">
        <f>($D$3076/$D$3078*F3299)</f>
        <v/>
      </c>
      <c r="I3299" s="319">
        <f>G3299-H3299</f>
        <v/>
      </c>
      <c r="J3299" s="319">
        <f>F3299-I3299</f>
        <v/>
      </c>
      <c r="K3299" s="516" t="n"/>
      <c r="L3299" s="516" t="n"/>
    </row>
    <row r="3300">
      <c r="B3300" s="1" t="n"/>
      <c r="C3300" s="24" t="n"/>
      <c r="D3300" s="24" t="n"/>
      <c r="E3300" s="25" t="n"/>
      <c r="F3300" s="319" t="n"/>
      <c r="G3300" s="319" t="n"/>
      <c r="H3300" s="319" t="n"/>
      <c r="I3300" s="319" t="n"/>
      <c r="J3300" s="319" t="n"/>
      <c r="K3300" s="516" t="n"/>
      <c r="L3300" s="516" t="n"/>
    </row>
    <row r="3301">
      <c r="B3301" s="1" t="n"/>
      <c r="C3301" s="24" t="n"/>
      <c r="D3301" s="24" t="n"/>
      <c r="E3301" s="30">
        <f>SUM(E3275:E3299)</f>
        <v/>
      </c>
      <c r="F3301" s="319" t="n"/>
      <c r="G3301" s="319" t="n"/>
      <c r="H3301" s="319" t="n"/>
      <c r="I3301" s="319" t="n"/>
      <c r="J3301" s="319" t="n"/>
      <c r="K3301" s="516" t="n"/>
      <c r="L3301" s="516" t="n"/>
    </row>
    <row r="3304">
      <c r="B3304" s="1" t="n"/>
      <c r="C3304" s="9" t="inlineStr">
        <is>
          <t>Happie Foods</t>
        </is>
      </c>
      <c r="D3304" s="319" t="n"/>
      <c r="E3304" s="319" t="n"/>
      <c r="F3304" s="319" t="n"/>
      <c r="G3304" s="319" t="n"/>
      <c r="H3304" s="319" t="n"/>
      <c r="I3304" s="319" t="n"/>
      <c r="J3304" s="319" t="n"/>
      <c r="K3304" s="319" t="n"/>
      <c r="L3304" s="319" t="n"/>
      <c r="R3304" s="514" t="inlineStr">
        <is>
          <t>E-Banker account (Dupleix)</t>
        </is>
      </c>
      <c r="S3304" s="495">
        <f>IFERROR(INDEX('Blocks'!$I$2:$I$101,MATCH(60,'Blocks'!$A$2:$A$101,0)),"")</f>
        <v/>
      </c>
    </row>
    <row r="3305">
      <c r="B3305" s="1" t="n"/>
      <c r="C3305" s="1" t="n"/>
      <c r="D3305" s="319" t="n"/>
      <c r="E3305" s="319" t="n"/>
      <c r="F3305" s="290" t="inlineStr">
        <is>
          <t>17.3% to 20%</t>
        </is>
      </c>
      <c r="G3305" s="290" t="inlineStr">
        <is>
          <t>20% to 21.40%</t>
        </is>
      </c>
      <c r="H3305" s="290" t="inlineStr">
        <is>
          <t>21.40% to 22.70%</t>
        </is>
      </c>
      <c r="I3305" s="290" t="inlineStr">
        <is>
          <t>22.70% to 23.40%</t>
        </is>
      </c>
      <c r="J3305" s="290" t="inlineStr">
        <is>
          <t>23.40% to 23.50%</t>
        </is>
      </c>
      <c r="K3305" s="290" t="inlineStr">
        <is>
          <t>23.50% to 23.60%</t>
        </is>
      </c>
      <c r="L3305" s="290" t="inlineStr">
        <is>
          <t>23.60% to 24.90%</t>
        </is>
      </c>
      <c r="M3305" s="290" t="inlineStr">
        <is>
          <t>24.90% to 25%</t>
        </is>
      </c>
      <c r="N3305" s="290" t="inlineStr">
        <is>
          <t>25.00% to 25.10%</t>
        </is>
      </c>
      <c r="R3305" s="514" t="inlineStr">
        <is>
          <t>Facility (Loan Book)</t>
        </is>
      </c>
      <c r="S3305" s="495">
        <f>IFERROR(INDEX('Blocks'!$H$2:$H$101,MATCH(60,'Blocks'!$A$2:$A$101,0)),"")</f>
        <v/>
      </c>
    </row>
    <row r="3306">
      <c r="B3306" s="1" t="n"/>
      <c r="C3306" s="10" t="inlineStr">
        <is>
          <t>Principal (MK)</t>
        </is>
      </c>
      <c r="D3306" s="11" t="n">
        <v>257860750</v>
      </c>
      <c r="E3306" s="319" t="n"/>
      <c r="F3306" s="535" t="n">
        <v>45047</v>
      </c>
      <c r="G3306" s="290" t="n">
        <v>45108</v>
      </c>
      <c r="H3306" s="535" t="n">
        <v>45139</v>
      </c>
      <c r="I3306" s="290" t="n">
        <v>45170</v>
      </c>
      <c r="J3306" s="535" t="n">
        <v>45200</v>
      </c>
      <c r="K3306" s="248" t="n">
        <v>45261</v>
      </c>
      <c r="L3306" s="248" t="n">
        <v>44958</v>
      </c>
      <c r="M3306" s="248" t="n">
        <v>45047</v>
      </c>
      <c r="N3306" s="248" t="n">
        <v>45078</v>
      </c>
      <c r="R3306" s="514" t="inlineStr">
        <is>
          <t>Take-on posting 31 Jul 2024</t>
        </is>
      </c>
      <c r="S3306" s="496">
        <f>IFERROR(INDEX('E-Banker master'!$N$2:$N$186,MATCH(S3304,'E-Banker master'!$A$2:$A$186,0)),"")</f>
        <v/>
      </c>
    </row>
    <row r="3307">
      <c r="B3307" s="1" t="n"/>
      <c r="C3307" s="13" t="inlineStr">
        <is>
          <t>Rate</t>
        </is>
      </c>
      <c r="D3307" s="14" t="n">
        <v>0.253</v>
      </c>
      <c r="E3307" s="257" t="n"/>
      <c r="F3307" s="290" t="inlineStr">
        <is>
          <t>Rate Adj</t>
        </is>
      </c>
      <c r="G3307" s="290" t="inlineStr">
        <is>
          <t>Rate Adj</t>
        </is>
      </c>
      <c r="H3307" s="290" t="inlineStr">
        <is>
          <t>Rate Adj</t>
        </is>
      </c>
      <c r="I3307" s="290" t="inlineStr">
        <is>
          <t>Rate Adj</t>
        </is>
      </c>
      <c r="J3307" s="290" t="inlineStr">
        <is>
          <t>Rate Adj</t>
        </is>
      </c>
      <c r="K3307" s="290" t="inlineStr">
        <is>
          <t>Rate Adj</t>
        </is>
      </c>
      <c r="L3307" s="290" t="inlineStr">
        <is>
          <t>Rate Adj</t>
        </is>
      </c>
      <c r="M3307" s="290" t="inlineStr">
        <is>
          <t>Rate Adj</t>
        </is>
      </c>
      <c r="N3307" s="290" t="inlineStr">
        <is>
          <t>Rate Adj</t>
        </is>
      </c>
      <c r="R3307" s="514" t="inlineStr">
        <is>
          <t>E-Banker balance 31 Oct 2024</t>
        </is>
      </c>
      <c r="S3307" s="496">
        <f>IFERROR(INDEX('E-Banker master'!$P$2:$P$186,MATCH(S3304,'E-Banker master'!$A$2:$A$186,0)),"")</f>
        <v/>
      </c>
    </row>
    <row r="3308">
      <c r="B3308" s="1" t="n"/>
      <c r="C3308" s="13" t="inlineStr">
        <is>
          <t>n</t>
        </is>
      </c>
      <c r="D3308" s="16" t="n">
        <v>4</v>
      </c>
      <c r="E3308" s="1" t="n"/>
      <c r="F3308" s="257">
        <f>D3307+2.7%</f>
        <v/>
      </c>
      <c r="G3308" s="319">
        <f>F3308+1.4%</f>
        <v/>
      </c>
      <c r="H3308" s="257">
        <f>G3308+1.3%</f>
        <v/>
      </c>
      <c r="I3308" s="319">
        <f>H3308+0.7%</f>
        <v/>
      </c>
      <c r="J3308" s="257">
        <f>I3308+0.1%</f>
        <v/>
      </c>
      <c r="K3308" s="257">
        <f>J3308+0.1%</f>
        <v/>
      </c>
      <c r="L3308" s="257">
        <f>K3308+1.3%</f>
        <v/>
      </c>
      <c r="M3308" s="257">
        <f>L3308+0.1%</f>
        <v/>
      </c>
      <c r="N3308" s="257">
        <f>M3308+0.1%</f>
        <v/>
      </c>
    </row>
    <row r="3309">
      <c r="B3309" s="1" t="n"/>
      <c r="C3309" s="13" t="inlineStr">
        <is>
          <t>Per</t>
        </is>
      </c>
      <c r="D3309" s="16" t="n">
        <v>12</v>
      </c>
      <c r="E3309" s="1" t="n"/>
      <c r="F3309" s="290" t="inlineStr">
        <is>
          <t>25.10% to 25.40%</t>
        </is>
      </c>
      <c r="G3309" s="319" t="n"/>
      <c r="H3309" s="319" t="n"/>
      <c r="I3309" s="319" t="n"/>
      <c r="J3309" s="319" t="n"/>
      <c r="K3309" s="1" t="n"/>
      <c r="L3309" s="1" t="n"/>
    </row>
    <row r="3310">
      <c r="B3310" s="1" t="n"/>
      <c r="C3310" s="13" t="inlineStr">
        <is>
          <t>nPer</t>
        </is>
      </c>
      <c r="D3310" s="515">
        <f>D3308*D3309</f>
        <v/>
      </c>
      <c r="E3310" s="1" t="n"/>
      <c r="F3310" s="248" t="n">
        <v>45108</v>
      </c>
      <c r="G3310" s="319" t="n"/>
      <c r="H3310" s="319" t="n"/>
      <c r="I3310" s="319" t="n"/>
      <c r="J3310" s="319" t="n"/>
      <c r="K3310" s="1" t="n"/>
      <c r="L3310" s="1" t="n"/>
    </row>
    <row r="3311">
      <c r="B3311" s="1" t="n"/>
      <c r="C3311" s="13" t="inlineStr">
        <is>
          <t>Days in a year</t>
        </is>
      </c>
      <c r="D3311" s="18" t="n">
        <v>365</v>
      </c>
      <c r="E3311" s="1" t="n"/>
      <c r="F3311" s="290" t="inlineStr">
        <is>
          <t>Rate Adj</t>
        </is>
      </c>
      <c r="G3311" s="319" t="n"/>
      <c r="H3311" s="319" t="n"/>
      <c r="I3311" s="319" t="n"/>
      <c r="J3311" s="319" t="n"/>
      <c r="K3311" s="1" t="n"/>
      <c r="L3311" s="1" t="n"/>
    </row>
    <row r="3312">
      <c r="B3312" s="1" t="n"/>
      <c r="C3312" s="19" t="inlineStr">
        <is>
          <t>Pmt (MK)</t>
        </is>
      </c>
      <c r="D3312" s="20">
        <f>-PMT(D3307/D3309,D3310,D3306,0,0)</f>
        <v/>
      </c>
      <c r="E3312" s="319" t="n"/>
      <c r="F3312" s="257">
        <f>N3308+0.4%</f>
        <v/>
      </c>
      <c r="G3312" s="319" t="n"/>
      <c r="H3312" s="319" t="n"/>
      <c r="I3312" s="319" t="n"/>
      <c r="J3312" s="319" t="n"/>
      <c r="K3312" s="1" t="n"/>
      <c r="L3312" s="1" t="n"/>
    </row>
    <row r="3313">
      <c r="B3313" s="1" t="n"/>
      <c r="C3313" s="1" t="n"/>
      <c r="D3313" s="319" t="n"/>
      <c r="E3313" s="319" t="n"/>
      <c r="F3313" s="319" t="n"/>
      <c r="G3313" s="319" t="n"/>
      <c r="H3313" s="319" t="n"/>
      <c r="I3313" s="319" t="n"/>
      <c r="J3313" s="319" t="n"/>
      <c r="K3313" s="1" t="n"/>
      <c r="L3313" s="1" t="n"/>
    </row>
    <row r="3314">
      <c r="B3314" s="1" t="n"/>
      <c r="C3314" s="21" t="inlineStr">
        <is>
          <t>Period Start</t>
        </is>
      </c>
      <c r="D3314" s="22" t="inlineStr">
        <is>
          <t>Period End</t>
        </is>
      </c>
      <c r="E3314" s="22" t="inlineStr">
        <is>
          <t>Days</t>
        </is>
      </c>
      <c r="F3314" s="294" t="inlineStr">
        <is>
          <t>Opening bal.</t>
        </is>
      </c>
      <c r="G3314" s="294" t="inlineStr">
        <is>
          <t>Pmt</t>
        </is>
      </c>
      <c r="H3314" s="294" t="inlineStr">
        <is>
          <t>Interest</t>
        </is>
      </c>
      <c r="I3314" s="294" t="inlineStr">
        <is>
          <t>Principal</t>
        </is>
      </c>
      <c r="J3314" s="294" t="inlineStr">
        <is>
          <t>Closing balance</t>
        </is>
      </c>
      <c r="K3314" s="23" t="inlineStr">
        <is>
          <t>Amount Repaid</t>
        </is>
      </c>
      <c r="L3314" s="23" t="inlineStr">
        <is>
          <t>Accumulated Arrears</t>
        </is>
      </c>
    </row>
    <row r="3315">
      <c r="B3315" s="1" t="n">
        <v>0</v>
      </c>
      <c r="C3315" s="24" t="n">
        <v>45009</v>
      </c>
      <c r="D3315" s="24" t="n">
        <v>45016</v>
      </c>
      <c r="E3315" s="25">
        <f>D3315-C3315+1</f>
        <v/>
      </c>
      <c r="F3315" s="319">
        <f>D3306</f>
        <v/>
      </c>
      <c r="G3315" s="319" t="n"/>
      <c r="H3315" s="319">
        <f>D3307/D3309*E3315*F3315/31</f>
        <v/>
      </c>
      <c r="I3315" s="319">
        <f>G3315-H3315</f>
        <v/>
      </c>
      <c r="J3315" s="319">
        <f>F3315+F3306-I3315</f>
        <v/>
      </c>
      <c r="K3315" s="516" t="n"/>
      <c r="L3315" s="516" t="n"/>
    </row>
    <row r="3316">
      <c r="B3316" s="1" t="n">
        <v>1</v>
      </c>
      <c r="C3316" s="24" t="n">
        <v>45017</v>
      </c>
      <c r="D3316" s="24" t="n">
        <v>45046</v>
      </c>
      <c r="E3316" s="25">
        <f>D3316-C3316+1</f>
        <v/>
      </c>
      <c r="F3316" s="319">
        <f>J3315</f>
        <v/>
      </c>
      <c r="G3316" s="319" t="n"/>
      <c r="H3316" s="319">
        <f>($D$3307/$D$3309*F3316)</f>
        <v/>
      </c>
      <c r="I3316" s="319">
        <f>G3316-H3316</f>
        <v/>
      </c>
      <c r="J3316" s="319">
        <f>F3316-I3316</f>
        <v/>
      </c>
      <c r="K3316" s="516" t="n"/>
      <c r="L3316" s="516" t="n"/>
    </row>
    <row r="3317">
      <c r="B3317" s="1" t="n">
        <v>2</v>
      </c>
      <c r="C3317" s="24" t="n">
        <v>45047</v>
      </c>
      <c r="D3317" s="24" t="n">
        <v>45077</v>
      </c>
      <c r="E3317" s="25">
        <f>D3317-C3317+1</f>
        <v/>
      </c>
      <c r="F3317" s="319">
        <f>J3316</f>
        <v/>
      </c>
      <c r="G3317" s="319" t="n"/>
      <c r="H3317" s="319">
        <f>($F$3308/$D$3309*F3317)</f>
        <v/>
      </c>
      <c r="I3317" s="319">
        <f>G3317-H3317</f>
        <v/>
      </c>
      <c r="J3317" s="319">
        <f>F3317-I3317-K3317</f>
        <v/>
      </c>
      <c r="K3317" s="516" t="n">
        <v>116000000</v>
      </c>
    </row>
    <row r="3318">
      <c r="B3318" s="1" t="n">
        <v>3</v>
      </c>
      <c r="C3318" s="24" t="n">
        <v>45078</v>
      </c>
      <c r="D3318" s="24" t="n">
        <v>45107</v>
      </c>
      <c r="E3318" s="25">
        <f>D3318-C3318+1</f>
        <v/>
      </c>
      <c r="F3318" s="319">
        <f>J3317</f>
        <v/>
      </c>
      <c r="G3318" s="319" t="n"/>
      <c r="H3318" s="319">
        <f>($F$3308/$D$3309*F3318)</f>
        <v/>
      </c>
      <c r="I3318" s="319">
        <f>G3318-H3318</f>
        <v/>
      </c>
      <c r="J3318" s="319">
        <f>F3318-I3318</f>
        <v/>
      </c>
      <c r="K3318" s="516" t="n"/>
      <c r="L3318" s="516" t="n"/>
    </row>
    <row r="3319">
      <c r="B3319" s="1" t="n">
        <v>4</v>
      </c>
      <c r="C3319" s="24" t="n">
        <v>45108</v>
      </c>
      <c r="D3319" s="24" t="n">
        <v>45138</v>
      </c>
      <c r="E3319" s="25">
        <f>D3319-C3319+1</f>
        <v/>
      </c>
      <c r="F3319" s="319">
        <f>J3318</f>
        <v/>
      </c>
      <c r="G3319" s="319" t="n"/>
      <c r="H3319" s="319">
        <f>($G$3308/$D$3309*F3319)</f>
        <v/>
      </c>
      <c r="I3319" s="319">
        <f>G3319-H3319</f>
        <v/>
      </c>
      <c r="J3319" s="319">
        <f>F3319-I3319</f>
        <v/>
      </c>
      <c r="K3319" s="516" t="n"/>
      <c r="L3319" s="516" t="n"/>
    </row>
    <row r="3320">
      <c r="B3320" s="1" t="n">
        <v>5</v>
      </c>
      <c r="C3320" s="24" t="n">
        <v>45139</v>
      </c>
      <c r="D3320" s="24" t="n">
        <v>45169</v>
      </c>
      <c r="E3320" s="25">
        <f>D3320-C3320+1</f>
        <v/>
      </c>
      <c r="F3320" s="319">
        <f>J3319</f>
        <v/>
      </c>
      <c r="G3320" s="319" t="n"/>
      <c r="H3320" s="319">
        <f>($H$3308/$D$3309*F3320)</f>
        <v/>
      </c>
      <c r="I3320" s="319">
        <f>G3320-H3320</f>
        <v/>
      </c>
      <c r="J3320" s="319">
        <f>F3320-I3320</f>
        <v/>
      </c>
      <c r="K3320" s="516" t="n"/>
      <c r="L3320" s="516" t="n"/>
    </row>
    <row r="3321">
      <c r="B3321" s="1" t="n">
        <v>6</v>
      </c>
      <c r="C3321" s="24" t="n">
        <v>45170</v>
      </c>
      <c r="D3321" s="24" t="n">
        <v>45199</v>
      </c>
      <c r="E3321" s="25">
        <f>D3321-C3321+1</f>
        <v/>
      </c>
      <c r="F3321" s="319">
        <f>J3320</f>
        <v/>
      </c>
      <c r="G3321" s="319" t="n"/>
      <c r="H3321" s="319">
        <f>($I$3308/$D$3309*F3321)</f>
        <v/>
      </c>
      <c r="I3321" s="319">
        <f>G3321-H3321</f>
        <v/>
      </c>
      <c r="J3321" s="319">
        <f>F3321-I3321</f>
        <v/>
      </c>
      <c r="K3321" s="516" t="n"/>
      <c r="L3321" s="519" t="n"/>
    </row>
    <row r="3322">
      <c r="B3322" s="1" t="n">
        <v>7</v>
      </c>
      <c r="C3322" s="24" t="n">
        <v>45200</v>
      </c>
      <c r="D3322" s="24" t="n">
        <v>45230</v>
      </c>
      <c r="E3322" s="25">
        <f>D3322-C3322+1</f>
        <v/>
      </c>
      <c r="F3322" s="319">
        <f>J3321</f>
        <v/>
      </c>
      <c r="G3322" s="319">
        <f>-PMT($J$3308/$D$3309,42,$F$3322,,0)</f>
        <v/>
      </c>
      <c r="H3322" s="319">
        <f>($J$3308/$D$3309*F3322)</f>
        <v/>
      </c>
      <c r="I3322" s="319">
        <f>G3322-H3322</f>
        <v/>
      </c>
      <c r="J3322" s="319">
        <f>F3322-I3322</f>
        <v/>
      </c>
      <c r="K3322" s="516" t="n">
        <v>7000000</v>
      </c>
      <c r="L3322" s="516" t="n"/>
    </row>
    <row r="3323">
      <c r="B3323" s="1" t="n">
        <v>8</v>
      </c>
      <c r="C3323" s="24" t="n">
        <v>45231</v>
      </c>
      <c r="D3323" s="24" t="n">
        <v>45260</v>
      </c>
      <c r="E3323" s="25">
        <f>D3323-C3323+1</f>
        <v/>
      </c>
      <c r="F3323" s="319">
        <f>J3322</f>
        <v/>
      </c>
      <c r="G3323" s="319">
        <f>-PMT($J$3308/$D$3309,42,$F$3322,,0)</f>
        <v/>
      </c>
      <c r="H3323" s="319">
        <f>($J$3308/$D$3309*F3323)</f>
        <v/>
      </c>
      <c r="I3323" s="319">
        <f>G3323-H3323</f>
        <v/>
      </c>
      <c r="J3323" s="319">
        <f>F3323-I3323</f>
        <v/>
      </c>
      <c r="K3323" s="516" t="n">
        <v>7000000</v>
      </c>
      <c r="L3323" s="516" t="n"/>
    </row>
    <row r="3324">
      <c r="B3324" s="1" t="n">
        <v>9</v>
      </c>
      <c r="C3324" s="24" t="n">
        <v>45261</v>
      </c>
      <c r="D3324" s="24" t="n">
        <v>45291</v>
      </c>
      <c r="E3324" s="25">
        <f>D3324-C3324+1</f>
        <v/>
      </c>
      <c r="F3324" s="319">
        <f>J3323</f>
        <v/>
      </c>
      <c r="G3324" s="319">
        <f>-PMT($K$3308/$D$3309,40,$F$3324,,0)</f>
        <v/>
      </c>
      <c r="H3324" s="319">
        <f>($K$3308/$D$3309*F3324)</f>
        <v/>
      </c>
      <c r="I3324" s="319">
        <f>G3324-H3324</f>
        <v/>
      </c>
      <c r="J3324" s="319">
        <f>F3324-I3324</f>
        <v/>
      </c>
      <c r="K3324" s="516" t="n">
        <v>7000000</v>
      </c>
      <c r="L3324" s="519" t="n"/>
    </row>
    <row r="3325">
      <c r="B3325" s="1" t="n">
        <v>10</v>
      </c>
      <c r="C3325" s="24" t="n">
        <v>45292</v>
      </c>
      <c r="D3325" s="24" t="n">
        <v>45322</v>
      </c>
      <c r="E3325" s="25">
        <f>D3325-C3325+1</f>
        <v/>
      </c>
      <c r="F3325" s="319">
        <f>J3324</f>
        <v/>
      </c>
      <c r="G3325" s="319">
        <f>-PMT($K$3308/$D$3309,40,$F$3324,,0)</f>
        <v/>
      </c>
      <c r="H3325" s="319">
        <f>($K$3308/$D$3309*F3325)</f>
        <v/>
      </c>
      <c r="I3325" s="319">
        <f>G3325-H3325</f>
        <v/>
      </c>
      <c r="J3325" s="319">
        <f>F3325-I3325</f>
        <v/>
      </c>
      <c r="K3325" s="516" t="n">
        <v>7000000</v>
      </c>
      <c r="L3325" s="516" t="n"/>
    </row>
    <row r="3326">
      <c r="B3326" s="1" t="n">
        <v>11</v>
      </c>
      <c r="C3326" s="24" t="n">
        <v>45323</v>
      </c>
      <c r="D3326" s="24" t="n">
        <v>45351</v>
      </c>
      <c r="E3326" s="25">
        <f>D3326-C3326+1</f>
        <v/>
      </c>
      <c r="F3326" s="319">
        <f>J3325</f>
        <v/>
      </c>
      <c r="G3326" s="319">
        <f>-PMT($L$3308/$D$3309,38,$F$3326,,0)</f>
        <v/>
      </c>
      <c r="H3326" s="319">
        <f>($L$3308/$D$3309*F3326)</f>
        <v/>
      </c>
      <c r="I3326" s="319">
        <f>G3326-H3326</f>
        <v/>
      </c>
      <c r="J3326" s="319">
        <f>F3326-I3326</f>
        <v/>
      </c>
      <c r="K3326" s="516" t="n"/>
      <c r="L3326" s="516" t="n"/>
    </row>
    <row r="3327">
      <c r="B3327" s="1" t="n">
        <v>12</v>
      </c>
      <c r="C3327" s="24" t="n">
        <v>45352</v>
      </c>
      <c r="D3327" s="24" t="n">
        <v>45382</v>
      </c>
      <c r="E3327" s="25">
        <f>D3327-C3327+1</f>
        <v/>
      </c>
      <c r="F3327" s="319">
        <f>J3326</f>
        <v/>
      </c>
      <c r="G3327" s="319">
        <f>-PMT($L$3308/$D$3309,38,$F$3326,,0)</f>
        <v/>
      </c>
      <c r="H3327" s="319">
        <f>($L$3308/$D$3309*F3327)</f>
        <v/>
      </c>
      <c r="I3327" s="319">
        <f>G3327-H3327</f>
        <v/>
      </c>
      <c r="J3327" s="319">
        <f>F3327-I3327</f>
        <v/>
      </c>
      <c r="K3327" s="516" t="n">
        <v>7000000</v>
      </c>
      <c r="L3327" s="516" t="n"/>
    </row>
    <row r="3328">
      <c r="B3328" s="1" t="n">
        <v>13</v>
      </c>
      <c r="C3328" s="24" t="n">
        <v>45383</v>
      </c>
      <c r="D3328" s="24" t="n">
        <v>45412</v>
      </c>
      <c r="E3328" s="25">
        <f>D3328-C3328+1</f>
        <v/>
      </c>
      <c r="F3328" s="319">
        <f>J3327</f>
        <v/>
      </c>
      <c r="G3328" s="319">
        <f>-PMT($L$3308/$D$3309,38,$F$3326,,0)</f>
        <v/>
      </c>
      <c r="H3328" s="319">
        <f>($L$3308/$D$3309*F3328)</f>
        <v/>
      </c>
      <c r="I3328" s="319">
        <f>G3328-H3328</f>
        <v/>
      </c>
      <c r="J3328" s="319">
        <f>F3328-I3328</f>
        <v/>
      </c>
      <c r="K3328" s="516" t="n">
        <v>7000000</v>
      </c>
      <c r="L3328" s="516" t="n"/>
    </row>
    <row r="3329">
      <c r="B3329" s="1" t="n">
        <v>14</v>
      </c>
      <c r="C3329" s="24" t="n">
        <v>45413</v>
      </c>
      <c r="D3329" s="24" t="n">
        <v>45443</v>
      </c>
      <c r="E3329" s="25">
        <f>D3329-C3329+1</f>
        <v/>
      </c>
      <c r="F3329" s="319">
        <f>J3328</f>
        <v/>
      </c>
      <c r="G3329" s="319">
        <f>-PMT($M$3308/$D$3309,35,$F$3329,,0)</f>
        <v/>
      </c>
      <c r="H3329" s="319">
        <f>($M$3308/$D$3309*F3329)</f>
        <v/>
      </c>
      <c r="I3329" s="319">
        <f>G3329-H3329</f>
        <v/>
      </c>
      <c r="J3329" s="319">
        <f>F3329-I3329</f>
        <v/>
      </c>
      <c r="K3329" s="516" t="n">
        <v>7000000</v>
      </c>
      <c r="L3329" s="516" t="n"/>
    </row>
    <row r="3330">
      <c r="B3330" s="1" t="n">
        <v>15</v>
      </c>
      <c r="C3330" s="24" t="n">
        <v>45444</v>
      </c>
      <c r="D3330" s="24" t="n">
        <v>45473</v>
      </c>
      <c r="E3330" s="25">
        <f>D3330-C3330+1</f>
        <v/>
      </c>
      <c r="F3330" s="319">
        <f>J3329</f>
        <v/>
      </c>
      <c r="G3330" s="319">
        <f>-PMT($N$3308/$D$3309,34,$F$3330,,0)</f>
        <v/>
      </c>
      <c r="H3330" s="319">
        <f>($N$3308/$D$3309*F3330)</f>
        <v/>
      </c>
      <c r="I3330" s="319">
        <f>G3330-H3330</f>
        <v/>
      </c>
      <c r="J3330" s="319">
        <f>F3330-I3330</f>
        <v/>
      </c>
      <c r="K3330" s="516">
        <f>7000000+7000000</f>
        <v/>
      </c>
      <c r="L3330" s="516" t="n"/>
    </row>
    <row r="3331">
      <c r="B3331" s="1" t="n">
        <v>16</v>
      </c>
      <c r="C3331" s="24" t="n">
        <v>45474</v>
      </c>
      <c r="D3331" s="24" t="n">
        <v>45504</v>
      </c>
      <c r="E3331" s="25">
        <f>D3331-C3331+1</f>
        <v/>
      </c>
      <c r="F3331" s="319">
        <f>J3330</f>
        <v/>
      </c>
      <c r="G3331" s="319">
        <f>-PMT($F$3312/$D$3309,33,$F$3331,,0)</f>
        <v/>
      </c>
      <c r="H3331" s="319">
        <f>($F$3312/$D$3309*F3331)</f>
        <v/>
      </c>
      <c r="I3331" s="319">
        <f>G3331-H3331</f>
        <v/>
      </c>
      <c r="J3331" s="319">
        <f>F3331-I3331</f>
        <v/>
      </c>
      <c r="K3331" s="516" t="n">
        <v>7000000</v>
      </c>
      <c r="L3331" s="516" t="n"/>
    </row>
    <row r="3332">
      <c r="B3332" s="1" t="n">
        <v>17</v>
      </c>
      <c r="C3332" s="24" t="n">
        <v>45505</v>
      </c>
      <c r="D3332" s="24" t="n">
        <v>45535</v>
      </c>
      <c r="E3332" s="25">
        <f>D3332-C3332+1</f>
        <v/>
      </c>
      <c r="F3332" s="319">
        <f>J3331</f>
        <v/>
      </c>
      <c r="G3332" s="319">
        <f>-PMT($F$3312/$D$3309,33,$F$3331,,0)</f>
        <v/>
      </c>
      <c r="H3332" s="319">
        <f>($F$3312/$D$3309*F3332)</f>
        <v/>
      </c>
      <c r="I3332" s="319">
        <f>G3332-H3332</f>
        <v/>
      </c>
      <c r="J3332" s="319">
        <f>F3332-I3332</f>
        <v/>
      </c>
      <c r="K3332" s="516" t="n">
        <v>7000000</v>
      </c>
      <c r="L3332" s="516" t="n"/>
    </row>
    <row r="3333">
      <c r="B3333" s="1" t="n">
        <v>18</v>
      </c>
      <c r="C3333" s="24" t="n">
        <v>45536</v>
      </c>
      <c r="D3333" s="24" t="n">
        <v>45565</v>
      </c>
      <c r="E3333" s="25">
        <f>D3333-C3333+1</f>
        <v/>
      </c>
      <c r="F3333" s="319">
        <f>J3332</f>
        <v/>
      </c>
      <c r="G3333" s="319">
        <f>-PMT($F$3312/$D$3309,33,$F$3331,,0)</f>
        <v/>
      </c>
      <c r="H3333" s="319">
        <f>($F$3312/$D$3309*F3333)</f>
        <v/>
      </c>
      <c r="I3333" s="319">
        <f>G3333-H3333</f>
        <v/>
      </c>
      <c r="J3333" s="319">
        <f>F3333-I3333</f>
        <v/>
      </c>
      <c r="K3333" s="516" t="n"/>
      <c r="L3333" s="516" t="n"/>
    </row>
    <row r="3334">
      <c r="B3334" s="1" t="n">
        <v>19</v>
      </c>
      <c r="C3334" s="24" t="n">
        <v>45566</v>
      </c>
      <c r="D3334" s="24" t="n">
        <v>45596</v>
      </c>
      <c r="E3334" s="25">
        <f>D3334-C3334+1</f>
        <v/>
      </c>
      <c r="F3334" s="319">
        <f>J3333</f>
        <v/>
      </c>
      <c r="G3334" s="319">
        <f>-PMT($F$3312/$D$3309,33,$F$3331,,0)</f>
        <v/>
      </c>
      <c r="H3334" s="319">
        <f>($F$3312/$D$3309*F3334)</f>
        <v/>
      </c>
      <c r="I3334" s="319">
        <f>G3334-H3334</f>
        <v/>
      </c>
      <c r="J3334" s="319">
        <f>F3334-I3334</f>
        <v/>
      </c>
      <c r="K3334" s="516">
        <f>7000000+7000000</f>
        <v/>
      </c>
      <c r="L3334" s="516" t="n"/>
    </row>
    <row r="3335">
      <c r="B3335" s="1" t="n">
        <v>20</v>
      </c>
      <c r="C3335" s="24" t="n">
        <v>45597</v>
      </c>
      <c r="D3335" s="24" t="n">
        <v>45626</v>
      </c>
      <c r="E3335" s="25">
        <f>D3335-C3335+1</f>
        <v/>
      </c>
      <c r="F3335" s="319">
        <f>J3334</f>
        <v/>
      </c>
      <c r="G3335" s="319">
        <f>-PMT($F$3312/$D$3309,33,$F$3331,,0)</f>
        <v/>
      </c>
      <c r="H3335" s="319">
        <f>($F$3312/$D$3309*F3335)</f>
        <v/>
      </c>
      <c r="I3335" s="319">
        <f>G3335-H3335</f>
        <v/>
      </c>
      <c r="J3335" s="319">
        <f>F3335-I3335</f>
        <v/>
      </c>
      <c r="K3335" s="516" t="n"/>
      <c r="L3335" s="516" t="n"/>
    </row>
    <row r="3336">
      <c r="B3336" s="1" t="n">
        <v>21</v>
      </c>
      <c r="C3336" s="24" t="n">
        <v>45627</v>
      </c>
      <c r="D3336" s="24" t="n">
        <v>45657</v>
      </c>
      <c r="E3336" s="25">
        <f>D3336-C3336+1</f>
        <v/>
      </c>
      <c r="F3336" s="319">
        <f>J3335</f>
        <v/>
      </c>
      <c r="G3336" s="319">
        <f>-PMT($F$3312/$D$3309,33,$F$3331,,0)</f>
        <v/>
      </c>
      <c r="H3336" s="319">
        <f>($F$3312/$D$3309*F3336)</f>
        <v/>
      </c>
      <c r="I3336" s="319">
        <f>G3336-H3336</f>
        <v/>
      </c>
      <c r="J3336" s="319">
        <f>F3336-I3336</f>
        <v/>
      </c>
      <c r="K3336" s="516" t="n"/>
      <c r="L3336" s="516" t="n"/>
    </row>
    <row r="3337">
      <c r="B3337" s="1" t="n">
        <v>22</v>
      </c>
      <c r="C3337" s="24" t="n">
        <v>45658</v>
      </c>
      <c r="D3337" s="24" t="n">
        <v>45688</v>
      </c>
      <c r="E3337" s="25">
        <f>D3337-C3337+1</f>
        <v/>
      </c>
      <c r="F3337" s="319">
        <f>J3336</f>
        <v/>
      </c>
      <c r="G3337" s="319">
        <f>-PMT($F$3312/$D$3309,33,$F$3331,,0)</f>
        <v/>
      </c>
      <c r="H3337" s="319">
        <f>($F$3312/$D$3309*F3337)</f>
        <v/>
      </c>
      <c r="I3337" s="319">
        <f>G3337-H3337</f>
        <v/>
      </c>
      <c r="J3337" s="319">
        <f>F3337-I3337</f>
        <v/>
      </c>
      <c r="K3337" s="516" t="n"/>
      <c r="L3337" s="516" t="n"/>
    </row>
    <row r="3338">
      <c r="B3338" s="1" t="n">
        <v>23</v>
      </c>
      <c r="C3338" s="24" t="n">
        <v>45689</v>
      </c>
      <c r="D3338" s="24" t="n">
        <v>45716</v>
      </c>
      <c r="E3338" s="25">
        <f>D3338-C3338+1</f>
        <v/>
      </c>
      <c r="F3338" s="319">
        <f>J3337</f>
        <v/>
      </c>
      <c r="G3338" s="319">
        <f>-PMT($F$3312/$D$3309,33,$F$3331,,0)</f>
        <v/>
      </c>
      <c r="H3338" s="319">
        <f>($F$3312/$D$3309*F3338)</f>
        <v/>
      </c>
      <c r="I3338" s="319">
        <f>G3338-H3338</f>
        <v/>
      </c>
      <c r="J3338" s="319">
        <f>F3338-I3338</f>
        <v/>
      </c>
      <c r="K3338" s="516" t="n"/>
      <c r="L3338" s="516" t="n"/>
    </row>
    <row r="3339">
      <c r="B3339" s="1" t="n">
        <v>24</v>
      </c>
      <c r="C3339" s="24" t="n">
        <v>45717</v>
      </c>
      <c r="D3339" s="24" t="n">
        <v>45747</v>
      </c>
      <c r="E3339" s="25">
        <f>D3339-C3339+1</f>
        <v/>
      </c>
      <c r="F3339" s="319">
        <f>J3338</f>
        <v/>
      </c>
      <c r="G3339" s="319">
        <f>-PMT($F$3312/$D$3309,33,$F$3331,,0)</f>
        <v/>
      </c>
      <c r="H3339" s="319">
        <f>($F$3312/$D$3309*F3339)</f>
        <v/>
      </c>
      <c r="I3339" s="319">
        <f>G3339-H3339</f>
        <v/>
      </c>
      <c r="J3339" s="319">
        <f>F3339-I3339</f>
        <v/>
      </c>
      <c r="K3339" s="516" t="n"/>
      <c r="L3339" s="516" t="n"/>
    </row>
    <row r="3340">
      <c r="B3340" s="1" t="n">
        <v>25</v>
      </c>
      <c r="C3340" s="24" t="n">
        <v>45748</v>
      </c>
      <c r="D3340" s="24" t="n">
        <v>45777</v>
      </c>
      <c r="E3340" s="25">
        <f>D3340-C3340+1</f>
        <v/>
      </c>
      <c r="F3340" s="319">
        <f>J3339</f>
        <v/>
      </c>
      <c r="G3340" s="319">
        <f>-PMT($F$3312/$D$3309,33,$F$3331,,0)</f>
        <v/>
      </c>
      <c r="H3340" s="319">
        <f>($F$3312/$D$3309*F3340)</f>
        <v/>
      </c>
      <c r="I3340" s="319">
        <f>G3340-H3340</f>
        <v/>
      </c>
      <c r="J3340" s="319">
        <f>F3340-I3340</f>
        <v/>
      </c>
      <c r="K3340" s="516" t="n"/>
      <c r="L3340" s="516" t="n"/>
    </row>
    <row r="3341">
      <c r="B3341" s="1" t="n">
        <v>26</v>
      </c>
      <c r="C3341" s="24" t="n">
        <v>45778</v>
      </c>
      <c r="D3341" s="24" t="n">
        <v>45808</v>
      </c>
      <c r="E3341" s="25">
        <f>D3341-C3341+1</f>
        <v/>
      </c>
      <c r="F3341" s="319">
        <f>J3340</f>
        <v/>
      </c>
      <c r="G3341" s="319">
        <f>-PMT($F$3312/$D$3309,33,$F$3331,,0)</f>
        <v/>
      </c>
      <c r="H3341" s="319">
        <f>($F$3312/$D$3309*F3341)</f>
        <v/>
      </c>
      <c r="I3341" s="319">
        <f>G3341-H3341</f>
        <v/>
      </c>
      <c r="J3341" s="319">
        <f>F3341-I3341</f>
        <v/>
      </c>
      <c r="K3341" s="516" t="n"/>
      <c r="L3341" s="516" t="n"/>
    </row>
    <row r="3342">
      <c r="B3342" s="1" t="n">
        <v>27</v>
      </c>
      <c r="C3342" s="24" t="n">
        <v>45809</v>
      </c>
      <c r="D3342" s="24" t="n">
        <v>45838</v>
      </c>
      <c r="E3342" s="25">
        <f>D3342-C3342+1</f>
        <v/>
      </c>
      <c r="F3342" s="319">
        <f>J3341</f>
        <v/>
      </c>
      <c r="G3342" s="319">
        <f>-PMT($F$3312/$D$3309,33,$F$3331,,0)</f>
        <v/>
      </c>
      <c r="H3342" s="319">
        <f>($F$3312/$D$3309*F3342)</f>
        <v/>
      </c>
      <c r="I3342" s="319">
        <f>G3342-H3342</f>
        <v/>
      </c>
      <c r="J3342" s="319">
        <f>F3342-I3342</f>
        <v/>
      </c>
      <c r="K3342" s="516" t="n"/>
      <c r="L3342" s="516" t="n"/>
    </row>
    <row r="3343">
      <c r="B3343" s="1" t="n">
        <v>28</v>
      </c>
      <c r="C3343" s="24" t="n">
        <v>45839</v>
      </c>
      <c r="D3343" s="24" t="n">
        <v>45869</v>
      </c>
      <c r="E3343" s="25">
        <f>D3343-C3343+1</f>
        <v/>
      </c>
      <c r="F3343" s="319">
        <f>J3342</f>
        <v/>
      </c>
      <c r="G3343" s="319">
        <f>-PMT($F$3312/$D$3309,33,$F$3331,,0)</f>
        <v/>
      </c>
      <c r="H3343" s="319">
        <f>($F$3312/$D$3309*F3343)</f>
        <v/>
      </c>
      <c r="I3343" s="319">
        <f>G3343-H3343</f>
        <v/>
      </c>
      <c r="J3343" s="319">
        <f>F3343-I3343</f>
        <v/>
      </c>
      <c r="K3343" s="516" t="n"/>
      <c r="L3343" s="516" t="n"/>
    </row>
    <row r="3344">
      <c r="B3344" s="1" t="n">
        <v>29</v>
      </c>
      <c r="C3344" s="24" t="n">
        <v>45870</v>
      </c>
      <c r="D3344" s="24" t="n">
        <v>45900</v>
      </c>
      <c r="E3344" s="25">
        <f>D3344-C3344+1</f>
        <v/>
      </c>
      <c r="F3344" s="319">
        <f>J3343</f>
        <v/>
      </c>
      <c r="G3344" s="319">
        <f>-PMT($F$3312/$D$3309,33,$F$3331,,0)</f>
        <v/>
      </c>
      <c r="H3344" s="319">
        <f>($F$3312/$D$3309*F3344)</f>
        <v/>
      </c>
      <c r="I3344" s="319">
        <f>G3344-H3344</f>
        <v/>
      </c>
      <c r="J3344" s="319">
        <f>F3344-I3344</f>
        <v/>
      </c>
      <c r="K3344" s="516" t="n"/>
      <c r="L3344" s="516" t="n"/>
    </row>
    <row r="3345">
      <c r="B3345" s="1" t="n">
        <v>30</v>
      </c>
      <c r="C3345" s="24" t="n">
        <v>45901</v>
      </c>
      <c r="D3345" s="24" t="n">
        <v>45930</v>
      </c>
      <c r="E3345" s="25">
        <f>D3345-C3345+1</f>
        <v/>
      </c>
      <c r="F3345" s="319">
        <f>J3344</f>
        <v/>
      </c>
      <c r="G3345" s="319">
        <f>-PMT($F$3312/$D$3309,33,$F$3331,,0)</f>
        <v/>
      </c>
      <c r="H3345" s="319">
        <f>($F$3312/$D$3309*F3345)</f>
        <v/>
      </c>
      <c r="I3345" s="319">
        <f>G3345-H3345</f>
        <v/>
      </c>
      <c r="J3345" s="319">
        <f>F3345-I3345</f>
        <v/>
      </c>
      <c r="K3345" s="516" t="n"/>
      <c r="L3345" s="516" t="n"/>
    </row>
    <row r="3346">
      <c r="B3346" s="1" t="n">
        <v>31</v>
      </c>
      <c r="C3346" s="24" t="n">
        <v>45931</v>
      </c>
      <c r="D3346" s="24" t="n">
        <v>45961</v>
      </c>
      <c r="E3346" s="25">
        <f>D3346-C3346+1</f>
        <v/>
      </c>
      <c r="F3346" s="319">
        <f>J3345</f>
        <v/>
      </c>
      <c r="G3346" s="319">
        <f>-PMT($F$3312/$D$3309,33,$F$3331,,0)</f>
        <v/>
      </c>
      <c r="H3346" s="319">
        <f>($F$3312/$D$3309*F3346)</f>
        <v/>
      </c>
      <c r="I3346" s="319">
        <f>G3346-H3346</f>
        <v/>
      </c>
      <c r="J3346" s="319">
        <f>F3346-I3346</f>
        <v/>
      </c>
      <c r="K3346" s="516" t="n"/>
      <c r="L3346" s="516" t="n"/>
    </row>
    <row r="3347">
      <c r="B3347" s="1" t="n">
        <v>32</v>
      </c>
      <c r="C3347" s="24" t="n">
        <v>45962</v>
      </c>
      <c r="D3347" s="24" t="n">
        <v>45991</v>
      </c>
      <c r="E3347" s="25">
        <f>D3347-C3347+1</f>
        <v/>
      </c>
      <c r="F3347" s="319">
        <f>J3346</f>
        <v/>
      </c>
      <c r="G3347" s="319">
        <f>-PMT($F$3312/$D$3309,33,$F$3331,,0)</f>
        <v/>
      </c>
      <c r="H3347" s="319">
        <f>($F$3312/$D$3309*F3347)</f>
        <v/>
      </c>
      <c r="I3347" s="319">
        <f>G3347-H3347</f>
        <v/>
      </c>
      <c r="J3347" s="319">
        <f>F3347-I3347</f>
        <v/>
      </c>
      <c r="K3347" s="516" t="n"/>
      <c r="L3347" s="516" t="n"/>
    </row>
    <row r="3348">
      <c r="B3348" s="1" t="n">
        <v>33</v>
      </c>
      <c r="C3348" s="24" t="n">
        <v>45992</v>
      </c>
      <c r="D3348" s="24" t="n">
        <v>46022</v>
      </c>
      <c r="E3348" s="25">
        <f>D3348-C3348+1</f>
        <v/>
      </c>
      <c r="F3348" s="319">
        <f>J3347</f>
        <v/>
      </c>
      <c r="G3348" s="319">
        <f>-PMT($F$3312/$D$3309,33,$F$3331,,0)</f>
        <v/>
      </c>
      <c r="H3348" s="319">
        <f>($F$3312/$D$3309*F3348)</f>
        <v/>
      </c>
      <c r="I3348" s="319">
        <f>G3348-H3348</f>
        <v/>
      </c>
      <c r="J3348" s="319">
        <f>F3348-I3348</f>
        <v/>
      </c>
      <c r="K3348" s="516" t="n"/>
      <c r="L3348" s="516" t="n"/>
    </row>
    <row r="3349">
      <c r="B3349" s="1" t="n">
        <v>34</v>
      </c>
      <c r="C3349" s="24" t="n">
        <v>46023</v>
      </c>
      <c r="D3349" s="24" t="n">
        <v>46053</v>
      </c>
      <c r="E3349" s="25">
        <f>D3349-C3349+1</f>
        <v/>
      </c>
      <c r="F3349" s="319">
        <f>J3348</f>
        <v/>
      </c>
      <c r="G3349" s="319">
        <f>-PMT($F$3312/$D$3309,33,$F$3331,,0)</f>
        <v/>
      </c>
      <c r="H3349" s="319">
        <f>($F$3312/$D$3309*F3349)</f>
        <v/>
      </c>
      <c r="I3349" s="319">
        <f>G3349-H3349</f>
        <v/>
      </c>
      <c r="J3349" s="319">
        <f>F3349-I3349</f>
        <v/>
      </c>
      <c r="K3349" s="516" t="n"/>
      <c r="L3349" s="516" t="n"/>
    </row>
    <row r="3350">
      <c r="B3350" s="1" t="n">
        <v>35</v>
      </c>
      <c r="C3350" s="24" t="n">
        <v>46054</v>
      </c>
      <c r="D3350" s="24" t="n">
        <v>46081</v>
      </c>
      <c r="E3350" s="25">
        <f>D3350-C3350+1</f>
        <v/>
      </c>
      <c r="F3350" s="319">
        <f>J3349</f>
        <v/>
      </c>
      <c r="G3350" s="319">
        <f>-PMT($F$3312/$D$3309,33,$F$3331,,0)</f>
        <v/>
      </c>
      <c r="H3350" s="319">
        <f>($F$3312/$D$3309*F3350)</f>
        <v/>
      </c>
      <c r="I3350" s="319">
        <f>G3350-H3350</f>
        <v/>
      </c>
      <c r="J3350" s="319">
        <f>F3350-I3350</f>
        <v/>
      </c>
      <c r="K3350" s="516" t="n"/>
      <c r="L3350" s="516" t="n"/>
    </row>
    <row r="3351">
      <c r="B3351" s="1" t="n">
        <v>36</v>
      </c>
      <c r="C3351" s="24" t="n">
        <v>46082</v>
      </c>
      <c r="D3351" s="24" t="n">
        <v>46112</v>
      </c>
      <c r="E3351" s="25">
        <f>D3351-C3351+1</f>
        <v/>
      </c>
      <c r="F3351" s="319">
        <f>J3350</f>
        <v/>
      </c>
      <c r="G3351" s="319">
        <f>-PMT($F$3312/$D$3309,33,$F$3331,,0)</f>
        <v/>
      </c>
      <c r="H3351" s="319">
        <f>($F$3312/$D$3309*F3351)</f>
        <v/>
      </c>
      <c r="I3351" s="319">
        <f>G3351-H3351</f>
        <v/>
      </c>
      <c r="J3351" s="319">
        <f>F3351-I3351</f>
        <v/>
      </c>
      <c r="K3351" s="516" t="n"/>
      <c r="L3351" s="516" t="n"/>
    </row>
    <row r="3352">
      <c r="B3352" s="1" t="n">
        <v>37</v>
      </c>
      <c r="C3352" s="24" t="n">
        <v>46113</v>
      </c>
      <c r="D3352" s="24" t="n">
        <v>46142</v>
      </c>
      <c r="E3352" s="25">
        <f>D3352-C3352+1</f>
        <v/>
      </c>
      <c r="F3352" s="319">
        <f>J3351</f>
        <v/>
      </c>
      <c r="G3352" s="319">
        <f>-PMT($F$3312/$D$3309,33,$F$3331,,0)</f>
        <v/>
      </c>
      <c r="H3352" s="319">
        <f>($F$3312/$D$3309*F3352)</f>
        <v/>
      </c>
      <c r="I3352" s="319">
        <f>G3352-H3352</f>
        <v/>
      </c>
      <c r="J3352" s="319">
        <f>F3352-I3352</f>
        <v/>
      </c>
      <c r="K3352" s="516" t="n"/>
      <c r="L3352" s="516" t="n"/>
    </row>
    <row r="3353">
      <c r="B3353" s="1" t="n">
        <v>38</v>
      </c>
      <c r="C3353" s="24" t="n">
        <v>46143</v>
      </c>
      <c r="D3353" s="24" t="n">
        <v>46173</v>
      </c>
      <c r="E3353" s="25">
        <f>D3353-C3353+1</f>
        <v/>
      </c>
      <c r="F3353" s="319">
        <f>J3352</f>
        <v/>
      </c>
      <c r="G3353" s="319">
        <f>-PMT($F$3312/$D$3309,33,$F$3331,,0)</f>
        <v/>
      </c>
      <c r="H3353" s="319">
        <f>($F$3312/$D$3309*F3353)</f>
        <v/>
      </c>
      <c r="I3353" s="319">
        <f>G3353-H3353</f>
        <v/>
      </c>
      <c r="J3353" s="319">
        <f>F3353-I3353</f>
        <v/>
      </c>
      <c r="K3353" s="516" t="n"/>
      <c r="L3353" s="516" t="n"/>
    </row>
    <row r="3354">
      <c r="B3354" s="1" t="n">
        <v>39</v>
      </c>
      <c r="C3354" s="24" t="n">
        <v>46174</v>
      </c>
      <c r="D3354" s="24" t="n">
        <v>46203</v>
      </c>
      <c r="E3354" s="25">
        <f>D3354-C3354+1</f>
        <v/>
      </c>
      <c r="F3354" s="319">
        <f>J3353</f>
        <v/>
      </c>
      <c r="G3354" s="319">
        <f>-PMT($F$3312/$D$3309,33,$F$3331,,0)</f>
        <v/>
      </c>
      <c r="H3354" s="319">
        <f>($F$3312/$D$3309*F3354)</f>
        <v/>
      </c>
      <c r="I3354" s="319">
        <f>G3354-H3354</f>
        <v/>
      </c>
      <c r="J3354" s="319">
        <f>F3354-I3354</f>
        <v/>
      </c>
      <c r="K3354" s="516" t="n"/>
      <c r="L3354" s="516" t="n"/>
    </row>
    <row r="3355">
      <c r="B3355" s="1" t="n">
        <v>40</v>
      </c>
      <c r="C3355" s="24" t="n">
        <v>46204</v>
      </c>
      <c r="D3355" s="24" t="n">
        <v>46234</v>
      </c>
      <c r="E3355" s="25">
        <f>D3355-C3355+1</f>
        <v/>
      </c>
      <c r="F3355" s="319">
        <f>J3354</f>
        <v/>
      </c>
      <c r="G3355" s="319">
        <f>-PMT($F$3312/$D$3309,33,$F$3331,,0)</f>
        <v/>
      </c>
      <c r="H3355" s="319">
        <f>($F$3312/$D$3309*F3355)</f>
        <v/>
      </c>
      <c r="I3355" s="319">
        <f>G3355-H3355</f>
        <v/>
      </c>
      <c r="J3355" s="319">
        <f>F3355-I3355</f>
        <v/>
      </c>
      <c r="K3355" s="516" t="n"/>
      <c r="L3355" s="516" t="n"/>
    </row>
    <row r="3356">
      <c r="B3356" s="1" t="n">
        <v>41</v>
      </c>
      <c r="C3356" s="24" t="n">
        <v>46235</v>
      </c>
      <c r="D3356" s="24" t="n">
        <v>46265</v>
      </c>
      <c r="E3356" s="25">
        <f>D3356-C3356+1</f>
        <v/>
      </c>
      <c r="F3356" s="319">
        <f>J3355</f>
        <v/>
      </c>
      <c r="G3356" s="319">
        <f>-PMT($F$3312/$D$3309,33,$F$3331,,0)</f>
        <v/>
      </c>
      <c r="H3356" s="319">
        <f>($F$3312/$D$3309*F3356)</f>
        <v/>
      </c>
      <c r="I3356" s="319">
        <f>G3356-H3356</f>
        <v/>
      </c>
      <c r="J3356" s="319">
        <f>F3356-I3356</f>
        <v/>
      </c>
      <c r="K3356" s="516" t="n"/>
      <c r="L3356" s="516" t="n"/>
    </row>
    <row r="3357">
      <c r="B3357" s="1" t="n">
        <v>42</v>
      </c>
      <c r="C3357" s="24" t="n">
        <v>46266</v>
      </c>
      <c r="D3357" s="24" t="n">
        <v>46295</v>
      </c>
      <c r="E3357" s="25">
        <f>D3357-C3357+1</f>
        <v/>
      </c>
      <c r="F3357" s="319">
        <f>J3356</f>
        <v/>
      </c>
      <c r="G3357" s="319">
        <f>-PMT($F$3312/$D$3309,33,$F$3331,,0)</f>
        <v/>
      </c>
      <c r="H3357" s="319">
        <f>($F$3312/$D$3309*F3357)</f>
        <v/>
      </c>
      <c r="I3357" s="319">
        <f>G3357-H3357</f>
        <v/>
      </c>
      <c r="J3357" s="319">
        <f>F3357-I3357</f>
        <v/>
      </c>
      <c r="K3357" s="516" t="n"/>
      <c r="L3357" s="516" t="n"/>
    </row>
    <row r="3358">
      <c r="B3358" s="1" t="n">
        <v>43</v>
      </c>
      <c r="C3358" s="24" t="n">
        <v>46296</v>
      </c>
      <c r="D3358" s="24" t="n">
        <v>46326</v>
      </c>
      <c r="E3358" s="25">
        <f>D3358-C3358+1</f>
        <v/>
      </c>
      <c r="F3358" s="319">
        <f>J3357</f>
        <v/>
      </c>
      <c r="G3358" s="319">
        <f>-PMT($F$3312/$D$3309,33,$F$3331,,0)</f>
        <v/>
      </c>
      <c r="H3358" s="319">
        <f>($F$3312/$D$3309*F3358)</f>
        <v/>
      </c>
      <c r="I3358" s="319">
        <f>G3358-H3358</f>
        <v/>
      </c>
      <c r="J3358" s="319">
        <f>F3358-I3358</f>
        <v/>
      </c>
      <c r="K3358" s="516" t="n"/>
      <c r="L3358" s="516" t="n"/>
    </row>
    <row r="3359">
      <c r="B3359" s="1" t="n">
        <v>44</v>
      </c>
      <c r="C3359" s="24" t="n">
        <v>46327</v>
      </c>
      <c r="D3359" s="24" t="n">
        <v>46356</v>
      </c>
      <c r="E3359" s="25">
        <f>D3359-C3359+1</f>
        <v/>
      </c>
      <c r="F3359" s="319">
        <f>J3358</f>
        <v/>
      </c>
      <c r="G3359" s="319">
        <f>-PMT($F$3312/$D$3309,33,$F$3331,,0)</f>
        <v/>
      </c>
      <c r="H3359" s="319">
        <f>($F$3312/$D$3309*F3359)</f>
        <v/>
      </c>
      <c r="I3359" s="319">
        <f>G3359-H3359</f>
        <v/>
      </c>
      <c r="J3359" s="319">
        <f>F3359-I3359</f>
        <v/>
      </c>
      <c r="K3359" s="516" t="n"/>
      <c r="L3359" s="516" t="n"/>
    </row>
    <row r="3360">
      <c r="B3360" s="1" t="n">
        <v>45</v>
      </c>
      <c r="C3360" s="24" t="n">
        <v>46357</v>
      </c>
      <c r="D3360" s="24" t="n">
        <v>46387</v>
      </c>
      <c r="E3360" s="25">
        <f>D3360-C3360+1</f>
        <v/>
      </c>
      <c r="F3360" s="319">
        <f>J3359</f>
        <v/>
      </c>
      <c r="G3360" s="319">
        <f>-PMT($F$3312/$D$3309,33,$F$3331,,0)</f>
        <v/>
      </c>
      <c r="H3360" s="319">
        <f>($F$3312/$D$3309*F3360)</f>
        <v/>
      </c>
      <c r="I3360" s="319">
        <f>G3360-H3360</f>
        <v/>
      </c>
      <c r="J3360" s="319">
        <f>F3360-I3360</f>
        <v/>
      </c>
      <c r="K3360" s="516" t="n"/>
      <c r="L3360" s="516" t="n"/>
    </row>
    <row r="3361">
      <c r="B3361" s="1" t="n">
        <v>46</v>
      </c>
      <c r="C3361" s="24" t="n">
        <v>46388</v>
      </c>
      <c r="D3361" s="24" t="n">
        <v>46418</v>
      </c>
      <c r="E3361" s="25">
        <f>D3361-C3361+1</f>
        <v/>
      </c>
      <c r="F3361" s="319">
        <f>J3360</f>
        <v/>
      </c>
      <c r="G3361" s="319">
        <f>-PMT($F$3312/$D$3309,33,$F$3331,,0)</f>
        <v/>
      </c>
      <c r="H3361" s="319">
        <f>($F$3312/$D$3309*F3361)</f>
        <v/>
      </c>
      <c r="I3361" s="319">
        <f>G3361-H3361</f>
        <v/>
      </c>
      <c r="J3361" s="319">
        <f>F3361-I3361</f>
        <v/>
      </c>
      <c r="K3361" s="516" t="n"/>
      <c r="L3361" s="516" t="n"/>
    </row>
    <row r="3362">
      <c r="B3362" s="1" t="n">
        <v>47</v>
      </c>
      <c r="C3362" s="24" t="n">
        <v>46357</v>
      </c>
      <c r="D3362" s="24" t="n">
        <v>46387</v>
      </c>
      <c r="E3362" s="25">
        <f>D3362-C3362+1</f>
        <v/>
      </c>
      <c r="F3362" s="319">
        <f>J3361</f>
        <v/>
      </c>
      <c r="G3362" s="319">
        <f>-PMT($F$3312/$D$3309,33,$F$3331,,0)</f>
        <v/>
      </c>
      <c r="H3362" s="319">
        <f>($F$3312/$D$3309*F3362)</f>
        <v/>
      </c>
      <c r="I3362" s="319">
        <f>G3362-H3362</f>
        <v/>
      </c>
      <c r="J3362" s="319">
        <f>F3362-I3362</f>
        <v/>
      </c>
      <c r="K3362" s="516" t="n"/>
      <c r="L3362" s="516" t="n"/>
    </row>
    <row r="3363">
      <c r="B3363" s="1" t="n">
        <v>48</v>
      </c>
      <c r="C3363" s="24" t="n">
        <v>46388</v>
      </c>
      <c r="D3363" s="24" t="n">
        <v>46418</v>
      </c>
      <c r="E3363" s="25">
        <f>D3363-C3363+1</f>
        <v/>
      </c>
      <c r="F3363" s="319">
        <f>J3362</f>
        <v/>
      </c>
      <c r="G3363" s="319">
        <f>-PMT($F$3312/$D$3309,33,$F$3331,,0)</f>
        <v/>
      </c>
      <c r="H3363" s="319">
        <f>($F$3312/$D$3309*F3363)</f>
        <v/>
      </c>
      <c r="I3363" s="319">
        <f>G3363-H3363</f>
        <v/>
      </c>
      <c r="J3363" s="319">
        <f>F3363-I3363</f>
        <v/>
      </c>
      <c r="K3363" s="516" t="n"/>
      <c r="L3363" s="516" t="n"/>
    </row>
    <row r="3364">
      <c r="B3364" s="1" t="n"/>
      <c r="C3364" s="24" t="n"/>
      <c r="D3364" s="24" t="n"/>
      <c r="E3364" s="25" t="n"/>
      <c r="F3364" s="319" t="n"/>
      <c r="G3364" s="319" t="n"/>
      <c r="H3364" s="319" t="n"/>
      <c r="I3364" s="319" t="n"/>
      <c r="J3364" s="319" t="n"/>
      <c r="K3364" s="516" t="n"/>
      <c r="L3364" s="516" t="n"/>
    </row>
    <row r="3365">
      <c r="B3365" s="1" t="n"/>
      <c r="C3365" s="24" t="n"/>
      <c r="D3365" s="24" t="n"/>
      <c r="E3365" s="30">
        <f>SUM(E3315:E3339)</f>
        <v/>
      </c>
      <c r="F3365" s="319" t="n"/>
      <c r="G3365" s="319" t="n"/>
      <c r="H3365" s="319" t="n"/>
      <c r="I3365" s="319" t="n"/>
      <c r="J3365" s="319" t="n"/>
      <c r="K3365" s="516" t="n"/>
      <c r="L3365" s="516" t="n"/>
    </row>
    <row r="3370">
      <c r="B3370" s="1" t="n"/>
      <c r="C3370" s="9" t="inlineStr">
        <is>
          <t>Msusa Investments Ltd</t>
        </is>
      </c>
      <c r="D3370" s="319" t="n"/>
      <c r="E3370" s="319" t="n"/>
      <c r="F3370" s="319" t="n"/>
      <c r="G3370" s="319" t="n"/>
      <c r="H3370" s="319" t="n"/>
      <c r="I3370" s="319" t="n"/>
      <c r="J3370" s="319" t="n"/>
      <c r="K3370" s="319" t="n"/>
      <c r="L3370" s="319" t="n"/>
      <c r="R3370" s="514" t="inlineStr">
        <is>
          <t>E-Banker account (Dupleix)</t>
        </is>
      </c>
      <c r="S3370" s="495">
        <f>IFERROR(INDEX('Blocks'!$I$2:$I$101,MATCH(61,'Blocks'!$A$2:$A$101,0)),"")</f>
        <v/>
      </c>
    </row>
    <row r="3371">
      <c r="B3371" s="1" t="n"/>
      <c r="C3371" s="1" t="n"/>
      <c r="D3371" s="319" t="n"/>
      <c r="E3371" s="319" t="n"/>
      <c r="F3371" s="319" t="n"/>
      <c r="G3371" s="319" t="n"/>
      <c r="H3371" s="319" t="n"/>
      <c r="I3371" s="319" t="n"/>
      <c r="J3371" s="319" t="n"/>
      <c r="K3371" s="319" t="n"/>
      <c r="L3371" s="319" t="n"/>
      <c r="R3371" s="514" t="inlineStr">
        <is>
          <t>Facility (Loan Book)</t>
        </is>
      </c>
      <c r="S3371" s="495">
        <f>IFERROR(INDEX('Blocks'!$H$2:$H$101,MATCH(61,'Blocks'!$A$2:$A$101,0)),"")</f>
        <v/>
      </c>
    </row>
    <row r="3372">
      <c r="B3372" s="1" t="n"/>
      <c r="C3372" s="10" t="inlineStr">
        <is>
          <t>Principal (MK)</t>
        </is>
      </c>
      <c r="D3372" s="11" t="n">
        <v>250000000</v>
      </c>
      <c r="E3372" s="319" t="n"/>
      <c r="F3372" s="319" t="n"/>
      <c r="G3372" s="319" t="n"/>
      <c r="H3372" s="319" t="n"/>
      <c r="I3372" s="319" t="n"/>
      <c r="J3372" s="319" t="n"/>
      <c r="K3372" s="319" t="n"/>
      <c r="L3372" s="319" t="n"/>
      <c r="R3372" s="514" t="inlineStr">
        <is>
          <t>Take-on posting 31 Jul 2024</t>
        </is>
      </c>
      <c r="S3372" s="496">
        <f>IFERROR(INDEX('E-Banker master'!$N$2:$N$186,MATCH(S3370,'E-Banker master'!$A$2:$A$186,0)),"")</f>
        <v/>
      </c>
    </row>
    <row r="3373">
      <c r="B3373" s="1" t="n"/>
      <c r="C3373" s="13" t="inlineStr">
        <is>
          <t>Rate</t>
        </is>
      </c>
      <c r="D3373" s="14" t="n">
        <v>0.1</v>
      </c>
      <c r="E3373" s="257" t="n"/>
      <c r="F3373" s="319" t="n"/>
      <c r="G3373" s="319" t="n"/>
      <c r="H3373" s="319" t="n"/>
      <c r="I3373" s="319" t="n"/>
      <c r="J3373" s="319" t="n"/>
      <c r="K3373" s="319" t="n"/>
      <c r="L3373" s="319" t="n"/>
      <c r="R3373" s="514" t="inlineStr">
        <is>
          <t>E-Banker balance 31 Oct 2024</t>
        </is>
      </c>
      <c r="S3373" s="496">
        <f>IFERROR(INDEX('E-Banker master'!$P$2:$P$186,MATCH(S3370,'E-Banker master'!$A$2:$A$186,0)),"")</f>
        <v/>
      </c>
    </row>
    <row r="3374">
      <c r="B3374" s="1" t="n"/>
      <c r="C3374" s="13" t="inlineStr">
        <is>
          <t>n</t>
        </is>
      </c>
      <c r="D3374" s="16" t="n">
        <v>4</v>
      </c>
      <c r="E3374" s="1" t="n"/>
      <c r="F3374" s="319" t="n"/>
      <c r="G3374" s="319" t="n"/>
      <c r="H3374" s="319" t="n"/>
      <c r="I3374" s="319" t="n"/>
      <c r="J3374" s="319" t="n"/>
      <c r="K3374" s="1" t="n"/>
      <c r="L3374" s="1" t="n"/>
    </row>
    <row r="3375">
      <c r="B3375" s="1" t="n"/>
      <c r="C3375" s="13" t="inlineStr">
        <is>
          <t>Per</t>
        </is>
      </c>
      <c r="D3375" s="16" t="n">
        <v>12</v>
      </c>
      <c r="E3375" s="1" t="n"/>
      <c r="F3375" s="319" t="n"/>
      <c r="G3375" s="319" t="n"/>
      <c r="H3375" s="319" t="n"/>
      <c r="I3375" s="319" t="n"/>
      <c r="J3375" s="319" t="n"/>
      <c r="K3375" s="1" t="n"/>
      <c r="L3375" s="1" t="n"/>
    </row>
    <row r="3376">
      <c r="B3376" s="1" t="n"/>
      <c r="C3376" s="13" t="inlineStr">
        <is>
          <t>nPer</t>
        </is>
      </c>
      <c r="D3376" s="515">
        <f>D3374*D3375</f>
        <v/>
      </c>
      <c r="E3376" s="1" t="n"/>
      <c r="F3376" s="319" t="n"/>
      <c r="G3376" s="319" t="n"/>
      <c r="H3376" s="319" t="n"/>
      <c r="I3376" s="319" t="n"/>
      <c r="J3376" s="319" t="n"/>
      <c r="K3376" s="1" t="n"/>
      <c r="L3376" s="1" t="n"/>
    </row>
    <row r="3377">
      <c r="B3377" s="1" t="n"/>
      <c r="C3377" s="13" t="inlineStr">
        <is>
          <t>Days in a year</t>
        </is>
      </c>
      <c r="D3377" s="18" t="n">
        <v>365</v>
      </c>
      <c r="E3377" s="1" t="n"/>
      <c r="F3377" s="319" t="n"/>
      <c r="G3377" s="319" t="n"/>
      <c r="H3377" s="319" t="n"/>
      <c r="I3377" s="319" t="n"/>
      <c r="J3377" s="319" t="n"/>
      <c r="K3377" s="1" t="n"/>
      <c r="L3377" s="1" t="n"/>
    </row>
    <row r="3378">
      <c r="B3378" s="1" t="n"/>
      <c r="C3378" s="19" t="inlineStr">
        <is>
          <t>Pmt (MK)</t>
        </is>
      </c>
      <c r="D3378" s="20">
        <f>-PMT(D3373/D3375,D3376,D3372,0,0)</f>
        <v/>
      </c>
      <c r="E3378" s="319" t="n"/>
      <c r="F3378" s="319" t="n"/>
      <c r="G3378" s="319" t="n"/>
      <c r="H3378" s="319" t="n"/>
      <c r="I3378" s="319" t="n"/>
      <c r="J3378" s="319" t="n"/>
      <c r="K3378" s="1" t="n"/>
      <c r="L3378" s="1" t="n"/>
    </row>
    <row r="3379">
      <c r="B3379" s="1" t="n"/>
      <c r="C3379" s="1" t="n"/>
      <c r="D3379" s="319" t="n"/>
      <c r="E3379" s="319" t="n"/>
      <c r="F3379" s="319" t="n"/>
      <c r="G3379" s="319" t="n"/>
      <c r="H3379" s="319" t="n"/>
      <c r="I3379" s="319" t="n"/>
      <c r="J3379" s="319" t="n"/>
      <c r="K3379" s="1" t="n"/>
      <c r="L3379" s="1" t="n"/>
    </row>
    <row r="3380">
      <c r="B3380" s="1" t="n"/>
      <c r="C3380" s="21" t="inlineStr">
        <is>
          <t>Period Start</t>
        </is>
      </c>
      <c r="D3380" s="22" t="inlineStr">
        <is>
          <t>Period End</t>
        </is>
      </c>
      <c r="E3380" s="22" t="inlineStr">
        <is>
          <t>Days</t>
        </is>
      </c>
      <c r="F3380" s="294" t="inlineStr">
        <is>
          <t>Opening bal.</t>
        </is>
      </c>
      <c r="G3380" s="294" t="inlineStr">
        <is>
          <t>Pmt</t>
        </is>
      </c>
      <c r="H3380" s="294" t="inlineStr">
        <is>
          <t>Interest</t>
        </is>
      </c>
      <c r="I3380" s="294" t="inlineStr">
        <is>
          <t>Principal</t>
        </is>
      </c>
      <c r="J3380" s="294" t="inlineStr">
        <is>
          <t>Closing balance</t>
        </is>
      </c>
      <c r="K3380" s="23" t="inlineStr">
        <is>
          <t>Amount Repaid</t>
        </is>
      </c>
      <c r="L3380" s="23" t="inlineStr">
        <is>
          <t>Accumulated Arrears</t>
        </is>
      </c>
    </row>
    <row r="3381">
      <c r="B3381" s="1" t="n">
        <v>0</v>
      </c>
      <c r="C3381" s="24" t="n">
        <v>45034</v>
      </c>
      <c r="D3381" s="24" t="n">
        <v>45046</v>
      </c>
      <c r="E3381" s="25">
        <f>D3381-C3381+1</f>
        <v/>
      </c>
      <c r="F3381" s="319">
        <f>D3372</f>
        <v/>
      </c>
      <c r="G3381" s="319">
        <f>H3381</f>
        <v/>
      </c>
      <c r="H3381" s="319">
        <f>D3373/D3375*E3381*F3381/30</f>
        <v/>
      </c>
      <c r="I3381" s="319">
        <f>G3381-H3381</f>
        <v/>
      </c>
      <c r="J3381" s="319">
        <f>F3381+F3372-I3381</f>
        <v/>
      </c>
      <c r="K3381" s="516" t="n"/>
      <c r="L3381" s="516">
        <f>G3381-K3381</f>
        <v/>
      </c>
    </row>
    <row r="3382">
      <c r="B3382" s="1" t="n">
        <v>1</v>
      </c>
      <c r="C3382" s="24" t="n">
        <v>45047</v>
      </c>
      <c r="D3382" s="24" t="n">
        <v>45077</v>
      </c>
      <c r="E3382" s="25">
        <f>D3382-C3382+1</f>
        <v/>
      </c>
      <c r="F3382" s="319">
        <f>J3381</f>
        <v/>
      </c>
      <c r="G3382" s="319" t="n">
        <v>2083333.33</v>
      </c>
      <c r="H3382" s="319">
        <f>($D$3373/$D$3375*F3382)</f>
        <v/>
      </c>
      <c r="I3382" s="319">
        <f>G3382-H3382</f>
        <v/>
      </c>
      <c r="J3382" s="319">
        <f>F3382-I3382</f>
        <v/>
      </c>
      <c r="K3382" s="516" t="n"/>
      <c r="L3382" s="516">
        <f>L3381+G3382-K3382</f>
        <v/>
      </c>
    </row>
    <row r="3383">
      <c r="B3383" s="1" t="n">
        <v>2</v>
      </c>
      <c r="C3383" s="24" t="n">
        <v>45078</v>
      </c>
      <c r="D3383" s="24" t="n">
        <v>45107</v>
      </c>
      <c r="E3383" s="25">
        <f>D3383-C3383+1</f>
        <v/>
      </c>
      <c r="F3383" s="319">
        <f>J3382</f>
        <v/>
      </c>
      <c r="G3383" s="319" t="n">
        <v>2083333.33</v>
      </c>
      <c r="H3383" s="319">
        <f>($D$3373/$D$3375*F3383)</f>
        <v/>
      </c>
      <c r="I3383" s="319">
        <f>G3383-H3383</f>
        <v/>
      </c>
      <c r="J3383" s="319">
        <f>F3383-I3383</f>
        <v/>
      </c>
      <c r="L3383" s="516">
        <f>L3382+G3383-K3383</f>
        <v/>
      </c>
    </row>
    <row r="3384">
      <c r="B3384" s="1" t="n">
        <v>3</v>
      </c>
      <c r="C3384" s="24" t="n">
        <v>45108</v>
      </c>
      <c r="D3384" s="24" t="n">
        <v>45138</v>
      </c>
      <c r="E3384" s="25">
        <f>D3384-C3384+1</f>
        <v/>
      </c>
      <c r="F3384" s="319">
        <f>J3383</f>
        <v/>
      </c>
      <c r="G3384" s="319" t="n">
        <v>2083333.33</v>
      </c>
      <c r="H3384" s="319">
        <f>($D$3373/$D$3375*F3384)</f>
        <v/>
      </c>
      <c r="I3384" s="319">
        <f>G3384-H3384</f>
        <v/>
      </c>
      <c r="J3384" s="319">
        <f>F3384-I3384</f>
        <v/>
      </c>
      <c r="K3384" s="516" t="n"/>
      <c r="L3384" s="516">
        <f>L3383+G3384-K3384</f>
        <v/>
      </c>
    </row>
    <row r="3385">
      <c r="B3385" s="1" t="n">
        <v>4</v>
      </c>
      <c r="C3385" s="24" t="n">
        <v>45139</v>
      </c>
      <c r="D3385" s="24" t="n">
        <v>45169</v>
      </c>
      <c r="E3385" s="25">
        <f>D3385-C3385+1</f>
        <v/>
      </c>
      <c r="F3385" s="319">
        <f>J3384</f>
        <v/>
      </c>
      <c r="G3385" s="319" t="n">
        <v>2083333.33</v>
      </c>
      <c r="H3385" s="319">
        <f>($D$3373/$D$3375*F3385)</f>
        <v/>
      </c>
      <c r="I3385" s="319">
        <f>G3385-H3385</f>
        <v/>
      </c>
      <c r="J3385" s="319">
        <f>F3385-I3385</f>
        <v/>
      </c>
      <c r="K3385" s="516" t="n"/>
      <c r="L3385" s="516">
        <f>L3384+G3385-K3385</f>
        <v/>
      </c>
    </row>
    <row r="3386">
      <c r="B3386" s="1" t="n">
        <v>5</v>
      </c>
      <c r="C3386" s="24" t="n">
        <v>45170</v>
      </c>
      <c r="D3386" s="24" t="n">
        <v>45199</v>
      </c>
      <c r="E3386" s="25">
        <f>D3386-C3386+1</f>
        <v/>
      </c>
      <c r="F3386" s="319">
        <f>J3385</f>
        <v/>
      </c>
      <c r="G3386" s="319" t="n">
        <v>2083333.33</v>
      </c>
      <c r="H3386" s="319">
        <f>($D$3373/$D$3375*F3386)</f>
        <v/>
      </c>
      <c r="I3386" s="319">
        <f>G3386-H3386</f>
        <v/>
      </c>
      <c r="J3386" s="319">
        <f>F3386-I3386</f>
        <v/>
      </c>
      <c r="K3386" s="516" t="n"/>
      <c r="L3386" s="516">
        <f>L3385+G3386-K3386</f>
        <v/>
      </c>
    </row>
    <row r="3387">
      <c r="B3387" s="1" t="n">
        <v>6</v>
      </c>
      <c r="C3387" s="24" t="n">
        <v>45200</v>
      </c>
      <c r="D3387" s="24" t="n">
        <v>45230</v>
      </c>
      <c r="E3387" s="25">
        <f>D3387-C3387+1</f>
        <v/>
      </c>
      <c r="F3387" s="319">
        <f>J3386</f>
        <v/>
      </c>
      <c r="G3387" s="319" t="n">
        <v>2083333.33</v>
      </c>
      <c r="H3387" s="319">
        <f>($D$3373/$D$3375*F3387)</f>
        <v/>
      </c>
      <c r="I3387" s="319">
        <f>G3387-H3387</f>
        <v/>
      </c>
      <c r="J3387" s="319">
        <f>F3387-I3387</f>
        <v/>
      </c>
      <c r="K3387" s="516" t="n">
        <v>13042777.76</v>
      </c>
      <c r="L3387" s="516">
        <f>L3386+G3387-K3387</f>
        <v/>
      </c>
    </row>
    <row r="3388">
      <c r="B3388" s="1" t="n">
        <v>7</v>
      </c>
      <c r="C3388" s="24" t="n">
        <v>45231</v>
      </c>
      <c r="D3388" s="24" t="n">
        <v>45260</v>
      </c>
      <c r="E3388" s="25">
        <f>D3388-C3388+1</f>
        <v/>
      </c>
      <c r="F3388" s="319">
        <f>J3387</f>
        <v/>
      </c>
      <c r="G3388" s="319">
        <f>-PMT($D$3373/$D$3375,42,$F$3388,,0)</f>
        <v/>
      </c>
      <c r="H3388" s="319">
        <f>($D$3373/$D$3375*F3388)</f>
        <v/>
      </c>
      <c r="I3388" s="319">
        <f>G3388-H3388</f>
        <v/>
      </c>
      <c r="J3388" s="319">
        <f>F3388-I3388</f>
        <v/>
      </c>
      <c r="K3388" s="516" t="n">
        <v>7080000</v>
      </c>
      <c r="L3388" s="516">
        <f>L3387+G3388-K3388</f>
        <v/>
      </c>
    </row>
    <row r="3389">
      <c r="B3389" s="1" t="n">
        <v>8</v>
      </c>
      <c r="C3389" s="24" t="n">
        <v>45261</v>
      </c>
      <c r="D3389" s="24" t="n">
        <v>45291</v>
      </c>
      <c r="E3389" s="25">
        <f>D3389-C3389+1</f>
        <v/>
      </c>
      <c r="F3389" s="319">
        <f>J3388</f>
        <v/>
      </c>
      <c r="G3389" s="319">
        <f>-PMT($D$3373/$D$3375,42,$F$3388,,0)</f>
        <v/>
      </c>
      <c r="H3389" s="319">
        <f>($D$3373/$D$3375*F3389)</f>
        <v/>
      </c>
      <c r="I3389" s="319">
        <f>G3389-H3389</f>
        <v/>
      </c>
      <c r="J3389" s="319">
        <f>F3389-I3389</f>
        <v/>
      </c>
      <c r="K3389" s="516" t="n">
        <v>7080000</v>
      </c>
      <c r="L3389" s="516">
        <f>L3388+G3389-K3389</f>
        <v/>
      </c>
    </row>
    <row r="3390">
      <c r="B3390" s="1" t="n">
        <v>9</v>
      </c>
      <c r="C3390" s="24" t="n">
        <v>45292</v>
      </c>
      <c r="D3390" s="24" t="n">
        <v>45322</v>
      </c>
      <c r="E3390" s="25">
        <f>D3390-C3390+1</f>
        <v/>
      </c>
      <c r="F3390" s="319">
        <f>J3389</f>
        <v/>
      </c>
      <c r="G3390" s="319">
        <f>-PMT($D$3373/$D$3375,42,$F$3388,,0)</f>
        <v/>
      </c>
      <c r="H3390" s="319">
        <f>($D$3373/$D$3375*F3390)</f>
        <v/>
      </c>
      <c r="I3390" s="319">
        <f>G3390-H3390</f>
        <v/>
      </c>
      <c r="J3390" s="319">
        <f>F3390-I3390</f>
        <v/>
      </c>
      <c r="K3390" s="516" t="n">
        <v>7080000</v>
      </c>
      <c r="L3390" s="516">
        <f>L3389+G3390-K3390</f>
        <v/>
      </c>
    </row>
    <row r="3391">
      <c r="B3391" s="1" t="n">
        <v>10</v>
      </c>
      <c r="C3391" s="24" t="n">
        <v>45323</v>
      </c>
      <c r="D3391" s="24" t="n">
        <v>45351</v>
      </c>
      <c r="E3391" s="25">
        <f>D3391-C3391+1</f>
        <v/>
      </c>
      <c r="F3391" s="319">
        <f>J3390</f>
        <v/>
      </c>
      <c r="G3391" s="319">
        <f>-PMT($D$3373/$D$3375,42,$F$3388,,0)</f>
        <v/>
      </c>
      <c r="H3391" s="319">
        <f>($D$3373/$D$3375*F3391)</f>
        <v/>
      </c>
      <c r="I3391" s="319">
        <f>G3391-H3391</f>
        <v/>
      </c>
      <c r="J3391" s="319">
        <f>F3391-I3391</f>
        <v/>
      </c>
      <c r="K3391" s="516" t="n">
        <v>7480000</v>
      </c>
      <c r="L3391" s="516">
        <f>L3390+G3391-K3391</f>
        <v/>
      </c>
    </row>
    <row r="3392">
      <c r="B3392" s="1" t="n">
        <v>11</v>
      </c>
      <c r="C3392" s="24" t="n">
        <v>45352</v>
      </c>
      <c r="D3392" s="24" t="n">
        <v>45382</v>
      </c>
      <c r="E3392" s="25">
        <f>D3392-C3392+1</f>
        <v/>
      </c>
      <c r="F3392" s="319">
        <f>J3391</f>
        <v/>
      </c>
      <c r="G3392" s="319">
        <f>-PMT($D$3373/$D$3375,42,$F$3388,,0)</f>
        <v/>
      </c>
      <c r="H3392" s="319">
        <f>($D$3373/$D$3375*F3392)</f>
        <v/>
      </c>
      <c r="I3392" s="319">
        <f>G3392-H3392</f>
        <v/>
      </c>
      <c r="J3392" s="319">
        <f>F3392-I3392</f>
        <v/>
      </c>
      <c r="K3392" s="516" t="n"/>
      <c r="L3392" s="516">
        <f>L3391+G3392-K3392</f>
        <v/>
      </c>
    </row>
    <row r="3393">
      <c r="B3393" s="1" t="n">
        <v>12</v>
      </c>
      <c r="C3393" s="24" t="n">
        <v>45383</v>
      </c>
      <c r="D3393" s="24" t="n">
        <v>45412</v>
      </c>
      <c r="E3393" s="25">
        <f>D3393-C3393+1</f>
        <v/>
      </c>
      <c r="F3393" s="319">
        <f>J3392</f>
        <v/>
      </c>
      <c r="G3393" s="319">
        <f>-PMT($D$3373/$D$3375,42,$F$3388,,0)</f>
        <v/>
      </c>
      <c r="H3393" s="319">
        <f>($D$3373/$D$3375*F3393)</f>
        <v/>
      </c>
      <c r="I3393" s="319">
        <f>G3393-H3393</f>
        <v/>
      </c>
      <c r="J3393" s="319">
        <f>F3393-I3393</f>
        <v/>
      </c>
      <c r="K3393" s="516" t="n">
        <v>7080000</v>
      </c>
      <c r="L3393" s="516">
        <f>L3392+G3393-K3393</f>
        <v/>
      </c>
    </row>
    <row r="3394">
      <c r="B3394" s="1" t="n">
        <v>13</v>
      </c>
      <c r="C3394" s="24" t="n">
        <v>45413</v>
      </c>
      <c r="D3394" s="24" t="n">
        <v>45443</v>
      </c>
      <c r="E3394" s="25">
        <f>D3394-C3394+1</f>
        <v/>
      </c>
      <c r="F3394" s="319">
        <f>J3393</f>
        <v/>
      </c>
      <c r="G3394" s="319">
        <f>-PMT($D$3373/$D$3375,42,$F$3388,,0)</f>
        <v/>
      </c>
      <c r="H3394" s="319">
        <f>($D$3373/$D$3375*F3394)</f>
        <v/>
      </c>
      <c r="I3394" s="319">
        <f>G3394-H3394</f>
        <v/>
      </c>
      <c r="J3394" s="319">
        <f>F3394-I3394</f>
        <v/>
      </c>
      <c r="K3394" s="516">
        <f>7080000+7080000</f>
        <v/>
      </c>
      <c r="L3394" s="516">
        <f>L3393+G3394-K3394</f>
        <v/>
      </c>
    </row>
    <row r="3395">
      <c r="B3395" s="1" t="n">
        <v>14</v>
      </c>
      <c r="C3395" s="24" t="n">
        <v>45444</v>
      </c>
      <c r="D3395" s="24" t="n">
        <v>45473</v>
      </c>
      <c r="E3395" s="25">
        <f>D3395-C3395+1</f>
        <v/>
      </c>
      <c r="F3395" s="319">
        <f>J3394</f>
        <v/>
      </c>
      <c r="G3395" s="319">
        <f>-PMT($D$3373/$D$3375,42,$F$3388,,0)</f>
        <v/>
      </c>
      <c r="H3395" s="319">
        <f>($D$3373/$D$3375*F3395)</f>
        <v/>
      </c>
      <c r="I3395" s="319">
        <f>G3395-H3395</f>
        <v/>
      </c>
      <c r="J3395" s="319">
        <f>F3395-I3395</f>
        <v/>
      </c>
      <c r="K3395" s="516" t="n">
        <v>0</v>
      </c>
      <c r="L3395" s="516">
        <f>L3394+G3395-K3395</f>
        <v/>
      </c>
    </row>
    <row r="3396">
      <c r="B3396" s="1" t="n">
        <v>15</v>
      </c>
      <c r="C3396" s="24" t="n">
        <v>45474</v>
      </c>
      <c r="D3396" s="24" t="n">
        <v>45504</v>
      </c>
      <c r="E3396" s="25">
        <f>D3396-C3396+1</f>
        <v/>
      </c>
      <c r="F3396" s="319">
        <f>J3395</f>
        <v/>
      </c>
      <c r="G3396" s="319">
        <f>-PMT($D$3373/$D$3375,42,$F$3388,,0)</f>
        <v/>
      </c>
      <c r="H3396" s="319">
        <f>($D$3373/$D$3375*F3396)</f>
        <v/>
      </c>
      <c r="I3396" s="319">
        <f>G3396-H3396</f>
        <v/>
      </c>
      <c r="J3396" s="319">
        <f>F3396-I3396</f>
        <v/>
      </c>
      <c r="K3396" s="516">
        <f>7124770.99+7079204.84</f>
        <v/>
      </c>
      <c r="L3396" s="516">
        <f>L3395+G3396-K3396</f>
        <v/>
      </c>
    </row>
    <row r="3397">
      <c r="B3397" s="1" t="n">
        <v>16</v>
      </c>
      <c r="C3397" s="24" t="n">
        <v>45505</v>
      </c>
      <c r="D3397" s="24" t="n">
        <v>45535</v>
      </c>
      <c r="E3397" s="25">
        <f>D3397-C3397+1</f>
        <v/>
      </c>
      <c r="F3397" s="319">
        <f>J3396</f>
        <v/>
      </c>
      <c r="G3397" s="319">
        <f>-PMT($D$3373/$D$3375,42,$F$3388,,0)</f>
        <v/>
      </c>
      <c r="H3397" s="319">
        <f>($D$3373/$D$3375*F3397)</f>
        <v/>
      </c>
      <c r="I3397" s="319">
        <f>G3397-H3397</f>
        <v/>
      </c>
      <c r="J3397" s="319">
        <f>F3397-I3397</f>
        <v/>
      </c>
      <c r="K3397" s="516" t="n"/>
      <c r="L3397" s="516">
        <f>L3396+G3397-K3397</f>
        <v/>
      </c>
    </row>
    <row r="3398">
      <c r="B3398" s="1" t="n">
        <v>17</v>
      </c>
      <c r="C3398" s="24" t="n">
        <v>45536</v>
      </c>
      <c r="D3398" s="24" t="n">
        <v>45565</v>
      </c>
      <c r="E3398" s="25">
        <f>D3398-C3398+1</f>
        <v/>
      </c>
      <c r="F3398" s="319">
        <f>J3397</f>
        <v/>
      </c>
      <c r="G3398" s="319">
        <f>-PMT($D$3373/$D$3375,42,$F$3388,,0)</f>
        <v/>
      </c>
      <c r="H3398" s="319">
        <f>($D$3373/$D$3375*F3398)</f>
        <v/>
      </c>
      <c r="I3398" s="319">
        <f>G3398-H3398</f>
        <v/>
      </c>
      <c r="J3398" s="319">
        <f>F3398-I3398</f>
        <v/>
      </c>
      <c r="K3398" s="516" t="n">
        <v>7079204.84</v>
      </c>
      <c r="L3398" s="516">
        <f>L3397+G3398-K3398</f>
        <v/>
      </c>
    </row>
    <row r="3399">
      <c r="B3399" s="1" t="n">
        <v>18</v>
      </c>
      <c r="C3399" s="24" t="n">
        <v>45566</v>
      </c>
      <c r="D3399" s="24" t="n">
        <v>45596</v>
      </c>
      <c r="E3399" s="25">
        <f>D3399-C3399+1</f>
        <v/>
      </c>
      <c r="F3399" s="319">
        <f>J3398</f>
        <v/>
      </c>
      <c r="G3399" s="319">
        <f>-PMT($D$3373/$D$3375,42,$F$3388,,0)</f>
        <v/>
      </c>
      <c r="H3399" s="319">
        <f>($D$3373/$D$3375*F3399)</f>
        <v/>
      </c>
      <c r="I3399" s="319">
        <f>G3399-H3399</f>
        <v/>
      </c>
      <c r="J3399" s="319">
        <f>F3399-I3399</f>
        <v/>
      </c>
      <c r="K3399" s="516" t="n">
        <v>7078885.84</v>
      </c>
      <c r="L3399" s="520">
        <f>L3398+G3399-K3399</f>
        <v/>
      </c>
    </row>
    <row r="3400">
      <c r="B3400" s="1" t="n">
        <v>19</v>
      </c>
      <c r="C3400" s="24" t="n">
        <v>45597</v>
      </c>
      <c r="D3400" s="24" t="n">
        <v>45626</v>
      </c>
      <c r="E3400" s="25">
        <f>D3400-C3400+1</f>
        <v/>
      </c>
      <c r="F3400" s="319">
        <f>J3399</f>
        <v/>
      </c>
      <c r="G3400" s="319">
        <f>-PMT($D$3373/$D$3375,42,$F$3388,,0)</f>
        <v/>
      </c>
      <c r="H3400" s="319">
        <f>($D$3373/$D$3375*F3400)</f>
        <v/>
      </c>
      <c r="I3400" s="319">
        <f>G3400-H3400</f>
        <v/>
      </c>
      <c r="J3400" s="319">
        <f>F3400-I3400</f>
        <v/>
      </c>
      <c r="K3400" s="516" t="n"/>
      <c r="L3400" s="516" t="n"/>
    </row>
    <row r="3401">
      <c r="B3401" s="1" t="n">
        <v>20</v>
      </c>
      <c r="C3401" s="24" t="n">
        <v>45627</v>
      </c>
      <c r="D3401" s="24" t="n">
        <v>45657</v>
      </c>
      <c r="E3401" s="25">
        <f>D3401-C3401+1</f>
        <v/>
      </c>
      <c r="F3401" s="319">
        <f>J3400</f>
        <v/>
      </c>
      <c r="G3401" s="319">
        <f>-PMT($D$3373/$D$3375,42,$F$3388,,0)</f>
        <v/>
      </c>
      <c r="H3401" s="319">
        <f>($D$3373/$D$3375*F3401)</f>
        <v/>
      </c>
      <c r="I3401" s="319">
        <f>G3401-H3401</f>
        <v/>
      </c>
      <c r="J3401" s="319">
        <f>F3401-I3401</f>
        <v/>
      </c>
      <c r="K3401" s="516" t="n"/>
      <c r="L3401" s="516" t="n"/>
    </row>
    <row r="3402">
      <c r="B3402" s="1" t="n">
        <v>21</v>
      </c>
      <c r="C3402" s="24" t="n">
        <v>45658</v>
      </c>
      <c r="D3402" s="24" t="n">
        <v>45688</v>
      </c>
      <c r="E3402" s="25">
        <f>D3402-C3402+1</f>
        <v/>
      </c>
      <c r="F3402" s="319">
        <f>J3401</f>
        <v/>
      </c>
      <c r="G3402" s="319">
        <f>-PMT($D$3373/$D$3375,42,$F$3388,,0)</f>
        <v/>
      </c>
      <c r="H3402" s="319">
        <f>($D$3373/$D$3375*F3402)</f>
        <v/>
      </c>
      <c r="I3402" s="319">
        <f>G3402-H3402</f>
        <v/>
      </c>
      <c r="J3402" s="319">
        <f>F3402-I3402</f>
        <v/>
      </c>
      <c r="K3402" s="516" t="n"/>
      <c r="L3402" s="516" t="n"/>
    </row>
    <row r="3403">
      <c r="B3403" s="1" t="n">
        <v>22</v>
      </c>
      <c r="C3403" s="24" t="n">
        <v>45689</v>
      </c>
      <c r="D3403" s="24" t="n">
        <v>45716</v>
      </c>
      <c r="E3403" s="25">
        <f>D3403-C3403+1</f>
        <v/>
      </c>
      <c r="F3403" s="319">
        <f>J3402</f>
        <v/>
      </c>
      <c r="G3403" s="319">
        <f>-PMT($D$3373/$D$3375,42,$F$3388,,0)</f>
        <v/>
      </c>
      <c r="H3403" s="319">
        <f>($D$3373/$D$3375*F3403)</f>
        <v/>
      </c>
      <c r="I3403" s="319">
        <f>G3403-H3403</f>
        <v/>
      </c>
      <c r="J3403" s="319">
        <f>F3403-I3403</f>
        <v/>
      </c>
      <c r="K3403" s="516" t="n"/>
      <c r="L3403" s="516" t="n"/>
    </row>
    <row r="3404">
      <c r="B3404" s="1" t="n">
        <v>23</v>
      </c>
      <c r="C3404" s="24" t="n">
        <v>45717</v>
      </c>
      <c r="D3404" s="24" t="n">
        <v>45747</v>
      </c>
      <c r="E3404" s="25">
        <f>D3404-C3404+1</f>
        <v/>
      </c>
      <c r="F3404" s="319">
        <f>J3403</f>
        <v/>
      </c>
      <c r="G3404" s="319">
        <f>-PMT($D$3373/$D$3375,42,$F$3388,,0)</f>
        <v/>
      </c>
      <c r="H3404" s="319">
        <f>($D$3373/$D$3375*F3404)</f>
        <v/>
      </c>
      <c r="I3404" s="319">
        <f>G3404-H3404</f>
        <v/>
      </c>
      <c r="J3404" s="319">
        <f>F3404-I3404</f>
        <v/>
      </c>
      <c r="K3404" s="516" t="n"/>
      <c r="L3404" s="516" t="n"/>
    </row>
    <row r="3405">
      <c r="B3405" s="1" t="n">
        <v>24</v>
      </c>
      <c r="C3405" s="24" t="n">
        <v>45748</v>
      </c>
      <c r="D3405" s="24" t="n">
        <v>45777</v>
      </c>
      <c r="E3405" s="25">
        <f>D3405-C3405+1</f>
        <v/>
      </c>
      <c r="F3405" s="319">
        <f>J3404</f>
        <v/>
      </c>
      <c r="G3405" s="319">
        <f>-PMT($D$3373/$D$3375,42,$F$3388,,0)</f>
        <v/>
      </c>
      <c r="H3405" s="319">
        <f>($D$3373/$D$3375*F3405)</f>
        <v/>
      </c>
      <c r="I3405" s="319">
        <f>G3405-H3405</f>
        <v/>
      </c>
      <c r="J3405" s="319">
        <f>F3405-I3405</f>
        <v/>
      </c>
      <c r="K3405" s="516" t="n"/>
      <c r="L3405" s="516" t="n"/>
    </row>
    <row r="3406">
      <c r="B3406" s="1" t="n">
        <v>25</v>
      </c>
      <c r="C3406" s="24" t="n">
        <v>45778</v>
      </c>
      <c r="D3406" s="24" t="n">
        <v>45808</v>
      </c>
      <c r="E3406" s="25">
        <f>D3406-C3406+1</f>
        <v/>
      </c>
      <c r="F3406" s="319">
        <f>J3405</f>
        <v/>
      </c>
      <c r="G3406" s="319">
        <f>-PMT($D$3373/$D$3375,42,$F$3388,,0)</f>
        <v/>
      </c>
      <c r="H3406" s="319">
        <f>($D$3373/$D$3375*F3406)</f>
        <v/>
      </c>
      <c r="I3406" s="319">
        <f>G3406-H3406</f>
        <v/>
      </c>
      <c r="J3406" s="319">
        <f>F3406-I3406</f>
        <v/>
      </c>
      <c r="K3406" s="516" t="n"/>
      <c r="L3406" s="516" t="n"/>
    </row>
    <row r="3407">
      <c r="B3407" s="1" t="n">
        <v>26</v>
      </c>
      <c r="C3407" s="24" t="n">
        <v>45809</v>
      </c>
      <c r="D3407" s="24" t="n">
        <v>45838</v>
      </c>
      <c r="E3407" s="25">
        <f>D3407-C3407+1</f>
        <v/>
      </c>
      <c r="F3407" s="319">
        <f>J3406</f>
        <v/>
      </c>
      <c r="G3407" s="319">
        <f>-PMT($D$3373/$D$3375,42,$F$3388,,0)</f>
        <v/>
      </c>
      <c r="H3407" s="319">
        <f>($D$3373/$D$3375*F3407)</f>
        <v/>
      </c>
      <c r="I3407" s="319">
        <f>G3407-H3407</f>
        <v/>
      </c>
      <c r="J3407" s="319">
        <f>F3407-I3407</f>
        <v/>
      </c>
      <c r="K3407" s="516" t="n"/>
      <c r="L3407" s="516" t="n"/>
    </row>
    <row r="3408">
      <c r="B3408" s="1" t="n">
        <v>27</v>
      </c>
      <c r="C3408" s="24" t="n">
        <v>45839</v>
      </c>
      <c r="D3408" s="24" t="n">
        <v>45869</v>
      </c>
      <c r="E3408" s="25">
        <f>D3408-C3408+1</f>
        <v/>
      </c>
      <c r="F3408" s="319">
        <f>J3407</f>
        <v/>
      </c>
      <c r="G3408" s="319">
        <f>-PMT($D$3373/$D$3375,42,$F$3388,,0)</f>
        <v/>
      </c>
      <c r="H3408" s="319">
        <f>($D$3373/$D$3375*F3408)</f>
        <v/>
      </c>
      <c r="I3408" s="319">
        <f>G3408-H3408</f>
        <v/>
      </c>
      <c r="J3408" s="319">
        <f>F3408-I3408</f>
        <v/>
      </c>
      <c r="K3408" s="516" t="n"/>
      <c r="L3408" s="516" t="n"/>
    </row>
    <row r="3409">
      <c r="B3409" s="1" t="n">
        <v>28</v>
      </c>
      <c r="C3409" s="24" t="n">
        <v>45870</v>
      </c>
      <c r="D3409" s="24" t="n">
        <v>45900</v>
      </c>
      <c r="E3409" s="25">
        <f>D3409-C3409+1</f>
        <v/>
      </c>
      <c r="F3409" s="319">
        <f>J3408</f>
        <v/>
      </c>
      <c r="G3409" s="319">
        <f>-PMT($D$3373/$D$3375,42,$F$3388,,0)</f>
        <v/>
      </c>
      <c r="H3409" s="319">
        <f>($D$3373/$D$3375*F3409)</f>
        <v/>
      </c>
      <c r="I3409" s="319">
        <f>G3409-H3409</f>
        <v/>
      </c>
      <c r="J3409" s="319">
        <f>F3409-I3409</f>
        <v/>
      </c>
      <c r="K3409" s="516" t="n"/>
      <c r="L3409" s="516" t="n"/>
    </row>
    <row r="3410">
      <c r="B3410" s="1" t="n">
        <v>29</v>
      </c>
      <c r="C3410" s="24" t="n">
        <v>45901</v>
      </c>
      <c r="D3410" s="24" t="n">
        <v>45930</v>
      </c>
      <c r="E3410" s="25">
        <f>D3410-C3410+1</f>
        <v/>
      </c>
      <c r="F3410" s="319">
        <f>J3409</f>
        <v/>
      </c>
      <c r="G3410" s="319">
        <f>-PMT($D$3373/$D$3375,42,$F$3388,,0)</f>
        <v/>
      </c>
      <c r="H3410" s="319">
        <f>($D$3373/$D$3375*F3410)</f>
        <v/>
      </c>
      <c r="I3410" s="319">
        <f>G3410-H3410</f>
        <v/>
      </c>
      <c r="J3410" s="319">
        <f>F3410-I3410</f>
        <v/>
      </c>
      <c r="K3410" s="516" t="n"/>
      <c r="L3410" s="516" t="n"/>
    </row>
    <row r="3411">
      <c r="B3411" s="1" t="n">
        <v>30</v>
      </c>
      <c r="C3411" s="24" t="n">
        <v>45931</v>
      </c>
      <c r="D3411" s="24" t="n">
        <v>45961</v>
      </c>
      <c r="E3411" s="25">
        <f>D3411-C3411+1</f>
        <v/>
      </c>
      <c r="F3411" s="319">
        <f>J3410</f>
        <v/>
      </c>
      <c r="G3411" s="319">
        <f>-PMT($D$3373/$D$3375,42,$F$3388,,0)</f>
        <v/>
      </c>
      <c r="H3411" s="319">
        <f>($D$3373/$D$3375*F3411)</f>
        <v/>
      </c>
      <c r="I3411" s="319">
        <f>G3411-H3411</f>
        <v/>
      </c>
      <c r="J3411" s="319">
        <f>F3411-I3411</f>
        <v/>
      </c>
      <c r="K3411" s="516" t="n"/>
      <c r="L3411" s="516" t="n"/>
    </row>
    <row r="3412">
      <c r="B3412" s="1" t="n">
        <v>31</v>
      </c>
      <c r="C3412" s="24" t="n">
        <v>45962</v>
      </c>
      <c r="D3412" s="24" t="n">
        <v>45991</v>
      </c>
      <c r="E3412" s="25">
        <f>D3412-C3412+1</f>
        <v/>
      </c>
      <c r="F3412" s="319">
        <f>J3411</f>
        <v/>
      </c>
      <c r="G3412" s="319">
        <f>-PMT($D$3373/$D$3375,42,$F$3388,,0)</f>
        <v/>
      </c>
      <c r="H3412" s="319">
        <f>($D$3373/$D$3375*F3412)</f>
        <v/>
      </c>
      <c r="I3412" s="319">
        <f>G3412-H3412</f>
        <v/>
      </c>
      <c r="J3412" s="319">
        <f>F3412-I3412</f>
        <v/>
      </c>
      <c r="K3412" s="516" t="n"/>
      <c r="L3412" s="516" t="n"/>
    </row>
    <row r="3413">
      <c r="B3413" s="1" t="n">
        <v>32</v>
      </c>
      <c r="C3413" s="24" t="n">
        <v>45992</v>
      </c>
      <c r="D3413" s="24" t="n">
        <v>46022</v>
      </c>
      <c r="E3413" s="25">
        <f>D3413-C3413+1</f>
        <v/>
      </c>
      <c r="F3413" s="319">
        <f>J3412</f>
        <v/>
      </c>
      <c r="G3413" s="319">
        <f>-PMT($D$3373/$D$3375,42,$F$3388,,0)</f>
        <v/>
      </c>
      <c r="H3413" s="319">
        <f>($D$3373/$D$3375*F3413)</f>
        <v/>
      </c>
      <c r="I3413" s="319">
        <f>G3413-H3413</f>
        <v/>
      </c>
      <c r="J3413" s="319">
        <f>F3413-I3413</f>
        <v/>
      </c>
      <c r="K3413" s="516" t="n"/>
      <c r="L3413" s="516" t="n"/>
    </row>
    <row r="3414">
      <c r="B3414" s="1" t="n">
        <v>33</v>
      </c>
      <c r="C3414" s="24" t="n">
        <v>46023</v>
      </c>
      <c r="D3414" s="24" t="n">
        <v>46053</v>
      </c>
      <c r="E3414" s="25">
        <f>D3414-C3414+1</f>
        <v/>
      </c>
      <c r="F3414" s="319">
        <f>J3413</f>
        <v/>
      </c>
      <c r="G3414" s="319">
        <f>-PMT($D$3373/$D$3375,42,$F$3388,,0)</f>
        <v/>
      </c>
      <c r="H3414" s="319">
        <f>($D$3373/$D$3375*F3414)</f>
        <v/>
      </c>
      <c r="I3414" s="319">
        <f>G3414-H3414</f>
        <v/>
      </c>
      <c r="J3414" s="319">
        <f>F3414-I3414</f>
        <v/>
      </c>
      <c r="K3414" s="516" t="n"/>
      <c r="L3414" s="516" t="n"/>
    </row>
    <row r="3415">
      <c r="B3415" s="1" t="n">
        <v>34</v>
      </c>
      <c r="C3415" s="24" t="n">
        <v>46054</v>
      </c>
      <c r="D3415" s="24" t="n">
        <v>46081</v>
      </c>
      <c r="E3415" s="25">
        <f>D3415-C3415+1</f>
        <v/>
      </c>
      <c r="F3415" s="319">
        <f>J3414</f>
        <v/>
      </c>
      <c r="G3415" s="319">
        <f>-PMT($D$3373/$D$3375,42,$F$3388,,0)</f>
        <v/>
      </c>
      <c r="H3415" s="319">
        <f>($D$3373/$D$3375*F3415)</f>
        <v/>
      </c>
      <c r="I3415" s="319">
        <f>G3415-H3415</f>
        <v/>
      </c>
      <c r="J3415" s="319">
        <f>F3415-I3415</f>
        <v/>
      </c>
      <c r="K3415" s="516" t="n"/>
      <c r="L3415" s="516" t="n"/>
    </row>
    <row r="3416">
      <c r="B3416" s="1" t="n">
        <v>35</v>
      </c>
      <c r="C3416" s="24" t="n">
        <v>46082</v>
      </c>
      <c r="D3416" s="24" t="n">
        <v>46112</v>
      </c>
      <c r="E3416" s="25">
        <f>D3416-C3416+1</f>
        <v/>
      </c>
      <c r="F3416" s="319">
        <f>J3415</f>
        <v/>
      </c>
      <c r="G3416" s="319">
        <f>-PMT($D$3373/$D$3375,42,$F$3388,,0)</f>
        <v/>
      </c>
      <c r="H3416" s="319">
        <f>($D$3373/$D$3375*F3416)</f>
        <v/>
      </c>
      <c r="I3416" s="319">
        <f>G3416-H3416</f>
        <v/>
      </c>
      <c r="J3416" s="319">
        <f>F3416-I3416</f>
        <v/>
      </c>
      <c r="K3416" s="516" t="n"/>
      <c r="L3416" s="516" t="n"/>
    </row>
    <row r="3417">
      <c r="B3417" s="1" t="n">
        <v>36</v>
      </c>
      <c r="C3417" s="24" t="n">
        <v>46113</v>
      </c>
      <c r="D3417" s="24" t="n">
        <v>46142</v>
      </c>
      <c r="E3417" s="25">
        <f>D3417-C3417+1</f>
        <v/>
      </c>
      <c r="F3417" s="319">
        <f>J3416</f>
        <v/>
      </c>
      <c r="G3417" s="319">
        <f>-PMT($D$3373/$D$3375,42,$F$3388,,0)</f>
        <v/>
      </c>
      <c r="H3417" s="319">
        <f>($D$3373/$D$3375*F3417)</f>
        <v/>
      </c>
      <c r="I3417" s="319">
        <f>G3417-H3417</f>
        <v/>
      </c>
      <c r="J3417" s="319">
        <f>F3417-I3417</f>
        <v/>
      </c>
      <c r="K3417" s="516" t="n"/>
      <c r="L3417" s="516" t="n"/>
    </row>
    <row r="3418">
      <c r="B3418" s="1" t="n">
        <v>37</v>
      </c>
      <c r="C3418" s="24" t="n">
        <v>46143</v>
      </c>
      <c r="D3418" s="24" t="n">
        <v>46173</v>
      </c>
      <c r="E3418" s="25">
        <f>D3418-C3418+1</f>
        <v/>
      </c>
      <c r="F3418" s="319">
        <f>J3417</f>
        <v/>
      </c>
      <c r="G3418" s="319">
        <f>-PMT($D$3373/$D$3375,42,$F$3388,,0)</f>
        <v/>
      </c>
      <c r="H3418" s="319">
        <f>($D$3373/$D$3375*F3418)</f>
        <v/>
      </c>
      <c r="I3418" s="319">
        <f>G3418-H3418</f>
        <v/>
      </c>
      <c r="J3418" s="319">
        <f>F3418-I3418</f>
        <v/>
      </c>
      <c r="K3418" s="516" t="n"/>
      <c r="L3418" s="516" t="n"/>
    </row>
    <row r="3419">
      <c r="B3419" s="1" t="n">
        <v>38</v>
      </c>
      <c r="C3419" s="24" t="n">
        <v>46174</v>
      </c>
      <c r="D3419" s="24" t="n">
        <v>46203</v>
      </c>
      <c r="E3419" s="25">
        <f>D3419-C3419+1</f>
        <v/>
      </c>
      <c r="F3419" s="319">
        <f>J3418</f>
        <v/>
      </c>
      <c r="G3419" s="319">
        <f>-PMT($D$3373/$D$3375,42,$F$3388,,0)</f>
        <v/>
      </c>
      <c r="H3419" s="319">
        <f>($D$3373/$D$3375*F3419)</f>
        <v/>
      </c>
      <c r="I3419" s="319">
        <f>G3419-H3419</f>
        <v/>
      </c>
      <c r="J3419" s="319">
        <f>F3419-I3419</f>
        <v/>
      </c>
      <c r="K3419" s="516" t="n"/>
      <c r="L3419" s="516" t="n"/>
    </row>
    <row r="3420">
      <c r="B3420" s="1" t="n">
        <v>39</v>
      </c>
      <c r="C3420" s="24" t="n">
        <v>46204</v>
      </c>
      <c r="D3420" s="24" t="n">
        <v>46234</v>
      </c>
      <c r="E3420" s="25">
        <f>D3420-C3420+1</f>
        <v/>
      </c>
      <c r="F3420" s="319">
        <f>J3419</f>
        <v/>
      </c>
      <c r="G3420" s="319">
        <f>-PMT($D$3373/$D$3375,42,$F$3388,,0)</f>
        <v/>
      </c>
      <c r="H3420" s="319">
        <f>($D$3373/$D$3375*F3420)</f>
        <v/>
      </c>
      <c r="I3420" s="319">
        <f>G3420-H3420</f>
        <v/>
      </c>
      <c r="J3420" s="319">
        <f>F3420-I3420</f>
        <v/>
      </c>
      <c r="K3420" s="516" t="n"/>
      <c r="L3420" s="516" t="n"/>
    </row>
    <row r="3421">
      <c r="B3421" s="1" t="n">
        <v>40</v>
      </c>
      <c r="C3421" s="24" t="n">
        <v>46235</v>
      </c>
      <c r="D3421" s="24" t="n">
        <v>46265</v>
      </c>
      <c r="E3421" s="25">
        <f>D3421-C3421+1</f>
        <v/>
      </c>
      <c r="F3421" s="319">
        <f>J3420</f>
        <v/>
      </c>
      <c r="G3421" s="319">
        <f>-PMT($D$3373/$D$3375,42,$F$3388,,0)</f>
        <v/>
      </c>
      <c r="H3421" s="319">
        <f>($D$3373/$D$3375*F3421)</f>
        <v/>
      </c>
      <c r="I3421" s="319">
        <f>G3421-H3421</f>
        <v/>
      </c>
      <c r="J3421" s="319">
        <f>F3421-I3421</f>
        <v/>
      </c>
      <c r="K3421" s="516" t="n"/>
      <c r="L3421" s="516" t="n"/>
    </row>
    <row r="3422">
      <c r="B3422" s="1" t="n">
        <v>41</v>
      </c>
      <c r="C3422" s="24" t="n">
        <v>46266</v>
      </c>
      <c r="D3422" s="24" t="n">
        <v>46295</v>
      </c>
      <c r="E3422" s="25">
        <f>D3422-C3422+1</f>
        <v/>
      </c>
      <c r="F3422" s="319">
        <f>J3421</f>
        <v/>
      </c>
      <c r="G3422" s="319">
        <f>-PMT($D$3373/$D$3375,42,$F$3388,,0)</f>
        <v/>
      </c>
      <c r="H3422" s="319">
        <f>($D$3373/$D$3375*F3422)</f>
        <v/>
      </c>
      <c r="I3422" s="319">
        <f>G3422-H3422</f>
        <v/>
      </c>
      <c r="J3422" s="319">
        <f>F3422-I3422</f>
        <v/>
      </c>
      <c r="K3422" s="516" t="n"/>
      <c r="L3422" s="516" t="n"/>
    </row>
    <row r="3423">
      <c r="B3423" s="1" t="n">
        <v>42</v>
      </c>
      <c r="C3423" s="24" t="n">
        <v>46296</v>
      </c>
      <c r="D3423" s="24" t="n">
        <v>46326</v>
      </c>
      <c r="E3423" s="25">
        <f>D3423-C3423+1</f>
        <v/>
      </c>
      <c r="F3423" s="319">
        <f>J3422</f>
        <v/>
      </c>
      <c r="G3423" s="319">
        <f>-PMT($D$3373/$D$3375,42,$F$3388,,0)</f>
        <v/>
      </c>
      <c r="H3423" s="319">
        <f>($D$3373/$D$3375*F3423)</f>
        <v/>
      </c>
      <c r="I3423" s="319">
        <f>G3423-H3423</f>
        <v/>
      </c>
      <c r="J3423" s="319">
        <f>F3423-I3423</f>
        <v/>
      </c>
      <c r="K3423" s="516" t="n"/>
      <c r="L3423" s="516" t="n"/>
    </row>
    <row r="3424">
      <c r="B3424" s="1" t="n">
        <v>43</v>
      </c>
      <c r="C3424" s="24" t="n">
        <v>46327</v>
      </c>
      <c r="D3424" s="24" t="n">
        <v>46356</v>
      </c>
      <c r="E3424" s="25">
        <f>D3424-C3424+1</f>
        <v/>
      </c>
      <c r="F3424" s="319">
        <f>J3423</f>
        <v/>
      </c>
      <c r="G3424" s="319">
        <f>-PMT($D$3373/$D$3375,42,$F$3388,,0)</f>
        <v/>
      </c>
      <c r="H3424" s="319">
        <f>($D$3373/$D$3375*F3424)</f>
        <v/>
      </c>
      <c r="I3424" s="319">
        <f>G3424-H3424</f>
        <v/>
      </c>
      <c r="J3424" s="319">
        <f>F3424-I3424</f>
        <v/>
      </c>
      <c r="K3424" s="516" t="n"/>
      <c r="L3424" s="516" t="n"/>
    </row>
    <row r="3425">
      <c r="B3425" s="1" t="n">
        <v>44</v>
      </c>
      <c r="C3425" s="24" t="n">
        <v>46357</v>
      </c>
      <c r="D3425" s="24" t="n">
        <v>46387</v>
      </c>
      <c r="E3425" s="25">
        <f>D3425-C3425+1</f>
        <v/>
      </c>
      <c r="F3425" s="319">
        <f>J3424</f>
        <v/>
      </c>
      <c r="G3425" s="319">
        <f>-PMT($D$3373/$D$3375,42,$F$3388,,0)</f>
        <v/>
      </c>
      <c r="H3425" s="319">
        <f>($D$3373/$D$3375*F3425)</f>
        <v/>
      </c>
      <c r="I3425" s="319">
        <f>G3425-H3425</f>
        <v/>
      </c>
      <c r="J3425" s="319">
        <f>F3425-I3425</f>
        <v/>
      </c>
      <c r="K3425" s="516" t="n"/>
      <c r="L3425" s="516" t="n"/>
    </row>
    <row r="3426">
      <c r="B3426" s="1" t="n">
        <v>45</v>
      </c>
      <c r="C3426" s="24" t="n">
        <v>46388</v>
      </c>
      <c r="D3426" s="24" t="n">
        <v>46418</v>
      </c>
      <c r="E3426" s="25">
        <f>D3426-C3426+1</f>
        <v/>
      </c>
      <c r="F3426" s="319">
        <f>J3425</f>
        <v/>
      </c>
      <c r="G3426" s="319">
        <f>-PMT($D$3373/$D$3375,42,$F$3388,,0)</f>
        <v/>
      </c>
      <c r="H3426" s="319">
        <f>($D$3373/$D$3375*F3426)</f>
        <v/>
      </c>
      <c r="I3426" s="319">
        <f>G3426-H3426</f>
        <v/>
      </c>
      <c r="J3426" s="319">
        <f>F3426-I3426</f>
        <v/>
      </c>
      <c r="K3426" s="516" t="n"/>
      <c r="L3426" s="516" t="n"/>
    </row>
    <row r="3427">
      <c r="B3427" s="1" t="n">
        <v>46</v>
      </c>
      <c r="C3427" s="24" t="n">
        <v>46357</v>
      </c>
      <c r="D3427" s="24" t="n">
        <v>46387</v>
      </c>
      <c r="E3427" s="25">
        <f>D3427-C3427+1</f>
        <v/>
      </c>
      <c r="F3427" s="319">
        <f>J3426</f>
        <v/>
      </c>
      <c r="G3427" s="319">
        <f>-PMT($D$3373/$D$3375,42,$F$3388,,0)</f>
        <v/>
      </c>
      <c r="H3427" s="319">
        <f>($D$3373/$D$3375*F3427)</f>
        <v/>
      </c>
      <c r="I3427" s="319">
        <f>G3427-H3427</f>
        <v/>
      </c>
      <c r="J3427" s="319">
        <f>F3427-I3427</f>
        <v/>
      </c>
      <c r="K3427" s="516" t="n"/>
      <c r="L3427" s="516" t="n"/>
    </row>
    <row r="3428">
      <c r="B3428" s="1" t="n">
        <v>47</v>
      </c>
      <c r="C3428" s="24" t="n">
        <v>46388</v>
      </c>
      <c r="D3428" s="24" t="n">
        <v>46418</v>
      </c>
      <c r="E3428" s="25">
        <f>D3428-C3428+1</f>
        <v/>
      </c>
      <c r="F3428" s="319">
        <f>J3427</f>
        <v/>
      </c>
      <c r="G3428" s="319">
        <f>-PMT($D$3373/$D$3375,42,$F$3388,,0)</f>
        <v/>
      </c>
      <c r="H3428" s="319">
        <f>($D$3373/$D$3375*F3428)</f>
        <v/>
      </c>
      <c r="I3428" s="319">
        <f>G3428-H3428</f>
        <v/>
      </c>
      <c r="J3428" s="319">
        <f>F3428-I3428</f>
        <v/>
      </c>
      <c r="K3428" s="516" t="n"/>
      <c r="L3428" s="516" t="n"/>
    </row>
    <row r="3429">
      <c r="B3429" s="1" t="n">
        <v>48</v>
      </c>
      <c r="C3429" s="24" t="n">
        <v>46419</v>
      </c>
      <c r="D3429" s="24" t="n">
        <v>46446</v>
      </c>
      <c r="E3429" s="25">
        <f>D3429-C3429+1</f>
        <v/>
      </c>
      <c r="F3429" s="319">
        <f>J3428</f>
        <v/>
      </c>
      <c r="G3429" s="319">
        <f>-PMT($D$3373/$D$3375,42,$F$3388,,0)</f>
        <v/>
      </c>
      <c r="H3429" s="319">
        <f>($D$3373/$D$3375*F3429)</f>
        <v/>
      </c>
      <c r="I3429" s="319">
        <f>G3429-H3429</f>
        <v/>
      </c>
      <c r="J3429" s="319">
        <f>F3429-I3429</f>
        <v/>
      </c>
      <c r="K3429" s="516" t="n"/>
      <c r="L3429" s="516" t="n"/>
    </row>
    <row r="3430">
      <c r="B3430" s="1" t="n"/>
      <c r="C3430" s="24" t="n"/>
      <c r="D3430" s="24" t="n"/>
      <c r="E3430" s="25" t="n"/>
      <c r="F3430" s="319" t="n"/>
      <c r="G3430" s="319" t="n"/>
      <c r="H3430" s="319" t="n"/>
      <c r="I3430" s="319" t="n"/>
      <c r="J3430" s="319" t="n"/>
      <c r="K3430" s="516" t="n"/>
      <c r="L3430" s="516" t="n"/>
    </row>
    <row r="3431">
      <c r="B3431" s="1" t="n"/>
      <c r="C3431" s="24" t="n"/>
      <c r="D3431" s="24" t="n"/>
      <c r="E3431" s="30">
        <f>SUM(E3381:E3405)</f>
        <v/>
      </c>
      <c r="F3431" s="319" t="n"/>
      <c r="G3431" s="319" t="n"/>
      <c r="H3431" s="319" t="n"/>
      <c r="I3431" s="319" t="n"/>
      <c r="J3431" s="319" t="n"/>
      <c r="K3431" s="516" t="n"/>
      <c r="L3431" s="516" t="n"/>
    </row>
    <row r="3436">
      <c r="B3436" s="1" t="n"/>
      <c r="C3436" s="9" t="inlineStr">
        <is>
          <t>Gibson Grays Cane Furniture</t>
        </is>
      </c>
      <c r="D3436" s="319" t="n"/>
      <c r="E3436" s="319" t="n"/>
      <c r="F3436" s="319" t="n"/>
      <c r="G3436" s="319" t="n"/>
      <c r="H3436" s="319" t="n"/>
      <c r="I3436" s="319" t="n"/>
      <c r="J3436" s="319" t="n"/>
      <c r="K3436" s="319" t="n"/>
      <c r="L3436" s="319" t="n"/>
      <c r="R3436" s="514" t="inlineStr">
        <is>
          <t>E-Banker account (Dupleix)</t>
        </is>
      </c>
      <c r="S3436" s="495">
        <f>IFERROR(INDEX('Blocks'!$I$2:$I$101,MATCH(62,'Blocks'!$A$2:$A$101,0)),"")</f>
        <v/>
      </c>
    </row>
    <row r="3437">
      <c r="B3437" s="1" t="n"/>
      <c r="C3437" s="1" t="n"/>
      <c r="D3437" s="319" t="n"/>
      <c r="E3437" s="319" t="n"/>
      <c r="F3437" s="319" t="n"/>
      <c r="G3437" s="319" t="n"/>
      <c r="H3437" s="319" t="n"/>
      <c r="I3437" s="319" t="n"/>
      <c r="J3437" s="319" t="n"/>
      <c r="K3437" s="319" t="n"/>
      <c r="L3437" s="319" t="n"/>
      <c r="R3437" s="514" t="inlineStr">
        <is>
          <t>Facility (Loan Book)</t>
        </is>
      </c>
      <c r="S3437" s="495">
        <f>IFERROR(INDEX('Blocks'!$H$2:$H$101,MATCH(62,'Blocks'!$A$2:$A$101,0)),"")</f>
        <v/>
      </c>
    </row>
    <row r="3438">
      <c r="B3438" s="1" t="n"/>
      <c r="C3438" s="10" t="inlineStr">
        <is>
          <t>Principal (MK)</t>
        </is>
      </c>
      <c r="D3438" s="11" t="n">
        <v>30000000</v>
      </c>
      <c r="E3438" s="319" t="n"/>
      <c r="F3438" s="319" t="n"/>
      <c r="G3438" s="319" t="n"/>
      <c r="H3438" s="319" t="n"/>
      <c r="I3438" s="319" t="n"/>
      <c r="J3438" s="319" t="n"/>
      <c r="K3438" s="319" t="n"/>
      <c r="L3438" s="319" t="n"/>
      <c r="R3438" s="514" t="inlineStr">
        <is>
          <t>Take-on posting 31 Jul 2024</t>
        </is>
      </c>
      <c r="S3438" s="496">
        <f>IFERROR(INDEX('E-Banker master'!$N$2:$N$186,MATCH(S3436,'E-Banker master'!$A$2:$A$186,0)),"")</f>
        <v/>
      </c>
    </row>
    <row r="3439">
      <c r="B3439" s="1" t="n"/>
      <c r="C3439" s="13" t="inlineStr">
        <is>
          <t>Rate</t>
        </is>
      </c>
      <c r="D3439" s="14" t="n">
        <v>0.1</v>
      </c>
      <c r="E3439" s="257" t="n"/>
      <c r="F3439" s="319" t="n"/>
      <c r="G3439" s="319" t="n"/>
      <c r="H3439" s="319" t="n"/>
      <c r="I3439" s="319" t="n"/>
      <c r="J3439" s="319" t="n"/>
      <c r="K3439" s="319" t="n"/>
      <c r="L3439" s="319" t="n"/>
      <c r="R3439" s="514" t="inlineStr">
        <is>
          <t>E-Banker balance 31 Oct 2024</t>
        </is>
      </c>
      <c r="S3439" s="496">
        <f>IFERROR(INDEX('E-Banker master'!$P$2:$P$186,MATCH(S3436,'E-Banker master'!$A$2:$A$186,0)),"")</f>
        <v/>
      </c>
    </row>
    <row r="3440">
      <c r="B3440" s="1" t="n"/>
      <c r="C3440" s="13" t="inlineStr">
        <is>
          <t>n</t>
        </is>
      </c>
      <c r="D3440" s="16" t="n">
        <v>2</v>
      </c>
      <c r="E3440" s="1" t="n"/>
      <c r="F3440" s="319" t="n"/>
      <c r="G3440" s="319" t="n"/>
      <c r="H3440" s="319" t="n"/>
      <c r="I3440" s="319" t="n"/>
      <c r="J3440" s="319" t="n"/>
      <c r="K3440" s="1" t="n"/>
      <c r="L3440" s="1" t="n"/>
    </row>
    <row r="3441">
      <c r="B3441" s="1" t="n"/>
      <c r="C3441" s="13" t="inlineStr">
        <is>
          <t>Per</t>
        </is>
      </c>
      <c r="D3441" s="16" t="n">
        <v>12</v>
      </c>
      <c r="E3441" s="1" t="n"/>
      <c r="F3441" s="319" t="n"/>
      <c r="G3441" s="319" t="n"/>
      <c r="H3441" s="319" t="n"/>
      <c r="I3441" s="319" t="n"/>
      <c r="J3441" s="319" t="n"/>
      <c r="K3441" s="1" t="n"/>
      <c r="L3441" s="1" t="n"/>
    </row>
    <row r="3442">
      <c r="B3442" s="1" t="n"/>
      <c r="C3442" s="13" t="inlineStr">
        <is>
          <t>nPer</t>
        </is>
      </c>
      <c r="D3442" s="515">
        <f>D3440*D3441</f>
        <v/>
      </c>
      <c r="E3442" s="1" t="n"/>
      <c r="F3442" s="319" t="n"/>
      <c r="G3442" s="319" t="n"/>
      <c r="H3442" s="319" t="n"/>
      <c r="I3442" s="319" t="n"/>
      <c r="J3442" s="319" t="n"/>
      <c r="K3442" s="1" t="n"/>
      <c r="L3442" s="1" t="n"/>
    </row>
    <row r="3443">
      <c r="B3443" s="1" t="n"/>
      <c r="C3443" s="13" t="inlineStr">
        <is>
          <t>Days in a year</t>
        </is>
      </c>
      <c r="D3443" s="18" t="n">
        <v>365</v>
      </c>
      <c r="E3443" s="1" t="n"/>
      <c r="F3443" s="319" t="n"/>
      <c r="G3443" s="319" t="n"/>
      <c r="H3443" s="319" t="n"/>
      <c r="I3443" s="319" t="n"/>
      <c r="J3443" s="319" t="n"/>
      <c r="K3443" s="1" t="n"/>
      <c r="L3443" s="1" t="n"/>
    </row>
    <row r="3444">
      <c r="B3444" s="1" t="n"/>
      <c r="C3444" s="19" t="inlineStr">
        <is>
          <t>Pmt (MK)</t>
        </is>
      </c>
      <c r="D3444" s="20">
        <f>-PMT(D3439/D3441,D3442,D3438,0,0)</f>
        <v/>
      </c>
      <c r="E3444" s="319" t="n"/>
      <c r="F3444" s="319" t="n"/>
      <c r="G3444" s="319" t="n"/>
      <c r="H3444" s="319" t="n"/>
      <c r="I3444" s="319" t="n"/>
      <c r="J3444" s="319" t="n"/>
      <c r="K3444" s="1" t="n"/>
      <c r="L3444" s="1" t="n"/>
    </row>
    <row r="3445">
      <c r="B3445" s="1" t="n"/>
      <c r="C3445" s="1" t="n"/>
      <c r="D3445" s="319" t="n"/>
      <c r="E3445" s="319" t="n"/>
      <c r="F3445" s="319" t="n"/>
      <c r="G3445" s="319" t="n"/>
      <c r="H3445" s="319" t="n"/>
      <c r="I3445" s="319" t="n"/>
      <c r="J3445" s="319" t="n"/>
      <c r="K3445" s="1" t="n"/>
      <c r="L3445" s="1" t="n"/>
    </row>
    <row r="3446">
      <c r="B3446" s="1" t="n"/>
      <c r="C3446" s="21" t="inlineStr">
        <is>
          <t>Period Start</t>
        </is>
      </c>
      <c r="D3446" s="22" t="inlineStr">
        <is>
          <t>Period End</t>
        </is>
      </c>
      <c r="E3446" s="22" t="inlineStr">
        <is>
          <t>Days</t>
        </is>
      </c>
      <c r="F3446" s="294" t="inlineStr">
        <is>
          <t>Opening bal.</t>
        </is>
      </c>
      <c r="G3446" s="294" t="inlineStr">
        <is>
          <t>Pmt</t>
        </is>
      </c>
      <c r="H3446" s="294" t="inlineStr">
        <is>
          <t>Interest</t>
        </is>
      </c>
      <c r="I3446" s="294" t="inlineStr">
        <is>
          <t>Principal</t>
        </is>
      </c>
      <c r="J3446" s="294" t="inlineStr">
        <is>
          <t>Closing balance</t>
        </is>
      </c>
      <c r="K3446" s="23" t="inlineStr">
        <is>
          <t>Amount Repaid</t>
        </is>
      </c>
      <c r="L3446" s="23" t="inlineStr">
        <is>
          <t>Accumulated Arrears</t>
        </is>
      </c>
    </row>
    <row r="3447">
      <c r="B3447" s="1" t="n">
        <v>1</v>
      </c>
      <c r="C3447" s="24" t="n">
        <v>45048</v>
      </c>
      <c r="D3447" s="24" t="n">
        <v>45077</v>
      </c>
      <c r="E3447" s="25">
        <f>D3447-C3447+1</f>
        <v/>
      </c>
      <c r="F3447" s="319">
        <f>D3438</f>
        <v/>
      </c>
      <c r="G3447" s="319" t="n"/>
      <c r="H3447" s="319">
        <f>($D$3439/$D$3441*F3447)</f>
        <v/>
      </c>
      <c r="I3447" s="319">
        <f>-H3447</f>
        <v/>
      </c>
      <c r="J3447" s="319">
        <f>F3447-I3447</f>
        <v/>
      </c>
      <c r="K3447" s="516" t="n"/>
      <c r="L3447" s="516" t="n"/>
    </row>
    <row r="3448">
      <c r="B3448" s="1" t="n">
        <v>2</v>
      </c>
      <c r="C3448" s="24" t="n">
        <v>45078</v>
      </c>
      <c r="D3448" s="24" t="n">
        <v>45107</v>
      </c>
      <c r="E3448" s="25">
        <f>D3448-C3448+1</f>
        <v/>
      </c>
      <c r="F3448" s="319">
        <f>J3447</f>
        <v/>
      </c>
      <c r="G3448" s="319" t="n"/>
      <c r="H3448" s="319">
        <f>($D$3439/$D$3441*F3448)</f>
        <v/>
      </c>
      <c r="I3448" s="319">
        <f>-H3448</f>
        <v/>
      </c>
      <c r="J3448" s="319">
        <f>F3448-I3448</f>
        <v/>
      </c>
    </row>
    <row r="3449">
      <c r="B3449" s="1" t="n">
        <v>3</v>
      </c>
      <c r="C3449" s="24" t="n">
        <v>45108</v>
      </c>
      <c r="D3449" s="24" t="n">
        <v>45138</v>
      </c>
      <c r="E3449" s="25">
        <f>D3449-C3449+1</f>
        <v/>
      </c>
      <c r="F3449" s="319">
        <f>J3448</f>
        <v/>
      </c>
      <c r="G3449" s="319" t="n"/>
      <c r="H3449" s="319">
        <f>($D$3439/$D$3441*F3449)</f>
        <v/>
      </c>
      <c r="I3449" s="319">
        <f>-H3449</f>
        <v/>
      </c>
      <c r="J3449" s="319">
        <f>F3449-I3449</f>
        <v/>
      </c>
      <c r="K3449" s="516" t="n"/>
      <c r="L3449" s="516" t="n"/>
    </row>
    <row r="3450">
      <c r="B3450" s="1" t="n">
        <v>4</v>
      </c>
      <c r="C3450" s="24" t="n">
        <v>45139</v>
      </c>
      <c r="D3450" s="24" t="n">
        <v>45169</v>
      </c>
      <c r="E3450" s="25">
        <f>D3450-C3450+1</f>
        <v/>
      </c>
      <c r="F3450" s="319">
        <f>J3449</f>
        <v/>
      </c>
      <c r="G3450" s="319">
        <f>-PMT($D$3439/$D$3441,21,$F$3450,,0)</f>
        <v/>
      </c>
      <c r="H3450" s="319">
        <f>($D$3439/$D$3441*F3450)</f>
        <v/>
      </c>
      <c r="I3450" s="319">
        <f>G3450-H3450</f>
        <v/>
      </c>
      <c r="J3450" s="319">
        <f>F3450-I3450</f>
        <v/>
      </c>
      <c r="K3450" s="516" t="n">
        <v>1602250</v>
      </c>
      <c r="L3450" s="516">
        <f>L3449+G3450-K3450</f>
        <v/>
      </c>
    </row>
    <row r="3451">
      <c r="B3451" s="1" t="n">
        <v>5</v>
      </c>
      <c r="C3451" s="24" t="n">
        <v>45170</v>
      </c>
      <c r="D3451" s="24" t="n">
        <v>45199</v>
      </c>
      <c r="E3451" s="25">
        <f>D3451-C3451+1</f>
        <v/>
      </c>
      <c r="F3451" s="319">
        <f>J3450</f>
        <v/>
      </c>
      <c r="G3451" s="319">
        <f>-PMT($D$3439/$D$3441,21,$F$3450,,0)</f>
        <v/>
      </c>
      <c r="H3451" s="319">
        <f>($D$3439/$D$3441*F3451)</f>
        <v/>
      </c>
      <c r="I3451" s="319">
        <f>G3451-H3451</f>
        <v/>
      </c>
      <c r="J3451" s="319">
        <f>F3451-I3451</f>
        <v/>
      </c>
      <c r="K3451" s="516" t="n"/>
      <c r="L3451" s="516">
        <f>L3450+G3451-K3451</f>
        <v/>
      </c>
    </row>
    <row r="3452">
      <c r="B3452" s="1" t="n">
        <v>6</v>
      </c>
      <c r="C3452" s="24" t="n">
        <v>45200</v>
      </c>
      <c r="D3452" s="24" t="n">
        <v>45230</v>
      </c>
      <c r="E3452" s="25">
        <f>D3452-C3452+1</f>
        <v/>
      </c>
      <c r="F3452" s="319">
        <f>J3451</f>
        <v/>
      </c>
      <c r="G3452" s="319">
        <f>-PMT($D$3439/$D$3441,21,$F$3450,,0)</f>
        <v/>
      </c>
      <c r="H3452" s="319">
        <f>($D$3439/$D$3441*F3452)</f>
        <v/>
      </c>
      <c r="I3452" s="319">
        <f>G3452-H3452</f>
        <v/>
      </c>
      <c r="J3452" s="319">
        <f>F3452-I3452</f>
        <v/>
      </c>
      <c r="K3452" s="516" t="n">
        <v>1600000</v>
      </c>
      <c r="L3452" s="516">
        <f>L3451+G3452-K3452</f>
        <v/>
      </c>
    </row>
    <row r="3453">
      <c r="B3453" s="1" t="n">
        <v>7</v>
      </c>
      <c r="C3453" s="24" t="n">
        <v>45231</v>
      </c>
      <c r="D3453" s="24" t="n">
        <v>45260</v>
      </c>
      <c r="E3453" s="25">
        <f>D3453-C3453+1</f>
        <v/>
      </c>
      <c r="F3453" s="319">
        <f>J3452</f>
        <v/>
      </c>
      <c r="G3453" s="319">
        <f>-PMT($D$3439/$D$3441,21,$F$3450,,0)</f>
        <v/>
      </c>
      <c r="H3453" s="319">
        <f>($D$3439/$D$3441*F3453)</f>
        <v/>
      </c>
      <c r="I3453" s="319">
        <f>G3453-H3453</f>
        <v/>
      </c>
      <c r="J3453" s="319">
        <f>F3453-I3453</f>
        <v/>
      </c>
      <c r="K3453" s="516" t="n"/>
      <c r="L3453" s="516">
        <f>L3452+G3453-K3453</f>
        <v/>
      </c>
    </row>
    <row r="3454">
      <c r="B3454" s="1" t="n">
        <v>8</v>
      </c>
      <c r="C3454" s="24" t="n">
        <v>45261</v>
      </c>
      <c r="D3454" s="24" t="n">
        <v>45291</v>
      </c>
      <c r="E3454" s="25">
        <f>D3454-C3454+1</f>
        <v/>
      </c>
      <c r="F3454" s="319">
        <f>J3453</f>
        <v/>
      </c>
      <c r="G3454" s="319">
        <f>-PMT($D$3439/$D$3441,21,$F$3450,,0)</f>
        <v/>
      </c>
      <c r="H3454" s="319">
        <f>($D$3439/$D$3441*F3454)</f>
        <v/>
      </c>
      <c r="I3454" s="319">
        <f>G3454-H3454</f>
        <v/>
      </c>
      <c r="J3454" s="319">
        <f>F3454-I3454</f>
        <v/>
      </c>
      <c r="K3454" s="516" t="n"/>
      <c r="L3454" s="516">
        <f>L3453+G3454-K3454</f>
        <v/>
      </c>
    </row>
    <row r="3455">
      <c r="B3455" s="1" t="n">
        <v>9</v>
      </c>
      <c r="C3455" s="24" t="n">
        <v>45292</v>
      </c>
      <c r="D3455" s="24" t="n">
        <v>45322</v>
      </c>
      <c r="E3455" s="25">
        <f>D3455-C3455+1</f>
        <v/>
      </c>
      <c r="F3455" s="319">
        <f>J3454</f>
        <v/>
      </c>
      <c r="G3455" s="319">
        <f>-PMT($D$3439/$D$3441,21,$F$3450,,0)</f>
        <v/>
      </c>
      <c r="H3455" s="319">
        <f>($D$3439/$D$3441*F3455)</f>
        <v/>
      </c>
      <c r="I3455" s="319">
        <f>G3455-H3455</f>
        <v/>
      </c>
      <c r="J3455" s="319">
        <f>F3455-I3455</f>
        <v/>
      </c>
      <c r="K3455" s="516" t="n"/>
      <c r="L3455" s="516">
        <f>L3454+G3455-K3455</f>
        <v/>
      </c>
    </row>
    <row r="3456">
      <c r="B3456" s="1" t="n">
        <v>10</v>
      </c>
      <c r="C3456" s="24" t="n">
        <v>45323</v>
      </c>
      <c r="D3456" s="24" t="n">
        <v>45351</v>
      </c>
      <c r="E3456" s="25">
        <f>D3456-C3456+1</f>
        <v/>
      </c>
      <c r="F3456" s="319">
        <f>J3455</f>
        <v/>
      </c>
      <c r="G3456" s="319">
        <f>-PMT($D$3439/$D$3441,21,$F$3450,,0)</f>
        <v/>
      </c>
      <c r="H3456" s="319">
        <f>($D$3439/$D$3441*F3456)</f>
        <v/>
      </c>
      <c r="I3456" s="319">
        <f>G3456-H3456</f>
        <v/>
      </c>
      <c r="J3456" s="319">
        <f>F3456-I3456</f>
        <v/>
      </c>
      <c r="K3456" s="516" t="n">
        <v>3850000</v>
      </c>
      <c r="L3456" s="516">
        <f>L3455+G3456-K3456</f>
        <v/>
      </c>
    </row>
    <row r="3457">
      <c r="B3457" s="1" t="n">
        <v>11</v>
      </c>
      <c r="C3457" s="24" t="n">
        <v>45352</v>
      </c>
      <c r="D3457" s="24" t="n">
        <v>45382</v>
      </c>
      <c r="E3457" s="25">
        <f>D3457-C3457+1</f>
        <v/>
      </c>
      <c r="F3457" s="319">
        <f>J3456</f>
        <v/>
      </c>
      <c r="G3457" s="319">
        <f>-PMT($D$3439/$D$3441,21,$F$3450,,0)</f>
        <v/>
      </c>
      <c r="H3457" s="319">
        <f>($D$3439/$D$3441*F3457)</f>
        <v/>
      </c>
      <c r="I3457" s="319">
        <f>G3457-H3457</f>
        <v/>
      </c>
      <c r="J3457" s="319">
        <f>F3457-I3457</f>
        <v/>
      </c>
      <c r="K3457" s="516" t="n"/>
      <c r="L3457" s="516">
        <f>L3456+G3457-K3457</f>
        <v/>
      </c>
    </row>
    <row r="3458">
      <c r="B3458" s="1" t="n">
        <v>12</v>
      </c>
      <c r="C3458" s="24" t="n">
        <v>45383</v>
      </c>
      <c r="D3458" s="24" t="n">
        <v>45412</v>
      </c>
      <c r="E3458" s="25">
        <f>D3458-C3458+1</f>
        <v/>
      </c>
      <c r="F3458" s="319">
        <f>J3457</f>
        <v/>
      </c>
      <c r="G3458" s="319">
        <f>-PMT($D$3439/$D$3441,21,$F$3450,,0)</f>
        <v/>
      </c>
      <c r="H3458" s="319">
        <f>($D$3439/$D$3441*F3458)</f>
        <v/>
      </c>
      <c r="I3458" s="319">
        <f>G3458-H3458</f>
        <v/>
      </c>
      <c r="J3458" s="319">
        <f>F3458-I3458</f>
        <v/>
      </c>
      <c r="K3458" s="516" t="n">
        <v>1600000</v>
      </c>
      <c r="L3458" s="516">
        <f>L3457+G3458-K3458</f>
        <v/>
      </c>
    </row>
    <row r="3459">
      <c r="B3459" s="1" t="n">
        <v>13</v>
      </c>
      <c r="C3459" s="24" t="n">
        <v>45413</v>
      </c>
      <c r="D3459" s="24" t="n">
        <v>45443</v>
      </c>
      <c r="E3459" s="25">
        <f>D3459-C3459+1</f>
        <v/>
      </c>
      <c r="F3459" s="319">
        <f>J3458</f>
        <v/>
      </c>
      <c r="G3459" s="319">
        <f>-PMT($D$3439/$D$3441,21,$F$3450,,0)</f>
        <v/>
      </c>
      <c r="H3459" s="319">
        <f>($D$3439/$D$3441*F3459)</f>
        <v/>
      </c>
      <c r="I3459" s="319">
        <f>G3459-H3459</f>
        <v/>
      </c>
      <c r="J3459" s="319">
        <f>F3459-I3459</f>
        <v/>
      </c>
      <c r="K3459" s="516" t="n">
        <v>1600000</v>
      </c>
      <c r="L3459" s="516">
        <f>L3458+G3459-K3459</f>
        <v/>
      </c>
    </row>
    <row r="3460">
      <c r="B3460" s="1" t="n">
        <v>14</v>
      </c>
      <c r="C3460" s="24" t="n">
        <v>45444</v>
      </c>
      <c r="D3460" s="24" t="n">
        <v>45473</v>
      </c>
      <c r="E3460" s="25">
        <f>D3460-C3460+1</f>
        <v/>
      </c>
      <c r="F3460" s="319">
        <f>J3459</f>
        <v/>
      </c>
      <c r="G3460" s="319">
        <f>-PMT($D$3439/$D$3441,21,$F$3450,,0)</f>
        <v/>
      </c>
      <c r="H3460" s="319">
        <f>($D$3439/$D$3441*F3460)</f>
        <v/>
      </c>
      <c r="I3460" s="319">
        <f>G3460-H3460</f>
        <v/>
      </c>
      <c r="J3460" s="319">
        <f>F3460-I3460</f>
        <v/>
      </c>
      <c r="K3460" s="516" t="n">
        <v>1600000</v>
      </c>
      <c r="L3460" s="516">
        <f>L3459+G3460-K3460</f>
        <v/>
      </c>
    </row>
    <row r="3461">
      <c r="B3461" s="1" t="n">
        <v>15</v>
      </c>
      <c r="C3461" s="24" t="n">
        <v>45474</v>
      </c>
      <c r="D3461" s="24" t="n">
        <v>45504</v>
      </c>
      <c r="E3461" s="25">
        <f>D3461-C3461+1</f>
        <v/>
      </c>
      <c r="F3461" s="319">
        <f>J3460</f>
        <v/>
      </c>
      <c r="G3461" s="319">
        <f>-PMT($D$3439/$D$3441,21,$F$3450,,0)</f>
        <v/>
      </c>
      <c r="H3461" s="319">
        <f>($D$3439/$D$3441*F3461)</f>
        <v/>
      </c>
      <c r="I3461" s="319">
        <f>G3461-H3461</f>
        <v/>
      </c>
      <c r="J3461" s="319">
        <f>F3461-I3461</f>
        <v/>
      </c>
      <c r="K3461" s="516" t="n">
        <v>1600000</v>
      </c>
      <c r="L3461" s="516">
        <f>L3460+G3461-K3461</f>
        <v/>
      </c>
    </row>
    <row r="3462">
      <c r="B3462" s="1" t="n">
        <v>16</v>
      </c>
      <c r="C3462" s="24" t="n">
        <v>45505</v>
      </c>
      <c r="D3462" s="24" t="n">
        <v>45535</v>
      </c>
      <c r="E3462" s="25">
        <f>D3462-C3462+1</f>
        <v/>
      </c>
      <c r="F3462" s="319">
        <f>J3461</f>
        <v/>
      </c>
      <c r="G3462" s="319">
        <f>-PMT($D$3439/$D$3441,21,$F$3450,,0)</f>
        <v/>
      </c>
      <c r="H3462" s="319">
        <f>($D$3439/$D$3441*F3462)</f>
        <v/>
      </c>
      <c r="I3462" s="319">
        <f>G3462-H3462</f>
        <v/>
      </c>
      <c r="J3462" s="319">
        <f>F3462-I3462</f>
        <v/>
      </c>
      <c r="K3462" s="516" t="n"/>
      <c r="L3462" s="516">
        <f>L3461+G3462-K3462</f>
        <v/>
      </c>
    </row>
    <row r="3463">
      <c r="B3463" s="1" t="n">
        <v>17</v>
      </c>
      <c r="C3463" s="24" t="n">
        <v>45536</v>
      </c>
      <c r="D3463" s="24" t="n">
        <v>45565</v>
      </c>
      <c r="E3463" s="25">
        <f>D3463-C3463+1</f>
        <v/>
      </c>
      <c r="F3463" s="319">
        <f>J3462</f>
        <v/>
      </c>
      <c r="G3463" s="319">
        <f>-PMT($D$3439/$D$3441,21,$F$3450,,0)</f>
        <v/>
      </c>
      <c r="H3463" s="319">
        <f>($D$3439/$D$3441*F3463)</f>
        <v/>
      </c>
      <c r="I3463" s="319">
        <f>G3463-H3463</f>
        <v/>
      </c>
      <c r="J3463" s="319">
        <f>F3463-I3463</f>
        <v/>
      </c>
      <c r="K3463" s="516" t="n">
        <v>2000000</v>
      </c>
      <c r="L3463" s="516">
        <f>L3462+G3463-K3463</f>
        <v/>
      </c>
    </row>
    <row r="3464">
      <c r="B3464" s="1" t="n">
        <v>18</v>
      </c>
      <c r="C3464" s="24" t="n">
        <v>45566</v>
      </c>
      <c r="D3464" s="24" t="n">
        <v>45596</v>
      </c>
      <c r="E3464" s="25">
        <f>D3464-C3464+1</f>
        <v/>
      </c>
      <c r="F3464" s="319">
        <f>J3463</f>
        <v/>
      </c>
      <c r="G3464" s="319">
        <f>-PMT($D$3439/$D$3441,21,$F$3450,,0)</f>
        <v/>
      </c>
      <c r="H3464" s="319">
        <f>($D$3439/$D$3441*F3464)</f>
        <v/>
      </c>
      <c r="I3464" s="319">
        <f>G3464-H3464</f>
        <v/>
      </c>
      <c r="J3464" s="319">
        <f>F3464-I3464</f>
        <v/>
      </c>
      <c r="K3464" s="516" t="n">
        <v>4000000</v>
      </c>
      <c r="L3464" s="523">
        <f>L3463+G3464-K3464</f>
        <v/>
      </c>
    </row>
    <row r="3465">
      <c r="B3465" s="1" t="n">
        <v>19</v>
      </c>
      <c r="C3465" s="24" t="n">
        <v>45597</v>
      </c>
      <c r="D3465" s="24" t="n">
        <v>45626</v>
      </c>
      <c r="E3465" s="25">
        <f>D3465-C3465+1</f>
        <v/>
      </c>
      <c r="F3465" s="319">
        <f>J3464</f>
        <v/>
      </c>
      <c r="G3465" s="319">
        <f>-PMT($D$3439/$D$3441,21,$F$3450,,0)</f>
        <v/>
      </c>
      <c r="H3465" s="319">
        <f>($D$3439/$D$3441*F3465)</f>
        <v/>
      </c>
      <c r="I3465" s="319">
        <f>G3465-H3465</f>
        <v/>
      </c>
      <c r="J3465" s="319">
        <f>F3465-I3465</f>
        <v/>
      </c>
      <c r="K3465" s="516" t="n"/>
      <c r="L3465" s="516" t="n"/>
    </row>
    <row r="3466">
      <c r="B3466" s="1" t="n">
        <v>20</v>
      </c>
      <c r="C3466" s="24" t="n">
        <v>45627</v>
      </c>
      <c r="D3466" s="24" t="n">
        <v>45657</v>
      </c>
      <c r="E3466" s="25">
        <f>D3466-C3466+1</f>
        <v/>
      </c>
      <c r="F3466" s="319">
        <f>J3465</f>
        <v/>
      </c>
      <c r="G3466" s="319">
        <f>-PMT($D$3439/$D$3441,21,$F$3450,,0)</f>
        <v/>
      </c>
      <c r="H3466" s="319">
        <f>($D$3439/$D$3441*F3466)</f>
        <v/>
      </c>
      <c r="I3466" s="319">
        <f>G3466-H3466</f>
        <v/>
      </c>
      <c r="J3466" s="319">
        <f>F3466-I3466</f>
        <v/>
      </c>
      <c r="K3466" s="516" t="n"/>
      <c r="L3466" s="516" t="n"/>
    </row>
    <row r="3467">
      <c r="B3467" s="1" t="n">
        <v>21</v>
      </c>
      <c r="C3467" s="24" t="n">
        <v>45658</v>
      </c>
      <c r="D3467" s="24" t="n">
        <v>45688</v>
      </c>
      <c r="E3467" s="25">
        <f>D3467-C3467+1</f>
        <v/>
      </c>
      <c r="F3467" s="319">
        <f>J3466</f>
        <v/>
      </c>
      <c r="G3467" s="319">
        <f>-PMT($D$3439/$D$3441,21,$F$3450,,0)</f>
        <v/>
      </c>
      <c r="H3467" s="319">
        <f>($D$3439/$D$3441*F3467)</f>
        <v/>
      </c>
      <c r="I3467" s="319">
        <f>G3467-H3467</f>
        <v/>
      </c>
      <c r="J3467" s="319">
        <f>F3467-I3467</f>
        <v/>
      </c>
      <c r="K3467" s="516" t="n"/>
      <c r="L3467" s="516" t="n"/>
    </row>
    <row r="3468">
      <c r="B3468" s="1" t="n">
        <v>22</v>
      </c>
      <c r="C3468" s="24" t="n">
        <v>45689</v>
      </c>
      <c r="D3468" s="24" t="n">
        <v>45716</v>
      </c>
      <c r="E3468" s="25">
        <f>D3468-C3468+1</f>
        <v/>
      </c>
      <c r="F3468" s="319">
        <f>J3467</f>
        <v/>
      </c>
      <c r="G3468" s="319">
        <f>-PMT($D$3439/$D$3441,21,$F$3450,,0)</f>
        <v/>
      </c>
      <c r="H3468" s="319">
        <f>($D$3439/$D$3441*F3468)</f>
        <v/>
      </c>
      <c r="I3468" s="319">
        <f>G3468-H3468</f>
        <v/>
      </c>
      <c r="J3468" s="319">
        <f>F3468-I3468</f>
        <v/>
      </c>
      <c r="K3468" s="516" t="n"/>
      <c r="L3468" s="516" t="n"/>
    </row>
    <row r="3469">
      <c r="B3469" s="1" t="n">
        <v>23</v>
      </c>
      <c r="C3469" s="24" t="n">
        <v>45717</v>
      </c>
      <c r="D3469" s="24" t="n">
        <v>45747</v>
      </c>
      <c r="E3469" s="25">
        <f>D3469-C3469+1</f>
        <v/>
      </c>
      <c r="F3469" s="319">
        <f>J3468</f>
        <v/>
      </c>
      <c r="G3469" s="319">
        <f>-PMT($D$3439/$D$3441,21,$F$3450,,0)</f>
        <v/>
      </c>
      <c r="H3469" s="319">
        <f>($D$3439/$D$3441*F3469)</f>
        <v/>
      </c>
      <c r="I3469" s="319">
        <f>G3469-H3469</f>
        <v/>
      </c>
      <c r="J3469" s="319">
        <f>F3469-I3469</f>
        <v/>
      </c>
      <c r="K3469" s="516" t="n"/>
      <c r="L3469" s="516" t="n"/>
    </row>
    <row r="3470">
      <c r="B3470" s="1" t="n">
        <v>24</v>
      </c>
      <c r="C3470" s="24" t="n">
        <v>45748</v>
      </c>
      <c r="D3470" s="24" t="n">
        <v>45777</v>
      </c>
      <c r="E3470" s="25">
        <f>D3470-C3470+1</f>
        <v/>
      </c>
      <c r="F3470" s="319">
        <f>J3469</f>
        <v/>
      </c>
      <c r="G3470" s="319">
        <f>-PMT($D$3439/$D$3441,21,$F$3450,,0)</f>
        <v/>
      </c>
      <c r="H3470" s="319">
        <f>($D$3439/$D$3441*F3470)</f>
        <v/>
      </c>
      <c r="I3470" s="319">
        <f>G3470-H3470</f>
        <v/>
      </c>
      <c r="J3470" s="319">
        <f>F3470-I3470</f>
        <v/>
      </c>
      <c r="K3470" s="516" t="n"/>
      <c r="L3470" s="516" t="n"/>
    </row>
    <row r="3471">
      <c r="B3471" s="1" t="n"/>
      <c r="C3471" s="24" t="n"/>
      <c r="D3471" s="24" t="n"/>
      <c r="E3471" s="30">
        <f>SUM(E3447:E3470)</f>
        <v/>
      </c>
      <c r="F3471" s="319" t="n"/>
      <c r="G3471" s="319" t="n"/>
      <c r="H3471" s="319" t="n"/>
      <c r="I3471" s="319" t="n"/>
      <c r="J3471" s="319" t="n"/>
      <c r="K3471" s="516" t="n"/>
      <c r="L3471" s="516" t="n"/>
    </row>
    <row r="3474">
      <c r="B3474" s="1" t="n"/>
      <c r="C3474" s="9" t="inlineStr">
        <is>
          <t>House of Men Clothing</t>
        </is>
      </c>
      <c r="D3474" s="319" t="n"/>
      <c r="E3474" s="319" t="n"/>
      <c r="F3474" s="319" t="n"/>
      <c r="G3474" s="319" t="n"/>
      <c r="H3474" s="319" t="n"/>
      <c r="I3474" s="319" t="n"/>
      <c r="J3474" s="319" t="n"/>
      <c r="K3474" s="319" t="n"/>
      <c r="L3474" s="319" t="n"/>
      <c r="R3474" s="514" t="inlineStr">
        <is>
          <t>E-Banker account (Dupleix)</t>
        </is>
      </c>
      <c r="S3474" s="495">
        <f>IFERROR(INDEX('Blocks'!$I$2:$I$101,MATCH(63,'Blocks'!$A$2:$A$101,0)),"")</f>
        <v/>
      </c>
    </row>
    <row r="3475">
      <c r="B3475" s="1" t="n"/>
      <c r="C3475" s="1" t="n"/>
      <c r="D3475" s="319" t="n"/>
      <c r="E3475" s="319" t="n"/>
      <c r="F3475" s="319" t="n"/>
      <c r="G3475" s="319" t="n"/>
      <c r="H3475" s="319" t="n"/>
      <c r="I3475" s="319" t="n"/>
      <c r="J3475" s="319" t="n"/>
      <c r="K3475" s="319" t="n"/>
      <c r="L3475" s="319" t="n"/>
      <c r="R3475" s="514" t="inlineStr">
        <is>
          <t>Facility (Loan Book)</t>
        </is>
      </c>
      <c r="S3475" s="495">
        <f>IFERROR(INDEX('Blocks'!$H$2:$H$101,MATCH(63,'Blocks'!$A$2:$A$101,0)),"")</f>
        <v/>
      </c>
    </row>
    <row r="3476">
      <c r="B3476" s="1" t="n"/>
      <c r="C3476" s="10" t="inlineStr">
        <is>
          <t>Principal (MK)</t>
        </is>
      </c>
      <c r="D3476" s="11" t="n">
        <v>50000000</v>
      </c>
      <c r="E3476" s="319" t="n"/>
      <c r="F3476" s="319" t="n"/>
      <c r="G3476" s="319" t="n"/>
      <c r="H3476" s="319" t="n"/>
      <c r="I3476" s="319" t="n"/>
      <c r="J3476" s="319" t="n"/>
      <c r="K3476" s="319" t="n"/>
      <c r="L3476" s="319" t="n"/>
      <c r="R3476" s="514" t="inlineStr">
        <is>
          <t>Take-on posting 31 Jul 2024</t>
        </is>
      </c>
      <c r="S3476" s="496">
        <f>IFERROR(INDEX('E-Banker master'!$N$2:$N$186,MATCH(S3474,'E-Banker master'!$A$2:$A$186,0)),"")</f>
        <v/>
      </c>
    </row>
    <row r="3477">
      <c r="B3477" s="1" t="n"/>
      <c r="C3477" s="13" t="inlineStr">
        <is>
          <t>Rate</t>
        </is>
      </c>
      <c r="D3477" s="14" t="n">
        <v>0.1</v>
      </c>
      <c r="E3477" s="257" t="n"/>
      <c r="F3477" s="319" t="n"/>
      <c r="G3477" s="319" t="n"/>
      <c r="H3477" s="319" t="n"/>
      <c r="I3477" s="319" t="n"/>
      <c r="J3477" s="319" t="n"/>
      <c r="K3477" s="319" t="n"/>
      <c r="L3477" s="319" t="n"/>
      <c r="R3477" s="514" t="inlineStr">
        <is>
          <t>E-Banker balance 31 Oct 2024</t>
        </is>
      </c>
      <c r="S3477" s="496">
        <f>IFERROR(INDEX('E-Banker master'!$P$2:$P$186,MATCH(S3474,'E-Banker master'!$A$2:$A$186,0)),"")</f>
        <v/>
      </c>
    </row>
    <row r="3478">
      <c r="B3478" s="1" t="n"/>
      <c r="C3478" s="13" t="inlineStr">
        <is>
          <t>n</t>
        </is>
      </c>
      <c r="D3478" s="16" t="n">
        <v>4</v>
      </c>
      <c r="E3478" s="1" t="n"/>
      <c r="F3478" s="319" t="n"/>
      <c r="G3478" s="319" t="n"/>
      <c r="H3478" s="319" t="n"/>
      <c r="I3478" s="319" t="n"/>
      <c r="J3478" s="319" t="n"/>
      <c r="K3478" s="1" t="n"/>
      <c r="L3478" s="1" t="n"/>
    </row>
    <row r="3479">
      <c r="B3479" s="1" t="n"/>
      <c r="C3479" s="13" t="inlineStr">
        <is>
          <t>Per</t>
        </is>
      </c>
      <c r="D3479" s="16" t="n">
        <v>12</v>
      </c>
      <c r="E3479" s="1" t="n"/>
      <c r="F3479" s="319" t="n"/>
      <c r="G3479" s="319" t="n"/>
      <c r="H3479" s="319" t="n"/>
      <c r="I3479" s="319" t="n"/>
      <c r="J3479" s="319" t="n"/>
      <c r="K3479" s="1" t="n"/>
      <c r="L3479" s="1" t="n"/>
    </row>
    <row r="3480">
      <c r="B3480" s="1" t="n"/>
      <c r="C3480" s="13" t="inlineStr">
        <is>
          <t>nPer</t>
        </is>
      </c>
      <c r="D3480" s="515">
        <f>D3478*D3479</f>
        <v/>
      </c>
      <c r="E3480" s="1" t="n"/>
      <c r="F3480" s="319" t="n"/>
      <c r="G3480" s="319" t="n"/>
      <c r="H3480" s="319" t="n"/>
      <c r="I3480" s="319" t="n"/>
      <c r="J3480" s="319" t="n"/>
      <c r="K3480" s="1" t="n"/>
      <c r="L3480" s="1" t="n"/>
    </row>
    <row r="3481">
      <c r="B3481" s="1" t="n"/>
      <c r="C3481" s="13" t="inlineStr">
        <is>
          <t>Days in a year</t>
        </is>
      </c>
      <c r="D3481" s="18" t="n">
        <v>365</v>
      </c>
      <c r="E3481" s="1" t="n"/>
      <c r="F3481" s="319" t="n"/>
      <c r="G3481" s="319" t="n"/>
      <c r="H3481" s="319" t="n"/>
      <c r="I3481" s="319" t="n"/>
      <c r="J3481" s="319" t="n"/>
      <c r="K3481" s="1" t="n"/>
      <c r="L3481" s="1" t="n"/>
    </row>
    <row r="3482">
      <c r="B3482" s="1" t="n"/>
      <c r="C3482" s="19" t="inlineStr">
        <is>
          <t>Pmt (MK)</t>
        </is>
      </c>
      <c r="D3482" s="20">
        <f>-PMT(D3477/D3479,D3480,D3476,0,0)</f>
        <v/>
      </c>
      <c r="E3482" s="319" t="n"/>
      <c r="F3482" s="319" t="n"/>
      <c r="G3482" s="319" t="n"/>
      <c r="H3482" s="319" t="n"/>
      <c r="I3482" s="319" t="n"/>
      <c r="J3482" s="319" t="n"/>
      <c r="K3482" s="1" t="n"/>
      <c r="L3482" s="1" t="n"/>
    </row>
    <row r="3483">
      <c r="B3483" s="1" t="n"/>
      <c r="C3483" s="1" t="n"/>
      <c r="D3483" s="319" t="n"/>
      <c r="E3483" s="319" t="n"/>
      <c r="F3483" s="319" t="n"/>
      <c r="G3483" s="319" t="n"/>
      <c r="H3483" s="319" t="n"/>
      <c r="I3483" s="319" t="n"/>
      <c r="J3483" s="319" t="n"/>
      <c r="K3483" s="1" t="n"/>
      <c r="L3483" s="1" t="n"/>
    </row>
    <row r="3484">
      <c r="B3484" s="1" t="n"/>
      <c r="C3484" s="21" t="inlineStr">
        <is>
          <t>Period Start</t>
        </is>
      </c>
      <c r="D3484" s="22" t="inlineStr">
        <is>
          <t>Period End</t>
        </is>
      </c>
      <c r="E3484" s="22" t="inlineStr">
        <is>
          <t>Days</t>
        </is>
      </c>
      <c r="F3484" s="294" t="inlineStr">
        <is>
          <t>Opening bal.</t>
        </is>
      </c>
      <c r="G3484" s="294" t="inlineStr">
        <is>
          <t>Pmt</t>
        </is>
      </c>
      <c r="H3484" s="294" t="inlineStr">
        <is>
          <t>Interest</t>
        </is>
      </c>
      <c r="I3484" s="294" t="inlineStr">
        <is>
          <t>Principal</t>
        </is>
      </c>
      <c r="J3484" s="294" t="inlineStr">
        <is>
          <t>Closing balance</t>
        </is>
      </c>
      <c r="K3484" s="23" t="inlineStr">
        <is>
          <t>Amount Repaid</t>
        </is>
      </c>
      <c r="L3484" s="23" t="inlineStr">
        <is>
          <t>Accumulated Arrears</t>
        </is>
      </c>
    </row>
    <row r="3485">
      <c r="B3485" s="1" t="n">
        <v>0</v>
      </c>
      <c r="C3485" s="24" t="n">
        <v>45064</v>
      </c>
      <c r="D3485" s="24" t="n">
        <v>45077</v>
      </c>
      <c r="E3485" s="25">
        <f>D3485-C3485+1</f>
        <v/>
      </c>
      <c r="F3485" s="319">
        <f>D3476</f>
        <v/>
      </c>
      <c r="G3485" s="319" t="n">
        <v>0</v>
      </c>
      <c r="H3485" s="319">
        <f>D3477/D3479*E3485*F3485/31</f>
        <v/>
      </c>
      <c r="I3485" s="319">
        <f>G3485-H3485</f>
        <v/>
      </c>
      <c r="J3485" s="319">
        <f>F3485+F3476-I3485</f>
        <v/>
      </c>
      <c r="K3485" s="516" t="n"/>
      <c r="L3485" s="516" t="n"/>
    </row>
    <row r="3486">
      <c r="B3486" s="1" t="n">
        <v>1</v>
      </c>
      <c r="C3486" s="24" t="n">
        <v>45078</v>
      </c>
      <c r="D3486" s="24" t="n">
        <v>45107</v>
      </c>
      <c r="E3486" s="25">
        <f>D3486-C3486+1</f>
        <v/>
      </c>
      <c r="F3486" s="319">
        <f>J3485</f>
        <v/>
      </c>
      <c r="G3486" s="319" t="n">
        <v>0</v>
      </c>
      <c r="H3486" s="319">
        <f>($D$3477/$D$3479*F3486)</f>
        <v/>
      </c>
      <c r="I3486" s="319">
        <f>G3486-H3486</f>
        <v/>
      </c>
      <c r="J3486" s="319">
        <f>F3486-I3486</f>
        <v/>
      </c>
      <c r="K3486" s="516" t="n"/>
      <c r="L3486" s="516" t="n"/>
    </row>
    <row r="3487">
      <c r="B3487" s="1" t="n">
        <v>2</v>
      </c>
      <c r="C3487" s="24" t="n">
        <v>45108</v>
      </c>
      <c r="D3487" s="24" t="n">
        <v>45138</v>
      </c>
      <c r="E3487" s="25">
        <f>D3487-C3487+1</f>
        <v/>
      </c>
      <c r="F3487" s="319">
        <f>J3486</f>
        <v/>
      </c>
      <c r="G3487" s="319" t="n">
        <v>0</v>
      </c>
      <c r="H3487" s="319">
        <f>($D$3477/$D$3479*F3487)</f>
        <v/>
      </c>
      <c r="I3487" s="319">
        <f>G3487-H3487</f>
        <v/>
      </c>
      <c r="J3487" s="319">
        <f>F3487-I3487</f>
        <v/>
      </c>
    </row>
    <row r="3488">
      <c r="B3488" s="1" t="n">
        <v>3</v>
      </c>
      <c r="C3488" s="24" t="n">
        <v>45139</v>
      </c>
      <c r="D3488" s="24" t="n">
        <v>45169</v>
      </c>
      <c r="E3488" s="25">
        <f>D3488-C3488+1</f>
        <v/>
      </c>
      <c r="F3488" s="319">
        <f>J3487</f>
        <v/>
      </c>
      <c r="G3488" s="319" t="n">
        <v>0</v>
      </c>
      <c r="H3488" s="319">
        <f>($D$3477/$D$3479*F3488)</f>
        <v/>
      </c>
      <c r="I3488" s="319">
        <f>G3488-H3488</f>
        <v/>
      </c>
      <c r="J3488" s="319">
        <f>F3488-I3488</f>
        <v/>
      </c>
      <c r="K3488" s="516" t="n"/>
      <c r="L3488" s="516" t="n"/>
    </row>
    <row r="3489">
      <c r="B3489" s="1" t="n">
        <v>4</v>
      </c>
      <c r="C3489" s="24" t="n">
        <v>45170</v>
      </c>
      <c r="D3489" s="24" t="n">
        <v>45199</v>
      </c>
      <c r="E3489" s="25">
        <f>D3489-C3489+1</f>
        <v/>
      </c>
      <c r="F3489" s="319">
        <f>J3488</f>
        <v/>
      </c>
      <c r="G3489" s="319" t="n">
        <v>0</v>
      </c>
      <c r="H3489" s="319">
        <f>($D$3477/$D$3479*F3489)</f>
        <v/>
      </c>
      <c r="I3489" s="319">
        <f>G3489-H3489</f>
        <v/>
      </c>
      <c r="J3489" s="319">
        <f>F3489-I3489</f>
        <v/>
      </c>
      <c r="K3489" s="516" t="n"/>
      <c r="L3489" s="516" t="n"/>
    </row>
    <row r="3490">
      <c r="B3490" s="1" t="n">
        <v>5</v>
      </c>
      <c r="C3490" s="24" t="n">
        <v>45200</v>
      </c>
      <c r="D3490" s="24" t="n">
        <v>45230</v>
      </c>
      <c r="E3490" s="25">
        <f>D3490-C3490+1</f>
        <v/>
      </c>
      <c r="F3490" s="319">
        <f>J3489</f>
        <v/>
      </c>
      <c r="G3490" s="319" t="n">
        <v>0</v>
      </c>
      <c r="H3490" s="319">
        <f>($D$3477/$D$3479*F3490)</f>
        <v/>
      </c>
      <c r="I3490" s="319">
        <f>G3490-H3490</f>
        <v/>
      </c>
      <c r="J3490" s="319">
        <f>F3490-I3490</f>
        <v/>
      </c>
      <c r="K3490" s="516" t="n"/>
      <c r="L3490" s="516" t="n"/>
    </row>
    <row r="3491">
      <c r="B3491" s="1" t="n">
        <v>6</v>
      </c>
      <c r="C3491" s="24" t="n">
        <v>45231</v>
      </c>
      <c r="D3491" s="24" t="n">
        <v>45260</v>
      </c>
      <c r="E3491" s="25">
        <f>D3491-C3491+1</f>
        <v/>
      </c>
      <c r="F3491" s="319">
        <f>J3490</f>
        <v/>
      </c>
      <c r="G3491" s="319" t="n">
        <v>0</v>
      </c>
      <c r="H3491" s="319">
        <f>($D$3477/$D$3479*F3491)</f>
        <v/>
      </c>
      <c r="I3491" s="319">
        <f>G3491-H3491</f>
        <v/>
      </c>
      <c r="J3491" s="319">
        <f>F3491-I3491</f>
        <v/>
      </c>
      <c r="K3491" s="516" t="n"/>
      <c r="L3491" s="519" t="n"/>
    </row>
    <row r="3492">
      <c r="B3492" s="1" t="n">
        <v>7</v>
      </c>
      <c r="C3492" s="24" t="n">
        <v>45261</v>
      </c>
      <c r="D3492" s="24" t="n">
        <v>45291</v>
      </c>
      <c r="E3492" s="25">
        <f>D3492-C3492+1</f>
        <v/>
      </c>
      <c r="F3492" s="319">
        <f>J3491</f>
        <v/>
      </c>
      <c r="G3492" s="319">
        <f>-PMT($D$3477/$D$3479,42,$F$3492,,0)</f>
        <v/>
      </c>
      <c r="H3492" s="319">
        <f>($D$3477/$D$3479*F3492)</f>
        <v/>
      </c>
      <c r="I3492" s="319">
        <f>G3492-H3492</f>
        <v/>
      </c>
      <c r="J3492" s="319">
        <f>F3492-I3492</f>
        <v/>
      </c>
      <c r="K3492" s="516" t="n">
        <v>1493720</v>
      </c>
      <c r="L3492" s="516">
        <f>G3492-K3492</f>
        <v/>
      </c>
    </row>
    <row r="3493">
      <c r="B3493" s="1" t="n">
        <v>8</v>
      </c>
      <c r="C3493" s="24" t="n">
        <v>45292</v>
      </c>
      <c r="D3493" s="24" t="n">
        <v>45322</v>
      </c>
      <c r="E3493" s="25">
        <f>D3493-C3493+1</f>
        <v/>
      </c>
      <c r="F3493" s="319">
        <f>J3492</f>
        <v/>
      </c>
      <c r="G3493" s="319">
        <f>-PMT($D$3477/$D$3479,42,$F$3492,,0)</f>
        <v/>
      </c>
      <c r="H3493" s="319">
        <f>($D$3477/$D$3479*F3493)</f>
        <v/>
      </c>
      <c r="I3493" s="319">
        <f>G3493-H3493</f>
        <v/>
      </c>
      <c r="J3493" s="319">
        <f>F3493-I3493</f>
        <v/>
      </c>
      <c r="K3493" s="516" t="n">
        <v>1493720</v>
      </c>
      <c r="L3493" s="516">
        <f>L3492+G3493-K3493</f>
        <v/>
      </c>
    </row>
    <row r="3494">
      <c r="B3494" s="1" t="n">
        <v>9</v>
      </c>
      <c r="C3494" s="24" t="n">
        <v>45323</v>
      </c>
      <c r="D3494" s="24" t="n">
        <v>45351</v>
      </c>
      <c r="E3494" s="25">
        <f>D3494-C3494+1</f>
        <v/>
      </c>
      <c r="F3494" s="319">
        <f>J3493</f>
        <v/>
      </c>
      <c r="G3494" s="319">
        <f>-PMT($D$3477/$D$3479,42,$F$3492,,0)</f>
        <v/>
      </c>
      <c r="H3494" s="319">
        <f>($D$3477/$D$3479*F3494)</f>
        <v/>
      </c>
      <c r="I3494" s="319">
        <f>G3494-H3494</f>
        <v/>
      </c>
      <c r="J3494" s="319">
        <f>F3494-I3494</f>
        <v/>
      </c>
      <c r="K3494" s="516" t="n">
        <v>1493000</v>
      </c>
      <c r="L3494" s="516">
        <f>L3493+G3494-K3494</f>
        <v/>
      </c>
    </row>
    <row r="3495">
      <c r="B3495" s="1" t="n">
        <v>10</v>
      </c>
      <c r="C3495" s="24" t="n">
        <v>45352</v>
      </c>
      <c r="D3495" s="24" t="n">
        <v>45382</v>
      </c>
      <c r="E3495" s="25">
        <f>D3495-C3495+1</f>
        <v/>
      </c>
      <c r="F3495" s="319">
        <f>J3494</f>
        <v/>
      </c>
      <c r="G3495" s="319">
        <f>-PMT($D$3477/$D$3479,42,$F$3492,,0)</f>
        <v/>
      </c>
      <c r="H3495" s="319">
        <f>($D$3477/$D$3479*F3495)</f>
        <v/>
      </c>
      <c r="I3495" s="319">
        <f>G3495-H3495</f>
        <v/>
      </c>
      <c r="J3495" s="319">
        <f>F3495-I3495</f>
        <v/>
      </c>
      <c r="K3495" s="516" t="n">
        <v>1494000</v>
      </c>
      <c r="L3495" s="516">
        <f>L3494+G3495-K3495</f>
        <v/>
      </c>
    </row>
    <row r="3496">
      <c r="B3496" s="1" t="n">
        <v>11</v>
      </c>
      <c r="C3496" s="24" t="n">
        <v>45383</v>
      </c>
      <c r="D3496" s="24" t="n">
        <v>45412</v>
      </c>
      <c r="E3496" s="25">
        <f>D3496-C3496+1</f>
        <v/>
      </c>
      <c r="F3496" s="319">
        <f>J3495</f>
        <v/>
      </c>
      <c r="G3496" s="319">
        <f>-PMT($D$3477/$D$3479,42,$F$3492,,0)</f>
        <v/>
      </c>
      <c r="H3496" s="319">
        <f>($D$3477/$D$3479*F3496)</f>
        <v/>
      </c>
      <c r="I3496" s="319">
        <f>G3496-H3496</f>
        <v/>
      </c>
      <c r="J3496" s="319">
        <f>F3496-I3496</f>
        <v/>
      </c>
      <c r="K3496" s="516" t="n">
        <v>1493000</v>
      </c>
      <c r="L3496" s="516">
        <f>L3495+G3496-K3496</f>
        <v/>
      </c>
    </row>
    <row r="3497">
      <c r="B3497" s="1" t="n">
        <v>12</v>
      </c>
      <c r="C3497" s="24" t="n">
        <v>45413</v>
      </c>
      <c r="D3497" s="24" t="n">
        <v>45443</v>
      </c>
      <c r="E3497" s="25">
        <f>D3497-C3497+1</f>
        <v/>
      </c>
      <c r="F3497" s="319">
        <f>J3496</f>
        <v/>
      </c>
      <c r="G3497" s="319">
        <f>-PMT($D$3477/$D$3479,42,$F$3492,,0)</f>
        <v/>
      </c>
      <c r="H3497" s="319">
        <f>($D$3477/$D$3479*F3497)</f>
        <v/>
      </c>
      <c r="I3497" s="319">
        <f>G3497-H3497</f>
        <v/>
      </c>
      <c r="J3497" s="319">
        <f>F3497-I3497</f>
        <v/>
      </c>
      <c r="K3497" s="516" t="n">
        <v>1494000</v>
      </c>
      <c r="L3497" s="516">
        <f>L3496+G3497-K3497</f>
        <v/>
      </c>
    </row>
    <row r="3498">
      <c r="B3498" s="1" t="n">
        <v>13</v>
      </c>
      <c r="C3498" s="24" t="n">
        <v>45444</v>
      </c>
      <c r="D3498" s="24" t="n">
        <v>45473</v>
      </c>
      <c r="E3498" s="25">
        <f>D3498-C3498+1</f>
        <v/>
      </c>
      <c r="F3498" s="319">
        <f>J3497</f>
        <v/>
      </c>
      <c r="G3498" s="319">
        <f>-PMT($D$3477/$D$3479,42,$F$3492,,0)</f>
        <v/>
      </c>
      <c r="H3498" s="319">
        <f>($D$3477/$D$3479*F3498)</f>
        <v/>
      </c>
      <c r="I3498" s="319">
        <f>G3498-H3498</f>
        <v/>
      </c>
      <c r="J3498" s="319">
        <f>F3498-I3498</f>
        <v/>
      </c>
      <c r="K3498" s="516" t="n">
        <v>1494000</v>
      </c>
      <c r="L3498" s="516">
        <f>L3497+G3498-K3498</f>
        <v/>
      </c>
    </row>
    <row r="3499">
      <c r="B3499" s="1" t="n">
        <v>14</v>
      </c>
      <c r="C3499" s="24" t="n">
        <v>45474</v>
      </c>
      <c r="D3499" s="24" t="n">
        <v>45504</v>
      </c>
      <c r="E3499" s="25">
        <f>D3499-C3499+1</f>
        <v/>
      </c>
      <c r="F3499" s="319">
        <f>J3498</f>
        <v/>
      </c>
      <c r="G3499" s="319">
        <f>-PMT($D$3477/$D$3479,42,$F$3492,,0)</f>
        <v/>
      </c>
      <c r="H3499" s="319">
        <f>($D$3477/$D$3479*F3499)</f>
        <v/>
      </c>
      <c r="I3499" s="319">
        <f>G3499-H3499</f>
        <v/>
      </c>
      <c r="J3499" s="319">
        <f>F3499-I3499</f>
        <v/>
      </c>
      <c r="K3499" s="516" t="n">
        <v>1494000</v>
      </c>
      <c r="L3499" s="516">
        <f>L3498+G3499-K3499</f>
        <v/>
      </c>
    </row>
    <row r="3500">
      <c r="B3500" s="1" t="n">
        <v>15</v>
      </c>
      <c r="C3500" s="24" t="n">
        <v>45505</v>
      </c>
      <c r="D3500" s="24" t="n">
        <v>45535</v>
      </c>
      <c r="E3500" s="25">
        <f>D3500-C3500+1</f>
        <v/>
      </c>
      <c r="F3500" s="319">
        <f>J3499</f>
        <v/>
      </c>
      <c r="G3500" s="319">
        <f>-PMT($D$3477/$D$3479,42,$F$3492,,0)</f>
        <v/>
      </c>
      <c r="H3500" s="319">
        <f>($D$3477/$D$3479*F3500)</f>
        <v/>
      </c>
      <c r="I3500" s="319">
        <f>G3500-H3500</f>
        <v/>
      </c>
      <c r="J3500" s="319">
        <f>F3500-I3500</f>
        <v/>
      </c>
      <c r="K3500" s="516" t="n">
        <v>1495000</v>
      </c>
      <c r="L3500" s="516">
        <f>L3499+G3500-K3500</f>
        <v/>
      </c>
    </row>
    <row r="3501">
      <c r="B3501" s="1" t="n">
        <v>16</v>
      </c>
      <c r="C3501" s="24" t="n">
        <v>45536</v>
      </c>
      <c r="D3501" s="24" t="n">
        <v>45565</v>
      </c>
      <c r="E3501" s="25">
        <f>D3501-C3501+1</f>
        <v/>
      </c>
      <c r="F3501" s="319">
        <f>J3500</f>
        <v/>
      </c>
      <c r="G3501" s="319">
        <f>-PMT($D$3477/$D$3479,42,$F$3492,,0)</f>
        <v/>
      </c>
      <c r="H3501" s="319">
        <f>($D$3477/$D$3479*F3501)</f>
        <v/>
      </c>
      <c r="I3501" s="319">
        <f>G3501-H3501</f>
        <v/>
      </c>
      <c r="J3501" s="319">
        <f>F3501-I3501</f>
        <v/>
      </c>
      <c r="K3501" s="516" t="n">
        <v>1495000</v>
      </c>
      <c r="L3501" s="516">
        <f>L3500+G3501-K3501</f>
        <v/>
      </c>
    </row>
    <row r="3502">
      <c r="B3502" s="1" t="n">
        <v>17</v>
      </c>
      <c r="C3502" s="24" t="n">
        <v>45566</v>
      </c>
      <c r="D3502" s="24" t="n">
        <v>45596</v>
      </c>
      <c r="E3502" s="25">
        <f>D3502-C3502+1</f>
        <v/>
      </c>
      <c r="F3502" s="319">
        <f>J3501</f>
        <v/>
      </c>
      <c r="G3502" s="319">
        <f>-PMT($D$3477/$D$3479,42,$F$3492,,0)</f>
        <v/>
      </c>
      <c r="H3502" s="319">
        <f>($D$3477/$D$3479*F3502)</f>
        <v/>
      </c>
      <c r="I3502" s="319">
        <f>G3502-H3502</f>
        <v/>
      </c>
      <c r="J3502" s="319">
        <f>F3502-I3502</f>
        <v/>
      </c>
      <c r="K3502" s="516" t="n">
        <v>1495000</v>
      </c>
      <c r="L3502" s="520">
        <f>L3501+G3502-K3502</f>
        <v/>
      </c>
    </row>
    <row r="3503">
      <c r="B3503" s="1" t="n">
        <v>18</v>
      </c>
      <c r="C3503" s="24" t="n">
        <v>45597</v>
      </c>
      <c r="D3503" s="24" t="n">
        <v>45626</v>
      </c>
      <c r="E3503" s="25">
        <f>D3503-C3503+1</f>
        <v/>
      </c>
      <c r="F3503" s="319">
        <f>J3502</f>
        <v/>
      </c>
      <c r="G3503" s="319">
        <f>-PMT($D$3477/$D$3479,42,$F$3492,,0)</f>
        <v/>
      </c>
      <c r="H3503" s="319">
        <f>($D$3477/$D$3479*F3503)</f>
        <v/>
      </c>
      <c r="I3503" s="319">
        <f>G3503-H3503</f>
        <v/>
      </c>
      <c r="J3503" s="319">
        <f>F3503-I3503</f>
        <v/>
      </c>
      <c r="K3503" s="516" t="n"/>
      <c r="L3503" s="516" t="n"/>
    </row>
    <row r="3504">
      <c r="B3504" s="1" t="n">
        <v>19</v>
      </c>
      <c r="C3504" s="24" t="n">
        <v>45627</v>
      </c>
      <c r="D3504" s="24" t="n">
        <v>45657</v>
      </c>
      <c r="E3504" s="25">
        <f>D3504-C3504+1</f>
        <v/>
      </c>
      <c r="F3504" s="319">
        <f>J3503</f>
        <v/>
      </c>
      <c r="G3504" s="319">
        <f>-PMT($D$3477/$D$3479,42,$F$3492,,0)</f>
        <v/>
      </c>
      <c r="H3504" s="319">
        <f>($D$3477/$D$3479*F3504)</f>
        <v/>
      </c>
      <c r="I3504" s="319">
        <f>G3504-H3504</f>
        <v/>
      </c>
      <c r="J3504" s="319">
        <f>F3504-I3504</f>
        <v/>
      </c>
      <c r="K3504" s="516" t="n"/>
      <c r="L3504" s="516" t="n"/>
    </row>
    <row r="3505">
      <c r="B3505" s="1" t="n">
        <v>20</v>
      </c>
      <c r="C3505" s="24" t="n">
        <v>45658</v>
      </c>
      <c r="D3505" s="24" t="n">
        <v>45688</v>
      </c>
      <c r="E3505" s="25">
        <f>D3505-C3505+1</f>
        <v/>
      </c>
      <c r="F3505" s="319">
        <f>J3504</f>
        <v/>
      </c>
      <c r="G3505" s="319">
        <f>-PMT($D$3477/$D$3479,42,$F$3492,,0)</f>
        <v/>
      </c>
      <c r="H3505" s="319">
        <f>($D$3477/$D$3479*F3505)</f>
        <v/>
      </c>
      <c r="I3505" s="319">
        <f>G3505-H3505</f>
        <v/>
      </c>
      <c r="J3505" s="319">
        <f>F3505-I3505</f>
        <v/>
      </c>
      <c r="K3505" s="516" t="n"/>
      <c r="L3505" s="516" t="n"/>
    </row>
    <row r="3506">
      <c r="B3506" s="1" t="n">
        <v>21</v>
      </c>
      <c r="C3506" s="24" t="n">
        <v>45689</v>
      </c>
      <c r="D3506" s="24" t="n">
        <v>45716</v>
      </c>
      <c r="E3506" s="25">
        <f>D3506-C3506+1</f>
        <v/>
      </c>
      <c r="F3506" s="319">
        <f>J3505</f>
        <v/>
      </c>
      <c r="G3506" s="319">
        <f>-PMT($D$3477/$D$3479,42,$F$3492,,0)</f>
        <v/>
      </c>
      <c r="H3506" s="319">
        <f>($D$3477/$D$3479*F3506)</f>
        <v/>
      </c>
      <c r="I3506" s="319">
        <f>G3506-H3506</f>
        <v/>
      </c>
      <c r="J3506" s="319">
        <f>F3506-I3506</f>
        <v/>
      </c>
      <c r="K3506" s="516" t="n"/>
      <c r="L3506" s="516" t="n"/>
    </row>
    <row r="3507">
      <c r="B3507" s="1" t="n">
        <v>22</v>
      </c>
      <c r="C3507" s="24" t="n">
        <v>45717</v>
      </c>
      <c r="D3507" s="24" t="n">
        <v>45747</v>
      </c>
      <c r="E3507" s="25">
        <f>D3507-C3507+1</f>
        <v/>
      </c>
      <c r="F3507" s="319">
        <f>J3506</f>
        <v/>
      </c>
      <c r="G3507" s="319">
        <f>-PMT($D$3477/$D$3479,42,$F$3492,,0)</f>
        <v/>
      </c>
      <c r="H3507" s="319">
        <f>($D$3477/$D$3479*F3507)</f>
        <v/>
      </c>
      <c r="I3507" s="319">
        <f>G3507-H3507</f>
        <v/>
      </c>
      <c r="J3507" s="319">
        <f>F3507-I3507</f>
        <v/>
      </c>
      <c r="K3507" s="516" t="n"/>
      <c r="L3507" s="516" t="n"/>
    </row>
    <row r="3508">
      <c r="B3508" s="1" t="n">
        <v>23</v>
      </c>
      <c r="C3508" s="24" t="n">
        <v>45748</v>
      </c>
      <c r="D3508" s="24" t="n">
        <v>45777</v>
      </c>
      <c r="E3508" s="25">
        <f>D3508-C3508+1</f>
        <v/>
      </c>
      <c r="F3508" s="319">
        <f>J3507</f>
        <v/>
      </c>
      <c r="G3508" s="319">
        <f>-PMT($D$3477/$D$3479,42,$F$3492,,0)</f>
        <v/>
      </c>
      <c r="H3508" s="319">
        <f>($D$3477/$D$3479*F3508)</f>
        <v/>
      </c>
      <c r="I3508" s="319">
        <f>G3508-H3508</f>
        <v/>
      </c>
      <c r="J3508" s="319">
        <f>F3508-I3508</f>
        <v/>
      </c>
      <c r="K3508" s="516" t="n"/>
      <c r="L3508" s="516" t="n"/>
    </row>
    <row r="3509">
      <c r="B3509" s="1" t="n">
        <v>24</v>
      </c>
      <c r="C3509" s="24" t="n">
        <v>45778</v>
      </c>
      <c r="D3509" s="24" t="n">
        <v>45808</v>
      </c>
      <c r="E3509" s="25">
        <f>D3509-C3509+1</f>
        <v/>
      </c>
      <c r="F3509" s="319">
        <f>J3508</f>
        <v/>
      </c>
      <c r="G3509" s="319">
        <f>-PMT($D$3477/$D$3479,42,$F$3492,,0)</f>
        <v/>
      </c>
      <c r="H3509" s="319">
        <f>($D$3477/$D$3479*F3509)</f>
        <v/>
      </c>
      <c r="I3509" s="319">
        <f>G3509-H3509</f>
        <v/>
      </c>
      <c r="J3509" s="319">
        <f>F3509-I3509</f>
        <v/>
      </c>
      <c r="K3509" s="516" t="n"/>
      <c r="L3509" s="516" t="n"/>
    </row>
    <row r="3510">
      <c r="B3510" s="1" t="n">
        <v>25</v>
      </c>
      <c r="C3510" s="24" t="n">
        <v>45809</v>
      </c>
      <c r="D3510" s="24" t="n">
        <v>45838</v>
      </c>
      <c r="E3510" s="25">
        <f>D3510-C3510+1</f>
        <v/>
      </c>
      <c r="F3510" s="319">
        <f>J3509</f>
        <v/>
      </c>
      <c r="G3510" s="319">
        <f>-PMT($D$3477/$D$3479,42,$F$3492,,0)</f>
        <v/>
      </c>
      <c r="H3510" s="319">
        <f>($D$3477/$D$3479*F3510)</f>
        <v/>
      </c>
      <c r="I3510" s="319">
        <f>G3510-H3510</f>
        <v/>
      </c>
      <c r="J3510" s="319">
        <f>F3510-I3510</f>
        <v/>
      </c>
      <c r="K3510" s="516" t="n"/>
      <c r="L3510" s="516" t="n"/>
    </row>
    <row r="3511">
      <c r="B3511" s="1" t="n">
        <v>26</v>
      </c>
      <c r="C3511" s="24" t="n">
        <v>45839</v>
      </c>
      <c r="D3511" s="24" t="n">
        <v>45869</v>
      </c>
      <c r="E3511" s="25">
        <f>D3511-C3511+1</f>
        <v/>
      </c>
      <c r="F3511" s="319">
        <f>J3510</f>
        <v/>
      </c>
      <c r="G3511" s="319">
        <f>-PMT($D$3477/$D$3479,42,$F$3492,,0)</f>
        <v/>
      </c>
      <c r="H3511" s="319">
        <f>($D$3477/$D$3479*F3511)</f>
        <v/>
      </c>
      <c r="I3511" s="319">
        <f>G3511-H3511</f>
        <v/>
      </c>
      <c r="J3511" s="319">
        <f>F3511-I3511</f>
        <v/>
      </c>
      <c r="K3511" s="516" t="n"/>
      <c r="L3511" s="516" t="n"/>
    </row>
    <row r="3512">
      <c r="B3512" s="1" t="n">
        <v>27</v>
      </c>
      <c r="C3512" s="24" t="n">
        <v>45870</v>
      </c>
      <c r="D3512" s="24" t="n">
        <v>45900</v>
      </c>
      <c r="E3512" s="25">
        <f>D3512-C3512+1</f>
        <v/>
      </c>
      <c r="F3512" s="319">
        <f>J3511</f>
        <v/>
      </c>
      <c r="G3512" s="319">
        <f>-PMT($D$3477/$D$3479,42,$F$3492,,0)</f>
        <v/>
      </c>
      <c r="H3512" s="319">
        <f>($D$3477/$D$3479*F3512)</f>
        <v/>
      </c>
      <c r="I3512" s="319">
        <f>G3512-H3512</f>
        <v/>
      </c>
      <c r="J3512" s="319">
        <f>F3512-I3512</f>
        <v/>
      </c>
      <c r="K3512" s="516" t="n"/>
      <c r="L3512" s="516" t="n"/>
    </row>
    <row r="3513">
      <c r="B3513" s="1" t="n">
        <v>28</v>
      </c>
      <c r="C3513" s="24" t="n">
        <v>45901</v>
      </c>
      <c r="D3513" s="24" t="n">
        <v>45930</v>
      </c>
      <c r="E3513" s="25">
        <f>D3513-C3513+1</f>
        <v/>
      </c>
      <c r="F3513" s="319">
        <f>J3512</f>
        <v/>
      </c>
      <c r="G3513" s="319">
        <f>-PMT($D$3477/$D$3479,42,$F$3492,,0)</f>
        <v/>
      </c>
      <c r="H3513" s="319">
        <f>($D$3477/$D$3479*F3513)</f>
        <v/>
      </c>
      <c r="I3513" s="319">
        <f>G3513-H3513</f>
        <v/>
      </c>
      <c r="J3513" s="319">
        <f>F3513-I3513</f>
        <v/>
      </c>
      <c r="K3513" s="516" t="n"/>
      <c r="L3513" s="516" t="n"/>
    </row>
    <row r="3514">
      <c r="B3514" s="1" t="n">
        <v>29</v>
      </c>
      <c r="C3514" s="24" t="n">
        <v>45931</v>
      </c>
      <c r="D3514" s="24" t="n">
        <v>45961</v>
      </c>
      <c r="E3514" s="25">
        <f>D3514-C3514+1</f>
        <v/>
      </c>
      <c r="F3514" s="319">
        <f>J3513</f>
        <v/>
      </c>
      <c r="G3514" s="319">
        <f>-PMT($D$3477/$D$3479,42,$F$3492,,0)</f>
        <v/>
      </c>
      <c r="H3514" s="319">
        <f>($D$3477/$D$3479*F3514)</f>
        <v/>
      </c>
      <c r="I3514" s="319">
        <f>G3514-H3514</f>
        <v/>
      </c>
      <c r="J3514" s="319">
        <f>F3514-I3514</f>
        <v/>
      </c>
      <c r="K3514" s="516" t="n"/>
      <c r="L3514" s="516" t="n"/>
    </row>
    <row r="3515">
      <c r="B3515" s="1" t="n">
        <v>30</v>
      </c>
      <c r="C3515" s="24" t="n">
        <v>45962</v>
      </c>
      <c r="D3515" s="24" t="n">
        <v>45991</v>
      </c>
      <c r="E3515" s="25">
        <f>D3515-C3515+1</f>
        <v/>
      </c>
      <c r="F3515" s="319">
        <f>J3514</f>
        <v/>
      </c>
      <c r="G3515" s="319">
        <f>-PMT($D$3477/$D$3479,42,$F$3492,,0)</f>
        <v/>
      </c>
      <c r="H3515" s="319">
        <f>($D$3477/$D$3479*F3515)</f>
        <v/>
      </c>
      <c r="I3515" s="319">
        <f>G3515-H3515</f>
        <v/>
      </c>
      <c r="J3515" s="319">
        <f>F3515-I3515</f>
        <v/>
      </c>
      <c r="K3515" s="516" t="n"/>
      <c r="L3515" s="516" t="n"/>
    </row>
    <row r="3516">
      <c r="B3516" s="1" t="n">
        <v>31</v>
      </c>
      <c r="C3516" s="24" t="n">
        <v>45992</v>
      </c>
      <c r="D3516" s="24" t="n">
        <v>46022</v>
      </c>
      <c r="E3516" s="25">
        <f>D3516-C3516+1</f>
        <v/>
      </c>
      <c r="F3516" s="319">
        <f>J3515</f>
        <v/>
      </c>
      <c r="G3516" s="319">
        <f>-PMT($D$3477/$D$3479,42,$F$3492,,0)</f>
        <v/>
      </c>
      <c r="H3516" s="319">
        <f>($D$3477/$D$3479*F3516)</f>
        <v/>
      </c>
      <c r="I3516" s="319">
        <f>G3516-H3516</f>
        <v/>
      </c>
      <c r="J3516" s="319">
        <f>F3516-I3516</f>
        <v/>
      </c>
      <c r="K3516" s="516" t="n"/>
      <c r="L3516" s="516" t="n"/>
    </row>
    <row r="3517">
      <c r="B3517" s="1" t="n">
        <v>32</v>
      </c>
      <c r="C3517" s="24" t="n">
        <v>46023</v>
      </c>
      <c r="D3517" s="24" t="n">
        <v>46053</v>
      </c>
      <c r="E3517" s="25">
        <f>D3517-C3517+1</f>
        <v/>
      </c>
      <c r="F3517" s="319">
        <f>J3516</f>
        <v/>
      </c>
      <c r="G3517" s="319">
        <f>-PMT($D$3477/$D$3479,42,$F$3492,,0)</f>
        <v/>
      </c>
      <c r="H3517" s="319">
        <f>($D$3477/$D$3479*F3517)</f>
        <v/>
      </c>
      <c r="I3517" s="319">
        <f>G3517-H3517</f>
        <v/>
      </c>
      <c r="J3517" s="319">
        <f>F3517-I3517</f>
        <v/>
      </c>
      <c r="K3517" s="516" t="n"/>
      <c r="L3517" s="516" t="n"/>
    </row>
    <row r="3518">
      <c r="B3518" s="1" t="n">
        <v>33</v>
      </c>
      <c r="C3518" s="24" t="n">
        <v>46054</v>
      </c>
      <c r="D3518" s="24" t="n">
        <v>46081</v>
      </c>
      <c r="E3518" s="25">
        <f>D3518-C3518+1</f>
        <v/>
      </c>
      <c r="F3518" s="319">
        <f>J3517</f>
        <v/>
      </c>
      <c r="G3518" s="319">
        <f>-PMT($D$3477/$D$3479,42,$F$3492,,0)</f>
        <v/>
      </c>
      <c r="H3518" s="319">
        <f>($D$3477/$D$3479*F3518)</f>
        <v/>
      </c>
      <c r="I3518" s="319">
        <f>G3518-H3518</f>
        <v/>
      </c>
      <c r="J3518" s="319">
        <f>F3518-I3518</f>
        <v/>
      </c>
      <c r="K3518" s="516" t="n"/>
      <c r="L3518" s="516" t="n"/>
    </row>
    <row r="3519">
      <c r="B3519" s="1" t="n">
        <v>34</v>
      </c>
      <c r="C3519" s="24" t="n">
        <v>46082</v>
      </c>
      <c r="D3519" s="24" t="n">
        <v>46112</v>
      </c>
      <c r="E3519" s="25">
        <f>D3519-C3519+1</f>
        <v/>
      </c>
      <c r="F3519" s="319">
        <f>J3518</f>
        <v/>
      </c>
      <c r="G3519" s="319">
        <f>-PMT($D$3477/$D$3479,42,$F$3492,,0)</f>
        <v/>
      </c>
      <c r="H3519" s="319">
        <f>($D$3477/$D$3479*F3519)</f>
        <v/>
      </c>
      <c r="I3519" s="319">
        <f>G3519-H3519</f>
        <v/>
      </c>
      <c r="J3519" s="319">
        <f>F3519-I3519</f>
        <v/>
      </c>
      <c r="K3519" s="516" t="n"/>
      <c r="L3519" s="516" t="n"/>
    </row>
    <row r="3520">
      <c r="B3520" s="1" t="n">
        <v>35</v>
      </c>
      <c r="C3520" s="24" t="n">
        <v>46113</v>
      </c>
      <c r="D3520" s="24" t="n">
        <v>46142</v>
      </c>
      <c r="E3520" s="25">
        <f>D3520-C3520+1</f>
        <v/>
      </c>
      <c r="F3520" s="319">
        <f>J3519</f>
        <v/>
      </c>
      <c r="G3520" s="319">
        <f>-PMT($D$3477/$D$3479,42,$F$3492,,0)</f>
        <v/>
      </c>
      <c r="H3520" s="319">
        <f>($D$3477/$D$3479*F3520)</f>
        <v/>
      </c>
      <c r="I3520" s="319">
        <f>G3520-H3520</f>
        <v/>
      </c>
      <c r="J3520" s="319">
        <f>F3520-I3520</f>
        <v/>
      </c>
      <c r="K3520" s="516" t="n"/>
      <c r="L3520" s="516" t="n"/>
    </row>
    <row r="3521">
      <c r="B3521" s="1" t="n">
        <v>36</v>
      </c>
      <c r="C3521" s="24" t="n">
        <v>46143</v>
      </c>
      <c r="D3521" s="24" t="n">
        <v>46173</v>
      </c>
      <c r="E3521" s="25">
        <f>D3521-C3521+1</f>
        <v/>
      </c>
      <c r="F3521" s="319">
        <f>J3520</f>
        <v/>
      </c>
      <c r="G3521" s="319">
        <f>-PMT($D$3477/$D$3479,42,$F$3492,,0)</f>
        <v/>
      </c>
      <c r="H3521" s="319">
        <f>($D$3477/$D$3479*F3521)</f>
        <v/>
      </c>
      <c r="I3521" s="319">
        <f>G3521-H3521</f>
        <v/>
      </c>
      <c r="J3521" s="319">
        <f>F3521-I3521</f>
        <v/>
      </c>
      <c r="K3521" s="516" t="n"/>
      <c r="L3521" s="516" t="n"/>
    </row>
    <row r="3522">
      <c r="B3522" s="1" t="n">
        <v>37</v>
      </c>
      <c r="C3522" s="24" t="n">
        <v>46174</v>
      </c>
      <c r="D3522" s="24" t="n">
        <v>46203</v>
      </c>
      <c r="E3522" s="25">
        <f>D3522-C3522+1</f>
        <v/>
      </c>
      <c r="F3522" s="319">
        <f>J3521</f>
        <v/>
      </c>
      <c r="G3522" s="319">
        <f>-PMT($D$3477/$D$3479,42,$F$3492,,0)</f>
        <v/>
      </c>
      <c r="H3522" s="319">
        <f>($D$3477/$D$3479*F3522)</f>
        <v/>
      </c>
      <c r="I3522" s="319">
        <f>G3522-H3522</f>
        <v/>
      </c>
      <c r="J3522" s="319">
        <f>F3522-I3522</f>
        <v/>
      </c>
      <c r="K3522" s="516" t="n"/>
      <c r="L3522" s="516" t="n"/>
    </row>
    <row r="3523">
      <c r="B3523" s="1" t="n">
        <v>38</v>
      </c>
      <c r="C3523" s="24" t="n">
        <v>46204</v>
      </c>
      <c r="D3523" s="24" t="n">
        <v>46234</v>
      </c>
      <c r="E3523" s="25">
        <f>D3523-C3523+1</f>
        <v/>
      </c>
      <c r="F3523" s="319">
        <f>J3522</f>
        <v/>
      </c>
      <c r="G3523" s="319">
        <f>-PMT($D$3477/$D$3479,42,$F$3492,,0)</f>
        <v/>
      </c>
      <c r="H3523" s="319">
        <f>($D$3477/$D$3479*F3523)</f>
        <v/>
      </c>
      <c r="I3523" s="319">
        <f>G3523-H3523</f>
        <v/>
      </c>
      <c r="J3523" s="319">
        <f>F3523-I3523</f>
        <v/>
      </c>
      <c r="K3523" s="516" t="n"/>
      <c r="L3523" s="516" t="n"/>
    </row>
    <row r="3524">
      <c r="B3524" s="1" t="n">
        <v>39</v>
      </c>
      <c r="C3524" s="24" t="n">
        <v>46235</v>
      </c>
      <c r="D3524" s="24" t="n">
        <v>46265</v>
      </c>
      <c r="E3524" s="25">
        <f>D3524-C3524+1</f>
        <v/>
      </c>
      <c r="F3524" s="319">
        <f>J3523</f>
        <v/>
      </c>
      <c r="G3524" s="319">
        <f>-PMT($D$3477/$D$3479,42,$F$3492,,0)</f>
        <v/>
      </c>
      <c r="H3524" s="319">
        <f>($D$3477/$D$3479*F3524)</f>
        <v/>
      </c>
      <c r="I3524" s="319">
        <f>G3524-H3524</f>
        <v/>
      </c>
      <c r="J3524" s="319">
        <f>F3524-I3524</f>
        <v/>
      </c>
      <c r="K3524" s="516" t="n"/>
      <c r="L3524" s="516" t="n"/>
    </row>
    <row r="3525">
      <c r="B3525" s="1" t="n">
        <v>40</v>
      </c>
      <c r="C3525" s="24" t="n">
        <v>46266</v>
      </c>
      <c r="D3525" s="24" t="n">
        <v>46295</v>
      </c>
      <c r="E3525" s="25">
        <f>D3525-C3525+1</f>
        <v/>
      </c>
      <c r="F3525" s="319">
        <f>J3524</f>
        <v/>
      </c>
      <c r="G3525" s="319">
        <f>-PMT($D$3477/$D$3479,42,$F$3492,,0)</f>
        <v/>
      </c>
      <c r="H3525" s="319">
        <f>($D$3477/$D$3479*F3525)</f>
        <v/>
      </c>
      <c r="I3525" s="319">
        <f>G3525-H3525</f>
        <v/>
      </c>
      <c r="J3525" s="319">
        <f>F3525-I3525</f>
        <v/>
      </c>
      <c r="K3525" s="516" t="n"/>
      <c r="L3525" s="516" t="n"/>
    </row>
    <row r="3526">
      <c r="B3526" s="1" t="n">
        <v>41</v>
      </c>
      <c r="C3526" s="24" t="n">
        <v>46296</v>
      </c>
      <c r="D3526" s="24" t="n">
        <v>46326</v>
      </c>
      <c r="E3526" s="25">
        <f>D3526-C3526+1</f>
        <v/>
      </c>
      <c r="F3526" s="319">
        <f>J3525</f>
        <v/>
      </c>
      <c r="G3526" s="319">
        <f>-PMT($D$3477/$D$3479,42,$F$3492,,0)</f>
        <v/>
      </c>
      <c r="H3526" s="319">
        <f>($D$3477/$D$3479*F3526)</f>
        <v/>
      </c>
      <c r="I3526" s="319">
        <f>G3526-H3526</f>
        <v/>
      </c>
      <c r="J3526" s="319">
        <f>F3526-I3526</f>
        <v/>
      </c>
      <c r="K3526" s="516" t="n"/>
      <c r="L3526" s="516" t="n"/>
    </row>
    <row r="3527">
      <c r="B3527" s="1" t="n">
        <v>42</v>
      </c>
      <c r="C3527" s="24" t="n">
        <v>46327</v>
      </c>
      <c r="D3527" s="24" t="n">
        <v>46356</v>
      </c>
      <c r="E3527" s="25">
        <f>D3527-C3527+1</f>
        <v/>
      </c>
      <c r="F3527" s="319">
        <f>J3526</f>
        <v/>
      </c>
      <c r="G3527" s="319">
        <f>-PMT($D$3477/$D$3479,42,$F$3492,,0)</f>
        <v/>
      </c>
      <c r="H3527" s="319">
        <f>($D$3477/$D$3479*F3527)</f>
        <v/>
      </c>
      <c r="I3527" s="319">
        <f>G3527-H3527</f>
        <v/>
      </c>
      <c r="J3527" s="319">
        <f>F3527-I3527</f>
        <v/>
      </c>
      <c r="K3527" s="516" t="n"/>
      <c r="L3527" s="516" t="n"/>
    </row>
    <row r="3528">
      <c r="B3528" s="1" t="n">
        <v>43</v>
      </c>
      <c r="C3528" s="24" t="n">
        <v>46357</v>
      </c>
      <c r="D3528" s="24" t="n">
        <v>46387</v>
      </c>
      <c r="E3528" s="25">
        <f>D3528-C3528+1</f>
        <v/>
      </c>
      <c r="F3528" s="319">
        <f>J3527</f>
        <v/>
      </c>
      <c r="G3528" s="319">
        <f>-PMT($D$3477/$D$3479,42,$F$3492,,0)</f>
        <v/>
      </c>
      <c r="H3528" s="319">
        <f>($D$3477/$D$3479*F3528)</f>
        <v/>
      </c>
      <c r="I3528" s="319">
        <f>G3528-H3528</f>
        <v/>
      </c>
      <c r="J3528" s="319">
        <f>F3528-I3528</f>
        <v/>
      </c>
      <c r="K3528" s="516" t="n"/>
      <c r="L3528" s="516" t="n"/>
    </row>
    <row r="3529">
      <c r="B3529" s="1" t="n">
        <v>44</v>
      </c>
      <c r="C3529" s="24" t="n">
        <v>46388</v>
      </c>
      <c r="D3529" s="24" t="n">
        <v>46418</v>
      </c>
      <c r="E3529" s="25">
        <f>D3529-C3529+1</f>
        <v/>
      </c>
      <c r="F3529" s="319">
        <f>J3528</f>
        <v/>
      </c>
      <c r="G3529" s="319">
        <f>-PMT($D$3477/$D$3479,42,$F$3492,,0)</f>
        <v/>
      </c>
      <c r="H3529" s="319">
        <f>($D$3477/$D$3479*F3529)</f>
        <v/>
      </c>
      <c r="I3529" s="319">
        <f>G3529-H3529</f>
        <v/>
      </c>
      <c r="J3529" s="319">
        <f>F3529-I3529</f>
        <v/>
      </c>
      <c r="K3529" s="516" t="n"/>
      <c r="L3529" s="516" t="n"/>
    </row>
    <row r="3530">
      <c r="B3530" s="1" t="n">
        <v>45</v>
      </c>
      <c r="C3530" s="24" t="n">
        <v>46419</v>
      </c>
      <c r="D3530" s="24" t="n">
        <v>46446</v>
      </c>
      <c r="E3530" s="25">
        <f>D3530-C3530+1</f>
        <v/>
      </c>
      <c r="F3530" s="319">
        <f>J3529</f>
        <v/>
      </c>
      <c r="G3530" s="319">
        <f>-PMT($D$3477/$D$3479,42,$F$3492,,0)</f>
        <v/>
      </c>
      <c r="H3530" s="319">
        <f>($D$3477/$D$3479*F3530)</f>
        <v/>
      </c>
      <c r="I3530" s="319">
        <f>G3530-H3530</f>
        <v/>
      </c>
      <c r="J3530" s="319">
        <f>F3530-I3530</f>
        <v/>
      </c>
      <c r="K3530" s="516" t="n"/>
      <c r="L3530" s="516" t="n"/>
    </row>
    <row r="3531">
      <c r="B3531" s="1" t="n">
        <v>46</v>
      </c>
      <c r="C3531" s="24" t="n">
        <v>46447</v>
      </c>
      <c r="D3531" s="24" t="n">
        <v>46477</v>
      </c>
      <c r="E3531" s="25">
        <f>D3531-C3531+1</f>
        <v/>
      </c>
      <c r="F3531" s="319">
        <f>J3530</f>
        <v/>
      </c>
      <c r="G3531" s="319">
        <f>-PMT($D$3477/$D$3479,42,$F$3492,,0)</f>
        <v/>
      </c>
      <c r="H3531" s="319">
        <f>($D$3477/$D$3479*F3531)</f>
        <v/>
      </c>
      <c r="I3531" s="319">
        <f>G3531-H3531</f>
        <v/>
      </c>
      <c r="J3531" s="319">
        <f>F3531-I3531</f>
        <v/>
      </c>
      <c r="K3531" s="516" t="n"/>
      <c r="L3531" s="516" t="n"/>
    </row>
    <row r="3532">
      <c r="B3532" s="1" t="n">
        <v>47</v>
      </c>
      <c r="C3532" s="24" t="n">
        <v>46478</v>
      </c>
      <c r="D3532" s="24" t="n">
        <v>46507</v>
      </c>
      <c r="E3532" s="25">
        <f>D3532-C3532+1</f>
        <v/>
      </c>
      <c r="F3532" s="319">
        <f>J3531</f>
        <v/>
      </c>
      <c r="G3532" s="319">
        <f>-PMT($D$3477/$D$3479,42,$F$3492,,0)</f>
        <v/>
      </c>
      <c r="H3532" s="319">
        <f>($D$3477/$D$3479*F3532)</f>
        <v/>
      </c>
      <c r="I3532" s="319">
        <f>G3532-H3532</f>
        <v/>
      </c>
      <c r="J3532" s="319">
        <f>F3532-I3532</f>
        <v/>
      </c>
      <c r="K3532" s="516" t="n"/>
      <c r="L3532" s="516" t="n"/>
    </row>
    <row r="3533">
      <c r="B3533" s="1" t="n">
        <v>48</v>
      </c>
      <c r="C3533" s="24" t="n">
        <v>46508</v>
      </c>
      <c r="D3533" s="24" t="n">
        <v>46538</v>
      </c>
      <c r="E3533" s="25">
        <f>D3533-C3533+1</f>
        <v/>
      </c>
      <c r="F3533" s="319">
        <f>J3532</f>
        <v/>
      </c>
      <c r="G3533" s="319">
        <f>-PMT($D$3477/$D$3479,42,$F$3492,,0)</f>
        <v/>
      </c>
      <c r="H3533" s="319">
        <f>($D$3477/$D$3479*F3533)</f>
        <v/>
      </c>
      <c r="I3533" s="319">
        <f>G3533-H3533</f>
        <v/>
      </c>
      <c r="J3533" s="319">
        <f>F3533-I3533</f>
        <v/>
      </c>
      <c r="K3533" s="516" t="n"/>
      <c r="L3533" s="516" t="n"/>
    </row>
    <row r="3534">
      <c r="B3534" s="1" t="n"/>
      <c r="C3534" s="24" t="n"/>
      <c r="D3534" s="24" t="n"/>
      <c r="E3534" s="25" t="n"/>
      <c r="F3534" s="319" t="n"/>
      <c r="G3534" s="319" t="n"/>
      <c r="H3534" s="319" t="n"/>
      <c r="I3534" s="319" t="n"/>
      <c r="J3534" s="319" t="n"/>
      <c r="K3534" s="516" t="n"/>
      <c r="L3534" s="516" t="n"/>
    </row>
    <row r="3535">
      <c r="B3535" s="1" t="n"/>
      <c r="C3535" s="24" t="n"/>
      <c r="D3535" s="24" t="n"/>
      <c r="E3535" s="30">
        <f>SUM(E3485:E3509)</f>
        <v/>
      </c>
      <c r="F3535" s="319" t="n"/>
      <c r="G3535" s="319" t="n"/>
      <c r="H3535" s="319" t="n"/>
      <c r="I3535" s="319" t="n"/>
      <c r="J3535" s="319" t="n"/>
      <c r="K3535" s="516" t="n"/>
      <c r="L3535" s="516" t="n"/>
    </row>
    <row r="3540">
      <c r="B3540" s="1" t="n"/>
      <c r="C3540" s="9" t="inlineStr">
        <is>
          <t>Mphanga Holdings Ltd</t>
        </is>
      </c>
      <c r="D3540" s="319" t="n"/>
      <c r="E3540" s="319" t="n"/>
      <c r="F3540" s="319" t="n"/>
      <c r="G3540" s="319" t="n"/>
      <c r="H3540" s="319" t="n"/>
      <c r="I3540" s="319" t="n"/>
      <c r="J3540" s="319" t="n"/>
      <c r="K3540" s="319" t="n"/>
      <c r="L3540" s="319" t="n"/>
      <c r="R3540" s="514" t="inlineStr">
        <is>
          <t>E-Banker account (Dupleix)</t>
        </is>
      </c>
      <c r="S3540" s="495">
        <f>IFERROR(INDEX('Blocks'!$I$2:$I$101,MATCH(64,'Blocks'!$A$2:$A$101,0)),"")</f>
        <v/>
      </c>
    </row>
    <row r="3541">
      <c r="B3541" s="1" t="n"/>
      <c r="C3541" s="1" t="n"/>
      <c r="D3541" s="319" t="n"/>
      <c r="E3541" s="319" t="n"/>
      <c r="F3541" s="319" t="inlineStr">
        <is>
          <t>First draw down</t>
        </is>
      </c>
      <c r="G3541" s="319" t="inlineStr">
        <is>
          <t>Second draw down</t>
        </is>
      </c>
      <c r="H3541" s="319" t="n"/>
      <c r="I3541" s="319" t="n"/>
      <c r="J3541" s="319" t="n"/>
      <c r="K3541" s="319" t="n"/>
      <c r="L3541" s="319" t="n"/>
      <c r="R3541" s="514" t="inlineStr">
        <is>
          <t>Facility (Loan Book)</t>
        </is>
      </c>
      <c r="S3541" s="495">
        <f>IFERROR(INDEX('Blocks'!$H$2:$H$101,MATCH(64,'Blocks'!$A$2:$A$101,0)),"")</f>
        <v/>
      </c>
    </row>
    <row r="3542">
      <c r="B3542" s="1" t="n"/>
      <c r="C3542" s="10" t="inlineStr">
        <is>
          <t>Principal (MK)</t>
        </is>
      </c>
      <c r="D3542" s="11" t="n">
        <v>150000000</v>
      </c>
      <c r="E3542" s="319" t="n"/>
      <c r="F3542" s="319" t="n">
        <v>54923700</v>
      </c>
      <c r="G3542" s="319" t="n">
        <v>30000000</v>
      </c>
      <c r="H3542" s="319" t="n"/>
      <c r="I3542" s="319" t="n"/>
      <c r="J3542" s="319" t="n"/>
      <c r="K3542" s="319" t="n"/>
      <c r="L3542" s="319" t="n"/>
      <c r="R3542" s="514" t="inlineStr">
        <is>
          <t>Take-on posting 31 Jul 2024</t>
        </is>
      </c>
      <c r="S3542" s="496">
        <f>IFERROR(INDEX('E-Banker master'!$N$2:$N$186,MATCH(S3540,'E-Banker master'!$A$2:$A$186,0)),"")</f>
        <v/>
      </c>
    </row>
    <row r="3543">
      <c r="B3543" s="1" t="n"/>
      <c r="C3543" s="13" t="inlineStr">
        <is>
          <t>Rate</t>
        </is>
      </c>
      <c r="D3543" s="14" t="n">
        <v>0.1</v>
      </c>
      <c r="E3543" s="257" t="n"/>
      <c r="F3543" s="319" t="n"/>
      <c r="G3543" s="319" t="n"/>
      <c r="H3543" s="319" t="n"/>
      <c r="I3543" s="319" t="n"/>
      <c r="J3543" s="319" t="n"/>
      <c r="K3543" s="319" t="n"/>
      <c r="L3543" s="319" t="n"/>
      <c r="R3543" s="514" t="inlineStr">
        <is>
          <t>E-Banker balance 31 Oct 2024</t>
        </is>
      </c>
      <c r="S3543" s="496">
        <f>IFERROR(INDEX('E-Banker master'!$P$2:$P$186,MATCH(S3540,'E-Banker master'!$A$2:$A$186,0)),"")</f>
        <v/>
      </c>
    </row>
    <row r="3544">
      <c r="B3544" s="1" t="n"/>
      <c r="C3544" s="13" t="inlineStr">
        <is>
          <t>n</t>
        </is>
      </c>
      <c r="D3544" s="16" t="n">
        <v>2</v>
      </c>
      <c r="E3544" s="1" t="n"/>
      <c r="F3544" s="319" t="n"/>
      <c r="G3544" s="319" t="n"/>
      <c r="H3544" s="319" t="n"/>
      <c r="I3544" s="319" t="n"/>
      <c r="J3544" s="319" t="n"/>
      <c r="K3544" s="1" t="n"/>
      <c r="L3544" s="1" t="n"/>
    </row>
    <row r="3545">
      <c r="B3545" s="1" t="n"/>
      <c r="C3545" s="13" t="inlineStr">
        <is>
          <t>Per</t>
        </is>
      </c>
      <c r="D3545" s="16" t="n">
        <v>12</v>
      </c>
      <c r="E3545" s="1" t="n"/>
      <c r="F3545" s="319" t="n"/>
      <c r="G3545" s="319" t="n"/>
      <c r="H3545" s="319" t="n"/>
      <c r="I3545" s="319" t="n"/>
      <c r="J3545" s="319" t="n"/>
      <c r="K3545" s="1" t="n"/>
      <c r="L3545" s="1" t="n"/>
    </row>
    <row r="3546">
      <c r="B3546" s="1" t="n"/>
      <c r="C3546" s="13" t="inlineStr">
        <is>
          <t>nPer</t>
        </is>
      </c>
      <c r="D3546" s="515">
        <f>D3544*D3545</f>
        <v/>
      </c>
      <c r="E3546" s="1" t="n"/>
      <c r="F3546" s="319" t="n"/>
      <c r="G3546" s="319" t="n"/>
      <c r="H3546" s="319" t="n"/>
      <c r="I3546" s="319" t="n"/>
      <c r="J3546" s="319" t="n"/>
      <c r="K3546" s="1" t="n"/>
      <c r="L3546" s="1" t="n"/>
    </row>
    <row r="3547">
      <c r="B3547" s="1" t="n"/>
      <c r="C3547" s="13" t="inlineStr">
        <is>
          <t>Days in a year</t>
        </is>
      </c>
      <c r="D3547" s="18" t="n">
        <v>365</v>
      </c>
      <c r="E3547" s="1" t="n"/>
      <c r="F3547" s="319" t="n"/>
      <c r="G3547" s="319" t="n"/>
      <c r="H3547" s="319" t="n"/>
      <c r="I3547" s="319" t="n"/>
      <c r="J3547" s="319" t="n"/>
      <c r="K3547" s="1" t="n"/>
      <c r="L3547" s="1" t="n"/>
    </row>
    <row r="3548">
      <c r="B3548" s="1" t="n"/>
      <c r="C3548" s="19" t="inlineStr">
        <is>
          <t>Pmt (MK)</t>
        </is>
      </c>
      <c r="D3548" s="20">
        <f>-PMT(D3543/D3545,D3546,D3542,0,0)</f>
        <v/>
      </c>
      <c r="E3548" s="319" t="n"/>
      <c r="F3548" s="319" t="n"/>
      <c r="G3548" s="319" t="n"/>
      <c r="H3548" s="319" t="n"/>
      <c r="I3548" s="319" t="n"/>
      <c r="J3548" s="319" t="n"/>
      <c r="K3548" s="1" t="n"/>
      <c r="L3548" s="1" t="n"/>
    </row>
    <row r="3549">
      <c r="B3549" s="1" t="n"/>
      <c r="C3549" s="1" t="n"/>
      <c r="D3549" s="319" t="n"/>
      <c r="E3549" s="319" t="n"/>
      <c r="F3549" s="319" t="n"/>
      <c r="G3549" s="319" t="n"/>
      <c r="H3549" s="319" t="n"/>
      <c r="I3549" s="319" t="n"/>
      <c r="J3549" s="319" t="n"/>
      <c r="K3549" s="1" t="n"/>
      <c r="L3549" s="1" t="n"/>
    </row>
    <row r="3550">
      <c r="B3550" s="1" t="n"/>
      <c r="C3550" s="21" t="inlineStr">
        <is>
          <t>Period Start</t>
        </is>
      </c>
      <c r="D3550" s="22" t="inlineStr">
        <is>
          <t>Period End</t>
        </is>
      </c>
      <c r="E3550" s="22" t="inlineStr">
        <is>
          <t>Days</t>
        </is>
      </c>
      <c r="F3550" s="294" t="inlineStr">
        <is>
          <t>Opening bal.</t>
        </is>
      </c>
      <c r="G3550" s="294" t="inlineStr">
        <is>
          <t>Pmt</t>
        </is>
      </c>
      <c r="H3550" s="294" t="inlineStr">
        <is>
          <t>Interest</t>
        </is>
      </c>
      <c r="I3550" s="294" t="inlineStr">
        <is>
          <t>Principal</t>
        </is>
      </c>
      <c r="J3550" s="294" t="inlineStr">
        <is>
          <t>Closing balance</t>
        </is>
      </c>
      <c r="K3550" s="23" t="inlineStr">
        <is>
          <t>Amount Repaid</t>
        </is>
      </c>
      <c r="L3550" s="23" t="inlineStr">
        <is>
          <t>Accumulated Arrears</t>
        </is>
      </c>
    </row>
    <row r="3551">
      <c r="B3551" s="1" t="n">
        <v>0</v>
      </c>
      <c r="C3551" s="24" t="n">
        <v>45064</v>
      </c>
      <c r="D3551" s="24" t="n">
        <v>45077</v>
      </c>
      <c r="E3551" s="25">
        <f>D3551-C3551+1</f>
        <v/>
      </c>
      <c r="F3551" s="319">
        <f>F3542</f>
        <v/>
      </c>
      <c r="G3551" s="319" t="n"/>
      <c r="H3551" s="319">
        <f>($D$3543/$D$3545*F3551*E3551/31)</f>
        <v/>
      </c>
      <c r="I3551" s="319">
        <f>-H3551</f>
        <v/>
      </c>
      <c r="J3551" s="319">
        <f>F3551-I3551</f>
        <v/>
      </c>
      <c r="K3551" s="516" t="n"/>
      <c r="L3551" s="516" t="n"/>
    </row>
    <row r="3552">
      <c r="B3552" s="1" t="n">
        <v>1</v>
      </c>
      <c r="C3552" s="24" t="n">
        <v>45078</v>
      </c>
      <c r="D3552" s="24" t="n">
        <v>45107</v>
      </c>
      <c r="E3552" s="25">
        <f>D3552-C3552+1</f>
        <v/>
      </c>
      <c r="F3552" s="319">
        <f>J3551</f>
        <v/>
      </c>
      <c r="G3552" s="319" t="n"/>
      <c r="H3552" s="319">
        <f>($D$3543/$D$3545*F3552)</f>
        <v/>
      </c>
      <c r="I3552" s="319">
        <f>-H3552</f>
        <v/>
      </c>
      <c r="J3552" s="319">
        <f>F3552-I3552+G3542</f>
        <v/>
      </c>
    </row>
    <row r="3553">
      <c r="B3553" s="1" t="n">
        <v>2</v>
      </c>
      <c r="C3553" s="24" t="n">
        <v>45108</v>
      </c>
      <c r="D3553" s="24" t="n">
        <v>45138</v>
      </c>
      <c r="E3553" s="25">
        <f>D3553-C3553+1</f>
        <v/>
      </c>
      <c r="F3553" s="319">
        <f>J3552</f>
        <v/>
      </c>
      <c r="G3553" s="319" t="n"/>
      <c r="H3553" s="319">
        <f>($D$3543/$D$3545*F3553)</f>
        <v/>
      </c>
      <c r="I3553" s="319">
        <f>-H3553</f>
        <v/>
      </c>
      <c r="J3553" s="319">
        <f>F3553-I3553</f>
        <v/>
      </c>
      <c r="K3553" s="516" t="n"/>
      <c r="L3553" s="516" t="n"/>
    </row>
    <row r="3554">
      <c r="B3554" s="1" t="n">
        <v>3</v>
      </c>
      <c r="C3554" s="24" t="n">
        <v>45139</v>
      </c>
      <c r="D3554" s="24" t="n">
        <v>45169</v>
      </c>
      <c r="E3554" s="25">
        <f>D3554-C3554+1</f>
        <v/>
      </c>
      <c r="F3554" s="319">
        <f>J3553</f>
        <v/>
      </c>
      <c r="G3554" s="319" t="n"/>
      <c r="H3554" s="319">
        <f>($D$3543/$D$3545*F3554)</f>
        <v/>
      </c>
      <c r="I3554" s="319">
        <f>G3554-H3554</f>
        <v/>
      </c>
      <c r="J3554" s="319">
        <f>F3554-I3554</f>
        <v/>
      </c>
      <c r="K3554" s="516" t="n"/>
      <c r="L3554" s="516" t="n"/>
    </row>
    <row r="3555">
      <c r="B3555" s="1" t="n">
        <v>4</v>
      </c>
      <c r="C3555" s="24" t="n">
        <v>45170</v>
      </c>
      <c r="D3555" s="24" t="n">
        <v>45199</v>
      </c>
      <c r="E3555" s="25">
        <f>D3555-C3555+1</f>
        <v/>
      </c>
      <c r="F3555" s="319">
        <f>J3554</f>
        <v/>
      </c>
      <c r="G3555" s="319">
        <f>-PMT($D$3543/$D$3545,21,$F$3555,,0)</f>
        <v/>
      </c>
      <c r="H3555" s="319">
        <f>($D$3543/$D$3545*F3555)</f>
        <v/>
      </c>
      <c r="I3555" s="319">
        <f>G3555-H3555</f>
        <v/>
      </c>
      <c r="J3555" s="319">
        <f>F3555-I3555</f>
        <v/>
      </c>
      <c r="K3555" s="516" t="n">
        <v>4536020.66</v>
      </c>
      <c r="L3555" s="516">
        <f>G3555-K3555</f>
        <v/>
      </c>
    </row>
    <row r="3556">
      <c r="B3556" s="1" t="n">
        <v>5</v>
      </c>
      <c r="C3556" s="24" t="n">
        <v>45200</v>
      </c>
      <c r="D3556" s="24" t="n">
        <v>45230</v>
      </c>
      <c r="E3556" s="25">
        <f>D3556-C3556+1</f>
        <v/>
      </c>
      <c r="F3556" s="319">
        <f>J3555</f>
        <v/>
      </c>
      <c r="G3556" s="319">
        <f>-PMT($D$3543/$D$3545,21,$F$3555,,0)</f>
        <v/>
      </c>
      <c r="H3556" s="319">
        <f>($D$3543/$D$3545*F3556)</f>
        <v/>
      </c>
      <c r="I3556" s="319">
        <f>G3556-H3556</f>
        <v/>
      </c>
      <c r="J3556" s="319">
        <f>F3556-I3556</f>
        <v/>
      </c>
      <c r="K3556" s="516" t="n">
        <v>4536020.66</v>
      </c>
      <c r="L3556" s="519">
        <f>L3555+G3556-K3556</f>
        <v/>
      </c>
    </row>
    <row r="3557">
      <c r="B3557" s="1" t="n">
        <v>6</v>
      </c>
      <c r="C3557" s="24" t="n">
        <v>45231</v>
      </c>
      <c r="D3557" s="24" t="n">
        <v>45260</v>
      </c>
      <c r="E3557" s="25">
        <f>D3557-C3557+1</f>
        <v/>
      </c>
      <c r="F3557" s="319">
        <f>J3556</f>
        <v/>
      </c>
      <c r="G3557" s="319">
        <f>-PMT($D$3543/$D$3545,21,$F$3555,,0)</f>
        <v/>
      </c>
      <c r="H3557" s="319">
        <f>($D$3543/$D$3545*F3557)</f>
        <v/>
      </c>
      <c r="I3557" s="319">
        <f>G3557-H3557</f>
        <v/>
      </c>
      <c r="J3557" s="319">
        <f>F3557-I3557</f>
        <v/>
      </c>
      <c r="K3557" s="516" t="n"/>
      <c r="L3557" s="516">
        <f>L3556+G3557-K3557</f>
        <v/>
      </c>
    </row>
    <row r="3558">
      <c r="B3558" s="1" t="n">
        <v>7</v>
      </c>
      <c r="C3558" s="24" t="n">
        <v>45261</v>
      </c>
      <c r="D3558" s="24" t="n">
        <v>45291</v>
      </c>
      <c r="E3558" s="25">
        <f>D3558-C3558+1</f>
        <v/>
      </c>
      <c r="F3558" s="319">
        <f>J3557</f>
        <v/>
      </c>
      <c r="G3558" s="319">
        <f>-PMT($D$3543/$D$3545,21,$F$3555,,0)</f>
        <v/>
      </c>
      <c r="H3558" s="319">
        <f>($D$3543/$D$3545*F3558)</f>
        <v/>
      </c>
      <c r="I3558" s="319">
        <f>G3558-H3558</f>
        <v/>
      </c>
      <c r="J3558" s="319">
        <f>F3558-I3558</f>
        <v/>
      </c>
      <c r="K3558" s="516" t="n">
        <v>4536020.66</v>
      </c>
      <c r="L3558" s="516">
        <f>L3557+G3558-K3558</f>
        <v/>
      </c>
    </row>
    <row r="3559">
      <c r="B3559" s="1" t="n">
        <v>8</v>
      </c>
      <c r="C3559" s="24" t="n">
        <v>45292</v>
      </c>
      <c r="D3559" s="24" t="n">
        <v>45322</v>
      </c>
      <c r="E3559" s="25">
        <f>D3559-C3559+1</f>
        <v/>
      </c>
      <c r="F3559" s="319">
        <f>J3558</f>
        <v/>
      </c>
      <c r="G3559" s="319">
        <f>-PMT($D$3543/$D$3545,21,$F$3555,,0)</f>
        <v/>
      </c>
      <c r="H3559" s="319">
        <f>($D$3543/$D$3545*F3559)</f>
        <v/>
      </c>
      <c r="I3559" s="319">
        <f>G3559-H3559</f>
        <v/>
      </c>
      <c r="J3559" s="319">
        <f>F3559-I3559</f>
        <v/>
      </c>
      <c r="K3559" s="516" t="n"/>
      <c r="L3559" s="516">
        <f>L3558+G3559-K3559</f>
        <v/>
      </c>
    </row>
    <row r="3560">
      <c r="B3560" s="1" t="n">
        <v>9</v>
      </c>
      <c r="C3560" s="24" t="n">
        <v>45323</v>
      </c>
      <c r="D3560" s="24" t="n">
        <v>45351</v>
      </c>
      <c r="E3560" s="25">
        <f>D3560-C3560+1</f>
        <v/>
      </c>
      <c r="F3560" s="319">
        <f>J3559</f>
        <v/>
      </c>
      <c r="G3560" s="319">
        <f>-PMT($D$3543/$D$3545,21,$F$3555,,0)</f>
        <v/>
      </c>
      <c r="H3560" s="319">
        <f>($D$3543/$D$3545*F3560)</f>
        <v/>
      </c>
      <c r="I3560" s="319">
        <f>G3560-H3560</f>
        <v/>
      </c>
      <c r="J3560" s="319">
        <f>F3560-I3560</f>
        <v/>
      </c>
      <c r="K3560" s="516" t="n">
        <v>4536020.66</v>
      </c>
      <c r="L3560" s="516">
        <f>L3559+G3560-K3560</f>
        <v/>
      </c>
    </row>
    <row r="3561">
      <c r="B3561" s="1" t="n">
        <v>10</v>
      </c>
      <c r="C3561" s="24" t="n">
        <v>45352</v>
      </c>
      <c r="D3561" s="24" t="n">
        <v>45382</v>
      </c>
      <c r="E3561" s="25">
        <f>D3561-C3561+1</f>
        <v/>
      </c>
      <c r="F3561" s="319">
        <f>J3560</f>
        <v/>
      </c>
      <c r="G3561" s="319">
        <f>-PMT($D$3543/$D$3545,21,$F$3555,,0)</f>
        <v/>
      </c>
      <c r="H3561" s="319">
        <f>($D$3543/$D$3545*F3561)</f>
        <v/>
      </c>
      <c r="I3561" s="319">
        <f>G3561-H3561</f>
        <v/>
      </c>
      <c r="J3561" s="319">
        <f>F3561-I3561</f>
        <v/>
      </c>
      <c r="K3561" s="516" t="n"/>
      <c r="L3561" s="516">
        <f>L3560+G3561-K3561</f>
        <v/>
      </c>
    </row>
    <row r="3562">
      <c r="B3562" s="1" t="n">
        <v>11</v>
      </c>
      <c r="C3562" s="24" t="n">
        <v>45383</v>
      </c>
      <c r="D3562" s="24" t="n">
        <v>45412</v>
      </c>
      <c r="E3562" s="25">
        <f>D3562-C3562+1</f>
        <v/>
      </c>
      <c r="F3562" s="319">
        <f>J3561</f>
        <v/>
      </c>
      <c r="G3562" s="319">
        <f>-PMT($D$3543/$D$3545,21,$F$3555,,0)</f>
        <v/>
      </c>
      <c r="H3562" s="319">
        <f>($D$3543/$D$3545*F3562)</f>
        <v/>
      </c>
      <c r="I3562" s="319">
        <f>G3562-H3562</f>
        <v/>
      </c>
      <c r="J3562" s="319">
        <f>F3562-I3562</f>
        <v/>
      </c>
      <c r="K3562" s="516" t="n">
        <v>14000000</v>
      </c>
      <c r="L3562" s="516">
        <f>L3561+G3562-K3562</f>
        <v/>
      </c>
    </row>
    <row r="3563">
      <c r="B3563" s="1" t="n">
        <v>12</v>
      </c>
      <c r="C3563" s="24" t="n">
        <v>45413</v>
      </c>
      <c r="D3563" s="24" t="n">
        <v>45443</v>
      </c>
      <c r="E3563" s="25">
        <f>D3563-C3563+1</f>
        <v/>
      </c>
      <c r="F3563" s="319">
        <f>J3562</f>
        <v/>
      </c>
      <c r="G3563" s="319">
        <f>-PMT($D$3543/$D$3545,21,$F$3555,,0)</f>
        <v/>
      </c>
      <c r="H3563" s="319">
        <f>($D$3543/$D$3545*F3563)</f>
        <v/>
      </c>
      <c r="I3563" s="319">
        <f>G3563-H3563</f>
        <v/>
      </c>
      <c r="J3563" s="319">
        <f>F3563-I3563</f>
        <v/>
      </c>
      <c r="K3563" s="516" t="n"/>
      <c r="L3563" s="516">
        <f>L3562+G3563-K3563</f>
        <v/>
      </c>
    </row>
    <row r="3564">
      <c r="B3564" s="1" t="n">
        <v>13</v>
      </c>
      <c r="C3564" s="24" t="n">
        <v>45444</v>
      </c>
      <c r="D3564" s="24" t="n">
        <v>45473</v>
      </c>
      <c r="E3564" s="25">
        <f>D3564-C3564+1</f>
        <v/>
      </c>
      <c r="F3564" s="319">
        <f>J3563</f>
        <v/>
      </c>
      <c r="G3564" s="319">
        <f>-PMT($D$3543/$D$3545,21,$F$3555,,0)</f>
        <v/>
      </c>
      <c r="H3564" s="319">
        <f>($D$3543/$D$3545*F3564)</f>
        <v/>
      </c>
      <c r="I3564" s="319">
        <f>G3564-H3564</f>
        <v/>
      </c>
      <c r="J3564" s="319">
        <f>F3564-I3564</f>
        <v/>
      </c>
      <c r="K3564" s="516" t="n">
        <v>13198706.92</v>
      </c>
      <c r="L3564" s="516">
        <f>L3563+G3564-K3564</f>
        <v/>
      </c>
    </row>
    <row r="3565">
      <c r="B3565" s="1" t="n">
        <v>14</v>
      </c>
      <c r="C3565" s="24" t="n">
        <v>45474</v>
      </c>
      <c r="D3565" s="24" t="n">
        <v>45504</v>
      </c>
      <c r="E3565" s="25">
        <f>D3565-C3565+1</f>
        <v/>
      </c>
      <c r="F3565" s="319">
        <f>J3564</f>
        <v/>
      </c>
      <c r="G3565" s="319">
        <f>-PMT($D$3543/$D$3545,21,$F$3555,,0)</f>
        <v/>
      </c>
      <c r="H3565" s="319">
        <f>($D$3543/$D$3545*F3565)</f>
        <v/>
      </c>
      <c r="I3565" s="319">
        <f>G3565-H3565</f>
        <v/>
      </c>
      <c r="J3565" s="319">
        <f>F3565-I3565</f>
        <v/>
      </c>
      <c r="K3565" s="516" t="n"/>
      <c r="L3565" s="516">
        <f>L3564+G3565-K3565</f>
        <v/>
      </c>
    </row>
    <row r="3566">
      <c r="B3566" s="1" t="n">
        <v>15</v>
      </c>
      <c r="C3566" s="24" t="n">
        <v>45505</v>
      </c>
      <c r="D3566" s="24" t="n">
        <v>45535</v>
      </c>
      <c r="E3566" s="25">
        <f>D3566-C3566+1</f>
        <v/>
      </c>
      <c r="F3566" s="319">
        <f>J3565</f>
        <v/>
      </c>
      <c r="G3566" s="319">
        <f>-PMT($D$3543/$D$3545,21,$F$3555,,0)</f>
        <v/>
      </c>
      <c r="H3566" s="319">
        <f>($D$3543/$D$3545*F3566)</f>
        <v/>
      </c>
      <c r="I3566" s="319">
        <f>G3566-H3566</f>
        <v/>
      </c>
      <c r="J3566" s="319">
        <f>F3566-I3566</f>
        <v/>
      </c>
      <c r="K3566" s="516" t="n">
        <v>4600000</v>
      </c>
      <c r="L3566" s="516">
        <f>L3565+G3566-K3566</f>
        <v/>
      </c>
    </row>
    <row r="3567">
      <c r="B3567" s="1" t="n">
        <v>16</v>
      </c>
      <c r="C3567" s="24" t="n">
        <v>45536</v>
      </c>
      <c r="D3567" s="24" t="n">
        <v>45565</v>
      </c>
      <c r="E3567" s="25">
        <f>D3567-C3567+1</f>
        <v/>
      </c>
      <c r="F3567" s="319">
        <f>J3566</f>
        <v/>
      </c>
      <c r="G3567" s="319">
        <f>-PMT($D$3543/$D$3545,21,$F$3555,,0)</f>
        <v/>
      </c>
      <c r="H3567" s="319">
        <f>($D$3543/$D$3545*F3567)</f>
        <v/>
      </c>
      <c r="I3567" s="319">
        <f>G3567-H3567</f>
        <v/>
      </c>
      <c r="J3567" s="319">
        <f>F3567-I3567</f>
        <v/>
      </c>
      <c r="K3567" s="516">
        <f>4600000+4808387.1</f>
        <v/>
      </c>
      <c r="L3567" s="516">
        <f>L3566+G3567-K3567</f>
        <v/>
      </c>
    </row>
    <row r="3568">
      <c r="B3568" s="1" t="n">
        <v>17</v>
      </c>
      <c r="C3568" s="24" t="n">
        <v>45566</v>
      </c>
      <c r="D3568" s="24" t="n">
        <v>45596</v>
      </c>
      <c r="E3568" s="25">
        <f>D3568-C3568+1</f>
        <v/>
      </c>
      <c r="F3568" s="319">
        <f>J3567</f>
        <v/>
      </c>
      <c r="G3568" s="319">
        <f>-PMT($D$3543/$D$3545,21,$F$3555,,0)</f>
        <v/>
      </c>
      <c r="H3568" s="319">
        <f>($D$3543/$D$3545*F3568)</f>
        <v/>
      </c>
      <c r="I3568" s="319">
        <f>G3568-H3568</f>
        <v/>
      </c>
      <c r="J3568" s="319">
        <f>F3568-I3568</f>
        <v/>
      </c>
      <c r="K3568" s="516" t="n"/>
      <c r="L3568" s="520">
        <f>L3567+G3568-K3568</f>
        <v/>
      </c>
    </row>
    <row r="3569">
      <c r="B3569" s="1" t="n">
        <v>18</v>
      </c>
      <c r="C3569" s="24" t="n">
        <v>45597</v>
      </c>
      <c r="D3569" s="24" t="n">
        <v>45626</v>
      </c>
      <c r="E3569" s="25">
        <f>D3569-C3569+1</f>
        <v/>
      </c>
      <c r="F3569" s="319">
        <f>J3568</f>
        <v/>
      </c>
      <c r="G3569" s="319">
        <f>-PMT($D$3543/$D$3545,21,$F$3555,,0)</f>
        <v/>
      </c>
      <c r="H3569" s="319">
        <f>($D$3543/$D$3545*F3569)</f>
        <v/>
      </c>
      <c r="I3569" s="319">
        <f>G3569-H3569</f>
        <v/>
      </c>
      <c r="J3569" s="319">
        <f>F3569-I3569</f>
        <v/>
      </c>
      <c r="K3569" s="516" t="n"/>
      <c r="L3569" s="516" t="n"/>
    </row>
    <row r="3570">
      <c r="B3570" s="1" t="n">
        <v>19</v>
      </c>
      <c r="C3570" s="24" t="n">
        <v>45627</v>
      </c>
      <c r="D3570" s="24" t="n">
        <v>45657</v>
      </c>
      <c r="E3570" s="25">
        <f>D3570-C3570+1</f>
        <v/>
      </c>
      <c r="F3570" s="319">
        <f>J3569</f>
        <v/>
      </c>
      <c r="G3570" s="319">
        <f>-PMT($D$3543/$D$3545,21,$F$3555,,0)</f>
        <v/>
      </c>
      <c r="H3570" s="319">
        <f>($D$3543/$D$3545*F3570)</f>
        <v/>
      </c>
      <c r="I3570" s="319">
        <f>G3570-H3570</f>
        <v/>
      </c>
      <c r="J3570" s="319">
        <f>F3570-I3570</f>
        <v/>
      </c>
      <c r="K3570" s="516" t="n"/>
      <c r="L3570" s="516" t="n"/>
    </row>
    <row r="3571">
      <c r="B3571" s="1" t="n">
        <v>20</v>
      </c>
      <c r="C3571" s="24" t="n">
        <v>45658</v>
      </c>
      <c r="D3571" s="24" t="n">
        <v>45688</v>
      </c>
      <c r="E3571" s="25">
        <f>D3571-C3571+1</f>
        <v/>
      </c>
      <c r="F3571" s="319">
        <f>J3570</f>
        <v/>
      </c>
      <c r="G3571" s="319">
        <f>-PMT($D$3543/$D$3545,21,$F$3555,,0)</f>
        <v/>
      </c>
      <c r="H3571" s="319">
        <f>($D$3543/$D$3545*F3571)</f>
        <v/>
      </c>
      <c r="I3571" s="319">
        <f>G3571-H3571</f>
        <v/>
      </c>
      <c r="J3571" s="319">
        <f>F3571-I3571</f>
        <v/>
      </c>
      <c r="K3571" s="516" t="n"/>
      <c r="L3571" s="516" t="n"/>
    </row>
    <row r="3572">
      <c r="B3572" s="1" t="n">
        <v>21</v>
      </c>
      <c r="C3572" s="24" t="n">
        <v>45689</v>
      </c>
      <c r="D3572" s="24" t="n">
        <v>45716</v>
      </c>
      <c r="E3572" s="25">
        <f>D3572-C3572+1</f>
        <v/>
      </c>
      <c r="F3572" s="319">
        <f>J3571</f>
        <v/>
      </c>
      <c r="G3572" s="319">
        <f>-PMT($D$3543/$D$3545,21,$F$3555,,0)</f>
        <v/>
      </c>
      <c r="H3572" s="319">
        <f>($D$3543/$D$3545*F3572)</f>
        <v/>
      </c>
      <c r="I3572" s="319">
        <f>G3572-H3572</f>
        <v/>
      </c>
      <c r="J3572" s="319">
        <f>F3572-I3572</f>
        <v/>
      </c>
      <c r="K3572" s="516" t="n"/>
      <c r="L3572" s="516" t="n"/>
    </row>
    <row r="3573">
      <c r="B3573" s="1" t="n">
        <v>22</v>
      </c>
      <c r="C3573" s="24" t="n">
        <v>45717</v>
      </c>
      <c r="D3573" s="24" t="n">
        <v>45747</v>
      </c>
      <c r="E3573" s="25">
        <f>D3573-C3573+1</f>
        <v/>
      </c>
      <c r="F3573" s="319">
        <f>J3572</f>
        <v/>
      </c>
      <c r="G3573" s="319">
        <f>-PMT($D$3543/$D$3545,21,$F$3555,,0)</f>
        <v/>
      </c>
      <c r="H3573" s="319">
        <f>($D$3543/$D$3545*F3573)</f>
        <v/>
      </c>
      <c r="I3573" s="319">
        <f>G3573-H3573</f>
        <v/>
      </c>
      <c r="J3573" s="319">
        <f>F3573-I3573</f>
        <v/>
      </c>
      <c r="K3573" s="516" t="n"/>
      <c r="L3573" s="516" t="n"/>
    </row>
    <row r="3574">
      <c r="B3574" s="1" t="n">
        <v>23</v>
      </c>
      <c r="C3574" s="24" t="n">
        <v>45748</v>
      </c>
      <c r="D3574" s="24" t="n">
        <v>45777</v>
      </c>
      <c r="E3574" s="25">
        <f>D3574-C3574+1</f>
        <v/>
      </c>
      <c r="F3574" s="319">
        <f>J3573</f>
        <v/>
      </c>
      <c r="G3574" s="319">
        <f>-PMT($D$3543/$D$3545,21,$F$3555,,0)</f>
        <v/>
      </c>
      <c r="H3574" s="319">
        <f>($D$3543/$D$3545*F3574)</f>
        <v/>
      </c>
      <c r="I3574" s="319">
        <f>G3574-H3574</f>
        <v/>
      </c>
      <c r="J3574" s="319">
        <f>F3574-I3574</f>
        <v/>
      </c>
      <c r="K3574" s="516" t="n"/>
      <c r="L3574" s="516" t="n"/>
    </row>
    <row r="3575">
      <c r="B3575" s="1" t="n">
        <v>24</v>
      </c>
      <c r="C3575" s="24" t="n">
        <v>45778</v>
      </c>
      <c r="D3575" s="24" t="n">
        <v>45808</v>
      </c>
      <c r="E3575" s="25">
        <f>D3575-C3575+1</f>
        <v/>
      </c>
      <c r="F3575" s="319">
        <f>J3574</f>
        <v/>
      </c>
      <c r="G3575" s="319">
        <f>-PMT($D$3543/$D$3545,21,$F$3555,,0)</f>
        <v/>
      </c>
      <c r="H3575" s="319">
        <f>($D$3543/$D$3545*F3575)</f>
        <v/>
      </c>
      <c r="I3575" s="319">
        <f>G3575-H3575</f>
        <v/>
      </c>
      <c r="J3575" s="319">
        <f>F3575-I3575</f>
        <v/>
      </c>
    </row>
    <row r="3577">
      <c r="E3577" s="283">
        <f>SUM(E3551:E3576)</f>
        <v/>
      </c>
    </row>
    <row r="3579">
      <c r="K3579" s="148" t="n"/>
      <c r="L3579" s="148" t="n"/>
    </row>
    <row r="3580">
      <c r="K3580" s="148" t="n"/>
    </row>
    <row r="3581">
      <c r="K3581" s="148" t="n"/>
    </row>
    <row r="3582">
      <c r="B3582" s="1" t="n"/>
      <c r="C3582" s="9" t="inlineStr">
        <is>
          <t>Teren Agro Ltd</t>
        </is>
      </c>
      <c r="D3582" s="319" t="n"/>
      <c r="E3582" s="319" t="n"/>
      <c r="F3582" s="319" t="n"/>
      <c r="G3582" s="319" t="n"/>
      <c r="H3582" s="319" t="n"/>
      <c r="K3582" s="319" t="n"/>
      <c r="L3582" s="319" t="n"/>
      <c r="R3582" s="514" t="inlineStr">
        <is>
          <t>E-Banker account (Dupleix)</t>
        </is>
      </c>
      <c r="S3582" s="495">
        <f>IFERROR(INDEX('Blocks'!$I$2:$I$101,MATCH(65,'Blocks'!$A$2:$A$101,0)),"")</f>
        <v/>
      </c>
    </row>
    <row r="3583" ht="14.5" customHeight="1" thickBot="1">
      <c r="B3583" s="1" t="n"/>
      <c r="C3583" s="1" t="n"/>
      <c r="D3583" s="319" t="n"/>
      <c r="E3583" s="319" t="n"/>
      <c r="F3583" s="319" t="n"/>
      <c r="G3583" s="319" t="n"/>
      <c r="H3583" s="319" t="n"/>
      <c r="I3583" s="439" t="n"/>
      <c r="J3583" s="439" t="n"/>
      <c r="K3583" s="319" t="n"/>
      <c r="L3583" s="319" t="n"/>
      <c r="R3583" s="514" t="inlineStr">
        <is>
          <t>Facility (Loan Book)</t>
        </is>
      </c>
      <c r="S3583" s="495">
        <f>IFERROR(INDEX('Blocks'!$H$2:$H$101,MATCH(65,'Blocks'!$A$2:$A$101,0)),"")</f>
        <v/>
      </c>
    </row>
    <row r="3584" ht="14.5" customHeight="1" thickTop="1">
      <c r="B3584" s="1" t="n"/>
      <c r="C3584" s="10" t="inlineStr">
        <is>
          <t>Principal (MK)</t>
        </is>
      </c>
      <c r="D3584" s="11" t="n">
        <v>30000000</v>
      </c>
      <c r="E3584" s="319" t="n"/>
      <c r="F3584" s="319" t="n"/>
      <c r="G3584" s="319" t="n"/>
      <c r="H3584" s="319" t="n"/>
      <c r="I3584" s="319" t="n"/>
      <c r="J3584" s="319" t="n"/>
      <c r="K3584" s="319" t="n"/>
      <c r="L3584" s="319" t="n"/>
      <c r="R3584" s="514" t="inlineStr">
        <is>
          <t>Take-on posting 31 Jul 2024</t>
        </is>
      </c>
      <c r="S3584" s="496">
        <f>IFERROR(INDEX('E-Banker master'!$N$2:$N$186,MATCH(S3582,'E-Banker master'!$A$2:$A$186,0)),"")</f>
        <v/>
      </c>
    </row>
    <row r="3585">
      <c r="B3585" s="1" t="n"/>
      <c r="C3585" s="13" t="inlineStr">
        <is>
          <t>Rate</t>
        </is>
      </c>
      <c r="D3585" s="14" t="n">
        <v>0.1</v>
      </c>
      <c r="E3585" s="257" t="n"/>
      <c r="F3585" s="319" t="n"/>
      <c r="G3585" s="319" t="n"/>
      <c r="H3585" s="319" t="n"/>
      <c r="I3585" s="319" t="n"/>
      <c r="J3585" s="319" t="n"/>
      <c r="K3585" s="319" t="n"/>
      <c r="L3585" s="319" t="n"/>
      <c r="R3585" s="514" t="inlineStr">
        <is>
          <t>E-Banker balance 31 Oct 2024</t>
        </is>
      </c>
      <c r="S3585" s="496">
        <f>IFERROR(INDEX('E-Banker master'!$P$2:$P$186,MATCH(S3582,'E-Banker master'!$A$2:$A$186,0)),"")</f>
        <v/>
      </c>
    </row>
    <row r="3586">
      <c r="B3586" s="1" t="n"/>
      <c r="C3586" s="13" t="inlineStr">
        <is>
          <t>n</t>
        </is>
      </c>
      <c r="D3586" s="16" t="n">
        <v>2</v>
      </c>
      <c r="E3586" s="1" t="n"/>
      <c r="F3586" s="319" t="n"/>
      <c r="G3586" s="319" t="n"/>
      <c r="H3586" s="319" t="n"/>
      <c r="I3586" s="319" t="n"/>
      <c r="J3586" s="319" t="n"/>
      <c r="K3586" s="1" t="n"/>
      <c r="L3586" s="1" t="n"/>
    </row>
    <row r="3587">
      <c r="B3587" s="1" t="n"/>
      <c r="C3587" s="13" t="inlineStr">
        <is>
          <t>Per</t>
        </is>
      </c>
      <c r="D3587" s="16" t="n">
        <v>12</v>
      </c>
      <c r="E3587" s="1" t="n"/>
      <c r="F3587" s="319" t="n"/>
      <c r="G3587" s="319" t="n"/>
      <c r="H3587" s="319" t="n"/>
      <c r="I3587" s="319" t="n"/>
      <c r="J3587" s="319" t="n"/>
      <c r="K3587" s="1" t="n"/>
      <c r="L3587" s="1" t="n"/>
    </row>
    <row r="3588">
      <c r="B3588" s="1" t="n"/>
      <c r="C3588" s="13" t="inlineStr">
        <is>
          <t>nPer</t>
        </is>
      </c>
      <c r="D3588" s="515">
        <f>D3586*D3587</f>
        <v/>
      </c>
      <c r="E3588" s="1" t="n"/>
      <c r="F3588" s="319" t="n"/>
      <c r="G3588" s="319" t="n"/>
      <c r="H3588" s="319" t="n"/>
      <c r="I3588" s="319" t="n"/>
      <c r="J3588" s="319" t="n"/>
      <c r="K3588" s="1" t="n"/>
      <c r="L3588" s="1" t="n"/>
    </row>
    <row r="3589">
      <c r="B3589" s="1" t="n"/>
      <c r="C3589" s="13" t="inlineStr">
        <is>
          <t>Days in a year</t>
        </is>
      </c>
      <c r="D3589" s="18" t="n">
        <v>365</v>
      </c>
      <c r="E3589" s="1" t="n"/>
      <c r="F3589" s="319" t="n"/>
      <c r="G3589" s="319" t="n"/>
      <c r="H3589" s="319" t="n"/>
      <c r="I3589" s="319" t="n"/>
      <c r="J3589" s="319" t="n"/>
      <c r="K3589" s="1" t="n"/>
      <c r="L3589" s="1" t="n"/>
    </row>
    <row r="3590">
      <c r="B3590" s="1" t="n"/>
      <c r="C3590" s="19" t="inlineStr">
        <is>
          <t>Pmt (MK)</t>
        </is>
      </c>
      <c r="D3590" s="20">
        <f>-PMT(D3585/D3587,D3588,D3584,0,0)</f>
        <v/>
      </c>
      <c r="E3590" s="319" t="n"/>
      <c r="F3590" s="319" t="n"/>
      <c r="G3590" s="319" t="n"/>
      <c r="H3590" s="319" t="n"/>
      <c r="I3590" s="319" t="n"/>
      <c r="J3590" s="319" t="n"/>
      <c r="K3590" s="1" t="n"/>
      <c r="L3590" s="1" t="n"/>
    </row>
    <row r="3591">
      <c r="B3591" s="1" t="n"/>
      <c r="C3591" s="1" t="n"/>
      <c r="D3591" s="319" t="n"/>
      <c r="E3591" s="319" t="n"/>
      <c r="F3591" s="319" t="n"/>
      <c r="G3591" s="319" t="n"/>
      <c r="H3591" s="319" t="n"/>
      <c r="I3591" s="319" t="n"/>
      <c r="J3591" s="319" t="n"/>
      <c r="K3591" s="1" t="n"/>
      <c r="L3591" s="1" t="n"/>
    </row>
    <row r="3592">
      <c r="B3592" s="1" t="n"/>
      <c r="C3592" s="21" t="inlineStr">
        <is>
          <t>Period Start</t>
        </is>
      </c>
      <c r="D3592" s="22" t="inlineStr">
        <is>
          <t>Period End</t>
        </is>
      </c>
      <c r="E3592" s="22" t="inlineStr">
        <is>
          <t>Days</t>
        </is>
      </c>
      <c r="F3592" s="294" t="inlineStr">
        <is>
          <t>Opening bal.</t>
        </is>
      </c>
      <c r="G3592" s="294" t="inlineStr">
        <is>
          <t>Pmt</t>
        </is>
      </c>
      <c r="H3592" s="294" t="inlineStr">
        <is>
          <t>Interest</t>
        </is>
      </c>
      <c r="I3592" s="294" t="inlineStr">
        <is>
          <t>Principal</t>
        </is>
      </c>
      <c r="J3592" s="294" t="inlineStr">
        <is>
          <t>Closing balance</t>
        </is>
      </c>
      <c r="K3592" s="23" t="inlineStr">
        <is>
          <t>Amount Repaid</t>
        </is>
      </c>
      <c r="L3592" s="23" t="inlineStr">
        <is>
          <t>Accumulated Arrears</t>
        </is>
      </c>
    </row>
    <row r="3593">
      <c r="B3593" s="1" t="n">
        <v>0</v>
      </c>
      <c r="C3593" s="24" t="n">
        <v>45065</v>
      </c>
      <c r="D3593" s="24" t="n">
        <v>45077</v>
      </c>
      <c r="E3593" s="25">
        <f>D3593-C3593+1</f>
        <v/>
      </c>
      <c r="F3593" s="319">
        <f>D3584</f>
        <v/>
      </c>
      <c r="G3593" s="319" t="n"/>
      <c r="H3593" s="319">
        <f>($D$3585/$D$3587*F3593*E3593/31)</f>
        <v/>
      </c>
      <c r="I3593" s="319">
        <f>-H3593</f>
        <v/>
      </c>
      <c r="J3593" s="319">
        <f>F3593-I3593</f>
        <v/>
      </c>
      <c r="K3593" s="516" t="n"/>
      <c r="L3593" s="516" t="n"/>
    </row>
    <row r="3594">
      <c r="B3594" s="1" t="n">
        <v>1</v>
      </c>
      <c r="C3594" s="24" t="n">
        <v>45078</v>
      </c>
      <c r="D3594" s="24" t="n">
        <v>45107</v>
      </c>
      <c r="E3594" s="25">
        <f>D3594-C3594+1</f>
        <v/>
      </c>
      <c r="F3594" s="319">
        <f>J3593</f>
        <v/>
      </c>
      <c r="G3594" s="319" t="n"/>
      <c r="H3594" s="319">
        <f>($D$3585/$D$3587*F3594)</f>
        <v/>
      </c>
      <c r="I3594" s="319">
        <f>-H3594</f>
        <v/>
      </c>
      <c r="J3594" s="319">
        <f>F3594-I3594</f>
        <v/>
      </c>
    </row>
    <row r="3595">
      <c r="B3595" s="1" t="n">
        <v>2</v>
      </c>
      <c r="C3595" s="24" t="n">
        <v>45108</v>
      </c>
      <c r="D3595" s="24" t="n">
        <v>45138</v>
      </c>
      <c r="E3595" s="25">
        <f>D3595-C3595+1</f>
        <v/>
      </c>
      <c r="F3595" s="319">
        <f>J3594</f>
        <v/>
      </c>
      <c r="G3595" s="319" t="n"/>
      <c r="H3595" s="319">
        <f>($D$3585/$D$3587*F3595)</f>
        <v/>
      </c>
      <c r="I3595" s="319">
        <f>-H3595</f>
        <v/>
      </c>
      <c r="J3595" s="319">
        <f>F3595-I3595</f>
        <v/>
      </c>
      <c r="K3595" s="516" t="n"/>
      <c r="L3595" s="516" t="n"/>
    </row>
    <row r="3596">
      <c r="B3596" s="1" t="n">
        <v>3</v>
      </c>
      <c r="C3596" s="24" t="n">
        <v>45139</v>
      </c>
      <c r="D3596" s="24" t="n">
        <v>45169</v>
      </c>
      <c r="E3596" s="25">
        <f>D3596-C3596+1</f>
        <v/>
      </c>
      <c r="F3596" s="319">
        <f>J3595</f>
        <v/>
      </c>
      <c r="G3596" s="319" t="n"/>
      <c r="H3596" s="319">
        <f>($D$3585/$D$3587*F3596)</f>
        <v/>
      </c>
      <c r="I3596" s="319">
        <f>G3596-H3596</f>
        <v/>
      </c>
      <c r="J3596" s="319">
        <f>F3596-I3596</f>
        <v/>
      </c>
      <c r="K3596" s="516" t="n"/>
      <c r="L3596" s="516" t="n"/>
    </row>
    <row r="3597">
      <c r="B3597" s="1" t="n">
        <v>4</v>
      </c>
      <c r="C3597" s="24" t="n">
        <v>45170</v>
      </c>
      <c r="D3597" s="24" t="n">
        <v>45199</v>
      </c>
      <c r="E3597" s="25">
        <f>D3597-C3597+1</f>
        <v/>
      </c>
      <c r="F3597" s="319">
        <f>J3596</f>
        <v/>
      </c>
      <c r="G3597" s="319">
        <f>-PMT($D$3585/$D$3587,21,$F$3597,,0)</f>
        <v/>
      </c>
      <c r="H3597" s="319">
        <f>($D$3585/$D$3587*F3597)</f>
        <v/>
      </c>
      <c r="I3597" s="319">
        <f>G3597-H3597</f>
        <v/>
      </c>
      <c r="J3597" s="319">
        <f>F3597-I3597</f>
        <v/>
      </c>
      <c r="K3597" s="516" t="n"/>
      <c r="L3597" s="516">
        <f>G3597</f>
        <v/>
      </c>
    </row>
    <row r="3598">
      <c r="B3598" s="1" t="n">
        <v>5</v>
      </c>
      <c r="C3598" s="24" t="n">
        <v>45200</v>
      </c>
      <c r="D3598" s="24" t="n">
        <v>45230</v>
      </c>
      <c r="E3598" s="25">
        <f>D3598-C3598+1</f>
        <v/>
      </c>
      <c r="F3598" s="319">
        <f>J3597</f>
        <v/>
      </c>
      <c r="G3598" s="319">
        <f>-PMT($D$3585/$D$3587,21,$F$3597,,0)</f>
        <v/>
      </c>
      <c r="H3598" s="319">
        <f>($D$3585/$D$3587*F3598)</f>
        <v/>
      </c>
      <c r="I3598" s="319">
        <f>G3598-H3598</f>
        <v/>
      </c>
      <c r="J3598" s="319">
        <f>F3598-I3598</f>
        <v/>
      </c>
      <c r="K3598" s="516" t="n"/>
      <c r="L3598" s="516">
        <f>L3597+G3598</f>
        <v/>
      </c>
    </row>
    <row r="3599">
      <c r="B3599" s="1" t="n">
        <v>6</v>
      </c>
      <c r="C3599" s="24" t="n">
        <v>45231</v>
      </c>
      <c r="D3599" s="24" t="n">
        <v>45260</v>
      </c>
      <c r="E3599" s="25">
        <f>D3599-C3599+1</f>
        <v/>
      </c>
      <c r="F3599" s="319">
        <f>J3598</f>
        <v/>
      </c>
      <c r="G3599" s="319">
        <f>-PMT($D$3585/$D$3587,21,$F$3597,,0)</f>
        <v/>
      </c>
      <c r="H3599" s="319">
        <f>($D$3585/$D$3587*F3599)</f>
        <v/>
      </c>
      <c r="I3599" s="319">
        <f>G3599-H3599</f>
        <v/>
      </c>
      <c r="J3599" s="319">
        <f>F3599-I3599</f>
        <v/>
      </c>
      <c r="K3599" s="516" t="n">
        <v>1602549.64</v>
      </c>
      <c r="L3599" s="516">
        <f>L3598+G3599-K3599</f>
        <v/>
      </c>
    </row>
    <row r="3600">
      <c r="B3600" s="1" t="n">
        <v>7</v>
      </c>
      <c r="C3600" s="24" t="n">
        <v>45261</v>
      </c>
      <c r="D3600" s="24" t="n">
        <v>45291</v>
      </c>
      <c r="E3600" s="25">
        <f>D3600-C3600+1</f>
        <v/>
      </c>
      <c r="F3600" s="319">
        <f>J3599</f>
        <v/>
      </c>
      <c r="G3600" s="319">
        <f>-PMT($D$3585/$D$3587,21,$F$3597,,0)</f>
        <v/>
      </c>
      <c r="H3600" s="319">
        <f>($D$3585/$D$3587*F3600)</f>
        <v/>
      </c>
      <c r="I3600" s="319">
        <f>G3600-H3600</f>
        <v/>
      </c>
      <c r="J3600" s="319">
        <f>F3600-I3600</f>
        <v/>
      </c>
      <c r="K3600" s="516" t="n"/>
      <c r="L3600" s="516">
        <f>L3599+G3600-K3600</f>
        <v/>
      </c>
    </row>
    <row r="3601">
      <c r="B3601" s="1" t="n">
        <v>8</v>
      </c>
      <c r="C3601" s="24" t="n">
        <v>45292</v>
      </c>
      <c r="D3601" s="24" t="n">
        <v>45322</v>
      </c>
      <c r="E3601" s="25">
        <f>D3601-C3601+1</f>
        <v/>
      </c>
      <c r="F3601" s="319">
        <f>J3600</f>
        <v/>
      </c>
      <c r="G3601" s="319">
        <f>-PMT($D$3585/$D$3587,21,$F$3597,,0)</f>
        <v/>
      </c>
      <c r="H3601" s="319">
        <f>($D$3585/$D$3587*F3601)</f>
        <v/>
      </c>
      <c r="I3601" s="319">
        <f>G3601-H3601</f>
        <v/>
      </c>
      <c r="J3601" s="319">
        <f>F3601-I3601</f>
        <v/>
      </c>
      <c r="K3601" s="516" t="n"/>
      <c r="L3601" s="516">
        <f>L3600+G3601-K3601</f>
        <v/>
      </c>
    </row>
    <row r="3602">
      <c r="B3602" s="1" t="n">
        <v>9</v>
      </c>
      <c r="C3602" s="24" t="n">
        <v>45323</v>
      </c>
      <c r="D3602" s="24" t="n">
        <v>45351</v>
      </c>
      <c r="E3602" s="25">
        <f>D3602-C3602+1</f>
        <v/>
      </c>
      <c r="F3602" s="319">
        <f>J3601</f>
        <v/>
      </c>
      <c r="G3602" s="319">
        <f>-PMT($D$3585/$D$3587,21,$F$3597,,0)</f>
        <v/>
      </c>
      <c r="H3602" s="319">
        <f>($D$3585/$D$3587*F3602)</f>
        <v/>
      </c>
      <c r="I3602" s="319">
        <f>G3602-H3602</f>
        <v/>
      </c>
      <c r="J3602" s="319">
        <f>F3602-I3602</f>
        <v/>
      </c>
      <c r="K3602" s="516" t="n">
        <v>3800000</v>
      </c>
      <c r="L3602" s="516">
        <f>L3601+G3602-K3602</f>
        <v/>
      </c>
    </row>
    <row r="3603">
      <c r="B3603" s="1" t="n">
        <v>10</v>
      </c>
      <c r="C3603" s="24" t="n">
        <v>45352</v>
      </c>
      <c r="D3603" s="24" t="n">
        <v>45382</v>
      </c>
      <c r="E3603" s="25">
        <f>D3603-C3603+1</f>
        <v/>
      </c>
      <c r="F3603" s="319">
        <f>J3602</f>
        <v/>
      </c>
      <c r="G3603" s="319">
        <f>-PMT($D$3585/$D$3587,21,$F$3597,,0)</f>
        <v/>
      </c>
      <c r="H3603" s="319">
        <f>($D$3585/$D$3587*F3603)</f>
        <v/>
      </c>
      <c r="I3603" s="319">
        <f>G3603-H3603</f>
        <v/>
      </c>
      <c r="J3603" s="319">
        <f>F3603-I3603</f>
        <v/>
      </c>
      <c r="K3603" s="516" t="n"/>
      <c r="L3603" s="516">
        <f>L3602+G3603-K3603</f>
        <v/>
      </c>
    </row>
    <row r="3604">
      <c r="B3604" s="1" t="n">
        <v>11</v>
      </c>
      <c r="C3604" s="24" t="n">
        <v>45383</v>
      </c>
      <c r="D3604" s="24" t="n">
        <v>45412</v>
      </c>
      <c r="E3604" s="25">
        <f>D3604-C3604+1</f>
        <v/>
      </c>
      <c r="F3604" s="319">
        <f>J3603</f>
        <v/>
      </c>
      <c r="G3604" s="319">
        <f>-PMT($D$3585/$D$3587,21,$F$3597,,0)</f>
        <v/>
      </c>
      <c r="H3604" s="319">
        <f>($D$3585/$D$3587*F3604)</f>
        <v/>
      </c>
      <c r="I3604" s="319">
        <f>G3604-H3604</f>
        <v/>
      </c>
      <c r="J3604" s="319">
        <f>F3604-I3604</f>
        <v/>
      </c>
      <c r="K3604" s="516" t="n"/>
      <c r="L3604" s="516">
        <f>L3603+G3604-K3604</f>
        <v/>
      </c>
    </row>
    <row r="3605">
      <c r="B3605" s="1" t="n">
        <v>12</v>
      </c>
      <c r="C3605" s="24" t="n">
        <v>45413</v>
      </c>
      <c r="D3605" s="24" t="n">
        <v>45443</v>
      </c>
      <c r="E3605" s="25">
        <f>D3605-C3605+1</f>
        <v/>
      </c>
      <c r="F3605" s="319">
        <f>J3604</f>
        <v/>
      </c>
      <c r="G3605" s="319">
        <f>-PMT($D$3585/$D$3587,21,$F$3597,,0)</f>
        <v/>
      </c>
      <c r="H3605" s="319">
        <f>($D$3585/$D$3587*F3605)</f>
        <v/>
      </c>
      <c r="I3605" s="319">
        <f>G3605-H3605</f>
        <v/>
      </c>
      <c r="J3605" s="319">
        <f>F3605-I3605</f>
        <v/>
      </c>
      <c r="K3605" s="516">
        <f>1062650+1400000+5000000+900000+710000</f>
        <v/>
      </c>
      <c r="L3605" s="516">
        <f>L3604+G3605-K3605</f>
        <v/>
      </c>
    </row>
    <row r="3606">
      <c r="B3606" s="1" t="n">
        <v>13</v>
      </c>
      <c r="C3606" s="24" t="n">
        <v>45444</v>
      </c>
      <c r="D3606" s="24" t="n">
        <v>45473</v>
      </c>
      <c r="E3606" s="25">
        <f>D3606-C3606+1</f>
        <v/>
      </c>
      <c r="F3606" s="319">
        <f>J3605</f>
        <v/>
      </c>
      <c r="G3606" s="319">
        <f>-PMT($D$3585/$D$3587,21,$F$3597,,0)</f>
        <v/>
      </c>
      <c r="H3606" s="319">
        <f>($D$3585/$D$3587*F3606)</f>
        <v/>
      </c>
      <c r="I3606" s="319">
        <f>G3606-H3606</f>
        <v/>
      </c>
      <c r="J3606" s="319">
        <f>F3606-I3606</f>
        <v/>
      </c>
      <c r="K3606" s="516" t="n">
        <v>1600000</v>
      </c>
      <c r="L3606" s="516">
        <f>L3605+G3606-K3606</f>
        <v/>
      </c>
    </row>
    <row r="3607">
      <c r="B3607" s="1" t="n">
        <v>14</v>
      </c>
      <c r="C3607" s="24" t="n">
        <v>45474</v>
      </c>
      <c r="D3607" s="24" t="n">
        <v>45504</v>
      </c>
      <c r="E3607" s="25">
        <f>D3607-C3607+1</f>
        <v/>
      </c>
      <c r="F3607" s="319">
        <f>J3606</f>
        <v/>
      </c>
      <c r="G3607" s="319">
        <f>-PMT($D$3585/$D$3587,21,$F$3597,,0)</f>
        <v/>
      </c>
      <c r="H3607" s="319">
        <f>($D$3585/$D$3587*F3607)</f>
        <v/>
      </c>
      <c r="I3607" s="319">
        <f>G3607-H3607</f>
        <v/>
      </c>
      <c r="J3607" s="319">
        <f>F3607-I3607</f>
        <v/>
      </c>
      <c r="K3607" s="516" t="n"/>
      <c r="L3607" s="516">
        <f>L3606+G3607-K3607</f>
        <v/>
      </c>
    </row>
    <row r="3608">
      <c r="B3608" s="1" t="n">
        <v>15</v>
      </c>
      <c r="C3608" s="24" t="n">
        <v>45505</v>
      </c>
      <c r="D3608" s="24" t="n">
        <v>45535</v>
      </c>
      <c r="E3608" s="25">
        <f>D3608-C3608+1</f>
        <v/>
      </c>
      <c r="F3608" s="319">
        <f>J3607</f>
        <v/>
      </c>
      <c r="G3608" s="319">
        <f>-PMT($D$3585/$D$3587,21,$F$3597,,0)</f>
        <v/>
      </c>
      <c r="H3608" s="319">
        <f>($D$3585/$D$3587*F3608)</f>
        <v/>
      </c>
      <c r="I3608" s="319">
        <f>G3608-H3608</f>
        <v/>
      </c>
      <c r="J3608" s="319">
        <f>F3608-I3608</f>
        <v/>
      </c>
      <c r="K3608" s="516" t="n"/>
      <c r="L3608" s="516">
        <f>L3607+G3608-K3608</f>
        <v/>
      </c>
    </row>
    <row r="3609">
      <c r="B3609" s="1" t="n">
        <v>16</v>
      </c>
      <c r="C3609" s="24" t="n">
        <v>45536</v>
      </c>
      <c r="D3609" s="24" t="n">
        <v>45565</v>
      </c>
      <c r="E3609" s="25">
        <f>D3609-C3609+1</f>
        <v/>
      </c>
      <c r="F3609" s="319">
        <f>J3608</f>
        <v/>
      </c>
      <c r="G3609" s="319">
        <f>-PMT($D$3585/$D$3587,21,$F$3597,,0)</f>
        <v/>
      </c>
      <c r="H3609" s="319">
        <f>($D$3585/$D$3587*F3609)</f>
        <v/>
      </c>
      <c r="I3609" s="319">
        <f>G3609-H3609</f>
        <v/>
      </c>
      <c r="J3609" s="319">
        <f>F3609-I3609</f>
        <v/>
      </c>
      <c r="K3609" s="516" t="n"/>
      <c r="L3609" s="516">
        <f>L3608+G3609-K3609</f>
        <v/>
      </c>
    </row>
    <row r="3610">
      <c r="B3610" s="1" t="n">
        <v>17</v>
      </c>
      <c r="C3610" s="24" t="n">
        <v>45566</v>
      </c>
      <c r="D3610" s="24" t="n">
        <v>45596</v>
      </c>
      <c r="E3610" s="25">
        <f>D3610-C3610+1</f>
        <v/>
      </c>
      <c r="F3610" s="319">
        <f>J3609</f>
        <v/>
      </c>
      <c r="G3610" s="319">
        <f>-PMT($D$3585/$D$3587,21,$F$3597,,0)</f>
        <v/>
      </c>
      <c r="H3610" s="319">
        <f>($D$3585/$D$3587*F3610)</f>
        <v/>
      </c>
      <c r="I3610" s="319">
        <f>G3610-H3610</f>
        <v/>
      </c>
      <c r="J3610" s="319">
        <f>F3610-I3610</f>
        <v/>
      </c>
      <c r="K3610" s="516" t="n">
        <v>3200000</v>
      </c>
      <c r="L3610" s="523">
        <f>L3609+G3610-K3610</f>
        <v/>
      </c>
    </row>
    <row r="3611">
      <c r="B3611" s="1" t="n">
        <v>18</v>
      </c>
      <c r="C3611" s="24" t="n">
        <v>45597</v>
      </c>
      <c r="D3611" s="24" t="n">
        <v>45626</v>
      </c>
      <c r="E3611" s="25">
        <f>D3611-C3611+1</f>
        <v/>
      </c>
      <c r="F3611" s="319">
        <f>J3610</f>
        <v/>
      </c>
      <c r="G3611" s="319">
        <f>-PMT($D$3585/$D$3587,21,$F$3597,,0)</f>
        <v/>
      </c>
      <c r="H3611" s="319">
        <f>($D$3585/$D$3587*F3611)</f>
        <v/>
      </c>
      <c r="I3611" s="319">
        <f>G3611-H3611</f>
        <v/>
      </c>
      <c r="J3611" s="319">
        <f>F3611-I3611</f>
        <v/>
      </c>
      <c r="K3611" s="516" t="n"/>
      <c r="L3611" s="516" t="n"/>
    </row>
    <row r="3612">
      <c r="B3612" s="1" t="n">
        <v>19</v>
      </c>
      <c r="C3612" s="24" t="n">
        <v>45627</v>
      </c>
      <c r="D3612" s="24" t="n">
        <v>45657</v>
      </c>
      <c r="E3612" s="25">
        <f>D3612-C3612+1</f>
        <v/>
      </c>
      <c r="F3612" s="319">
        <f>J3611</f>
        <v/>
      </c>
      <c r="G3612" s="319">
        <f>-PMT($D$3585/$D$3587,21,$F$3597,,0)</f>
        <v/>
      </c>
      <c r="H3612" s="319">
        <f>($D$3585/$D$3587*F3612)</f>
        <v/>
      </c>
      <c r="I3612" s="319">
        <f>G3612-H3612</f>
        <v/>
      </c>
      <c r="J3612" s="319">
        <f>F3612-I3612</f>
        <v/>
      </c>
      <c r="K3612" s="516" t="n"/>
      <c r="L3612" s="516" t="n"/>
    </row>
    <row r="3613">
      <c r="B3613" s="1" t="n">
        <v>20</v>
      </c>
      <c r="C3613" s="24" t="n">
        <v>45658</v>
      </c>
      <c r="D3613" s="24" t="n">
        <v>45688</v>
      </c>
      <c r="E3613" s="25">
        <f>D3613-C3613+1</f>
        <v/>
      </c>
      <c r="F3613" s="319">
        <f>J3612</f>
        <v/>
      </c>
      <c r="G3613" s="319">
        <f>-PMT($D$3585/$D$3587,21,$F$3597,,0)</f>
        <v/>
      </c>
      <c r="H3613" s="319">
        <f>($D$3585/$D$3587*F3613)</f>
        <v/>
      </c>
      <c r="I3613" s="319">
        <f>G3613-H3613</f>
        <v/>
      </c>
      <c r="J3613" s="319">
        <f>F3613-I3613</f>
        <v/>
      </c>
      <c r="K3613" s="516" t="n"/>
      <c r="L3613" s="516" t="n"/>
    </row>
    <row r="3614">
      <c r="B3614" s="1" t="n">
        <v>21</v>
      </c>
      <c r="C3614" s="24" t="n">
        <v>45689</v>
      </c>
      <c r="D3614" s="24" t="n">
        <v>45716</v>
      </c>
      <c r="E3614" s="25">
        <f>D3614-C3614+1</f>
        <v/>
      </c>
      <c r="F3614" s="319">
        <f>J3613</f>
        <v/>
      </c>
      <c r="G3614" s="319">
        <f>-PMT($D$3585/$D$3587,21,$F$3597,,0)</f>
        <v/>
      </c>
      <c r="H3614" s="319">
        <f>($D$3585/$D$3587*F3614)</f>
        <v/>
      </c>
      <c r="I3614" s="319">
        <f>G3614-H3614</f>
        <v/>
      </c>
      <c r="J3614" s="319">
        <f>F3614-I3614</f>
        <v/>
      </c>
      <c r="K3614" s="516" t="n"/>
      <c r="L3614" s="516" t="n"/>
    </row>
    <row r="3615">
      <c r="B3615" s="1" t="n">
        <v>22</v>
      </c>
      <c r="C3615" s="24" t="n">
        <v>45717</v>
      </c>
      <c r="D3615" s="24" t="n">
        <v>45747</v>
      </c>
      <c r="E3615" s="25">
        <f>D3615-C3615+1</f>
        <v/>
      </c>
      <c r="F3615" s="319">
        <f>J3614</f>
        <v/>
      </c>
      <c r="G3615" s="319">
        <f>-PMT($D$3585/$D$3587,21,$F$3597,,0)</f>
        <v/>
      </c>
      <c r="H3615" s="319">
        <f>($D$3585/$D$3587*F3615)</f>
        <v/>
      </c>
      <c r="I3615" s="319">
        <f>G3615-H3615</f>
        <v/>
      </c>
      <c r="J3615" s="319">
        <f>F3615-I3615</f>
        <v/>
      </c>
      <c r="K3615" s="516" t="n"/>
      <c r="L3615" s="516" t="n"/>
    </row>
    <row r="3616">
      <c r="B3616" s="1" t="n">
        <v>23</v>
      </c>
      <c r="C3616" s="24" t="n">
        <v>45748</v>
      </c>
      <c r="D3616" s="24" t="n">
        <v>45777</v>
      </c>
      <c r="E3616" s="25">
        <f>D3616-C3616+1</f>
        <v/>
      </c>
      <c r="F3616" s="319">
        <f>J3615</f>
        <v/>
      </c>
      <c r="G3616" s="319">
        <f>-PMT($D$3585/$D$3587,21,$F$3597,,0)</f>
        <v/>
      </c>
      <c r="H3616" s="319">
        <f>($D$3585/$D$3587*F3616)</f>
        <v/>
      </c>
      <c r="I3616" s="319">
        <f>G3616-H3616</f>
        <v/>
      </c>
      <c r="J3616" s="319">
        <f>F3616-I3616</f>
        <v/>
      </c>
      <c r="K3616" s="516" t="n"/>
      <c r="L3616" s="516" t="n"/>
    </row>
    <row r="3617">
      <c r="B3617" s="1" t="n">
        <v>24</v>
      </c>
      <c r="C3617" s="24" t="n">
        <v>45778</v>
      </c>
      <c r="D3617" s="24" t="n">
        <v>45808</v>
      </c>
      <c r="E3617" s="25">
        <f>D3617-C3617+1</f>
        <v/>
      </c>
      <c r="F3617" s="319">
        <f>J3616</f>
        <v/>
      </c>
      <c r="G3617" s="319">
        <f>-PMT($D$3585/$D$3587,21,$F$3597,,0)</f>
        <v/>
      </c>
      <c r="H3617" s="319">
        <f>($D$3585/$D$3587*F3617)</f>
        <v/>
      </c>
      <c r="I3617" s="319">
        <f>G3617-H3617</f>
        <v/>
      </c>
      <c r="J3617" s="319">
        <f>F3617-I3617</f>
        <v/>
      </c>
    </row>
    <row r="3619">
      <c r="E3619" s="283">
        <f>SUM(E3593:E3618)</f>
        <v/>
      </c>
    </row>
    <row r="3626">
      <c r="B3626" s="1" t="n"/>
      <c r="C3626" s="9" t="inlineStr">
        <is>
          <t>The Food Empire</t>
        </is>
      </c>
      <c r="D3626" s="319" t="n"/>
      <c r="E3626" s="319" t="n"/>
      <c r="F3626" s="319" t="n"/>
      <c r="G3626" s="319" t="n"/>
      <c r="H3626" s="319" t="n"/>
      <c r="I3626" s="319" t="n"/>
      <c r="J3626" s="319" t="n"/>
      <c r="K3626" s="319" t="n"/>
      <c r="L3626" s="319" t="n"/>
      <c r="R3626" s="514" t="inlineStr">
        <is>
          <t>E-Banker account (Dupleix)</t>
        </is>
      </c>
      <c r="S3626" s="495">
        <f>IFERROR(INDEX('Blocks'!$I$2:$I$101,MATCH(66,'Blocks'!$A$2:$A$101,0)),"")</f>
        <v/>
      </c>
    </row>
    <row r="3627">
      <c r="B3627" s="1" t="n"/>
      <c r="C3627" s="1" t="n"/>
      <c r="D3627" s="319" t="n"/>
      <c r="E3627" s="319" t="n"/>
      <c r="F3627" s="319" t="n"/>
      <c r="G3627" s="319" t="n"/>
      <c r="H3627" s="319" t="n"/>
      <c r="I3627" s="319" t="n"/>
      <c r="J3627" s="319" t="n"/>
      <c r="K3627" s="319" t="n"/>
      <c r="L3627" s="319" t="n"/>
      <c r="R3627" s="514" t="inlineStr">
        <is>
          <t>Facility (Loan Book)</t>
        </is>
      </c>
      <c r="S3627" s="495">
        <f>IFERROR(INDEX('Blocks'!$H$2:$H$101,MATCH(66,'Blocks'!$A$2:$A$101,0)),"")</f>
        <v/>
      </c>
    </row>
    <row r="3628">
      <c r="B3628" s="1" t="n"/>
      <c r="C3628" s="10" t="inlineStr">
        <is>
          <t>Principal (MK)</t>
        </is>
      </c>
      <c r="D3628" s="11" t="n">
        <v>250000000</v>
      </c>
      <c r="E3628" s="319" t="n"/>
      <c r="F3628" s="319" t="n"/>
      <c r="G3628" s="319" t="n"/>
      <c r="H3628" s="319" t="n"/>
      <c r="I3628" s="319" t="n"/>
      <c r="J3628" s="319" t="n"/>
      <c r="K3628" s="319" t="n"/>
      <c r="L3628" s="319" t="n"/>
      <c r="R3628" s="514" t="inlineStr">
        <is>
          <t>Take-on posting 31 Jul 2024</t>
        </is>
      </c>
      <c r="S3628" s="496">
        <f>IFERROR(INDEX('E-Banker master'!$N$2:$N$186,MATCH(S3626,'E-Banker master'!$A$2:$A$186,0)),"")</f>
        <v/>
      </c>
    </row>
    <row r="3629">
      <c r="B3629" s="1" t="n"/>
      <c r="C3629" s="13" t="inlineStr">
        <is>
          <t>Rate</t>
        </is>
      </c>
      <c r="D3629" s="14" t="n">
        <v>0.1</v>
      </c>
      <c r="E3629" s="257" t="n"/>
      <c r="F3629" s="319" t="n"/>
      <c r="G3629" s="319" t="n"/>
      <c r="H3629" s="319" t="n"/>
      <c r="I3629" s="319" t="n"/>
      <c r="J3629" s="319" t="n"/>
      <c r="K3629" s="319" t="n"/>
      <c r="L3629" s="319" t="n"/>
      <c r="R3629" s="514" t="inlineStr">
        <is>
          <t>E-Banker balance 31 Oct 2024</t>
        </is>
      </c>
      <c r="S3629" s="496">
        <f>IFERROR(INDEX('E-Banker master'!$P$2:$P$186,MATCH(S3626,'E-Banker master'!$A$2:$A$186,0)),"")</f>
        <v/>
      </c>
    </row>
    <row r="3630">
      <c r="B3630" s="1" t="n"/>
      <c r="C3630" s="13" t="inlineStr">
        <is>
          <t>n</t>
        </is>
      </c>
      <c r="D3630" s="16" t="n">
        <v>4</v>
      </c>
      <c r="E3630" s="1" t="n"/>
      <c r="F3630" s="319" t="n"/>
      <c r="G3630" s="319" t="n"/>
      <c r="H3630" s="319" t="n"/>
      <c r="I3630" s="319" t="n"/>
      <c r="J3630" s="319" t="n"/>
      <c r="K3630" s="1" t="n"/>
      <c r="L3630" s="1" t="n"/>
    </row>
    <row r="3631">
      <c r="B3631" s="1" t="n"/>
      <c r="C3631" s="13" t="inlineStr">
        <is>
          <t>Per</t>
        </is>
      </c>
      <c r="D3631" s="16" t="n">
        <v>12</v>
      </c>
      <c r="E3631" s="1" t="n"/>
      <c r="F3631" s="319" t="n"/>
      <c r="G3631" s="319" t="n"/>
      <c r="H3631" s="319" t="n"/>
      <c r="I3631" s="319" t="n"/>
      <c r="J3631" s="319" t="n"/>
      <c r="K3631" s="1" t="n"/>
      <c r="L3631" s="1" t="n"/>
    </row>
    <row r="3632">
      <c r="B3632" s="1" t="n"/>
      <c r="C3632" s="13" t="inlineStr">
        <is>
          <t>nPer</t>
        </is>
      </c>
      <c r="D3632" s="515">
        <f>D3630*D3631</f>
        <v/>
      </c>
      <c r="E3632" s="1" t="n"/>
      <c r="F3632" s="319" t="n"/>
      <c r="G3632" s="319" t="n"/>
      <c r="H3632" s="319" t="n"/>
      <c r="I3632" s="319" t="n"/>
      <c r="J3632" s="319" t="n"/>
      <c r="K3632" s="27">
        <f>D3628+H3637+H3638-K3637-K3638</f>
        <v/>
      </c>
      <c r="L3632" s="1" t="n"/>
    </row>
    <row r="3633">
      <c r="B3633" s="1" t="n"/>
      <c r="C3633" s="13" t="inlineStr">
        <is>
          <t>Days in a year</t>
        </is>
      </c>
      <c r="D3633" s="18" t="n">
        <v>365</v>
      </c>
      <c r="E3633" s="1" t="n"/>
      <c r="F3633" s="319" t="n"/>
      <c r="G3633" s="319" t="n"/>
      <c r="H3633" s="319" t="n"/>
      <c r="I3633" s="319" t="n"/>
      <c r="J3633" s="319" t="n"/>
      <c r="K3633" s="1" t="n"/>
      <c r="L3633" s="1" t="n"/>
    </row>
    <row r="3634">
      <c r="B3634" s="1" t="n"/>
      <c r="C3634" s="19" t="inlineStr">
        <is>
          <t>Pmt (MK)</t>
        </is>
      </c>
      <c r="D3634" s="20">
        <f>-PMT(D3629/D3631,D3632,D3628,0,0)</f>
        <v/>
      </c>
      <c r="E3634" s="319" t="n"/>
      <c r="F3634" s="319" t="n"/>
      <c r="G3634" s="319" t="n"/>
      <c r="H3634" s="319" t="n"/>
      <c r="I3634" s="319" t="n"/>
      <c r="J3634" s="319" t="n"/>
      <c r="K3634" s="1" t="n"/>
      <c r="L3634" s="1" t="n"/>
    </row>
    <row r="3635">
      <c r="B3635" s="1" t="n"/>
      <c r="C3635" s="1" t="n"/>
      <c r="D3635" s="319" t="n"/>
      <c r="E3635" s="319" t="n"/>
      <c r="F3635" s="319" t="n"/>
      <c r="G3635" s="319" t="n"/>
      <c r="H3635" s="319" t="n"/>
      <c r="I3635" s="319" t="n"/>
      <c r="J3635" s="319" t="n"/>
      <c r="K3635" s="1" t="n"/>
      <c r="L3635" s="1" t="n"/>
    </row>
    <row r="3636">
      <c r="B3636" s="1" t="n"/>
      <c r="C3636" s="21" t="inlineStr">
        <is>
          <t>Period Start</t>
        </is>
      </c>
      <c r="D3636" s="22" t="inlineStr">
        <is>
          <t>Period End</t>
        </is>
      </c>
      <c r="E3636" s="22" t="inlineStr">
        <is>
          <t>Days</t>
        </is>
      </c>
      <c r="F3636" s="294" t="inlineStr">
        <is>
          <t>Opening bal.</t>
        </is>
      </c>
      <c r="G3636" s="294" t="inlineStr">
        <is>
          <t>Pmt</t>
        </is>
      </c>
      <c r="H3636" s="294" t="inlineStr">
        <is>
          <t>Interest</t>
        </is>
      </c>
      <c r="I3636" s="294" t="inlineStr">
        <is>
          <t>Principal</t>
        </is>
      </c>
      <c r="J3636" s="294" t="inlineStr">
        <is>
          <t>Closing balance</t>
        </is>
      </c>
      <c r="K3636" s="23" t="inlineStr">
        <is>
          <t>Amount Repaid</t>
        </is>
      </c>
      <c r="L3636" s="23" t="inlineStr">
        <is>
          <t>Accumulated Arrears</t>
        </is>
      </c>
    </row>
    <row r="3637">
      <c r="B3637" s="1" t="n">
        <v>0</v>
      </c>
      <c r="C3637" s="24" t="n">
        <v>45117</v>
      </c>
      <c r="D3637" s="24" t="n">
        <v>45138</v>
      </c>
      <c r="E3637" s="25">
        <f>D3637-C3637+1</f>
        <v/>
      </c>
      <c r="F3637" s="319">
        <f>D3628</f>
        <v/>
      </c>
      <c r="G3637" s="319" t="n"/>
      <c r="H3637" s="319">
        <f>($D$3629/$D$3631*F3637*E3637/31)</f>
        <v/>
      </c>
      <c r="I3637" s="319">
        <f>-H3637</f>
        <v/>
      </c>
      <c r="J3637" s="319">
        <f>F3637-I3637</f>
        <v/>
      </c>
      <c r="K3637" s="516" t="n">
        <v>6853544.7</v>
      </c>
      <c r="L3637" s="516" t="n"/>
    </row>
    <row r="3638">
      <c r="B3638" s="1" t="n">
        <v>1</v>
      </c>
      <c r="C3638" s="24" t="n">
        <v>45139</v>
      </c>
      <c r="D3638" s="24" t="n">
        <v>45169</v>
      </c>
      <c r="E3638" s="25">
        <f>D3638-C3638+1</f>
        <v/>
      </c>
      <c r="F3638" s="319">
        <f>J3637</f>
        <v/>
      </c>
      <c r="G3638" s="319" t="n"/>
      <c r="H3638" s="319">
        <f>($D$3629/$D$3631*F3638)</f>
        <v/>
      </c>
      <c r="I3638" s="319">
        <f>-H3638</f>
        <v/>
      </c>
      <c r="J3638" s="319">
        <f>F3638-I3638</f>
        <v/>
      </c>
      <c r="K3638" s="516" t="n">
        <v>6853544.7</v>
      </c>
    </row>
    <row r="3639">
      <c r="B3639" s="1" t="n">
        <v>2</v>
      </c>
      <c r="C3639" s="24">
        <f>+C3638+31</f>
        <v/>
      </c>
      <c r="D3639" s="24">
        <f>+C3639+29</f>
        <v/>
      </c>
      <c r="E3639" s="25">
        <f>D3639-C3639+1</f>
        <v/>
      </c>
      <c r="F3639" s="319">
        <f>J3638</f>
        <v/>
      </c>
      <c r="G3639" s="319" t="n"/>
      <c r="H3639" s="319">
        <f>($D$3629/$D$3631*F3639)</f>
        <v/>
      </c>
      <c r="I3639" s="319">
        <f>-H3639</f>
        <v/>
      </c>
      <c r="J3639" s="319">
        <f>F3639-I3639</f>
        <v/>
      </c>
      <c r="K3639" s="516" t="n">
        <v>6853544.7</v>
      </c>
      <c r="L3639" s="516" t="n"/>
    </row>
    <row r="3640">
      <c r="B3640" s="1" t="n">
        <v>3</v>
      </c>
      <c r="C3640" s="24">
        <f>+C3639+30</f>
        <v/>
      </c>
      <c r="D3640" s="24" t="n">
        <v>45230</v>
      </c>
      <c r="E3640" s="25">
        <f>D3640-C3640+1</f>
        <v/>
      </c>
      <c r="F3640" s="319">
        <f>J3639</f>
        <v/>
      </c>
      <c r="G3640" s="319" t="n"/>
      <c r="H3640" s="319">
        <f>($D$3629/$D$3631*F3640)</f>
        <v/>
      </c>
      <c r="I3640" s="319">
        <f>G3640-H3640</f>
        <v/>
      </c>
      <c r="J3640" s="319">
        <f>F3640-I3640</f>
        <v/>
      </c>
      <c r="K3640" s="516" t="n">
        <v>6853544.7</v>
      </c>
      <c r="L3640" s="516" t="n"/>
    </row>
    <row r="3641">
      <c r="B3641" s="1" t="n">
        <v>4</v>
      </c>
      <c r="C3641" s="24">
        <f>+C3640+31</f>
        <v/>
      </c>
      <c r="D3641" s="24" t="n">
        <v>45260</v>
      </c>
      <c r="E3641" s="25">
        <f>D3641-C3641+1</f>
        <v/>
      </c>
      <c r="F3641" s="319">
        <f>J3640</f>
        <v/>
      </c>
      <c r="G3641" s="319">
        <f>-PMT($D$3629/$D$3631,45,$F$3641,,0)</f>
        <v/>
      </c>
      <c r="H3641" s="319">
        <f>($D$3629/$D$3631*F3641)</f>
        <v/>
      </c>
      <c r="I3641" s="319">
        <f>G3641-H3641</f>
        <v/>
      </c>
      <c r="J3641" s="319">
        <f>F3641-I3641</f>
        <v/>
      </c>
      <c r="K3641" s="516" t="n">
        <v>6853544.7</v>
      </c>
      <c r="L3641" s="516" t="n"/>
    </row>
    <row r="3642">
      <c r="B3642" s="1" t="n">
        <v>5</v>
      </c>
      <c r="C3642" s="24">
        <f>+C3641+30</f>
        <v/>
      </c>
      <c r="D3642" s="24" t="n">
        <v>45291</v>
      </c>
      <c r="E3642" s="25">
        <f>D3642-C3642+1</f>
        <v/>
      </c>
      <c r="F3642" s="319">
        <f>J3641</f>
        <v/>
      </c>
      <c r="G3642" s="319">
        <f>-PMT($D$3629/$D$3631,45,$F$3641,,0)</f>
        <v/>
      </c>
      <c r="H3642" s="319">
        <f>($D$3629/$D$3631*F3642)</f>
        <v/>
      </c>
      <c r="I3642" s="319">
        <f>G3642-H3642</f>
        <v/>
      </c>
      <c r="J3642" s="319">
        <f>F3642-I3642</f>
        <v/>
      </c>
      <c r="K3642" s="516" t="n">
        <v>6853544.7</v>
      </c>
      <c r="L3642" s="519" t="n"/>
    </row>
    <row r="3643">
      <c r="B3643" s="1" t="n">
        <v>6</v>
      </c>
      <c r="C3643" s="24">
        <f>+C3642+31</f>
        <v/>
      </c>
      <c r="D3643" s="24">
        <f>+C3643+30</f>
        <v/>
      </c>
      <c r="E3643" s="25">
        <f>D3643-C3643+1</f>
        <v/>
      </c>
      <c r="F3643" s="319">
        <f>J3642</f>
        <v/>
      </c>
      <c r="G3643" s="319">
        <f>-PMT($D$3629/$D$3631,45,$F$3641,,0)</f>
        <v/>
      </c>
      <c r="H3643" s="319">
        <f>($D$3629/$D$3631*F3643)</f>
        <v/>
      </c>
      <c r="I3643" s="319">
        <f>G3643-H3643</f>
        <v/>
      </c>
      <c r="J3643" s="319">
        <f>F3643-I3643</f>
        <v/>
      </c>
      <c r="K3643" s="516" t="n">
        <v>6853544.7</v>
      </c>
    </row>
    <row r="3644">
      <c r="B3644" s="1" t="n">
        <v>7</v>
      </c>
      <c r="C3644" s="24">
        <f>+C3643+31</f>
        <v/>
      </c>
      <c r="D3644" s="24">
        <f>+C3644+28</f>
        <v/>
      </c>
      <c r="E3644" s="25">
        <f>D3644-C3644+1</f>
        <v/>
      </c>
      <c r="F3644" s="319">
        <f>J3643</f>
        <v/>
      </c>
      <c r="G3644" s="319">
        <f>-PMT($D$3629/$D$3631,45,$F$3641,,0)</f>
        <v/>
      </c>
      <c r="H3644" s="319">
        <f>($D$3629/$D$3631*F3644)</f>
        <v/>
      </c>
      <c r="I3644" s="319">
        <f>G3644-H3644</f>
        <v/>
      </c>
      <c r="J3644" s="319">
        <f>F3644-I3644</f>
        <v/>
      </c>
      <c r="K3644" s="516" t="n">
        <v>6121038.13</v>
      </c>
      <c r="L3644" s="516" t="n"/>
    </row>
    <row r="3645">
      <c r="B3645" s="1" t="n">
        <v>8</v>
      </c>
      <c r="C3645" s="24">
        <f>+C3644+29</f>
        <v/>
      </c>
      <c r="D3645" s="24">
        <f>+C3645+30</f>
        <v/>
      </c>
      <c r="E3645" s="25">
        <f>D3645-C3645+1</f>
        <v/>
      </c>
      <c r="F3645" s="319">
        <f>J3644</f>
        <v/>
      </c>
      <c r="G3645" s="319">
        <f>-PMT($D$3629/$D$3631,45,$F$3641,,0)</f>
        <v/>
      </c>
      <c r="H3645" s="319">
        <f>($D$3629/$D$3631*F3645)</f>
        <v/>
      </c>
      <c r="I3645" s="319">
        <f>G3645-H3645</f>
        <v/>
      </c>
      <c r="J3645" s="319">
        <f>F3645-I3645</f>
        <v/>
      </c>
      <c r="K3645" s="516" t="n">
        <v>6121038.13</v>
      </c>
      <c r="L3645" s="516" t="n"/>
    </row>
    <row r="3646">
      <c r="B3646" s="1" t="n">
        <v>9</v>
      </c>
      <c r="C3646" s="24">
        <f>+C3645+31</f>
        <v/>
      </c>
      <c r="D3646" s="24">
        <f>+C3646+29</f>
        <v/>
      </c>
      <c r="E3646" s="25">
        <f>D3646-C3646+1</f>
        <v/>
      </c>
      <c r="F3646" s="319">
        <f>J3645</f>
        <v/>
      </c>
      <c r="G3646" s="319">
        <f>-PMT($D$3629/$D$3631,45,$F$3641,,0)</f>
        <v/>
      </c>
      <c r="H3646" s="319">
        <f>($D$3629/$D$3631*F3646)</f>
        <v/>
      </c>
      <c r="I3646" s="319">
        <f>G3646-H3646</f>
        <v/>
      </c>
      <c r="J3646" s="319">
        <f>F3646-I3646</f>
        <v/>
      </c>
      <c r="K3646" s="516" t="n">
        <v>6853544</v>
      </c>
      <c r="L3646" s="516" t="n"/>
    </row>
    <row r="3647">
      <c r="B3647" s="1" t="n">
        <v>10</v>
      </c>
      <c r="C3647" s="24">
        <f>+C3646+30</f>
        <v/>
      </c>
      <c r="D3647" s="24">
        <f>+C3647+30</f>
        <v/>
      </c>
      <c r="E3647" s="25">
        <f>D3647-C3647+1</f>
        <v/>
      </c>
      <c r="F3647" s="319">
        <f>J3646</f>
        <v/>
      </c>
      <c r="G3647" s="319">
        <f>-PMT($D$3629/$D$3631,45,$F$3641,,0)</f>
        <v/>
      </c>
      <c r="H3647" s="319">
        <f>($D$3629/$D$3631*F3647)</f>
        <v/>
      </c>
      <c r="I3647" s="319">
        <f>G3647-H3647</f>
        <v/>
      </c>
      <c r="J3647" s="319">
        <f>F3647-I3647</f>
        <v/>
      </c>
      <c r="K3647" s="516" t="n">
        <v>6853544</v>
      </c>
      <c r="L3647" s="516" t="n"/>
    </row>
    <row r="3648">
      <c r="B3648" s="1" t="n">
        <v>11</v>
      </c>
      <c r="C3648" s="24">
        <f>+C3647+31</f>
        <v/>
      </c>
      <c r="D3648" s="24">
        <f>+C3648+29</f>
        <v/>
      </c>
      <c r="E3648" s="25">
        <f>D3648-C3648+1</f>
        <v/>
      </c>
      <c r="F3648" s="319">
        <f>J3647</f>
        <v/>
      </c>
      <c r="G3648" s="319">
        <f>-PMT($D$3629/$D$3631,45,$F$3641,,0)</f>
        <v/>
      </c>
      <c r="H3648" s="319">
        <f>($D$3629/$D$3631*F3648)</f>
        <v/>
      </c>
      <c r="I3648" s="319">
        <f>G3648-H3648</f>
        <v/>
      </c>
      <c r="J3648" s="319">
        <f>F3648-I3648</f>
        <v/>
      </c>
      <c r="K3648" s="516" t="n">
        <v>0</v>
      </c>
      <c r="L3648" s="516" t="n"/>
    </row>
    <row r="3649">
      <c r="B3649" s="1" t="n">
        <v>12</v>
      </c>
      <c r="C3649" s="24">
        <f>+C3648+30</f>
        <v/>
      </c>
      <c r="D3649" s="24">
        <f>+C3649+30</f>
        <v/>
      </c>
      <c r="E3649" s="25">
        <f>D3649-C3649+1</f>
        <v/>
      </c>
      <c r="F3649" s="319">
        <f>J3648</f>
        <v/>
      </c>
      <c r="G3649" s="319">
        <f>-PMT($D$3629/$D$3631,45,$F$3641,,0)</f>
        <v/>
      </c>
      <c r="H3649" s="319">
        <f>($D$3629/$D$3631*F3649)</f>
        <v/>
      </c>
      <c r="I3649" s="319">
        <f>G3649-H3649</f>
        <v/>
      </c>
      <c r="J3649" s="319">
        <f>F3649-I3649</f>
        <v/>
      </c>
      <c r="K3649" s="516">
        <f>6853544.7+6853544.7</f>
        <v/>
      </c>
      <c r="L3649" s="516" t="n"/>
    </row>
    <row r="3650">
      <c r="B3650" s="1" t="n">
        <v>13</v>
      </c>
      <c r="C3650" s="24">
        <f>+C3649+31</f>
        <v/>
      </c>
      <c r="D3650" s="24">
        <f>+C3650+30</f>
        <v/>
      </c>
      <c r="E3650" s="25">
        <f>D3650-C3650+1</f>
        <v/>
      </c>
      <c r="F3650" s="319">
        <f>J3649</f>
        <v/>
      </c>
      <c r="G3650" s="319">
        <f>-PMT($D$3629/$D$3631,45,$F$3641,,0)</f>
        <v/>
      </c>
      <c r="H3650" s="319">
        <f>($D$3629/$D$3631*F3650)</f>
        <v/>
      </c>
      <c r="I3650" s="319">
        <f>G3650-H3650</f>
        <v/>
      </c>
      <c r="J3650" s="319">
        <f>F3650-I3650</f>
        <v/>
      </c>
      <c r="K3650" s="516" t="n">
        <v>6853544.7</v>
      </c>
      <c r="L3650" s="516" t="n"/>
    </row>
    <row r="3651">
      <c r="B3651" s="1" t="n">
        <v>14</v>
      </c>
      <c r="C3651" s="24">
        <f>+C3650+31</f>
        <v/>
      </c>
      <c r="D3651" s="24">
        <f>+C3651+29</f>
        <v/>
      </c>
      <c r="E3651" s="25">
        <f>D3651-C3651+1</f>
        <v/>
      </c>
      <c r="F3651" s="319">
        <f>J3650</f>
        <v/>
      </c>
      <c r="G3651" s="319">
        <f>-PMT($D$3629/$D$3631,45,$F$3641,,0)</f>
        <v/>
      </c>
      <c r="H3651" s="319">
        <f>($D$3629/$D$3631*F3651)</f>
        <v/>
      </c>
      <c r="I3651" s="319">
        <f>G3651-H3651</f>
        <v/>
      </c>
      <c r="J3651" s="319">
        <f>F3651-I3651</f>
        <v/>
      </c>
      <c r="K3651" s="516" t="n">
        <v>6853544.7</v>
      </c>
      <c r="L3651" s="516" t="n"/>
    </row>
    <row r="3652">
      <c r="B3652" s="1" t="n">
        <v>15</v>
      </c>
      <c r="C3652" s="24">
        <f>+C3651+30</f>
        <v/>
      </c>
      <c r="D3652" s="24">
        <f>+C3652+30</f>
        <v/>
      </c>
      <c r="E3652" s="25">
        <f>D3652-C3652+1</f>
        <v/>
      </c>
      <c r="F3652" s="319">
        <f>J3651</f>
        <v/>
      </c>
      <c r="G3652" s="319">
        <f>-PMT($D$3629/$D$3631,45,$F$3641,,0)</f>
        <v/>
      </c>
      <c r="H3652" s="319">
        <f>($D$3629/$D$3631*F3652)</f>
        <v/>
      </c>
      <c r="I3652" s="319">
        <f>G3652-H3652</f>
        <v/>
      </c>
      <c r="J3652" s="319">
        <f>F3652-I3652</f>
        <v/>
      </c>
      <c r="K3652" s="516" t="n">
        <v>6853544.7</v>
      </c>
      <c r="L3652" s="516" t="n"/>
    </row>
    <row r="3653">
      <c r="B3653" s="1" t="n">
        <v>16</v>
      </c>
      <c r="C3653" s="24">
        <f>+C3652+31</f>
        <v/>
      </c>
      <c r="D3653" s="24">
        <f>+C3653+29</f>
        <v/>
      </c>
      <c r="E3653" s="25">
        <f>D3653-C3653+1</f>
        <v/>
      </c>
      <c r="F3653" s="319">
        <f>J3652</f>
        <v/>
      </c>
      <c r="G3653" s="319">
        <f>-PMT($D$3629/$D$3631,45,$F$3641,,0)</f>
        <v/>
      </c>
      <c r="H3653" s="319">
        <f>($D$3629/$D$3631*F3653)</f>
        <v/>
      </c>
      <c r="I3653" s="319">
        <f>G3653-H3653</f>
        <v/>
      </c>
      <c r="J3653" s="319">
        <f>F3653-I3653</f>
        <v/>
      </c>
      <c r="K3653" s="516" t="n"/>
      <c r="L3653" s="516" t="n"/>
    </row>
    <row r="3654">
      <c r="B3654" s="1" t="n">
        <v>17</v>
      </c>
      <c r="C3654" s="24">
        <f>+C3653+30</f>
        <v/>
      </c>
      <c r="D3654" s="24">
        <f>+C3654+30</f>
        <v/>
      </c>
      <c r="E3654" s="25">
        <f>D3654-C3654+1</f>
        <v/>
      </c>
      <c r="F3654" s="319">
        <f>J3653</f>
        <v/>
      </c>
      <c r="G3654" s="319">
        <f>-PMT($D$3629/$D$3631,45,$F$3641,,0)</f>
        <v/>
      </c>
      <c r="H3654" s="319">
        <f>($D$3629/$D$3631*F3654)</f>
        <v/>
      </c>
      <c r="I3654" s="319">
        <f>G3654-H3654</f>
        <v/>
      </c>
      <c r="J3654" s="319">
        <f>F3654-I3654</f>
        <v/>
      </c>
      <c r="K3654" s="516" t="n"/>
      <c r="L3654" s="516" t="n"/>
    </row>
    <row r="3655">
      <c r="B3655" s="1" t="n">
        <v>18</v>
      </c>
      <c r="C3655" s="24">
        <f>+C3654+31</f>
        <v/>
      </c>
      <c r="D3655" s="24">
        <f>+C3655+30</f>
        <v/>
      </c>
      <c r="E3655" s="25">
        <f>D3655-C3655+1</f>
        <v/>
      </c>
      <c r="F3655" s="319">
        <f>J3654</f>
        <v/>
      </c>
      <c r="G3655" s="319">
        <f>-PMT($D$3629/$D$3631,45,$F$3641,,0)</f>
        <v/>
      </c>
      <c r="H3655" s="319">
        <f>($D$3629/$D$3631*F3655)</f>
        <v/>
      </c>
      <c r="I3655" s="319">
        <f>G3655-H3655</f>
        <v/>
      </c>
      <c r="J3655" s="319">
        <f>F3655-I3655</f>
        <v/>
      </c>
      <c r="K3655" s="516" t="n"/>
      <c r="L3655" s="516" t="n"/>
    </row>
    <row r="3656">
      <c r="B3656" s="1" t="n">
        <v>19</v>
      </c>
      <c r="C3656" s="24">
        <f>+C3655+31</f>
        <v/>
      </c>
      <c r="D3656" s="24">
        <f>+C3656+27</f>
        <v/>
      </c>
      <c r="E3656" s="25">
        <f>D3656-C3656+1</f>
        <v/>
      </c>
      <c r="F3656" s="319">
        <f>J3655</f>
        <v/>
      </c>
      <c r="G3656" s="319">
        <f>-PMT($D$3629/$D$3631,45,$F$3641,,0)</f>
        <v/>
      </c>
      <c r="H3656" s="319">
        <f>($D$3629/$D$3631*F3656)</f>
        <v/>
      </c>
      <c r="I3656" s="319">
        <f>G3656-H3656</f>
        <v/>
      </c>
      <c r="J3656" s="319">
        <f>F3656-I3656</f>
        <v/>
      </c>
      <c r="K3656" s="516" t="n"/>
      <c r="L3656" s="516" t="n"/>
    </row>
    <row r="3657">
      <c r="B3657" s="1" t="n">
        <v>20</v>
      </c>
      <c r="C3657" s="24">
        <f>+C3656+28</f>
        <v/>
      </c>
      <c r="D3657" s="24">
        <f>+C3657+30</f>
        <v/>
      </c>
      <c r="E3657" s="25">
        <f>D3657-C3657+1</f>
        <v/>
      </c>
      <c r="F3657" s="319">
        <f>J3656</f>
        <v/>
      </c>
      <c r="G3657" s="319">
        <f>-PMT($D$3629/$D$3631,45,$F$3641,,0)</f>
        <v/>
      </c>
      <c r="H3657" s="319">
        <f>($D$3629/$D$3631*F3657)</f>
        <v/>
      </c>
      <c r="I3657" s="319">
        <f>G3657-H3657</f>
        <v/>
      </c>
      <c r="J3657" s="319">
        <f>F3657-I3657</f>
        <v/>
      </c>
      <c r="K3657" s="516" t="n"/>
      <c r="L3657" s="516" t="n"/>
    </row>
    <row r="3658">
      <c r="B3658" s="1" t="n">
        <v>21</v>
      </c>
      <c r="C3658" s="24">
        <f>+C3657+31</f>
        <v/>
      </c>
      <c r="D3658" s="24">
        <f>+C3658+29</f>
        <v/>
      </c>
      <c r="E3658" s="25">
        <f>D3658-C3658+1</f>
        <v/>
      </c>
      <c r="F3658" s="319">
        <f>J3657</f>
        <v/>
      </c>
      <c r="G3658" s="319">
        <f>-PMT($D$3629/$D$3631,45,$F$3641,,0)</f>
        <v/>
      </c>
      <c r="H3658" s="319">
        <f>($D$3629/$D$3631*F3658)</f>
        <v/>
      </c>
      <c r="I3658" s="319">
        <f>G3658-H3658</f>
        <v/>
      </c>
      <c r="J3658" s="319">
        <f>F3658-I3658</f>
        <v/>
      </c>
      <c r="K3658" s="516" t="n"/>
      <c r="L3658" s="516" t="n"/>
    </row>
    <row r="3659">
      <c r="B3659" s="1" t="n">
        <v>22</v>
      </c>
      <c r="C3659" s="24">
        <f>+C3658+30</f>
        <v/>
      </c>
      <c r="D3659" s="24">
        <f>+C3659+30</f>
        <v/>
      </c>
      <c r="E3659" s="25">
        <f>D3659-C3659+1</f>
        <v/>
      </c>
      <c r="F3659" s="319">
        <f>J3658</f>
        <v/>
      </c>
      <c r="G3659" s="319">
        <f>-PMT($D$3629/$D$3631,45,$F$3641,,0)</f>
        <v/>
      </c>
      <c r="H3659" s="319">
        <f>($D$3629/$D$3631*F3659)</f>
        <v/>
      </c>
      <c r="I3659" s="319">
        <f>G3659-H3659</f>
        <v/>
      </c>
      <c r="J3659" s="319">
        <f>F3659-I3659</f>
        <v/>
      </c>
      <c r="K3659" s="516" t="n"/>
      <c r="L3659" s="516" t="n"/>
    </row>
    <row r="3660">
      <c r="B3660" s="1" t="n">
        <v>23</v>
      </c>
      <c r="C3660" s="24">
        <f>+C3659+31</f>
        <v/>
      </c>
      <c r="D3660" s="24">
        <f>+D3659+30</f>
        <v/>
      </c>
      <c r="E3660" s="25">
        <f>D3660-C3660+1</f>
        <v/>
      </c>
      <c r="F3660" s="319">
        <f>J3659</f>
        <v/>
      </c>
      <c r="G3660" s="319">
        <f>-PMT($D$3629/$D$3631,45,$F$3641,,0)</f>
        <v/>
      </c>
      <c r="H3660" s="319">
        <f>($D$3629/$D$3631*F3660)</f>
        <v/>
      </c>
      <c r="I3660" s="319">
        <f>G3660-H3660</f>
        <v/>
      </c>
      <c r="J3660" s="319">
        <f>F3660-I3660</f>
        <v/>
      </c>
      <c r="K3660" s="516" t="n"/>
      <c r="L3660" s="516" t="n"/>
    </row>
    <row r="3661">
      <c r="B3661" s="1">
        <f>+B3660+1</f>
        <v/>
      </c>
      <c r="C3661" s="24">
        <f>+C3660+30</f>
        <v/>
      </c>
      <c r="D3661" s="24">
        <f>+D3660+30</f>
        <v/>
      </c>
      <c r="E3661" s="25">
        <f>D3661-C3661+1</f>
        <v/>
      </c>
      <c r="F3661" s="319">
        <f>J3660</f>
        <v/>
      </c>
      <c r="G3661" s="319">
        <f>-PMT($D$3629/$D$3631,45,$F$3641,,0)</f>
        <v/>
      </c>
      <c r="H3661" s="319">
        <f>($D$3629/$D$3631*F3661)</f>
        <v/>
      </c>
      <c r="I3661" s="319">
        <f>G3661-H3661</f>
        <v/>
      </c>
      <c r="J3661" s="319">
        <f>F3661-I3661</f>
        <v/>
      </c>
    </row>
    <row r="3662">
      <c r="B3662" s="1">
        <f>+B3661+1</f>
        <v/>
      </c>
      <c r="C3662" s="24">
        <f>+C3661+31</f>
        <v/>
      </c>
      <c r="D3662" s="24">
        <f>+D3661+31</f>
        <v/>
      </c>
      <c r="E3662" s="25">
        <f>D3662-C3662+1</f>
        <v/>
      </c>
      <c r="F3662" s="319">
        <f>J3661</f>
        <v/>
      </c>
      <c r="G3662" s="319">
        <f>-PMT($D$3629/$D$3631,45,$F$3641,,0)</f>
        <v/>
      </c>
      <c r="H3662" s="319">
        <f>($D$3629/$D$3631*F3662)</f>
        <v/>
      </c>
      <c r="I3662" s="319">
        <f>G3662-H3662</f>
        <v/>
      </c>
      <c r="J3662" s="319">
        <f>F3662-I3662</f>
        <v/>
      </c>
    </row>
    <row r="3663">
      <c r="B3663" s="1">
        <f>+B3662+1</f>
        <v/>
      </c>
      <c r="C3663" s="24">
        <f>+C3662+31</f>
        <v/>
      </c>
      <c r="D3663" s="24">
        <f>+D3662+31</f>
        <v/>
      </c>
      <c r="E3663" s="25">
        <f>D3663-C3663+1</f>
        <v/>
      </c>
      <c r="F3663" s="319">
        <f>J3662</f>
        <v/>
      </c>
      <c r="G3663" s="319">
        <f>-PMT($D$3629/$D$3631,45,$F$3641,,0)</f>
        <v/>
      </c>
      <c r="H3663" s="319">
        <f>($D$3629/$D$3631*F3663)</f>
        <v/>
      </c>
      <c r="I3663" s="319">
        <f>G3663-H3663</f>
        <v/>
      </c>
      <c r="J3663" s="319">
        <f>F3663-I3663</f>
        <v/>
      </c>
    </row>
    <row r="3664">
      <c r="B3664" s="1">
        <f>+B3663+1</f>
        <v/>
      </c>
      <c r="C3664" s="24">
        <f>+C3663+30</f>
        <v/>
      </c>
      <c r="D3664" s="24">
        <f>+D3663+31</f>
        <v/>
      </c>
      <c r="E3664" s="25">
        <f>D3664-C3664+1</f>
        <v/>
      </c>
      <c r="F3664" s="319">
        <f>J3663</f>
        <v/>
      </c>
      <c r="G3664" s="319">
        <f>-PMT($D$3629/$D$3631,45,$F$3641,,0)</f>
        <v/>
      </c>
      <c r="H3664" s="319">
        <f>($D$3629/$D$3631*F3664)</f>
        <v/>
      </c>
      <c r="I3664" s="319">
        <f>G3664-H3664</f>
        <v/>
      </c>
      <c r="J3664" s="319">
        <f>F3664-I3664</f>
        <v/>
      </c>
    </row>
    <row r="3665">
      <c r="B3665" s="1">
        <f>+B3664+1</f>
        <v/>
      </c>
      <c r="C3665" s="24">
        <f>+C3664+31</f>
        <v/>
      </c>
      <c r="D3665" s="24">
        <f>+D3664+30</f>
        <v/>
      </c>
      <c r="E3665" s="25">
        <f>D3665-C3665+1</f>
        <v/>
      </c>
      <c r="F3665" s="319">
        <f>J3664</f>
        <v/>
      </c>
      <c r="G3665" s="319">
        <f>-PMT($D$3629/$D$3631,45,$F$3641,,0)</f>
        <v/>
      </c>
      <c r="H3665" s="319">
        <f>($D$3629/$D$3631*F3665)</f>
        <v/>
      </c>
      <c r="I3665" s="319">
        <f>G3665-H3665</f>
        <v/>
      </c>
      <c r="J3665" s="319">
        <f>F3665-I3665</f>
        <v/>
      </c>
    </row>
    <row r="3666">
      <c r="B3666" s="1">
        <f>+B3665+1</f>
        <v/>
      </c>
      <c r="C3666" s="24">
        <f>+C3665+30</f>
        <v/>
      </c>
      <c r="D3666" s="24">
        <f>+D3665+31</f>
        <v/>
      </c>
      <c r="E3666" s="25">
        <f>D3666-C3666+1</f>
        <v/>
      </c>
      <c r="F3666" s="319">
        <f>J3665</f>
        <v/>
      </c>
      <c r="G3666" s="319">
        <f>-PMT($D$3629/$D$3631,45,$F$3641,,0)</f>
        <v/>
      </c>
      <c r="H3666" s="319">
        <f>($D$3629/$D$3631*F3666)</f>
        <v/>
      </c>
      <c r="I3666" s="319">
        <f>G3666-H3666</f>
        <v/>
      </c>
      <c r="J3666" s="319">
        <f>F3666-I3666</f>
        <v/>
      </c>
    </row>
    <row r="3667">
      <c r="B3667" s="1">
        <f>+B3666+1</f>
        <v/>
      </c>
      <c r="C3667" s="24">
        <f>+C3666+31</f>
        <v/>
      </c>
      <c r="D3667" s="24">
        <f>+D3666+31</f>
        <v/>
      </c>
      <c r="E3667" s="25">
        <f>D3667-C3667+1</f>
        <v/>
      </c>
      <c r="F3667" s="319">
        <f>J3666</f>
        <v/>
      </c>
      <c r="G3667" s="319">
        <f>-PMT($D$3629/$D$3631,45,$F$3641,,0)</f>
        <v/>
      </c>
      <c r="H3667" s="319">
        <f>($D$3629/$D$3631*F3667)</f>
        <v/>
      </c>
      <c r="I3667" s="319">
        <f>G3667-H3667</f>
        <v/>
      </c>
      <c r="J3667" s="319">
        <f>F3667-I3667</f>
        <v/>
      </c>
    </row>
    <row r="3668">
      <c r="B3668" s="1">
        <f>+B3667+1</f>
        <v/>
      </c>
      <c r="C3668" s="24">
        <f>+C3667+31</f>
        <v/>
      </c>
      <c r="D3668" s="24">
        <f>+D3667+28</f>
        <v/>
      </c>
      <c r="E3668" s="25">
        <f>D3668-C3668+1</f>
        <v/>
      </c>
      <c r="F3668" s="319">
        <f>J3667</f>
        <v/>
      </c>
      <c r="G3668" s="319">
        <f>-PMT($D$3629/$D$3631,45,$F$3641,,0)</f>
        <v/>
      </c>
      <c r="H3668" s="319">
        <f>($D$3629/$D$3631*F3668)</f>
        <v/>
      </c>
      <c r="I3668" s="319">
        <f>G3668-H3668</f>
        <v/>
      </c>
      <c r="J3668" s="319">
        <f>F3668-I3668</f>
        <v/>
      </c>
    </row>
    <row r="3669">
      <c r="B3669" s="1">
        <f>+B3668+1</f>
        <v/>
      </c>
      <c r="C3669" s="24">
        <f>+C3668+28</f>
        <v/>
      </c>
      <c r="D3669" s="24">
        <f>+D3668+31</f>
        <v/>
      </c>
      <c r="E3669" s="25">
        <f>D3669-C3669+1</f>
        <v/>
      </c>
      <c r="F3669" s="319">
        <f>J3668</f>
        <v/>
      </c>
      <c r="G3669" s="319">
        <f>-PMT($D$3629/$D$3631,45,$F$3641,,0)</f>
        <v/>
      </c>
      <c r="H3669" s="319">
        <f>($D$3629/$D$3631*F3669)</f>
        <v/>
      </c>
      <c r="I3669" s="319">
        <f>G3669-H3669</f>
        <v/>
      </c>
      <c r="J3669" s="319">
        <f>F3669-I3669</f>
        <v/>
      </c>
    </row>
    <row r="3670">
      <c r="B3670" s="1">
        <f>+B3669+1</f>
        <v/>
      </c>
      <c r="C3670" s="24">
        <f>+C3669+31</f>
        <v/>
      </c>
      <c r="D3670" s="24">
        <f>+D3669+30</f>
        <v/>
      </c>
      <c r="E3670" s="25">
        <f>D3670-C3670+1</f>
        <v/>
      </c>
      <c r="F3670" s="319">
        <f>J3669</f>
        <v/>
      </c>
      <c r="G3670" s="319">
        <f>-PMT($D$3629/$D$3631,45,$F$3641,,0)</f>
        <v/>
      </c>
      <c r="H3670" s="319">
        <f>($D$3629/$D$3631*F3670)</f>
        <v/>
      </c>
      <c r="I3670" s="319">
        <f>G3670-H3670</f>
        <v/>
      </c>
      <c r="J3670" s="319">
        <f>F3670-I3670</f>
        <v/>
      </c>
    </row>
    <row r="3671">
      <c r="B3671" s="1">
        <f>+B3670+1</f>
        <v/>
      </c>
      <c r="C3671" s="24">
        <f>+C3670+30</f>
        <v/>
      </c>
      <c r="D3671" s="24">
        <f>+D3670+31</f>
        <v/>
      </c>
      <c r="E3671" s="25">
        <f>D3671-C3671+1</f>
        <v/>
      </c>
      <c r="F3671" s="319">
        <f>J3670</f>
        <v/>
      </c>
      <c r="G3671" s="319">
        <f>-PMT($D$3629/$D$3631,45,$F$3641,,0)</f>
        <v/>
      </c>
      <c r="H3671" s="319">
        <f>($D$3629/$D$3631*F3671)</f>
        <v/>
      </c>
      <c r="I3671" s="319">
        <f>G3671-H3671</f>
        <v/>
      </c>
      <c r="J3671" s="319">
        <f>F3671-I3671</f>
        <v/>
      </c>
    </row>
    <row r="3672">
      <c r="B3672" s="1">
        <f>+B3671+1</f>
        <v/>
      </c>
      <c r="C3672" s="24">
        <f>+C3671+31</f>
        <v/>
      </c>
      <c r="D3672" s="24">
        <f>+D3671+30</f>
        <v/>
      </c>
      <c r="E3672" s="25">
        <f>D3672-C3672+1</f>
        <v/>
      </c>
      <c r="F3672" s="319">
        <f>J3671</f>
        <v/>
      </c>
      <c r="G3672" s="319">
        <f>-PMT($D$3629/$D$3631,45,$F$3641,,0)</f>
        <v/>
      </c>
      <c r="H3672" s="319">
        <f>($D$3629/$D$3631*F3672)</f>
        <v/>
      </c>
      <c r="I3672" s="319">
        <f>G3672-H3672</f>
        <v/>
      </c>
      <c r="J3672" s="319">
        <f>F3672-I3672</f>
        <v/>
      </c>
    </row>
    <row r="3673">
      <c r="B3673" s="1">
        <f>+B3672+1</f>
        <v/>
      </c>
      <c r="C3673" s="24">
        <f>+C3672+30</f>
        <v/>
      </c>
      <c r="D3673" s="24">
        <f>+D3672+31</f>
        <v/>
      </c>
      <c r="E3673" s="25">
        <f>D3673-C3673+1</f>
        <v/>
      </c>
      <c r="F3673" s="319">
        <f>J3672</f>
        <v/>
      </c>
      <c r="G3673" s="319">
        <f>-PMT($D$3629/$D$3631,45,$F$3641,,0)</f>
        <v/>
      </c>
      <c r="H3673" s="319">
        <f>($D$3629/$D$3631*F3673)</f>
        <v/>
      </c>
      <c r="I3673" s="319">
        <f>G3673-H3673</f>
        <v/>
      </c>
      <c r="J3673" s="319">
        <f>F3673-I3673</f>
        <v/>
      </c>
    </row>
    <row r="3674">
      <c r="B3674" s="1">
        <f>+B3673+1</f>
        <v/>
      </c>
      <c r="C3674" s="24">
        <f>+C3673+31</f>
        <v/>
      </c>
      <c r="D3674" s="24">
        <f>+D3673+31</f>
        <v/>
      </c>
      <c r="E3674" s="25">
        <f>D3674-C3674+1</f>
        <v/>
      </c>
      <c r="F3674" s="319">
        <f>J3673</f>
        <v/>
      </c>
      <c r="G3674" s="319">
        <f>-PMT($D$3629/$D$3631,45,$F$3641,,0)</f>
        <v/>
      </c>
      <c r="H3674" s="319">
        <f>($D$3629/$D$3631*F3674)</f>
        <v/>
      </c>
      <c r="I3674" s="319">
        <f>G3674-H3674</f>
        <v/>
      </c>
      <c r="J3674" s="319">
        <f>F3674-I3674</f>
        <v/>
      </c>
    </row>
    <row r="3675">
      <c r="B3675" s="1">
        <f>+B3674+1</f>
        <v/>
      </c>
      <c r="C3675" s="24">
        <f>+C3674+31</f>
        <v/>
      </c>
      <c r="D3675" s="24">
        <f>+D3674+30</f>
        <v/>
      </c>
      <c r="E3675" s="25">
        <f>D3675-C3675+1</f>
        <v/>
      </c>
      <c r="F3675" s="319">
        <f>J3674</f>
        <v/>
      </c>
      <c r="G3675" s="319">
        <f>-PMT($D$3629/$D$3631,45,$F$3641,,0)</f>
        <v/>
      </c>
      <c r="H3675" s="319">
        <f>($D$3629/$D$3631*F3675)</f>
        <v/>
      </c>
      <c r="I3675" s="319">
        <f>G3675-H3675</f>
        <v/>
      </c>
      <c r="J3675" s="319">
        <f>F3675-I3675</f>
        <v/>
      </c>
    </row>
    <row r="3676">
      <c r="B3676" s="1">
        <f>+B3675+1</f>
        <v/>
      </c>
      <c r="C3676" s="24">
        <f>+C3675+30</f>
        <v/>
      </c>
      <c r="D3676" s="24">
        <f>+D3675+31</f>
        <v/>
      </c>
      <c r="E3676" s="25">
        <f>D3676-C3676+1</f>
        <v/>
      </c>
      <c r="F3676" s="319">
        <f>J3675</f>
        <v/>
      </c>
      <c r="G3676" s="319">
        <f>-PMT($D$3629/$D$3631,45,$F$3641,,0)</f>
        <v/>
      </c>
      <c r="H3676" s="319">
        <f>($D$3629/$D$3631*F3676)</f>
        <v/>
      </c>
      <c r="I3676" s="319">
        <f>G3676-H3676</f>
        <v/>
      </c>
      <c r="J3676" s="319">
        <f>F3676-I3676</f>
        <v/>
      </c>
    </row>
    <row r="3677">
      <c r="B3677" s="1">
        <f>+B3676+1</f>
        <v/>
      </c>
      <c r="C3677" s="24">
        <f>+C3676+31</f>
        <v/>
      </c>
      <c r="D3677" s="24">
        <f>+D3676+30</f>
        <v/>
      </c>
      <c r="E3677" s="25">
        <f>D3677-C3677+1</f>
        <v/>
      </c>
      <c r="F3677" s="319">
        <f>J3676</f>
        <v/>
      </c>
      <c r="G3677" s="319">
        <f>-PMT($D$3629/$D$3631,45,$F$3641,,0)</f>
        <v/>
      </c>
      <c r="H3677" s="319">
        <f>($D$3629/$D$3631*F3677)</f>
        <v/>
      </c>
      <c r="I3677" s="319">
        <f>G3677-H3677</f>
        <v/>
      </c>
      <c r="J3677" s="319">
        <f>F3677-I3677</f>
        <v/>
      </c>
    </row>
    <row r="3678">
      <c r="B3678" s="1">
        <f>+B3677+1</f>
        <v/>
      </c>
      <c r="C3678" s="24">
        <f>+C3677+30</f>
        <v/>
      </c>
      <c r="D3678" s="24">
        <f>+D3677+31</f>
        <v/>
      </c>
      <c r="E3678" s="25">
        <f>D3678-C3678+1</f>
        <v/>
      </c>
      <c r="F3678" s="319">
        <f>J3677</f>
        <v/>
      </c>
      <c r="G3678" s="319">
        <f>-PMT($D$3629/$D$3631,45,$F$3641,,0)</f>
        <v/>
      </c>
      <c r="H3678" s="319">
        <f>($D$3629/$D$3631*F3678)</f>
        <v/>
      </c>
      <c r="I3678" s="319">
        <f>G3678-H3678</f>
        <v/>
      </c>
      <c r="J3678" s="319">
        <f>F3678-I3678</f>
        <v/>
      </c>
    </row>
    <row r="3679">
      <c r="B3679" s="1">
        <f>+B3678+1</f>
        <v/>
      </c>
      <c r="C3679" s="24">
        <f>+C3678+31</f>
        <v/>
      </c>
      <c r="D3679" s="24">
        <f>+D3678+31</f>
        <v/>
      </c>
      <c r="E3679" s="25">
        <f>D3679-C3679+1</f>
        <v/>
      </c>
      <c r="F3679" s="319">
        <f>J3678</f>
        <v/>
      </c>
      <c r="G3679" s="319">
        <f>-PMT($D$3629/$D$3631,45,$F$3641,,0)</f>
        <v/>
      </c>
      <c r="H3679" s="319">
        <f>($D$3629/$D$3631*F3679)</f>
        <v/>
      </c>
      <c r="I3679" s="319">
        <f>G3679-H3679</f>
        <v/>
      </c>
      <c r="J3679" s="319">
        <f>F3679-I3679</f>
        <v/>
      </c>
    </row>
    <row r="3680">
      <c r="B3680" s="1">
        <f>+B3679+1</f>
        <v/>
      </c>
      <c r="C3680" s="24">
        <f>+C3679+31</f>
        <v/>
      </c>
      <c r="D3680" s="24">
        <f>+D3679+28</f>
        <v/>
      </c>
      <c r="E3680" s="25">
        <f>D3680-C3680+1</f>
        <v/>
      </c>
      <c r="F3680" s="319">
        <f>J3679</f>
        <v/>
      </c>
      <c r="G3680" s="319">
        <f>-PMT($D$3629/$D$3631,45,$F$3641,,0)</f>
        <v/>
      </c>
      <c r="H3680" s="319">
        <f>($D$3629/$D$3631*F3680)</f>
        <v/>
      </c>
      <c r="I3680" s="319">
        <f>G3680-H3680</f>
        <v/>
      </c>
      <c r="J3680" s="319">
        <f>F3680-I3680</f>
        <v/>
      </c>
    </row>
    <row r="3681">
      <c r="B3681" s="1">
        <f>+B3680+1</f>
        <v/>
      </c>
      <c r="C3681" s="24">
        <f>+C3680+28</f>
        <v/>
      </c>
      <c r="D3681" s="24">
        <f>+D3680+31</f>
        <v/>
      </c>
      <c r="E3681" s="25">
        <f>D3681-C3681+1</f>
        <v/>
      </c>
      <c r="F3681" s="319">
        <f>J3680</f>
        <v/>
      </c>
      <c r="G3681" s="319">
        <f>-PMT($D$3629/$D$3631,45,$F$3641,,0)</f>
        <v/>
      </c>
      <c r="H3681" s="319">
        <f>($D$3629/$D$3631*F3681)</f>
        <v/>
      </c>
      <c r="I3681" s="319">
        <f>G3681-H3681</f>
        <v/>
      </c>
      <c r="J3681" s="319">
        <f>F3681-I3681</f>
        <v/>
      </c>
    </row>
    <row r="3682">
      <c r="B3682" s="1">
        <f>+B3681+1</f>
        <v/>
      </c>
      <c r="C3682" s="24">
        <f>+C3681+31</f>
        <v/>
      </c>
      <c r="D3682" s="24">
        <f>+D3681+30</f>
        <v/>
      </c>
      <c r="E3682" s="25">
        <f>D3682-C3682+1</f>
        <v/>
      </c>
      <c r="F3682" s="319">
        <f>J3681</f>
        <v/>
      </c>
      <c r="G3682" s="319">
        <f>-PMT($D$3629/$D$3631,45,$F$3641,,0)</f>
        <v/>
      </c>
      <c r="H3682" s="319">
        <f>($D$3629/$D$3631*F3682)</f>
        <v/>
      </c>
      <c r="I3682" s="319">
        <f>G3682-H3682</f>
        <v/>
      </c>
      <c r="J3682" s="319">
        <f>F3682-I3682</f>
        <v/>
      </c>
    </row>
    <row r="3683">
      <c r="B3683" s="1">
        <f>+B3682+1</f>
        <v/>
      </c>
      <c r="C3683" s="24">
        <f>+C3682+30</f>
        <v/>
      </c>
      <c r="D3683" s="24">
        <f>+D3682+31</f>
        <v/>
      </c>
      <c r="E3683" s="25">
        <f>D3683-C3683+1</f>
        <v/>
      </c>
      <c r="F3683" s="319">
        <f>J3682</f>
        <v/>
      </c>
      <c r="G3683" s="319">
        <f>-PMT($D$3629/$D$3631,45,$F$3641,,0)</f>
        <v/>
      </c>
      <c r="H3683" s="319">
        <f>($D$3629/$D$3631*F3683)</f>
        <v/>
      </c>
      <c r="I3683" s="319">
        <f>G3683-H3683</f>
        <v/>
      </c>
      <c r="J3683" s="319">
        <f>F3683-I3683</f>
        <v/>
      </c>
    </row>
    <row r="3684">
      <c r="B3684" s="1">
        <f>+B3683+1</f>
        <v/>
      </c>
      <c r="C3684" s="24">
        <f>+C3683+31</f>
        <v/>
      </c>
      <c r="D3684" s="24">
        <f>+D3683+30</f>
        <v/>
      </c>
      <c r="E3684" s="25">
        <f>D3684-C3684+1</f>
        <v/>
      </c>
      <c r="F3684" s="319">
        <f>J3683</f>
        <v/>
      </c>
      <c r="G3684" s="319">
        <f>-PMT($D$3629/$D$3631,45,$F$3641,,0)</f>
        <v/>
      </c>
      <c r="H3684" s="319">
        <f>($D$3629/$D$3631*F3684)</f>
        <v/>
      </c>
      <c r="I3684" s="319">
        <f>G3684-H3684</f>
        <v/>
      </c>
      <c r="J3684" s="319">
        <f>F3684-I3684</f>
        <v/>
      </c>
    </row>
    <row r="3685">
      <c r="B3685" s="1">
        <f>+B3684+1</f>
        <v/>
      </c>
      <c r="C3685" s="24">
        <f>+C3684+30</f>
        <v/>
      </c>
      <c r="D3685" s="24">
        <f>+D3684+31</f>
        <v/>
      </c>
      <c r="E3685" s="25">
        <f>D3685-C3685+1</f>
        <v/>
      </c>
      <c r="F3685" s="319">
        <f>J3684</f>
        <v/>
      </c>
      <c r="G3685" s="319">
        <f>-PMT($D$3629/$D$3631,45,$F$3641,,0)</f>
        <v/>
      </c>
      <c r="H3685" s="319">
        <f>($D$3629/$D$3631*F3685)</f>
        <v/>
      </c>
      <c r="I3685" s="319">
        <f>G3685-H3685</f>
        <v/>
      </c>
      <c r="J3685" s="319">
        <f>F3685-I3685</f>
        <v/>
      </c>
    </row>
    <row r="3687">
      <c r="E3687" s="7">
        <f>SUM(E3637:E3686)</f>
        <v/>
      </c>
    </row>
    <row r="3692">
      <c r="B3692" s="1" t="n"/>
      <c r="C3692" s="9" t="inlineStr">
        <is>
          <t>Chisitu Tea Blenders</t>
        </is>
      </c>
      <c r="D3692" s="319" t="n"/>
      <c r="E3692" s="319" t="n"/>
      <c r="F3692" s="319" t="n"/>
      <c r="G3692" s="319" t="n"/>
      <c r="H3692" s="319" t="n"/>
      <c r="I3692" s="319" t="n"/>
      <c r="J3692" s="319" t="n"/>
      <c r="K3692" s="319" t="n"/>
      <c r="L3692" s="319" t="n"/>
      <c r="R3692" s="514" t="inlineStr">
        <is>
          <t>E-Banker account (Dupleix)</t>
        </is>
      </c>
      <c r="S3692" s="495">
        <f>IFERROR(INDEX('Blocks'!$I$2:$I$101,MATCH(67,'Blocks'!$A$2:$A$101,0)),"")</f>
        <v/>
      </c>
    </row>
    <row r="3693">
      <c r="B3693" s="1" t="n"/>
      <c r="C3693" s="1" t="n"/>
      <c r="D3693" s="319" t="n"/>
      <c r="E3693" s="319" t="n"/>
      <c r="F3693" s="319" t="n"/>
      <c r="G3693" s="319" t="n"/>
      <c r="H3693" s="319" t="n"/>
      <c r="I3693" s="319" t="n"/>
      <c r="J3693" s="319" t="n"/>
      <c r="K3693" s="319" t="n"/>
      <c r="L3693" s="319" t="n"/>
      <c r="R3693" s="514" t="inlineStr">
        <is>
          <t>Facility (Loan Book)</t>
        </is>
      </c>
      <c r="S3693" s="495">
        <f>IFERROR(INDEX('Blocks'!$H$2:$H$101,MATCH(67,'Blocks'!$A$2:$A$101,0)),"")</f>
        <v/>
      </c>
    </row>
    <row r="3694">
      <c r="B3694" s="1" t="n"/>
      <c r="C3694" s="10" t="inlineStr">
        <is>
          <t>Principal (MK)</t>
        </is>
      </c>
      <c r="D3694" s="11" t="n">
        <v>200000000</v>
      </c>
      <c r="E3694" s="319" t="n"/>
      <c r="F3694" s="319" t="n"/>
      <c r="G3694" s="319" t="n"/>
      <c r="H3694" s="319" t="n"/>
      <c r="I3694" s="319" t="n"/>
      <c r="J3694" s="319" t="n"/>
      <c r="K3694" s="319" t="n"/>
      <c r="L3694" s="319" t="n"/>
      <c r="R3694" s="514" t="inlineStr">
        <is>
          <t>Take-on posting 31 Jul 2024</t>
        </is>
      </c>
      <c r="S3694" s="496">
        <f>IFERROR(INDEX('E-Banker master'!$N$2:$N$186,MATCH(S3692,'E-Banker master'!$A$2:$A$186,0)),"")</f>
        <v/>
      </c>
    </row>
    <row r="3695">
      <c r="B3695" s="1" t="n"/>
      <c r="C3695" s="13" t="inlineStr">
        <is>
          <t>Rate</t>
        </is>
      </c>
      <c r="D3695" s="14" t="n">
        <v>0.1</v>
      </c>
      <c r="E3695" s="257" t="n"/>
      <c r="F3695" s="319" t="n"/>
      <c r="G3695" s="319" t="n"/>
      <c r="H3695" s="319" t="n"/>
      <c r="I3695" s="319" t="n"/>
      <c r="J3695" s="319" t="n"/>
      <c r="K3695" s="319" t="n"/>
      <c r="L3695" s="319" t="n"/>
      <c r="R3695" s="514" t="inlineStr">
        <is>
          <t>E-Banker balance 31 Oct 2024</t>
        </is>
      </c>
      <c r="S3695" s="496">
        <f>IFERROR(INDEX('E-Banker master'!$P$2:$P$186,MATCH(S3692,'E-Banker master'!$A$2:$A$186,0)),"")</f>
        <v/>
      </c>
    </row>
    <row r="3696">
      <c r="B3696" s="1" t="n"/>
      <c r="C3696" s="13" t="inlineStr">
        <is>
          <t>n</t>
        </is>
      </c>
      <c r="D3696" s="16" t="n">
        <v>4</v>
      </c>
      <c r="E3696" s="1" t="n"/>
      <c r="F3696" s="319" t="n"/>
      <c r="G3696" s="319" t="n"/>
      <c r="H3696" s="319" t="n"/>
      <c r="I3696" s="319" t="n"/>
      <c r="J3696" s="319" t="n"/>
      <c r="K3696" s="1" t="n"/>
      <c r="L3696" s="1" t="n"/>
    </row>
    <row r="3697">
      <c r="B3697" s="1" t="n"/>
      <c r="C3697" s="13" t="inlineStr">
        <is>
          <t>Per</t>
        </is>
      </c>
      <c r="D3697" s="16" t="n">
        <v>12</v>
      </c>
      <c r="E3697" s="1" t="n"/>
      <c r="F3697" s="319" t="n"/>
      <c r="G3697" s="319" t="n"/>
      <c r="H3697" s="319" t="n"/>
      <c r="I3697" s="319" t="n"/>
      <c r="J3697" s="319" t="n"/>
      <c r="K3697" s="1" t="n"/>
      <c r="L3697" s="1" t="n"/>
    </row>
    <row r="3698">
      <c r="B3698" s="1" t="n"/>
      <c r="C3698" s="13" t="inlineStr">
        <is>
          <t>nPer</t>
        </is>
      </c>
      <c r="D3698" s="515">
        <f>D3696*D3697</f>
        <v/>
      </c>
      <c r="E3698" s="1" t="n"/>
      <c r="F3698" s="319" t="n"/>
      <c r="G3698" s="319" t="n"/>
      <c r="H3698" s="319" t="n"/>
      <c r="I3698" s="319" t="n"/>
      <c r="J3698" s="319" t="n"/>
      <c r="K3698" s="1" t="n"/>
      <c r="L3698" s="1" t="n"/>
    </row>
    <row r="3699">
      <c r="B3699" s="1" t="n"/>
      <c r="C3699" s="13" t="inlineStr">
        <is>
          <t>Days in a year</t>
        </is>
      </c>
      <c r="D3699" s="18" t="n">
        <v>365</v>
      </c>
      <c r="E3699" s="1" t="n"/>
      <c r="F3699" s="319" t="n"/>
      <c r="G3699" s="319" t="n"/>
      <c r="H3699" s="319" t="n"/>
      <c r="I3699" s="319" t="n"/>
      <c r="J3699" s="319" t="n"/>
      <c r="K3699" s="1" t="n"/>
      <c r="L3699" s="1" t="n"/>
    </row>
    <row r="3700">
      <c r="B3700" s="1" t="n"/>
      <c r="C3700" s="19" t="inlineStr">
        <is>
          <t>Pmt (MK)</t>
        </is>
      </c>
      <c r="D3700" s="20">
        <f>-PMT(D3695/D3697,D3698,D3694,0,0)</f>
        <v/>
      </c>
      <c r="E3700" s="319" t="n"/>
      <c r="F3700" s="319" t="n"/>
      <c r="G3700" s="319" t="n"/>
      <c r="H3700" s="319" t="n"/>
      <c r="I3700" s="319" t="n"/>
      <c r="J3700" s="319" t="n"/>
      <c r="K3700" s="1" t="n"/>
      <c r="L3700" s="1" t="n"/>
    </row>
    <row r="3701">
      <c r="B3701" s="1" t="n"/>
      <c r="C3701" s="1" t="n"/>
      <c r="D3701" s="319" t="n"/>
      <c r="E3701" s="319" t="n"/>
      <c r="F3701" s="319" t="n"/>
      <c r="G3701" s="319" t="n"/>
      <c r="H3701" s="319" t="n"/>
      <c r="I3701" s="319" t="n"/>
      <c r="J3701" s="319" t="n"/>
      <c r="K3701" s="1" t="n"/>
      <c r="L3701" s="1" t="n"/>
    </row>
    <row r="3702">
      <c r="B3702" s="1" t="n"/>
      <c r="C3702" s="21" t="inlineStr">
        <is>
          <t>Period Start</t>
        </is>
      </c>
      <c r="D3702" s="22" t="inlineStr">
        <is>
          <t>Period End</t>
        </is>
      </c>
      <c r="E3702" s="22" t="inlineStr">
        <is>
          <t>Days</t>
        </is>
      </c>
      <c r="F3702" s="294" t="inlineStr">
        <is>
          <t>Opening bal.</t>
        </is>
      </c>
      <c r="G3702" s="294" t="inlineStr">
        <is>
          <t>Pmt</t>
        </is>
      </c>
      <c r="H3702" s="294" t="inlineStr">
        <is>
          <t>Interest</t>
        </is>
      </c>
      <c r="I3702" s="294" t="inlineStr">
        <is>
          <t>Principal</t>
        </is>
      </c>
      <c r="J3702" s="294" t="inlineStr">
        <is>
          <t>Closing balance</t>
        </is>
      </c>
      <c r="K3702" s="23" t="inlineStr">
        <is>
          <t>Amount Repaid</t>
        </is>
      </c>
      <c r="L3702" s="23" t="inlineStr">
        <is>
          <t>Accumulated Arrears</t>
        </is>
      </c>
    </row>
    <row r="3703">
      <c r="B3703" s="1" t="n">
        <v>0</v>
      </c>
      <c r="C3703" s="24" t="n">
        <v>45127</v>
      </c>
      <c r="D3703" s="24" t="n">
        <v>45138</v>
      </c>
      <c r="E3703" s="25">
        <f>D3703-C3703+1</f>
        <v/>
      </c>
      <c r="F3703" s="319">
        <f>D3694</f>
        <v/>
      </c>
      <c r="G3703" s="319" t="n"/>
      <c r="H3703" s="319">
        <f>($D$3695/$D$3697*F3703*E3703/31)</f>
        <v/>
      </c>
      <c r="I3703" s="319">
        <f>-H3703</f>
        <v/>
      </c>
      <c r="J3703" s="319">
        <f>F3703-I3703</f>
        <v/>
      </c>
      <c r="K3703" s="516" t="n"/>
      <c r="L3703" s="516" t="n"/>
    </row>
    <row r="3704">
      <c r="B3704" s="1" t="n">
        <v>1</v>
      </c>
      <c r="C3704" s="24" t="n">
        <v>45139</v>
      </c>
      <c r="D3704" s="24" t="n">
        <v>45169</v>
      </c>
      <c r="E3704" s="25">
        <f>D3704-C3704+1</f>
        <v/>
      </c>
      <c r="F3704" s="319">
        <f>J3703</f>
        <v/>
      </c>
      <c r="G3704" s="319" t="n"/>
      <c r="H3704" s="319">
        <f>($D$3695/$D$3697*F3704)</f>
        <v/>
      </c>
      <c r="I3704" s="319">
        <f>-H3704</f>
        <v/>
      </c>
      <c r="J3704" s="319">
        <f>F3704-I3704</f>
        <v/>
      </c>
    </row>
    <row r="3705">
      <c r="B3705" s="1" t="n">
        <v>2</v>
      </c>
      <c r="C3705" s="24">
        <f>+C3704+31</f>
        <v/>
      </c>
      <c r="D3705" s="24">
        <f>+C3705+29</f>
        <v/>
      </c>
      <c r="E3705" s="25">
        <f>D3705-C3705+1</f>
        <v/>
      </c>
      <c r="F3705" s="319">
        <f>J3704</f>
        <v/>
      </c>
      <c r="G3705" s="319" t="n"/>
      <c r="H3705" s="319">
        <f>($D$3695/$D$3697*F3705)</f>
        <v/>
      </c>
      <c r="I3705" s="319">
        <f>-H3705</f>
        <v/>
      </c>
      <c r="J3705" s="319">
        <f>F3705-I3705</f>
        <v/>
      </c>
      <c r="K3705" s="516" t="n"/>
      <c r="L3705" s="516" t="n"/>
    </row>
    <row r="3706">
      <c r="B3706" s="1" t="n">
        <v>3</v>
      </c>
      <c r="C3706" s="24">
        <f>+C3705+30</f>
        <v/>
      </c>
      <c r="D3706" s="24" t="n">
        <v>45230</v>
      </c>
      <c r="E3706" s="25">
        <f>D3706-C3706+1</f>
        <v/>
      </c>
      <c r="F3706" s="319">
        <f>J3705</f>
        <v/>
      </c>
      <c r="G3706" s="319" t="n"/>
      <c r="H3706" s="319">
        <f>($D$3695/$D$3697*F3706)</f>
        <v/>
      </c>
      <c r="I3706" s="319">
        <f>G3706-H3706</f>
        <v/>
      </c>
      <c r="J3706" s="319">
        <f>F3706-I3706</f>
        <v/>
      </c>
      <c r="K3706" s="516" t="n"/>
      <c r="L3706" s="516" t="n"/>
    </row>
    <row r="3707">
      <c r="B3707" s="1" t="n">
        <v>4</v>
      </c>
      <c r="C3707" s="24">
        <f>+C3706+31</f>
        <v/>
      </c>
      <c r="D3707" s="24" t="n">
        <v>45260</v>
      </c>
      <c r="E3707" s="25">
        <f>D3707-C3707+1</f>
        <v/>
      </c>
      <c r="F3707" s="319">
        <f>J3706</f>
        <v/>
      </c>
      <c r="G3707" s="319" t="n"/>
      <c r="H3707" s="319">
        <f>($D$3695/$D$3697*F3707)</f>
        <v/>
      </c>
      <c r="I3707" s="319">
        <f>G3707-H3707</f>
        <v/>
      </c>
      <c r="J3707" s="319">
        <f>F3707-I3707</f>
        <v/>
      </c>
      <c r="K3707" s="516" t="n"/>
      <c r="L3707" s="516" t="n"/>
    </row>
    <row r="3708">
      <c r="B3708" s="1" t="n">
        <v>5</v>
      </c>
      <c r="C3708" s="24">
        <f>+C3707+30</f>
        <v/>
      </c>
      <c r="D3708" s="24" t="n">
        <v>45291</v>
      </c>
      <c r="E3708" s="25">
        <f>D3708-C3708+1</f>
        <v/>
      </c>
      <c r="F3708" s="319">
        <f>J3707</f>
        <v/>
      </c>
      <c r="G3708" s="319" t="n"/>
      <c r="H3708" s="319">
        <f>($D$3695/$D$3697*F3708)</f>
        <v/>
      </c>
      <c r="I3708" s="319">
        <f>G3708-H3708</f>
        <v/>
      </c>
      <c r="J3708" s="319">
        <f>F3708-I3708</f>
        <v/>
      </c>
      <c r="K3708" s="516" t="n"/>
      <c r="L3708" s="519" t="n"/>
    </row>
    <row r="3709">
      <c r="B3709" s="1" t="n">
        <v>6</v>
      </c>
      <c r="C3709" s="24">
        <f>+C3708+31</f>
        <v/>
      </c>
      <c r="D3709" s="24">
        <f>+C3709+30</f>
        <v/>
      </c>
      <c r="E3709" s="25">
        <f>D3709-C3709+1</f>
        <v/>
      </c>
      <c r="F3709" s="319">
        <f>J3708</f>
        <v/>
      </c>
      <c r="G3709" s="319" t="n"/>
      <c r="H3709" s="319">
        <f>($D$3695/$D$3697*F3709)</f>
        <v/>
      </c>
      <c r="I3709" s="319">
        <f>G3709-H3709</f>
        <v/>
      </c>
      <c r="J3709" s="319">
        <f>F3709-I3709</f>
        <v/>
      </c>
      <c r="K3709" s="516" t="n"/>
      <c r="L3709" s="516" t="n"/>
    </row>
    <row r="3710">
      <c r="B3710" s="1" t="n">
        <v>7</v>
      </c>
      <c r="C3710" s="24">
        <f>+C3709+31</f>
        <v/>
      </c>
      <c r="D3710" s="24">
        <f>+C3710+28</f>
        <v/>
      </c>
      <c r="E3710" s="25">
        <f>D3710-C3710+1</f>
        <v/>
      </c>
      <c r="F3710" s="319">
        <f>J3709</f>
        <v/>
      </c>
      <c r="G3710" s="319">
        <f>-PMT($D$3695/$D$3697,42,$F$3710,,0)</f>
        <v/>
      </c>
      <c r="H3710" s="319">
        <f>($D$3695/$D$3697*F3710)</f>
        <v/>
      </c>
      <c r="I3710" s="319">
        <f>G3710-H3710</f>
        <v/>
      </c>
      <c r="J3710" s="319">
        <f>F3710-I3710</f>
        <v/>
      </c>
      <c r="K3710" s="516" t="n"/>
      <c r="L3710" s="516">
        <f>L3709+G3710-K3710</f>
        <v/>
      </c>
    </row>
    <row r="3711">
      <c r="B3711" s="1" t="n">
        <v>8</v>
      </c>
      <c r="C3711" s="24">
        <f>+C3710+29</f>
        <v/>
      </c>
      <c r="D3711" s="24">
        <f>+C3711+30</f>
        <v/>
      </c>
      <c r="E3711" s="25">
        <f>D3711-C3711+1</f>
        <v/>
      </c>
      <c r="F3711" s="319">
        <f>J3710</f>
        <v/>
      </c>
      <c r="G3711" s="319">
        <f>-PMT($D$3695/$D$3697,42,$F$3710,,0)</f>
        <v/>
      </c>
      <c r="H3711" s="319">
        <f>($D$3695/$D$3697*F3711)</f>
        <v/>
      </c>
      <c r="I3711" s="319">
        <f>G3711-H3711</f>
        <v/>
      </c>
      <c r="J3711" s="319">
        <f>F3711-I3711</f>
        <v/>
      </c>
      <c r="K3711" s="516" t="n"/>
      <c r="L3711" s="516">
        <f>L3710+G3711-K3711</f>
        <v/>
      </c>
    </row>
    <row r="3712">
      <c r="B3712" s="1" t="n">
        <v>9</v>
      </c>
      <c r="C3712" s="24">
        <f>+C3711+31</f>
        <v/>
      </c>
      <c r="D3712" s="24">
        <f>+C3712+29</f>
        <v/>
      </c>
      <c r="E3712" s="25">
        <f>D3712-C3712+1</f>
        <v/>
      </c>
      <c r="F3712" s="319">
        <f>J3711</f>
        <v/>
      </c>
      <c r="G3712" s="319">
        <f>-PMT($D$3695/$D$3697,42,$F$3710,,0)</f>
        <v/>
      </c>
      <c r="H3712" s="319">
        <f>($D$3695/$D$3697*F3712)</f>
        <v/>
      </c>
      <c r="I3712" s="319">
        <f>G3712-H3712</f>
        <v/>
      </c>
      <c r="J3712" s="319">
        <f>F3712-I3712</f>
        <v/>
      </c>
      <c r="K3712" s="516" t="n">
        <v>1950000</v>
      </c>
      <c r="L3712" s="516">
        <f>L3711+G3712-K3712</f>
        <v/>
      </c>
    </row>
    <row r="3713">
      <c r="B3713" s="1" t="n">
        <v>10</v>
      </c>
      <c r="C3713" s="24">
        <f>+C3712+30</f>
        <v/>
      </c>
      <c r="D3713" s="24">
        <f>+C3713+30</f>
        <v/>
      </c>
      <c r="E3713" s="25">
        <f>D3713-C3713+1</f>
        <v/>
      </c>
      <c r="F3713" s="319">
        <f>J3712</f>
        <v/>
      </c>
      <c r="G3713" s="319">
        <f>-PMT($D$3695/$D$3697,42,$F$3710,,0)</f>
        <v/>
      </c>
      <c r="H3713" s="319">
        <f>($D$3695/$D$3697*F3713)</f>
        <v/>
      </c>
      <c r="I3713" s="319">
        <f>G3713-H3713</f>
        <v/>
      </c>
      <c r="J3713" s="319">
        <f>F3713-I3713</f>
        <v/>
      </c>
      <c r="K3713" s="516" t="n">
        <v>3050000</v>
      </c>
      <c r="L3713" s="516">
        <f>L3712+G3713-K3713</f>
        <v/>
      </c>
    </row>
    <row r="3714">
      <c r="B3714" s="1" t="n">
        <v>11</v>
      </c>
      <c r="C3714" s="24">
        <f>+C3713+31</f>
        <v/>
      </c>
      <c r="D3714" s="24">
        <f>+C3714+29</f>
        <v/>
      </c>
      <c r="E3714" s="25">
        <f>D3714-C3714+1</f>
        <v/>
      </c>
      <c r="F3714" s="319">
        <f>J3713</f>
        <v/>
      </c>
      <c r="G3714" s="319">
        <f>-PMT($D$3695/$D$3697,42,$F$3710,,0)</f>
        <v/>
      </c>
      <c r="H3714" s="319">
        <f>($D$3695/$D$3697*F3714)</f>
        <v/>
      </c>
      <c r="I3714" s="319">
        <f>G3714-H3714</f>
        <v/>
      </c>
      <c r="J3714" s="319">
        <f>F3714-I3714</f>
        <v/>
      </c>
      <c r="K3714" s="516" t="n"/>
      <c r="L3714" s="516">
        <f>L3713+G3714-K3714</f>
        <v/>
      </c>
    </row>
    <row r="3715">
      <c r="B3715" s="1" t="n">
        <v>12</v>
      </c>
      <c r="C3715" s="24">
        <f>+C3714+30</f>
        <v/>
      </c>
      <c r="D3715" s="24">
        <f>+C3715+30</f>
        <v/>
      </c>
      <c r="E3715" s="25">
        <f>D3715-C3715+1</f>
        <v/>
      </c>
      <c r="F3715" s="319">
        <f>J3714</f>
        <v/>
      </c>
      <c r="G3715" s="319">
        <f>-PMT($D$3695/$D$3697,42,$F$3710,,0)</f>
        <v/>
      </c>
      <c r="H3715" s="319">
        <f>($D$3695/$D$3697*F3715)</f>
        <v/>
      </c>
      <c r="I3715" s="319">
        <f>G3715-H3715</f>
        <v/>
      </c>
      <c r="J3715" s="319">
        <f>F3715-I3715</f>
        <v/>
      </c>
      <c r="K3715" s="516">
        <f>4050000+4950000</f>
        <v/>
      </c>
      <c r="L3715" s="516">
        <f>L3714+G3715-K3715</f>
        <v/>
      </c>
    </row>
    <row r="3716">
      <c r="B3716" s="1" t="n">
        <v>13</v>
      </c>
      <c r="C3716" s="24">
        <f>+C3715+31</f>
        <v/>
      </c>
      <c r="D3716" s="24">
        <f>+C3716+30</f>
        <v/>
      </c>
      <c r="E3716" s="25">
        <f>D3716-C3716+1</f>
        <v/>
      </c>
      <c r="F3716" s="319">
        <f>J3715</f>
        <v/>
      </c>
      <c r="G3716" s="319">
        <f>-PMT($D$3695/$D$3697,42,$F$3710,,0)</f>
        <v/>
      </c>
      <c r="H3716" s="319">
        <f>($D$3695/$D$3697*F3716)</f>
        <v/>
      </c>
      <c r="I3716" s="319">
        <f>G3716-H3716</f>
        <v/>
      </c>
      <c r="J3716" s="319">
        <f>F3716-I3716</f>
        <v/>
      </c>
      <c r="K3716" s="516" t="n"/>
      <c r="L3716" s="516">
        <f>L3715+G3716-K3716</f>
        <v/>
      </c>
    </row>
    <row r="3717">
      <c r="B3717" s="1" t="n">
        <v>14</v>
      </c>
      <c r="C3717" s="24">
        <f>+C3716+31</f>
        <v/>
      </c>
      <c r="D3717" s="24">
        <f>+C3717+29</f>
        <v/>
      </c>
      <c r="E3717" s="25">
        <f>D3717-C3717+1</f>
        <v/>
      </c>
      <c r="F3717" s="319">
        <f>J3716</f>
        <v/>
      </c>
      <c r="G3717" s="319">
        <f>-PMT($D$3695/$D$3697,42,$F$3710,,0)</f>
        <v/>
      </c>
      <c r="H3717" s="319">
        <f>($D$3695/$D$3697*F3717)</f>
        <v/>
      </c>
      <c r="I3717" s="319">
        <f>G3717-H3717</f>
        <v/>
      </c>
      <c r="J3717" s="319">
        <f>F3717-I3717</f>
        <v/>
      </c>
      <c r="K3717" s="516">
        <f>1000000+4000000</f>
        <v/>
      </c>
      <c r="L3717" s="516">
        <f>L3716+G3717-K3717</f>
        <v/>
      </c>
    </row>
    <row r="3718">
      <c r="B3718" s="1" t="n">
        <v>15</v>
      </c>
      <c r="C3718" s="24">
        <f>+C3717+30</f>
        <v/>
      </c>
      <c r="D3718" s="24">
        <f>+C3718+30</f>
        <v/>
      </c>
      <c r="E3718" s="25">
        <f>D3718-C3718+1</f>
        <v/>
      </c>
      <c r="F3718" s="319">
        <f>J3717</f>
        <v/>
      </c>
      <c r="G3718" s="319">
        <f>-PMT($D$3695/$D$3697,42,$F$3710,,0)</f>
        <v/>
      </c>
      <c r="H3718" s="319">
        <f>($D$3695/$D$3697*F3718)</f>
        <v/>
      </c>
      <c r="I3718" s="319">
        <f>G3718-H3718</f>
        <v/>
      </c>
      <c r="J3718" s="319">
        <f>F3718-I3718</f>
        <v/>
      </c>
      <c r="K3718" s="516" t="n"/>
      <c r="L3718" s="523">
        <f>L3717+G3718-K3718</f>
        <v/>
      </c>
    </row>
    <row r="3719">
      <c r="B3719" s="1" t="n">
        <v>16</v>
      </c>
      <c r="C3719" s="24">
        <f>+C3718+31</f>
        <v/>
      </c>
      <c r="D3719" s="24">
        <f>+C3719+29</f>
        <v/>
      </c>
      <c r="E3719" s="25">
        <f>D3719-C3719+1</f>
        <v/>
      </c>
      <c r="F3719" s="319">
        <f>J3718</f>
        <v/>
      </c>
      <c r="G3719" s="319">
        <f>-PMT($D$3695/$D$3697,42,$F$3710,,0)</f>
        <v/>
      </c>
      <c r="H3719" s="319">
        <f>($D$3695/$D$3697*F3719)</f>
        <v/>
      </c>
      <c r="I3719" s="319">
        <f>G3719-H3719</f>
        <v/>
      </c>
      <c r="J3719" s="319">
        <f>F3719-I3719</f>
        <v/>
      </c>
      <c r="K3719" s="516" t="n"/>
      <c r="L3719" s="516" t="n"/>
    </row>
    <row r="3720">
      <c r="B3720" s="1" t="n">
        <v>17</v>
      </c>
      <c r="C3720" s="24">
        <f>+C3719+30</f>
        <v/>
      </c>
      <c r="D3720" s="24">
        <f>+C3720+30</f>
        <v/>
      </c>
      <c r="E3720" s="25">
        <f>D3720-C3720+1</f>
        <v/>
      </c>
      <c r="F3720" s="319">
        <f>J3719</f>
        <v/>
      </c>
      <c r="G3720" s="319">
        <f>-PMT($D$3695/$D$3697,42,$F$3710,,0)</f>
        <v/>
      </c>
      <c r="H3720" s="319">
        <f>($D$3695/$D$3697*F3720)</f>
        <v/>
      </c>
      <c r="I3720" s="319">
        <f>G3720-H3720</f>
        <v/>
      </c>
      <c r="J3720" s="319">
        <f>F3720-I3720</f>
        <v/>
      </c>
      <c r="K3720" s="516" t="n"/>
      <c r="L3720" s="516" t="n"/>
    </row>
    <row r="3721">
      <c r="B3721" s="1" t="n">
        <v>18</v>
      </c>
      <c r="C3721" s="24">
        <f>+C3720+31</f>
        <v/>
      </c>
      <c r="D3721" s="24">
        <f>+C3721+30</f>
        <v/>
      </c>
      <c r="E3721" s="25">
        <f>D3721-C3721+1</f>
        <v/>
      </c>
      <c r="F3721" s="319">
        <f>J3720</f>
        <v/>
      </c>
      <c r="G3721" s="319">
        <f>-PMT($D$3695/$D$3697,42,$F$3710,,0)</f>
        <v/>
      </c>
      <c r="H3721" s="319">
        <f>($D$3695/$D$3697*F3721)</f>
        <v/>
      </c>
      <c r="I3721" s="319">
        <f>G3721-H3721</f>
        <v/>
      </c>
      <c r="J3721" s="319">
        <f>F3721-I3721</f>
        <v/>
      </c>
      <c r="K3721" s="516" t="n"/>
      <c r="L3721" s="516" t="n"/>
    </row>
    <row r="3722">
      <c r="B3722" s="1" t="n">
        <v>19</v>
      </c>
      <c r="C3722" s="24">
        <f>+C3721+31</f>
        <v/>
      </c>
      <c r="D3722" s="24">
        <f>+C3722+27</f>
        <v/>
      </c>
      <c r="E3722" s="25">
        <f>D3722-C3722+1</f>
        <v/>
      </c>
      <c r="F3722" s="319">
        <f>J3721</f>
        <v/>
      </c>
      <c r="G3722" s="319">
        <f>-PMT($D$3695/$D$3697,42,$F$3710,,0)</f>
        <v/>
      </c>
      <c r="H3722" s="319">
        <f>($D$3695/$D$3697*F3722)</f>
        <v/>
      </c>
      <c r="I3722" s="319">
        <f>G3722-H3722</f>
        <v/>
      </c>
      <c r="J3722" s="319">
        <f>F3722-I3722</f>
        <v/>
      </c>
      <c r="K3722" s="516" t="n"/>
      <c r="L3722" s="516" t="n"/>
    </row>
    <row r="3723">
      <c r="B3723" s="1" t="n">
        <v>20</v>
      </c>
      <c r="C3723" s="24">
        <f>+C3722+28</f>
        <v/>
      </c>
      <c r="D3723" s="24">
        <f>+C3723+30</f>
        <v/>
      </c>
      <c r="E3723" s="25">
        <f>D3723-C3723+1</f>
        <v/>
      </c>
      <c r="F3723" s="319">
        <f>J3722</f>
        <v/>
      </c>
      <c r="G3723" s="319">
        <f>-PMT($D$3695/$D$3697,42,$F$3710,,0)</f>
        <v/>
      </c>
      <c r="H3723" s="319">
        <f>($D$3695/$D$3697*F3723)</f>
        <v/>
      </c>
      <c r="I3723" s="319">
        <f>G3723-H3723</f>
        <v/>
      </c>
      <c r="J3723" s="319">
        <f>F3723-I3723</f>
        <v/>
      </c>
      <c r="K3723" s="516" t="n"/>
      <c r="L3723" s="516" t="n"/>
    </row>
    <row r="3724">
      <c r="B3724" s="1" t="n">
        <v>21</v>
      </c>
      <c r="C3724" s="24">
        <f>+C3723+31</f>
        <v/>
      </c>
      <c r="D3724" s="24">
        <f>+C3724+29</f>
        <v/>
      </c>
      <c r="E3724" s="25">
        <f>D3724-C3724+1</f>
        <v/>
      </c>
      <c r="F3724" s="319">
        <f>J3723</f>
        <v/>
      </c>
      <c r="G3724" s="319">
        <f>-PMT($D$3695/$D$3697,42,$F$3710,,0)</f>
        <v/>
      </c>
      <c r="H3724" s="319">
        <f>($D$3695/$D$3697*F3724)</f>
        <v/>
      </c>
      <c r="I3724" s="319">
        <f>G3724-H3724</f>
        <v/>
      </c>
      <c r="J3724" s="319">
        <f>F3724-I3724</f>
        <v/>
      </c>
      <c r="K3724" s="516" t="n"/>
      <c r="L3724" s="516" t="n"/>
    </row>
    <row r="3725">
      <c r="B3725" s="1" t="n">
        <v>22</v>
      </c>
      <c r="C3725" s="24">
        <f>+C3724+30</f>
        <v/>
      </c>
      <c r="D3725" s="24">
        <f>+C3725+30</f>
        <v/>
      </c>
      <c r="E3725" s="25">
        <f>D3725-C3725+1</f>
        <v/>
      </c>
      <c r="F3725" s="319">
        <f>J3724</f>
        <v/>
      </c>
      <c r="G3725" s="319">
        <f>-PMT($D$3695/$D$3697,42,$F$3710,,0)</f>
        <v/>
      </c>
      <c r="H3725" s="319">
        <f>($D$3695/$D$3697*F3725)</f>
        <v/>
      </c>
      <c r="I3725" s="319">
        <f>G3725-H3725</f>
        <v/>
      </c>
      <c r="J3725" s="319">
        <f>F3725-I3725</f>
        <v/>
      </c>
      <c r="K3725" s="516" t="n"/>
      <c r="L3725" s="516" t="n"/>
    </row>
    <row r="3726">
      <c r="B3726" s="1" t="n">
        <v>23</v>
      </c>
      <c r="C3726" s="24">
        <f>+C3725+31</f>
        <v/>
      </c>
      <c r="D3726" s="24">
        <f>+D3725+30</f>
        <v/>
      </c>
      <c r="E3726" s="25">
        <f>D3726-C3726+1</f>
        <v/>
      </c>
      <c r="F3726" s="319">
        <f>J3725</f>
        <v/>
      </c>
      <c r="G3726" s="319">
        <f>-PMT($D$3695/$D$3697,42,$F$3710,,0)</f>
        <v/>
      </c>
      <c r="H3726" s="319">
        <f>($D$3695/$D$3697*F3726)</f>
        <v/>
      </c>
      <c r="I3726" s="319">
        <f>G3726-H3726</f>
        <v/>
      </c>
      <c r="J3726" s="319">
        <f>F3726-I3726</f>
        <v/>
      </c>
      <c r="K3726" s="516" t="n"/>
      <c r="L3726" s="516" t="n"/>
    </row>
    <row r="3727">
      <c r="B3727" s="1">
        <f>+B3726+1</f>
        <v/>
      </c>
      <c r="C3727" s="24">
        <f>+C3726+30</f>
        <v/>
      </c>
      <c r="D3727" s="24">
        <f>+D3726+30</f>
        <v/>
      </c>
      <c r="E3727" s="25">
        <f>D3727-C3727+1</f>
        <v/>
      </c>
      <c r="F3727" s="319">
        <f>J3726</f>
        <v/>
      </c>
      <c r="G3727" s="319">
        <f>-PMT($D$3695/$D$3697,42,$F$3710,,0)</f>
        <v/>
      </c>
      <c r="H3727" s="319">
        <f>($D$3695/$D$3697*F3727)</f>
        <v/>
      </c>
      <c r="I3727" s="319">
        <f>G3727-H3727</f>
        <v/>
      </c>
      <c r="J3727" s="319">
        <f>F3727-I3727</f>
        <v/>
      </c>
    </row>
    <row r="3728">
      <c r="B3728" s="1">
        <f>+B3727+1</f>
        <v/>
      </c>
      <c r="C3728" s="24">
        <f>+C3727+31</f>
        <v/>
      </c>
      <c r="D3728" s="24">
        <f>+D3727+31</f>
        <v/>
      </c>
      <c r="E3728" s="25">
        <f>D3728-C3728+1</f>
        <v/>
      </c>
      <c r="F3728" s="319">
        <f>J3727</f>
        <v/>
      </c>
      <c r="G3728" s="319">
        <f>-PMT($D$3695/$D$3697,42,$F$3710,,0)</f>
        <v/>
      </c>
      <c r="H3728" s="319">
        <f>($D$3695/$D$3697*F3728)</f>
        <v/>
      </c>
      <c r="I3728" s="319">
        <f>G3728-H3728</f>
        <v/>
      </c>
      <c r="J3728" s="319">
        <f>F3728-I3728</f>
        <v/>
      </c>
    </row>
    <row r="3729">
      <c r="B3729" s="1">
        <f>+B3728+1</f>
        <v/>
      </c>
      <c r="C3729" s="24">
        <f>+C3728+31</f>
        <v/>
      </c>
      <c r="D3729" s="24">
        <f>+D3728+31</f>
        <v/>
      </c>
      <c r="E3729" s="25">
        <f>D3729-C3729+1</f>
        <v/>
      </c>
      <c r="F3729" s="319">
        <f>J3728</f>
        <v/>
      </c>
      <c r="G3729" s="319">
        <f>-PMT($D$3695/$D$3697,42,$F$3710,,0)</f>
        <v/>
      </c>
      <c r="H3729" s="319">
        <f>($D$3695/$D$3697*F3729)</f>
        <v/>
      </c>
      <c r="I3729" s="319">
        <f>G3729-H3729</f>
        <v/>
      </c>
      <c r="J3729" s="319">
        <f>F3729-I3729</f>
        <v/>
      </c>
    </row>
    <row r="3730">
      <c r="B3730" s="1">
        <f>+B3729+1</f>
        <v/>
      </c>
      <c r="C3730" s="24">
        <f>+C3729+30</f>
        <v/>
      </c>
      <c r="D3730" s="24">
        <f>+D3729+31</f>
        <v/>
      </c>
      <c r="E3730" s="25">
        <f>D3730-C3730+1</f>
        <v/>
      </c>
      <c r="F3730" s="319">
        <f>J3729</f>
        <v/>
      </c>
      <c r="G3730" s="319">
        <f>-PMT($D$3695/$D$3697,42,$F$3710,,0)</f>
        <v/>
      </c>
      <c r="H3730" s="319">
        <f>($D$3695/$D$3697*F3730)</f>
        <v/>
      </c>
      <c r="I3730" s="319">
        <f>G3730-H3730</f>
        <v/>
      </c>
      <c r="J3730" s="319">
        <f>F3730-I3730</f>
        <v/>
      </c>
    </row>
    <row r="3731">
      <c r="B3731" s="1">
        <f>+B3730+1</f>
        <v/>
      </c>
      <c r="C3731" s="24">
        <f>+C3730+31</f>
        <v/>
      </c>
      <c r="D3731" s="24">
        <f>+D3730+30</f>
        <v/>
      </c>
      <c r="E3731" s="25">
        <f>D3731-C3731+1</f>
        <v/>
      </c>
      <c r="F3731" s="319">
        <f>J3730</f>
        <v/>
      </c>
      <c r="G3731" s="319">
        <f>-PMT($D$3695/$D$3697,42,$F$3710,,0)</f>
        <v/>
      </c>
      <c r="H3731" s="319">
        <f>($D$3695/$D$3697*F3731)</f>
        <v/>
      </c>
      <c r="I3731" s="319">
        <f>G3731-H3731</f>
        <v/>
      </c>
      <c r="J3731" s="319">
        <f>F3731-I3731</f>
        <v/>
      </c>
    </row>
    <row r="3732">
      <c r="B3732" s="1">
        <f>+B3731+1</f>
        <v/>
      </c>
      <c r="C3732" s="24">
        <f>+C3731+30</f>
        <v/>
      </c>
      <c r="D3732" s="24">
        <f>+D3731+31</f>
        <v/>
      </c>
      <c r="E3732" s="25">
        <f>D3732-C3732+1</f>
        <v/>
      </c>
      <c r="F3732" s="319">
        <f>J3731</f>
        <v/>
      </c>
      <c r="G3732" s="319">
        <f>-PMT($D$3695/$D$3697,42,$F$3710,,0)</f>
        <v/>
      </c>
      <c r="H3732" s="319">
        <f>($D$3695/$D$3697*F3732)</f>
        <v/>
      </c>
      <c r="I3732" s="319">
        <f>G3732-H3732</f>
        <v/>
      </c>
      <c r="J3732" s="319">
        <f>F3732-I3732</f>
        <v/>
      </c>
    </row>
    <row r="3733">
      <c r="B3733" s="1">
        <f>+B3732+1</f>
        <v/>
      </c>
      <c r="C3733" s="24">
        <f>+C3732+31</f>
        <v/>
      </c>
      <c r="D3733" s="24">
        <f>+D3732+31</f>
        <v/>
      </c>
      <c r="E3733" s="25">
        <f>D3733-C3733+1</f>
        <v/>
      </c>
      <c r="F3733" s="319">
        <f>J3732</f>
        <v/>
      </c>
      <c r="G3733" s="319">
        <f>-PMT($D$3695/$D$3697,42,$F$3710,,0)</f>
        <v/>
      </c>
      <c r="H3733" s="319">
        <f>($D$3695/$D$3697*F3733)</f>
        <v/>
      </c>
      <c r="I3733" s="319">
        <f>G3733-H3733</f>
        <v/>
      </c>
      <c r="J3733" s="319">
        <f>F3733-I3733</f>
        <v/>
      </c>
    </row>
    <row r="3734">
      <c r="B3734" s="1">
        <f>+B3733+1</f>
        <v/>
      </c>
      <c r="C3734" s="24">
        <f>+C3733+31</f>
        <v/>
      </c>
      <c r="D3734" s="24">
        <f>+D3733+28</f>
        <v/>
      </c>
      <c r="E3734" s="25">
        <f>D3734-C3734+1</f>
        <v/>
      </c>
      <c r="F3734" s="319">
        <f>J3733</f>
        <v/>
      </c>
      <c r="G3734" s="319">
        <f>-PMT($D$3695/$D$3697,42,$F$3710,,0)</f>
        <v/>
      </c>
      <c r="H3734" s="319">
        <f>($D$3695/$D$3697*F3734)</f>
        <v/>
      </c>
      <c r="I3734" s="319">
        <f>G3734-H3734</f>
        <v/>
      </c>
      <c r="J3734" s="319">
        <f>F3734-I3734</f>
        <v/>
      </c>
    </row>
    <row r="3735">
      <c r="B3735" s="1">
        <f>+B3734+1</f>
        <v/>
      </c>
      <c r="C3735" s="24">
        <f>+C3734+28</f>
        <v/>
      </c>
      <c r="D3735" s="24">
        <f>+D3734+31</f>
        <v/>
      </c>
      <c r="E3735" s="25">
        <f>D3735-C3735+1</f>
        <v/>
      </c>
      <c r="F3735" s="319">
        <f>J3734</f>
        <v/>
      </c>
      <c r="G3735" s="319">
        <f>-PMT($D$3695/$D$3697,42,$F$3710,,0)</f>
        <v/>
      </c>
      <c r="H3735" s="319">
        <f>($D$3695/$D$3697*F3735)</f>
        <v/>
      </c>
      <c r="I3735" s="319">
        <f>G3735-H3735</f>
        <v/>
      </c>
      <c r="J3735" s="319">
        <f>F3735-I3735</f>
        <v/>
      </c>
    </row>
    <row r="3736">
      <c r="B3736" s="1">
        <f>+B3735+1</f>
        <v/>
      </c>
      <c r="C3736" s="24">
        <f>+C3735+31</f>
        <v/>
      </c>
      <c r="D3736" s="24">
        <f>+D3735+30</f>
        <v/>
      </c>
      <c r="E3736" s="25">
        <f>D3736-C3736+1</f>
        <v/>
      </c>
      <c r="F3736" s="319">
        <f>J3735</f>
        <v/>
      </c>
      <c r="G3736" s="319">
        <f>-PMT($D$3695/$D$3697,42,$F$3710,,0)</f>
        <v/>
      </c>
      <c r="H3736" s="319">
        <f>($D$3695/$D$3697*F3736)</f>
        <v/>
      </c>
      <c r="I3736" s="319">
        <f>G3736-H3736</f>
        <v/>
      </c>
      <c r="J3736" s="319">
        <f>F3736-I3736</f>
        <v/>
      </c>
    </row>
    <row r="3737">
      <c r="B3737" s="1">
        <f>+B3736+1</f>
        <v/>
      </c>
      <c r="C3737" s="24">
        <f>+C3736+30</f>
        <v/>
      </c>
      <c r="D3737" s="24">
        <f>+D3736+31</f>
        <v/>
      </c>
      <c r="E3737" s="25">
        <f>D3737-C3737+1</f>
        <v/>
      </c>
      <c r="F3737" s="319">
        <f>J3736</f>
        <v/>
      </c>
      <c r="G3737" s="319">
        <f>-PMT($D$3695/$D$3697,42,$F$3710,,0)</f>
        <v/>
      </c>
      <c r="H3737" s="319">
        <f>($D$3695/$D$3697*F3737)</f>
        <v/>
      </c>
      <c r="I3737" s="319">
        <f>G3737-H3737</f>
        <v/>
      </c>
      <c r="J3737" s="319">
        <f>F3737-I3737</f>
        <v/>
      </c>
    </row>
    <row r="3738">
      <c r="B3738" s="1">
        <f>+B3737+1</f>
        <v/>
      </c>
      <c r="C3738" s="24">
        <f>+C3737+31</f>
        <v/>
      </c>
      <c r="D3738" s="24">
        <f>+D3737+30</f>
        <v/>
      </c>
      <c r="E3738" s="25">
        <f>D3738-C3738+1</f>
        <v/>
      </c>
      <c r="F3738" s="319">
        <f>J3737</f>
        <v/>
      </c>
      <c r="G3738" s="319">
        <f>-PMT($D$3695/$D$3697,42,$F$3710,,0)</f>
        <v/>
      </c>
      <c r="H3738" s="319">
        <f>($D$3695/$D$3697*F3738)</f>
        <v/>
      </c>
      <c r="I3738" s="319">
        <f>G3738-H3738</f>
        <v/>
      </c>
      <c r="J3738" s="319">
        <f>F3738-I3738</f>
        <v/>
      </c>
    </row>
    <row r="3739">
      <c r="B3739" s="1">
        <f>+B3738+1</f>
        <v/>
      </c>
      <c r="C3739" s="24">
        <f>+C3738+30</f>
        <v/>
      </c>
      <c r="D3739" s="24">
        <f>+D3738+31</f>
        <v/>
      </c>
      <c r="E3739" s="25">
        <f>D3739-C3739+1</f>
        <v/>
      </c>
      <c r="F3739" s="319">
        <f>J3738</f>
        <v/>
      </c>
      <c r="G3739" s="319">
        <f>-PMT($D$3695/$D$3697,42,$F$3710,,0)</f>
        <v/>
      </c>
      <c r="H3739" s="319">
        <f>($D$3695/$D$3697*F3739)</f>
        <v/>
      </c>
      <c r="I3739" s="319">
        <f>G3739-H3739</f>
        <v/>
      </c>
      <c r="J3739" s="319">
        <f>F3739-I3739</f>
        <v/>
      </c>
    </row>
    <row r="3740">
      <c r="B3740" s="1">
        <f>+B3739+1</f>
        <v/>
      </c>
      <c r="C3740" s="24">
        <f>+C3739+31</f>
        <v/>
      </c>
      <c r="D3740" s="24">
        <f>+D3739+31</f>
        <v/>
      </c>
      <c r="E3740" s="25">
        <f>D3740-C3740+1</f>
        <v/>
      </c>
      <c r="F3740" s="319">
        <f>J3739</f>
        <v/>
      </c>
      <c r="G3740" s="319">
        <f>-PMT($D$3695/$D$3697,42,$F$3710,,0)</f>
        <v/>
      </c>
      <c r="H3740" s="319">
        <f>($D$3695/$D$3697*F3740)</f>
        <v/>
      </c>
      <c r="I3740" s="319">
        <f>G3740-H3740</f>
        <v/>
      </c>
      <c r="J3740" s="319">
        <f>F3740-I3740</f>
        <v/>
      </c>
    </row>
    <row r="3741">
      <c r="B3741" s="1">
        <f>+B3740+1</f>
        <v/>
      </c>
      <c r="C3741" s="24">
        <f>+C3740+31</f>
        <v/>
      </c>
      <c r="D3741" s="24">
        <f>+D3740+30</f>
        <v/>
      </c>
      <c r="E3741" s="25">
        <f>D3741-C3741+1</f>
        <v/>
      </c>
      <c r="F3741" s="319">
        <f>J3740</f>
        <v/>
      </c>
      <c r="G3741" s="319">
        <f>-PMT($D$3695/$D$3697,42,$F$3710,,0)</f>
        <v/>
      </c>
      <c r="H3741" s="319">
        <f>($D$3695/$D$3697*F3741)</f>
        <v/>
      </c>
      <c r="I3741" s="319">
        <f>G3741-H3741</f>
        <v/>
      </c>
      <c r="J3741" s="319">
        <f>F3741-I3741</f>
        <v/>
      </c>
    </row>
    <row r="3742">
      <c r="B3742" s="1">
        <f>+B3741+1</f>
        <v/>
      </c>
      <c r="C3742" s="24">
        <f>+C3741+30</f>
        <v/>
      </c>
      <c r="D3742" s="24">
        <f>+D3741+31</f>
        <v/>
      </c>
      <c r="E3742" s="25">
        <f>D3742-C3742+1</f>
        <v/>
      </c>
      <c r="F3742" s="319">
        <f>J3741</f>
        <v/>
      </c>
      <c r="G3742" s="319">
        <f>-PMT($D$3695/$D$3697,42,$F$3710,,0)</f>
        <v/>
      </c>
      <c r="H3742" s="319">
        <f>($D$3695/$D$3697*F3742)</f>
        <v/>
      </c>
      <c r="I3742" s="319">
        <f>G3742-H3742</f>
        <v/>
      </c>
      <c r="J3742" s="319">
        <f>F3742-I3742</f>
        <v/>
      </c>
    </row>
    <row r="3743">
      <c r="B3743" s="1">
        <f>+B3742+1</f>
        <v/>
      </c>
      <c r="C3743" s="24">
        <f>+C3742+31</f>
        <v/>
      </c>
      <c r="D3743" s="24">
        <f>+D3742+30</f>
        <v/>
      </c>
      <c r="E3743" s="25">
        <f>D3743-C3743+1</f>
        <v/>
      </c>
      <c r="F3743" s="319">
        <f>J3742</f>
        <v/>
      </c>
      <c r="G3743" s="319">
        <f>-PMT($D$3695/$D$3697,42,$F$3710,,0)</f>
        <v/>
      </c>
      <c r="H3743" s="319">
        <f>($D$3695/$D$3697*F3743)</f>
        <v/>
      </c>
      <c r="I3743" s="319">
        <f>G3743-H3743</f>
        <v/>
      </c>
      <c r="J3743" s="319">
        <f>F3743-I3743</f>
        <v/>
      </c>
    </row>
    <row r="3744">
      <c r="B3744" s="1">
        <f>+B3743+1</f>
        <v/>
      </c>
      <c r="C3744" s="24">
        <f>+C3743+30</f>
        <v/>
      </c>
      <c r="D3744" s="24">
        <f>+D3743+31</f>
        <v/>
      </c>
      <c r="E3744" s="25">
        <f>D3744-C3744+1</f>
        <v/>
      </c>
      <c r="F3744" s="319">
        <f>J3743</f>
        <v/>
      </c>
      <c r="G3744" s="319">
        <f>-PMT($D$3695/$D$3697,42,$F$3710,,0)</f>
        <v/>
      </c>
      <c r="H3744" s="319">
        <f>($D$3695/$D$3697*F3744)</f>
        <v/>
      </c>
      <c r="I3744" s="319">
        <f>G3744-H3744</f>
        <v/>
      </c>
      <c r="J3744" s="319">
        <f>F3744-I3744</f>
        <v/>
      </c>
    </row>
    <row r="3745">
      <c r="B3745" s="1">
        <f>+B3744+1</f>
        <v/>
      </c>
      <c r="C3745" s="24">
        <f>+C3744+31</f>
        <v/>
      </c>
      <c r="D3745" s="24">
        <f>+D3744+31</f>
        <v/>
      </c>
      <c r="E3745" s="25">
        <f>D3745-C3745+1</f>
        <v/>
      </c>
      <c r="F3745" s="319">
        <f>J3744</f>
        <v/>
      </c>
      <c r="G3745" s="319">
        <f>-PMT($D$3695/$D$3697,42,$F$3710,,0)</f>
        <v/>
      </c>
      <c r="H3745" s="319">
        <f>($D$3695/$D$3697*F3745)</f>
        <v/>
      </c>
      <c r="I3745" s="319">
        <f>G3745-H3745</f>
        <v/>
      </c>
      <c r="J3745" s="319">
        <f>F3745-I3745</f>
        <v/>
      </c>
    </row>
    <row r="3746">
      <c r="B3746" s="1">
        <f>+B3745+1</f>
        <v/>
      </c>
      <c r="C3746" s="24">
        <f>+C3745+31</f>
        <v/>
      </c>
      <c r="D3746" s="24">
        <f>+D3745+28</f>
        <v/>
      </c>
      <c r="E3746" s="25">
        <f>D3746-C3746+1</f>
        <v/>
      </c>
      <c r="F3746" s="319">
        <f>J3745</f>
        <v/>
      </c>
      <c r="G3746" s="319">
        <f>-PMT($D$3695/$D$3697,42,$F$3710,,0)</f>
        <v/>
      </c>
      <c r="H3746" s="319">
        <f>($D$3695/$D$3697*F3746)</f>
        <v/>
      </c>
      <c r="I3746" s="319">
        <f>G3746-H3746</f>
        <v/>
      </c>
      <c r="J3746" s="319">
        <f>F3746-I3746</f>
        <v/>
      </c>
    </row>
    <row r="3747">
      <c r="B3747" s="1">
        <f>+B3746+1</f>
        <v/>
      </c>
      <c r="C3747" s="24">
        <f>+C3746+28</f>
        <v/>
      </c>
      <c r="D3747" s="24">
        <f>+D3746+31</f>
        <v/>
      </c>
      <c r="E3747" s="25">
        <f>D3747-C3747+1</f>
        <v/>
      </c>
      <c r="F3747" s="319">
        <f>J3746</f>
        <v/>
      </c>
      <c r="G3747" s="319">
        <f>-PMT($D$3695/$D$3697,42,$F$3710,,0)</f>
        <v/>
      </c>
      <c r="H3747" s="319">
        <f>($D$3695/$D$3697*F3747)</f>
        <v/>
      </c>
      <c r="I3747" s="319">
        <f>G3747-H3747</f>
        <v/>
      </c>
      <c r="J3747" s="319">
        <f>F3747-I3747</f>
        <v/>
      </c>
    </row>
    <row r="3748">
      <c r="B3748" s="1">
        <f>+B3747+1</f>
        <v/>
      </c>
      <c r="C3748" s="24">
        <f>+C3747+31</f>
        <v/>
      </c>
      <c r="D3748" s="24">
        <f>+D3747+30</f>
        <v/>
      </c>
      <c r="E3748" s="25">
        <f>D3748-C3748+1</f>
        <v/>
      </c>
      <c r="F3748" s="319">
        <f>J3747</f>
        <v/>
      </c>
      <c r="G3748" s="319">
        <f>-PMT($D$3695/$D$3697,42,$F$3710,,0)</f>
        <v/>
      </c>
      <c r="H3748" s="319">
        <f>($D$3695/$D$3697*F3748)</f>
        <v/>
      </c>
      <c r="I3748" s="319">
        <f>G3748-H3748</f>
        <v/>
      </c>
      <c r="J3748" s="319">
        <f>F3748-I3748</f>
        <v/>
      </c>
    </row>
    <row r="3749">
      <c r="B3749" s="1">
        <f>+B3748+1</f>
        <v/>
      </c>
      <c r="C3749" s="24">
        <f>+C3748+30</f>
        <v/>
      </c>
      <c r="D3749" s="24">
        <f>+D3748+31</f>
        <v/>
      </c>
      <c r="E3749" s="25">
        <f>D3749-C3749+1</f>
        <v/>
      </c>
      <c r="F3749" s="319">
        <f>J3748</f>
        <v/>
      </c>
      <c r="G3749" s="319">
        <f>-PMT($D$3695/$D$3697,42,$F$3710,,0)</f>
        <v/>
      </c>
      <c r="H3749" s="319">
        <f>($D$3695/$D$3697*F3749)</f>
        <v/>
      </c>
      <c r="I3749" s="319">
        <f>G3749-H3749</f>
        <v/>
      </c>
      <c r="J3749" s="319">
        <f>F3749-I3749</f>
        <v/>
      </c>
    </row>
    <row r="3750">
      <c r="B3750" s="1">
        <f>+B3749+1</f>
        <v/>
      </c>
      <c r="C3750" s="24">
        <f>+C3749+31</f>
        <v/>
      </c>
      <c r="D3750" s="24">
        <f>+D3749+30</f>
        <v/>
      </c>
      <c r="E3750" s="25">
        <f>D3750-C3750+1</f>
        <v/>
      </c>
      <c r="F3750" s="319">
        <f>J3749</f>
        <v/>
      </c>
      <c r="G3750" s="319">
        <f>-PMT($D$3695/$D$3697,42,$F$3710,,0)</f>
        <v/>
      </c>
      <c r="H3750" s="319">
        <f>($D$3695/$D$3697*F3750)</f>
        <v/>
      </c>
      <c r="I3750" s="319">
        <f>G3750-H3750</f>
        <v/>
      </c>
      <c r="J3750" s="319">
        <f>F3750-I3750</f>
        <v/>
      </c>
    </row>
    <row r="3751">
      <c r="B3751" s="1">
        <f>+B3750+1</f>
        <v/>
      </c>
      <c r="C3751" s="24">
        <f>+C3750+30</f>
        <v/>
      </c>
      <c r="D3751" s="24">
        <f>+D3750+31</f>
        <v/>
      </c>
      <c r="E3751" s="25">
        <f>D3751-C3751+1</f>
        <v/>
      </c>
      <c r="F3751" s="319">
        <f>J3750</f>
        <v/>
      </c>
      <c r="G3751" s="319">
        <f>-PMT($D$3695/$D$3697,42,$F$3710,,0)</f>
        <v/>
      </c>
      <c r="H3751" s="319">
        <f>($D$3695/$D$3697*F3751)</f>
        <v/>
      </c>
      <c r="I3751" s="319">
        <f>G3751-H3751</f>
        <v/>
      </c>
      <c r="J3751" s="319">
        <f>F3751-I3751</f>
        <v/>
      </c>
    </row>
    <row r="3754">
      <c r="E3754" s="7">
        <f>SUM(E3703:E3753)</f>
        <v/>
      </c>
    </row>
    <row r="3758">
      <c r="B3758" s="1" t="n"/>
      <c r="C3758" s="9" t="inlineStr">
        <is>
          <t>Mchinji SACCO</t>
        </is>
      </c>
      <c r="D3758" s="319" t="n"/>
      <c r="E3758" s="319" t="n"/>
      <c r="F3758" s="319" t="n"/>
      <c r="G3758" s="319" t="n"/>
      <c r="H3758" s="319" t="n"/>
      <c r="I3758" s="319" t="n"/>
      <c r="J3758" s="319" t="n"/>
      <c r="K3758" s="319" t="n"/>
      <c r="L3758" s="319" t="n"/>
      <c r="R3758" s="514" t="inlineStr">
        <is>
          <t>E-Banker account (Dupleix)</t>
        </is>
      </c>
      <c r="S3758" s="495">
        <f>IFERROR(INDEX('Blocks'!$I$2:$I$101,MATCH(68,'Blocks'!$A$2:$A$101,0)),"")</f>
        <v/>
      </c>
    </row>
    <row r="3759">
      <c r="B3759" s="1" t="n"/>
      <c r="C3759" s="1" t="n"/>
      <c r="D3759" s="319" t="n"/>
      <c r="E3759" s="319" t="n"/>
      <c r="F3759" s="319" t="n"/>
      <c r="G3759" s="319" t="n"/>
      <c r="H3759" s="319" t="n"/>
      <c r="I3759" s="319" t="n"/>
      <c r="J3759" s="319" t="n"/>
      <c r="K3759" s="319" t="n"/>
      <c r="L3759" s="319" t="n"/>
      <c r="R3759" s="514" t="inlineStr">
        <is>
          <t>Facility (Loan Book)</t>
        </is>
      </c>
      <c r="S3759" s="495">
        <f>IFERROR(INDEX('Blocks'!$H$2:$H$101,MATCH(68,'Blocks'!$A$2:$A$101,0)),"")</f>
        <v/>
      </c>
    </row>
    <row r="3760">
      <c r="B3760" s="1" t="n"/>
      <c r="C3760" s="10" t="inlineStr">
        <is>
          <t>Principal (MK)</t>
        </is>
      </c>
      <c r="D3760" s="11" t="n">
        <v>50000000</v>
      </c>
      <c r="E3760" s="319" t="n"/>
      <c r="F3760" s="319" t="inlineStr">
        <is>
          <t>Final drawdown</t>
        </is>
      </c>
      <c r="G3760" s="319" t="n"/>
      <c r="H3760" s="319" t="n"/>
      <c r="I3760" s="319" t="n"/>
      <c r="J3760" s="319" t="n"/>
      <c r="K3760" s="319" t="n"/>
      <c r="L3760" s="319" t="n"/>
      <c r="R3760" s="514" t="inlineStr">
        <is>
          <t>Take-on posting 31 Jul 2024</t>
        </is>
      </c>
      <c r="S3760" s="496">
        <f>IFERROR(INDEX('E-Banker master'!$N$2:$N$186,MATCH(S3758,'E-Banker master'!$A$2:$A$186,0)),"")</f>
        <v/>
      </c>
    </row>
    <row r="3761">
      <c r="B3761" s="1" t="n"/>
      <c r="C3761" s="13" t="inlineStr">
        <is>
          <t>Rate</t>
        </is>
      </c>
      <c r="D3761" s="14" t="n">
        <v>0.1</v>
      </c>
      <c r="E3761" s="257" t="n"/>
      <c r="F3761" s="319" t="n">
        <v>50000000</v>
      </c>
      <c r="G3761" s="319" t="n"/>
      <c r="H3761" s="319" t="n"/>
      <c r="I3761" s="319" t="n"/>
      <c r="J3761" s="319" t="n"/>
      <c r="K3761" s="319" t="n"/>
      <c r="L3761" s="319" t="n"/>
      <c r="R3761" s="514" t="inlineStr">
        <is>
          <t>E-Banker balance 31 Oct 2024</t>
        </is>
      </c>
      <c r="S3761" s="496">
        <f>IFERROR(INDEX('E-Banker master'!$P$2:$P$186,MATCH(S3758,'E-Banker master'!$A$2:$A$186,0)),"")</f>
        <v/>
      </c>
    </row>
    <row r="3762">
      <c r="B3762" s="1" t="n"/>
      <c r="C3762" s="13" t="inlineStr">
        <is>
          <t>n</t>
        </is>
      </c>
      <c r="D3762" s="16" t="n">
        <v>1</v>
      </c>
      <c r="E3762" s="1" t="n"/>
      <c r="F3762" s="319" t="n"/>
      <c r="G3762" s="319" t="n"/>
      <c r="H3762" s="319" t="n"/>
      <c r="I3762" s="319" t="n"/>
      <c r="J3762" s="319" t="n"/>
      <c r="K3762" s="1" t="n"/>
      <c r="L3762" s="1" t="n"/>
    </row>
    <row r="3763">
      <c r="B3763" s="1" t="n"/>
      <c r="C3763" s="13" t="inlineStr">
        <is>
          <t>Per</t>
        </is>
      </c>
      <c r="D3763" s="16" t="n">
        <v>12</v>
      </c>
      <c r="E3763" s="1" t="n"/>
      <c r="F3763" s="319" t="n"/>
      <c r="G3763" s="319" t="n"/>
      <c r="H3763" s="319" t="n"/>
      <c r="I3763" s="319" t="n"/>
      <c r="J3763" s="319" t="n"/>
      <c r="K3763" s="1" t="n"/>
      <c r="L3763" s="1" t="n"/>
    </row>
    <row r="3764">
      <c r="B3764" s="1" t="n"/>
      <c r="C3764" s="13" t="inlineStr">
        <is>
          <t>nPer</t>
        </is>
      </c>
      <c r="D3764" s="515" t="n">
        <v>15</v>
      </c>
      <c r="E3764" s="1" t="n"/>
      <c r="F3764" s="319" t="n"/>
      <c r="G3764" s="319" t="n"/>
      <c r="H3764" s="319" t="n"/>
      <c r="I3764" s="319" t="n"/>
      <c r="J3764" s="319" t="n"/>
      <c r="K3764" s="1" t="n"/>
      <c r="L3764" s="1" t="n"/>
    </row>
    <row r="3765">
      <c r="B3765" s="1" t="n"/>
      <c r="C3765" s="13" t="inlineStr">
        <is>
          <t>Days in a year</t>
        </is>
      </c>
      <c r="D3765" s="18" t="n">
        <v>365</v>
      </c>
      <c r="E3765" s="1" t="n"/>
      <c r="F3765" s="319" t="n"/>
      <c r="G3765" s="319" t="n"/>
      <c r="H3765" s="319" t="n"/>
      <c r="I3765" s="319" t="n"/>
      <c r="J3765" s="319" t="n"/>
      <c r="K3765" s="1" t="n"/>
      <c r="L3765" s="1" t="n"/>
    </row>
    <row r="3766">
      <c r="B3766" s="1" t="n"/>
      <c r="C3766" s="19" t="inlineStr">
        <is>
          <t>Pmt (MK)</t>
        </is>
      </c>
      <c r="D3766" s="20">
        <f>-PMT(D3761/D3763,9,D3760,0,0)</f>
        <v/>
      </c>
      <c r="E3766" s="319" t="n"/>
      <c r="F3766" s="319" t="n"/>
      <c r="G3766" s="319" t="n"/>
      <c r="H3766" s="319" t="n"/>
      <c r="I3766" s="319" t="n"/>
      <c r="J3766" s="319" t="n"/>
      <c r="K3766" s="1" t="n"/>
      <c r="L3766" s="1" t="n"/>
    </row>
    <row r="3767">
      <c r="B3767" s="1" t="n"/>
      <c r="C3767" s="1" t="n"/>
      <c r="D3767" s="319" t="n"/>
      <c r="E3767" s="319" t="n"/>
      <c r="F3767" s="319" t="n"/>
      <c r="G3767" s="319" t="n"/>
      <c r="H3767" s="319" t="n"/>
      <c r="I3767" s="319" t="n"/>
      <c r="J3767" s="319" t="n"/>
      <c r="K3767" s="1" t="n"/>
      <c r="L3767" s="1" t="n"/>
    </row>
    <row r="3768">
      <c r="B3768" s="1" t="n"/>
      <c r="C3768" s="21" t="inlineStr">
        <is>
          <t>Period Start</t>
        </is>
      </c>
      <c r="D3768" s="22" t="inlineStr">
        <is>
          <t>Period End</t>
        </is>
      </c>
      <c r="E3768" s="22" t="inlineStr">
        <is>
          <t>Days</t>
        </is>
      </c>
      <c r="F3768" s="294" t="inlineStr">
        <is>
          <t>Opening bal.</t>
        </is>
      </c>
      <c r="G3768" s="294" t="inlineStr">
        <is>
          <t>Pmt</t>
        </is>
      </c>
      <c r="H3768" s="294" t="inlineStr">
        <is>
          <t>Interest</t>
        </is>
      </c>
      <c r="I3768" s="294" t="inlineStr">
        <is>
          <t>Principal</t>
        </is>
      </c>
      <c r="J3768" s="294" t="inlineStr">
        <is>
          <t>Closing balance</t>
        </is>
      </c>
      <c r="K3768" s="23" t="inlineStr">
        <is>
          <t>Amount Repaid</t>
        </is>
      </c>
      <c r="L3768" s="23" t="inlineStr">
        <is>
          <t>Accumulated Arrears</t>
        </is>
      </c>
    </row>
    <row r="3769">
      <c r="B3769" s="1" t="n">
        <v>0</v>
      </c>
      <c r="C3769" s="24" t="n">
        <v>45127</v>
      </c>
      <c r="D3769" s="24" t="n">
        <v>45138</v>
      </c>
      <c r="E3769" s="25" t="n">
        <v>12</v>
      </c>
      <c r="F3769" s="319">
        <f>D3760</f>
        <v/>
      </c>
      <c r="G3769" s="319" t="n"/>
      <c r="H3769" s="319">
        <f>($D$3761/$D$3763*F3769*E3769/31)</f>
        <v/>
      </c>
      <c r="I3769" s="319">
        <f>-H3769</f>
        <v/>
      </c>
      <c r="J3769" s="319">
        <f>F3769-I3769</f>
        <v/>
      </c>
      <c r="K3769" s="516" t="n"/>
      <c r="L3769" s="516" t="n"/>
    </row>
    <row r="3770">
      <c r="B3770" s="1" t="n">
        <v>1</v>
      </c>
      <c r="C3770" s="24" t="n">
        <v>45139</v>
      </c>
      <c r="D3770" s="24" t="n">
        <v>45169</v>
      </c>
      <c r="E3770" s="25">
        <f>D3770-C3770+1</f>
        <v/>
      </c>
      <c r="F3770" s="319">
        <f>J3769</f>
        <v/>
      </c>
      <c r="G3770" s="319" t="n"/>
      <c r="H3770" s="319">
        <f>($D$3761/$D$3763*F3770)</f>
        <v/>
      </c>
      <c r="I3770" s="319">
        <f>-H3770</f>
        <v/>
      </c>
      <c r="J3770" s="319">
        <f>F3770-I3770</f>
        <v/>
      </c>
    </row>
    <row r="3771">
      <c r="B3771" s="1" t="n">
        <v>2</v>
      </c>
      <c r="C3771" s="24">
        <f>+C3770+31</f>
        <v/>
      </c>
      <c r="D3771" s="24">
        <f>+C3771+29</f>
        <v/>
      </c>
      <c r="E3771" s="25">
        <f>D3771-C3771+1</f>
        <v/>
      </c>
      <c r="F3771" s="319">
        <f>J3770</f>
        <v/>
      </c>
      <c r="G3771" s="319" t="n"/>
      <c r="H3771" s="319">
        <f>($D$3761/$D$3763*F3771)</f>
        <v/>
      </c>
      <c r="I3771" s="319">
        <f>-H3771</f>
        <v/>
      </c>
      <c r="J3771" s="319">
        <f>F3771-I3771</f>
        <v/>
      </c>
      <c r="K3771" s="516" t="n"/>
      <c r="L3771" s="516" t="n"/>
    </row>
    <row r="3772">
      <c r="B3772" s="1" t="n">
        <v>3</v>
      </c>
      <c r="C3772" s="24">
        <f>+C3771+30</f>
        <v/>
      </c>
      <c r="D3772" s="24" t="n">
        <v>45230</v>
      </c>
      <c r="E3772" s="25">
        <f>D3772-C3772+1</f>
        <v/>
      </c>
      <c r="F3772" s="319">
        <f>J3771</f>
        <v/>
      </c>
      <c r="G3772" s="319" t="n"/>
      <c r="H3772" s="319">
        <f>($D$3761/$D$3763*F3772)</f>
        <v/>
      </c>
      <c r="I3772" s="319">
        <f>G3772-H3772</f>
        <v/>
      </c>
      <c r="J3772" s="319">
        <f>F3772-I3772</f>
        <v/>
      </c>
      <c r="K3772" s="516" t="n"/>
      <c r="L3772" s="516" t="n"/>
    </row>
    <row r="3773">
      <c r="B3773" s="1" t="n">
        <v>4</v>
      </c>
      <c r="C3773" s="24">
        <f>+C3772+31</f>
        <v/>
      </c>
      <c r="D3773" s="24" t="n">
        <v>45260</v>
      </c>
      <c r="E3773" s="25">
        <f>D3773-C3773+1</f>
        <v/>
      </c>
      <c r="F3773" s="319">
        <f>J3772</f>
        <v/>
      </c>
      <c r="G3773" s="319" t="n"/>
      <c r="H3773" s="319">
        <f>($D$3761/$D$3763*F3773)</f>
        <v/>
      </c>
      <c r="I3773" s="319">
        <f>G3773-H3773</f>
        <v/>
      </c>
      <c r="J3773" s="319">
        <f>F3773-I3773</f>
        <v/>
      </c>
      <c r="K3773" s="516" t="n"/>
      <c r="L3773" s="516" t="n"/>
    </row>
    <row r="3774">
      <c r="B3774" s="1" t="n">
        <v>5</v>
      </c>
      <c r="C3774" s="24">
        <f>+C3773+30</f>
        <v/>
      </c>
      <c r="D3774" s="24" t="n">
        <v>45291</v>
      </c>
      <c r="E3774" s="25">
        <f>D3774-C3774+1</f>
        <v/>
      </c>
      <c r="F3774" s="319">
        <f>J3773</f>
        <v/>
      </c>
      <c r="G3774" s="319" t="n"/>
      <c r="H3774" s="319">
        <f>($D$3761/$D$3763*F3774)</f>
        <v/>
      </c>
      <c r="I3774" s="319">
        <f>G3774-H3774</f>
        <v/>
      </c>
      <c r="J3774" s="319">
        <f>F3774-I3774</f>
        <v/>
      </c>
      <c r="K3774" s="516" t="n"/>
      <c r="L3774" s="519" t="n"/>
    </row>
    <row r="3775">
      <c r="B3775" s="1" t="n">
        <v>6</v>
      </c>
      <c r="C3775" s="24">
        <f>+C3774+31</f>
        <v/>
      </c>
      <c r="D3775" s="24">
        <f>+C3775+30</f>
        <v/>
      </c>
      <c r="E3775" s="25">
        <f>D3775-C3775+1</f>
        <v/>
      </c>
      <c r="F3775" s="319">
        <f>J3774</f>
        <v/>
      </c>
      <c r="G3775" s="319" t="n"/>
      <c r="H3775" s="319">
        <f>($D$3761/$D$3763*F3775)</f>
        <v/>
      </c>
      <c r="I3775" s="319">
        <f>G3775-H3775</f>
        <v/>
      </c>
      <c r="J3775" s="319">
        <f>F3775-I3775</f>
        <v/>
      </c>
      <c r="K3775" s="516" t="n"/>
      <c r="L3775" s="516" t="n"/>
    </row>
    <row r="3776">
      <c r="B3776" s="1" t="n">
        <v>7</v>
      </c>
      <c r="C3776" s="24">
        <f>+C3775+31</f>
        <v/>
      </c>
      <c r="D3776" s="24">
        <f>+C3776+28</f>
        <v/>
      </c>
      <c r="E3776" s="25">
        <f>D3776-C3776+1</f>
        <v/>
      </c>
      <c r="F3776" s="319">
        <f>J3775</f>
        <v/>
      </c>
      <c r="G3776" s="522">
        <f>-PMT($D$3761/$D$3763,8,$F$3776,,0)</f>
        <v/>
      </c>
      <c r="H3776" s="319">
        <f>($D$3761/$D$3763*F3776)</f>
        <v/>
      </c>
      <c r="I3776" s="319">
        <f>G3776-H3776</f>
        <v/>
      </c>
      <c r="J3776" s="319">
        <f>F3776-I3776</f>
        <v/>
      </c>
      <c r="K3776" s="516" t="n"/>
      <c r="L3776" s="516">
        <f>L3775+G3776-K3776</f>
        <v/>
      </c>
    </row>
    <row r="3777">
      <c r="B3777" s="1" t="n">
        <v>8</v>
      </c>
      <c r="C3777" s="24">
        <f>+C3776+29</f>
        <v/>
      </c>
      <c r="D3777" s="24">
        <f>+C3777+30</f>
        <v/>
      </c>
      <c r="E3777" s="25">
        <f>D3777-C3777+1</f>
        <v/>
      </c>
      <c r="F3777" s="319">
        <f>J3776</f>
        <v/>
      </c>
      <c r="G3777" s="522">
        <f>-PMT($D$3761/$D$3763,8,$F$3776,,0)</f>
        <v/>
      </c>
      <c r="H3777" s="319">
        <f>($D$3761/$D$3763*F3777)</f>
        <v/>
      </c>
      <c r="I3777" s="319">
        <f>G3777-H3777</f>
        <v/>
      </c>
      <c r="J3777" s="319">
        <f>F3777-I3777</f>
        <v/>
      </c>
      <c r="K3777" s="516" t="n">
        <v>7000000</v>
      </c>
      <c r="L3777" s="516">
        <f>L3776+G3777-K3777</f>
        <v/>
      </c>
    </row>
    <row r="3778">
      <c r="B3778" s="1" t="n">
        <v>9</v>
      </c>
      <c r="C3778" s="24">
        <f>+C3777+31</f>
        <v/>
      </c>
      <c r="D3778" s="24">
        <f>+C3778+29</f>
        <v/>
      </c>
      <c r="E3778" s="25">
        <f>D3778-C3778+1</f>
        <v/>
      </c>
      <c r="F3778" s="319">
        <f>J3777</f>
        <v/>
      </c>
      <c r="G3778" s="522">
        <f>-PMT($D$3761/$D$3763,8,$F$3776,,0)</f>
        <v/>
      </c>
      <c r="H3778" s="319">
        <f>($D$3761/$D$3763*F3778)</f>
        <v/>
      </c>
      <c r="I3778" s="319">
        <f>G3778-H3778</f>
        <v/>
      </c>
      <c r="J3778" s="319">
        <f>F3778-I3778</f>
        <v/>
      </c>
      <c r="K3778" s="516" t="n">
        <v>7000000</v>
      </c>
      <c r="L3778" s="516">
        <f>L3777+G3778-K3778</f>
        <v/>
      </c>
    </row>
    <row r="3779">
      <c r="B3779" s="1" t="n">
        <v>10</v>
      </c>
      <c r="C3779" s="24">
        <f>+C3778+30</f>
        <v/>
      </c>
      <c r="D3779" s="24">
        <f>+C3779+30</f>
        <v/>
      </c>
      <c r="E3779" s="25">
        <f>D3779-C3779+1</f>
        <v/>
      </c>
      <c r="F3779" s="319">
        <f>J3778</f>
        <v/>
      </c>
      <c r="G3779" s="522">
        <f>-PMT($D$3761/$D$3763,8,$F$3776,,0)</f>
        <v/>
      </c>
      <c r="H3779" s="319">
        <f>($D$3761/$D$3763*F3779)</f>
        <v/>
      </c>
      <c r="I3779" s="319">
        <f>G3779-H3779</f>
        <v/>
      </c>
      <c r="J3779" s="319">
        <f>F3779-I3779</f>
        <v/>
      </c>
      <c r="K3779" s="516" t="n">
        <v>7000000</v>
      </c>
      <c r="L3779" s="516">
        <f>L3778+G3779-K3779</f>
        <v/>
      </c>
    </row>
    <row r="3780">
      <c r="B3780" s="1" t="n">
        <v>11</v>
      </c>
      <c r="C3780" s="24">
        <f>+C3779+31</f>
        <v/>
      </c>
      <c r="D3780" s="24">
        <f>+C3780+29</f>
        <v/>
      </c>
      <c r="E3780" s="25">
        <f>D3780-C3780+1</f>
        <v/>
      </c>
      <c r="F3780" s="319">
        <f>J3779+F3761</f>
        <v/>
      </c>
      <c r="G3780" s="522">
        <f>-PMT($D$3761/$D$3763,8,$F$3776,,0)</f>
        <v/>
      </c>
      <c r="H3780" s="319">
        <f>($D$3761/$D$3763*F3780)</f>
        <v/>
      </c>
      <c r="I3780" s="319">
        <f>G3780-H3780</f>
        <v/>
      </c>
      <c r="J3780" s="319">
        <f>F3780-I3780</f>
        <v/>
      </c>
      <c r="K3780" s="516" t="n">
        <v>7000000</v>
      </c>
      <c r="L3780" s="516">
        <f>L3779+G3780-K3780</f>
        <v/>
      </c>
    </row>
    <row r="3781">
      <c r="B3781" s="1" t="n">
        <v>12</v>
      </c>
      <c r="C3781" s="24">
        <f>+C3780+30</f>
        <v/>
      </c>
      <c r="D3781" s="24">
        <f>+C3781+30</f>
        <v/>
      </c>
      <c r="E3781" s="25">
        <f>D3781-C3781+1</f>
        <v/>
      </c>
      <c r="F3781" s="319">
        <f>J3780</f>
        <v/>
      </c>
      <c r="G3781" s="522">
        <f>-PMT($D$3761/$D$3763,8,$F$3776,,0)</f>
        <v/>
      </c>
      <c r="H3781" s="319">
        <f>($D$3761/$D$3763*F3781)</f>
        <v/>
      </c>
      <c r="I3781" s="319">
        <f>G3781-H3781</f>
        <v/>
      </c>
      <c r="J3781" s="319">
        <f>F3781-I3781</f>
        <v/>
      </c>
      <c r="K3781" s="516" t="n">
        <v>7000000</v>
      </c>
      <c r="L3781" s="516">
        <f>L3780+G3781-K3781</f>
        <v/>
      </c>
    </row>
    <row r="3782">
      <c r="B3782" s="1" t="n">
        <v>13</v>
      </c>
      <c r="C3782" s="24">
        <f>+C3781+31</f>
        <v/>
      </c>
      <c r="D3782" s="24">
        <f>+C3782+30</f>
        <v/>
      </c>
      <c r="E3782" s="25">
        <f>D3782-C3782+1</f>
        <v/>
      </c>
      <c r="F3782" s="319">
        <f>J3781</f>
        <v/>
      </c>
      <c r="G3782" s="522">
        <f>-PMT($D$3761/$D$3763,8,$F$3776,,0)</f>
        <v/>
      </c>
      <c r="H3782" s="319">
        <f>($D$3761/$D$3763*F3782)</f>
        <v/>
      </c>
      <c r="I3782" s="319">
        <f>G3782-H3782</f>
        <v/>
      </c>
      <c r="J3782" s="319">
        <f>F3782-I3782</f>
        <v/>
      </c>
      <c r="K3782" s="516" t="n">
        <v>7000000</v>
      </c>
      <c r="L3782" s="516">
        <f>L3781+G3782-K3782</f>
        <v/>
      </c>
    </row>
    <row r="3783">
      <c r="B3783" s="1" t="n">
        <v>14</v>
      </c>
      <c r="C3783" s="24">
        <f>+C3782+31</f>
        <v/>
      </c>
      <c r="D3783" s="24">
        <f>+C3783+29</f>
        <v/>
      </c>
      <c r="E3783" s="25">
        <f>D3783-C3783+1</f>
        <v/>
      </c>
      <c r="F3783" s="319">
        <f>J3782</f>
        <v/>
      </c>
      <c r="G3783" s="522">
        <f>-PMT($D$3761/$D$3763,8,$F$3776,,0)</f>
        <v/>
      </c>
      <c r="H3783" s="319">
        <f>($D$3761/$D$3763*F3783)</f>
        <v/>
      </c>
      <c r="I3783" s="319">
        <f>G3783-H3783</f>
        <v/>
      </c>
      <c r="J3783" s="319">
        <f>F3783-I3783</f>
        <v/>
      </c>
      <c r="K3783" s="516" t="n">
        <v>7000000</v>
      </c>
      <c r="L3783" s="516">
        <f>L3782+G3783-K3783</f>
        <v/>
      </c>
      <c r="M3783" s="237" t="n"/>
    </row>
    <row r="3784">
      <c r="B3784" s="1" t="n">
        <v>15</v>
      </c>
      <c r="C3784" s="24" t="n">
        <v>45566</v>
      </c>
      <c r="D3784" s="24" t="n">
        <v>45596</v>
      </c>
      <c r="E3784" s="25" t="n">
        <v>31</v>
      </c>
      <c r="F3784" s="447">
        <f>J3783</f>
        <v/>
      </c>
      <c r="G3784" s="522">
        <f>-PMT($D$3761/$D$3763,10,$F$3784,,0)</f>
        <v/>
      </c>
      <c r="H3784" s="319">
        <f>($D$3761/$D$3763*F3784)</f>
        <v/>
      </c>
      <c r="I3784" s="319">
        <f>G3784-H3784</f>
        <v/>
      </c>
      <c r="J3784" s="319">
        <f>F3784-I3784</f>
        <v/>
      </c>
      <c r="K3784" s="516" t="n">
        <v>7000000</v>
      </c>
      <c r="L3784" s="520">
        <f>L3783+G3784-K3784</f>
        <v/>
      </c>
      <c r="M3784" s="237" t="n"/>
    </row>
    <row r="3785">
      <c r="B3785" s="1" t="n">
        <v>16</v>
      </c>
      <c r="C3785" s="24" t="n">
        <v>45597</v>
      </c>
      <c r="D3785" s="24" t="n">
        <v>45626</v>
      </c>
      <c r="E3785" s="25" t="n">
        <v>30</v>
      </c>
      <c r="F3785" s="319">
        <f>J3784</f>
        <v/>
      </c>
      <c r="G3785" s="522">
        <f>-PMT($D$3761/$D$3763,10,$F$3784,,0)</f>
        <v/>
      </c>
      <c r="H3785" s="319">
        <f>($D$3761/$D$3763*F3785)</f>
        <v/>
      </c>
      <c r="I3785" s="319">
        <f>G3785-H3785</f>
        <v/>
      </c>
      <c r="J3785" s="319">
        <f>F3785-I3785</f>
        <v/>
      </c>
      <c r="K3785" s="516" t="n"/>
      <c r="L3785" s="516" t="n"/>
      <c r="M3785" s="237" t="n"/>
    </row>
    <row r="3786">
      <c r="B3786" s="1" t="n">
        <v>17</v>
      </c>
      <c r="C3786" s="24" t="n">
        <v>45627</v>
      </c>
      <c r="D3786" s="24" t="n">
        <v>45657</v>
      </c>
      <c r="E3786" s="25" t="n">
        <v>31</v>
      </c>
      <c r="F3786" s="319">
        <f>J3785</f>
        <v/>
      </c>
      <c r="G3786" s="522">
        <f>-PMT($D$3761/$D$3763,10,$F$3784,,0)</f>
        <v/>
      </c>
      <c r="H3786" s="319">
        <f>($D$3761/$D$3763*F3786)</f>
        <v/>
      </c>
      <c r="I3786" s="319">
        <f>G3786-H3786</f>
        <v/>
      </c>
      <c r="J3786" s="319">
        <f>F3786-I3786</f>
        <v/>
      </c>
      <c r="K3786" s="516" t="n"/>
      <c r="L3786" s="516" t="n"/>
      <c r="M3786" s="237" t="n"/>
    </row>
    <row r="3787">
      <c r="B3787" s="1" t="n">
        <v>18</v>
      </c>
      <c r="C3787" s="24" t="n">
        <v>45658</v>
      </c>
      <c r="D3787" s="24" t="n">
        <v>45688</v>
      </c>
      <c r="E3787" s="25" t="n">
        <v>31</v>
      </c>
      <c r="F3787" s="319">
        <f>J3786</f>
        <v/>
      </c>
      <c r="G3787" s="522">
        <f>-PMT($D$3761/$D$3763,10,$F$3784,,0)</f>
        <v/>
      </c>
      <c r="H3787" s="319">
        <f>($D$3761/$D$3763*F3787)</f>
        <v/>
      </c>
      <c r="I3787" s="319">
        <f>G3787-H3787</f>
        <v/>
      </c>
      <c r="J3787" s="319">
        <f>F3787-I3787</f>
        <v/>
      </c>
      <c r="K3787" s="516" t="n"/>
      <c r="L3787" s="516" t="n"/>
      <c r="M3787" s="237" t="n"/>
    </row>
    <row r="3788">
      <c r="B3788" s="1" t="n">
        <v>19</v>
      </c>
      <c r="C3788" s="24" t="n">
        <v>45689</v>
      </c>
      <c r="D3788" s="24" t="n">
        <v>45716</v>
      </c>
      <c r="E3788" s="25" t="n">
        <v>28</v>
      </c>
      <c r="F3788" s="319">
        <f>J3787</f>
        <v/>
      </c>
      <c r="G3788" s="522">
        <f>-PMT($D$3761/$D$3763,10,$F$3784,,0)</f>
        <v/>
      </c>
      <c r="H3788" s="319">
        <f>($D$3761/$D$3763*F3788)</f>
        <v/>
      </c>
      <c r="I3788" s="319">
        <f>G3788-H3788</f>
        <v/>
      </c>
      <c r="J3788" s="319">
        <f>F3788-I3788</f>
        <v/>
      </c>
      <c r="K3788" s="516" t="n"/>
      <c r="L3788" s="516" t="n"/>
      <c r="M3788" s="237" t="n"/>
    </row>
    <row r="3789">
      <c r="B3789" s="1" t="n">
        <v>20</v>
      </c>
      <c r="C3789" s="24" t="n">
        <v>45717</v>
      </c>
      <c r="D3789" s="24" t="n">
        <v>45747</v>
      </c>
      <c r="E3789" s="25" t="n">
        <v>31</v>
      </c>
      <c r="F3789" s="319">
        <f>J3788</f>
        <v/>
      </c>
      <c r="G3789" s="522">
        <f>-PMT($D$3761/$D$3763,10,$F$3784,,0)</f>
        <v/>
      </c>
      <c r="H3789" s="319">
        <f>($D$3761/$D$3763*F3789)</f>
        <v/>
      </c>
      <c r="I3789" s="319">
        <f>G3789-H3789</f>
        <v/>
      </c>
      <c r="J3789" s="319">
        <f>F3789-I3789</f>
        <v/>
      </c>
      <c r="K3789" s="516" t="n"/>
      <c r="L3789" s="516" t="n"/>
      <c r="M3789" s="237" t="n"/>
    </row>
    <row r="3790">
      <c r="B3790" s="1" t="n">
        <v>21</v>
      </c>
      <c r="C3790" s="24" t="n">
        <v>45748</v>
      </c>
      <c r="D3790" s="24" t="n">
        <v>45777</v>
      </c>
      <c r="E3790" s="25" t="n">
        <v>30</v>
      </c>
      <c r="F3790" s="319">
        <f>J3789</f>
        <v/>
      </c>
      <c r="G3790" s="522">
        <f>-PMT($D$3761/$D$3763,10,$F$3784,,0)</f>
        <v/>
      </c>
      <c r="H3790" s="319">
        <f>($D$3761/$D$3763*F3790)</f>
        <v/>
      </c>
      <c r="I3790" s="319">
        <f>G3790-H3790</f>
        <v/>
      </c>
      <c r="J3790" s="319">
        <f>F3790-I3790</f>
        <v/>
      </c>
      <c r="K3790" s="516" t="n"/>
      <c r="L3790" s="516" t="n"/>
      <c r="M3790" s="237" t="n"/>
    </row>
    <row r="3791">
      <c r="B3791" s="1" t="n">
        <v>22</v>
      </c>
      <c r="C3791" s="24" t="n">
        <v>45778</v>
      </c>
      <c r="D3791" s="24" t="n">
        <v>45808</v>
      </c>
      <c r="E3791" s="25" t="n">
        <v>31</v>
      </c>
      <c r="F3791" s="319">
        <f>J3790</f>
        <v/>
      </c>
      <c r="G3791" s="522">
        <f>-PMT($D$3761/$D$3763,10,$F$3784,,0)</f>
        <v/>
      </c>
      <c r="H3791" s="319">
        <f>($D$3761/$D$3763*F3791)</f>
        <v/>
      </c>
      <c r="I3791" s="319">
        <f>G3791-H3791</f>
        <v/>
      </c>
      <c r="J3791" s="319">
        <f>F3791-I3791</f>
        <v/>
      </c>
      <c r="K3791" s="516" t="n"/>
      <c r="L3791" s="516" t="n"/>
      <c r="M3791" s="237" t="n"/>
    </row>
    <row r="3792">
      <c r="B3792" s="1" t="n">
        <v>23</v>
      </c>
      <c r="C3792" s="24" t="n">
        <v>45809</v>
      </c>
      <c r="D3792" s="24" t="n">
        <v>45838</v>
      </c>
      <c r="E3792" s="25" t="n">
        <v>30</v>
      </c>
      <c r="F3792" s="319">
        <f>J3791</f>
        <v/>
      </c>
      <c r="G3792" s="522">
        <f>-PMT($D$3761/$D$3763,10,$F$3784,,0)</f>
        <v/>
      </c>
      <c r="H3792" s="319">
        <f>($D$3761/$D$3763*F3792)</f>
        <v/>
      </c>
      <c r="I3792" s="319">
        <f>G3792-H3792</f>
        <v/>
      </c>
      <c r="J3792" s="319">
        <f>F3792-I3792</f>
        <v/>
      </c>
      <c r="K3792" s="516" t="n"/>
      <c r="L3792" s="516" t="n"/>
      <c r="M3792" s="237" t="n"/>
    </row>
    <row r="3793">
      <c r="B3793" s="1" t="n">
        <v>24</v>
      </c>
      <c r="C3793" s="24" t="n">
        <v>45839</v>
      </c>
      <c r="D3793" s="24" t="n">
        <v>45868</v>
      </c>
      <c r="E3793" s="25" t="n">
        <v>31</v>
      </c>
      <c r="F3793" s="319">
        <f>J3792</f>
        <v/>
      </c>
      <c r="G3793" s="522">
        <f>-PMT($D$3761/$D$3763,10,$F$3784,,0)</f>
        <v/>
      </c>
      <c r="H3793" s="319">
        <f>($D$3761/$D$3763*F3793)</f>
        <v/>
      </c>
      <c r="I3793" s="319">
        <f>G3793-H3793</f>
        <v/>
      </c>
      <c r="J3793" s="319">
        <f>F3793-I3793</f>
        <v/>
      </c>
      <c r="K3793" s="516" t="n"/>
      <c r="L3793" s="516" t="n"/>
      <c r="M3793" s="237" t="n"/>
    </row>
    <row r="3794">
      <c r="B3794" s="1" t="n"/>
      <c r="C3794" s="24" t="n"/>
      <c r="D3794" s="24" t="n"/>
      <c r="E3794" s="25" t="n"/>
      <c r="F3794" s="319" t="n"/>
      <c r="G3794" s="319" t="n"/>
      <c r="H3794" s="319" t="n"/>
      <c r="I3794" s="319" t="n"/>
      <c r="J3794" s="319" t="n"/>
      <c r="K3794" s="516" t="n"/>
      <c r="L3794" s="516" t="n"/>
    </row>
    <row r="3795">
      <c r="B3795" s="1" t="n"/>
      <c r="C3795" s="24" t="n"/>
      <c r="D3795" s="24" t="n"/>
      <c r="E3795" s="25">
        <f>SUM(E3769:E3794)</f>
        <v/>
      </c>
      <c r="F3795" s="319" t="n"/>
      <c r="G3795" s="319" t="n"/>
      <c r="H3795" s="319" t="n"/>
      <c r="I3795" s="319" t="n"/>
      <c r="J3795" s="319" t="n"/>
      <c r="K3795" s="516" t="n"/>
      <c r="L3795" s="516" t="n"/>
    </row>
    <row r="3796">
      <c r="B3796" s="1" t="n"/>
      <c r="C3796" s="24" t="n"/>
      <c r="D3796" s="24" t="n"/>
      <c r="E3796" s="25" t="n"/>
      <c r="F3796" s="319" t="n"/>
      <c r="G3796" s="319" t="n"/>
      <c r="H3796" s="319" t="n"/>
      <c r="I3796" s="319" t="n"/>
      <c r="J3796" s="319" t="n"/>
      <c r="K3796" s="516" t="n"/>
      <c r="L3796" s="516" t="n"/>
    </row>
    <row r="3797">
      <c r="B3797" s="1" t="n"/>
      <c r="C3797" s="24" t="n"/>
      <c r="D3797" s="24" t="n"/>
      <c r="E3797" s="25" t="n"/>
      <c r="F3797" s="319" t="n"/>
      <c r="G3797" s="319" t="n"/>
      <c r="H3797" s="319" t="n"/>
      <c r="I3797" s="319" t="n"/>
      <c r="J3797" s="319" t="n"/>
      <c r="K3797" s="516" t="n"/>
      <c r="L3797" s="516" t="n"/>
    </row>
    <row r="3798">
      <c r="B3798" s="1" t="n"/>
      <c r="C3798" s="24" t="n"/>
      <c r="D3798" s="24" t="n"/>
      <c r="E3798" s="25" t="n"/>
      <c r="F3798" s="319" t="n"/>
      <c r="G3798" s="319" t="n"/>
      <c r="H3798" s="319" t="n"/>
      <c r="I3798" s="319" t="n"/>
      <c r="J3798" s="319" t="n"/>
      <c r="K3798" s="516" t="n"/>
      <c r="L3798" s="516" t="n"/>
    </row>
    <row r="3799">
      <c r="B3799" s="1" t="n"/>
      <c r="C3799" s="9" t="inlineStr">
        <is>
          <t>Pamela Investments</t>
        </is>
      </c>
      <c r="D3799" s="319" t="n"/>
      <c r="E3799" s="319" t="n"/>
      <c r="F3799" s="319" t="n"/>
      <c r="G3799" s="319" t="n"/>
      <c r="H3799" s="319" t="n"/>
      <c r="I3799" s="319" t="n"/>
      <c r="J3799" s="319" t="n"/>
      <c r="K3799" s="319" t="n"/>
      <c r="L3799" s="319" t="n"/>
      <c r="R3799" s="514" t="inlineStr">
        <is>
          <t>E-Banker account (Dupleix)</t>
        </is>
      </c>
      <c r="S3799" s="495">
        <f>IFERROR(INDEX('Blocks'!$I$2:$I$101,MATCH(69,'Blocks'!$A$2:$A$101,0)),"")</f>
        <v/>
      </c>
    </row>
    <row r="3800">
      <c r="B3800" s="1" t="n"/>
      <c r="C3800" s="1" t="n"/>
      <c r="D3800" s="319" t="n"/>
      <c r="E3800" s="319" t="n"/>
      <c r="F3800" s="319" t="n"/>
      <c r="G3800" s="319" t="n"/>
      <c r="H3800" s="319" t="n"/>
      <c r="I3800" s="319" t="n"/>
      <c r="J3800" s="319" t="n"/>
      <c r="K3800" s="319" t="n"/>
      <c r="L3800" s="319" t="n"/>
      <c r="R3800" s="514" t="inlineStr">
        <is>
          <t>Facility (Loan Book)</t>
        </is>
      </c>
      <c r="S3800" s="495">
        <f>IFERROR(INDEX('Blocks'!$H$2:$H$101,MATCH(69,'Blocks'!$A$2:$A$101,0)),"")</f>
        <v/>
      </c>
    </row>
    <row r="3801">
      <c r="B3801" s="1" t="n"/>
      <c r="C3801" s="10" t="inlineStr">
        <is>
          <t>Principal (MK)</t>
        </is>
      </c>
      <c r="D3801" s="11" t="n">
        <v>30000000</v>
      </c>
      <c r="E3801" s="319" t="n"/>
      <c r="F3801" s="319" t="n"/>
      <c r="G3801" s="319" t="n"/>
      <c r="H3801" s="319" t="n"/>
      <c r="I3801" s="319" t="n"/>
      <c r="J3801" s="319" t="n"/>
      <c r="K3801" s="319" t="n"/>
      <c r="L3801" s="319" t="n"/>
      <c r="R3801" s="514" t="inlineStr">
        <is>
          <t>Take-on posting 31 Jul 2024</t>
        </is>
      </c>
      <c r="S3801" s="496">
        <f>IFERROR(INDEX('E-Banker master'!$N$2:$N$186,MATCH(S3799,'E-Banker master'!$A$2:$A$186,0)),"")</f>
        <v/>
      </c>
    </row>
    <row r="3802">
      <c r="B3802" s="1" t="n"/>
      <c r="C3802" s="13" t="inlineStr">
        <is>
          <t>Rate</t>
        </is>
      </c>
      <c r="D3802" s="14" t="n">
        <v>0.1</v>
      </c>
      <c r="E3802" s="257" t="n"/>
      <c r="F3802" s="319" t="n"/>
      <c r="G3802" s="319" t="n"/>
      <c r="H3802" s="319" t="n"/>
      <c r="I3802" s="319" t="n"/>
      <c r="J3802" s="319" t="n"/>
      <c r="K3802" s="319" t="n"/>
      <c r="L3802" s="319" t="n"/>
      <c r="R3802" s="514" t="inlineStr">
        <is>
          <t>E-Banker balance 31 Oct 2024</t>
        </is>
      </c>
      <c r="S3802" s="496">
        <f>IFERROR(INDEX('E-Banker master'!$P$2:$P$186,MATCH(S3799,'E-Banker master'!$A$2:$A$186,0)),"")</f>
        <v/>
      </c>
    </row>
    <row r="3803">
      <c r="B3803" s="1" t="n"/>
      <c r="C3803" s="13" t="inlineStr">
        <is>
          <t>n</t>
        </is>
      </c>
      <c r="D3803" s="16" t="n">
        <v>2</v>
      </c>
      <c r="E3803" s="1" t="n"/>
      <c r="F3803" s="319" t="n"/>
      <c r="G3803" s="319" t="n"/>
      <c r="H3803" s="319" t="n"/>
      <c r="I3803" s="319" t="n"/>
      <c r="J3803" s="319" t="n"/>
      <c r="K3803" s="1" t="n"/>
      <c r="L3803" s="1" t="n"/>
    </row>
    <row r="3804">
      <c r="B3804" s="1" t="n"/>
      <c r="C3804" s="13" t="inlineStr">
        <is>
          <t>Per</t>
        </is>
      </c>
      <c r="D3804" s="16" t="n">
        <v>12</v>
      </c>
      <c r="E3804" s="1" t="n"/>
      <c r="F3804" s="319" t="n"/>
      <c r="G3804" s="319" t="n"/>
      <c r="H3804" s="319" t="n"/>
      <c r="I3804" s="319" t="n"/>
      <c r="J3804" s="319" t="n"/>
      <c r="K3804" s="1" t="n"/>
      <c r="L3804" s="1" t="n"/>
    </row>
    <row r="3805">
      <c r="B3805" s="1" t="n"/>
      <c r="C3805" s="13" t="inlineStr">
        <is>
          <t>nPer</t>
        </is>
      </c>
      <c r="D3805" s="515">
        <f>D3803*D3804</f>
        <v/>
      </c>
      <c r="E3805" s="1" t="n"/>
      <c r="F3805" s="319" t="n"/>
      <c r="G3805" s="319" t="n"/>
      <c r="H3805" s="319" t="n"/>
      <c r="I3805" s="319" t="n"/>
      <c r="J3805" s="319" t="n"/>
      <c r="K3805" s="1" t="n"/>
      <c r="L3805" s="1" t="n"/>
    </row>
    <row r="3806">
      <c r="B3806" s="1" t="n"/>
      <c r="C3806" s="13" t="inlineStr">
        <is>
          <t>Days in a year</t>
        </is>
      </c>
      <c r="D3806" s="18" t="n">
        <v>365</v>
      </c>
      <c r="E3806" s="1" t="n"/>
      <c r="F3806" s="319" t="n"/>
      <c r="G3806" s="319" t="n"/>
      <c r="H3806" s="319" t="n"/>
      <c r="I3806" s="319" t="n"/>
      <c r="J3806" s="319" t="n"/>
      <c r="K3806" s="1" t="n"/>
      <c r="L3806" s="1" t="n"/>
    </row>
    <row r="3807">
      <c r="B3807" s="1" t="n"/>
      <c r="C3807" s="19" t="inlineStr">
        <is>
          <t>Pmt (MK)</t>
        </is>
      </c>
      <c r="D3807" s="20">
        <f>-PMT(D3802/D3804,D3805,D3801,0,0)</f>
        <v/>
      </c>
      <c r="E3807" s="319" t="n"/>
      <c r="F3807" s="319" t="n"/>
      <c r="G3807" s="319" t="n"/>
      <c r="H3807" s="319" t="n"/>
      <c r="I3807" s="319" t="n"/>
      <c r="J3807" s="319" t="n"/>
      <c r="K3807" s="1" t="n"/>
      <c r="L3807" s="1" t="n"/>
    </row>
    <row r="3808">
      <c r="B3808" s="1" t="n"/>
      <c r="C3808" s="1" t="n"/>
      <c r="D3808" s="319" t="n"/>
      <c r="E3808" s="319" t="n"/>
      <c r="F3808" s="319" t="n"/>
      <c r="G3808" s="319" t="n"/>
      <c r="H3808" s="319" t="n"/>
      <c r="I3808" s="319" t="n"/>
      <c r="J3808" s="319" t="n"/>
      <c r="K3808" s="1" t="n"/>
      <c r="L3808" s="1" t="n"/>
    </row>
    <row r="3809">
      <c r="B3809" s="1" t="n"/>
      <c r="C3809" s="21" t="inlineStr">
        <is>
          <t>Period Start</t>
        </is>
      </c>
      <c r="D3809" s="22" t="inlineStr">
        <is>
          <t>Period End</t>
        </is>
      </c>
      <c r="E3809" s="22" t="inlineStr">
        <is>
          <t>Days</t>
        </is>
      </c>
      <c r="F3809" s="294" t="inlineStr">
        <is>
          <t>Opening bal.</t>
        </is>
      </c>
      <c r="G3809" s="294" t="inlineStr">
        <is>
          <t>Pmt</t>
        </is>
      </c>
      <c r="H3809" s="294" t="inlineStr">
        <is>
          <t>Interest</t>
        </is>
      </c>
      <c r="I3809" s="294" t="inlineStr">
        <is>
          <t>Principal</t>
        </is>
      </c>
      <c r="J3809" s="294" t="inlineStr">
        <is>
          <t>Closing balance</t>
        </is>
      </c>
      <c r="K3809" s="23" t="inlineStr">
        <is>
          <t>Amount Repaid</t>
        </is>
      </c>
      <c r="L3809" s="23" t="inlineStr">
        <is>
          <t>Accumulated Arrears</t>
        </is>
      </c>
    </row>
    <row r="3810">
      <c r="B3810" s="1" t="n">
        <v>0</v>
      </c>
      <c r="C3810" s="24" t="n">
        <v>45108</v>
      </c>
      <c r="D3810" s="24" t="n">
        <v>45138</v>
      </c>
      <c r="E3810" s="25">
        <f>D3810-C3810+1</f>
        <v/>
      </c>
      <c r="F3810" s="319">
        <f>D3801</f>
        <v/>
      </c>
      <c r="G3810" s="319" t="n"/>
      <c r="H3810" s="319">
        <f>($D$3802/$D$3804*F3810)</f>
        <v/>
      </c>
      <c r="I3810" s="319">
        <f>-H3810</f>
        <v/>
      </c>
      <c r="J3810" s="319">
        <f>F3810-I3810</f>
        <v/>
      </c>
      <c r="K3810" s="516" t="n"/>
      <c r="L3810" s="516" t="n"/>
    </row>
    <row r="3811">
      <c r="B3811" s="1" t="n">
        <v>1</v>
      </c>
      <c r="C3811" s="24" t="n">
        <v>45139</v>
      </c>
      <c r="D3811" s="24" t="n">
        <v>45169</v>
      </c>
      <c r="E3811" s="25">
        <f>D3811-C3811+1</f>
        <v/>
      </c>
      <c r="F3811" s="319">
        <f>J3810</f>
        <v/>
      </c>
      <c r="G3811" s="319" t="n"/>
      <c r="H3811" s="319">
        <f>($D$3802/$D$3804*F3811)</f>
        <v/>
      </c>
      <c r="I3811" s="319">
        <f>-H3811</f>
        <v/>
      </c>
      <c r="J3811" s="319">
        <f>F3811-I3811</f>
        <v/>
      </c>
    </row>
    <row r="3812">
      <c r="B3812" s="1" t="n">
        <v>2</v>
      </c>
      <c r="C3812" s="24">
        <f>+C3811+31</f>
        <v/>
      </c>
      <c r="D3812" s="24">
        <f>+C3812+29</f>
        <v/>
      </c>
      <c r="E3812" s="25">
        <f>D3812-C3812+1</f>
        <v/>
      </c>
      <c r="F3812" s="319">
        <f>J3811</f>
        <v/>
      </c>
      <c r="G3812" s="319" t="n"/>
      <c r="H3812" s="319">
        <f>($D$3802/$D$3804*F3812)</f>
        <v/>
      </c>
      <c r="I3812" s="319">
        <f>-H3812</f>
        <v/>
      </c>
      <c r="J3812" s="319">
        <f>F3812-I3812</f>
        <v/>
      </c>
      <c r="K3812" s="516">
        <f>1600000+1072817.95</f>
        <v/>
      </c>
      <c r="L3812" s="516" t="n"/>
    </row>
    <row r="3813">
      <c r="B3813" s="1" t="n">
        <v>3</v>
      </c>
      <c r="C3813" s="24">
        <f>+C3812+30</f>
        <v/>
      </c>
      <c r="D3813" s="24" t="n">
        <v>45230</v>
      </c>
      <c r="E3813" s="25">
        <f>D3813-C3813+1</f>
        <v/>
      </c>
      <c r="F3813" s="319">
        <f>J3812</f>
        <v/>
      </c>
      <c r="G3813" s="319">
        <f>-PMT($D$3802/$D$3804,22,$F$3813,,0)</f>
        <v/>
      </c>
      <c r="H3813" s="319">
        <f>($D$3802/$D$3804*F3813)</f>
        <v/>
      </c>
      <c r="I3813" s="319">
        <f>G3813-H3813</f>
        <v/>
      </c>
      <c r="J3813" s="319">
        <f>F3813-I3813</f>
        <v/>
      </c>
      <c r="K3813" s="516" t="n">
        <v>1600000</v>
      </c>
      <c r="L3813" s="516">
        <f>L3812+G3813-K3812-K3813</f>
        <v/>
      </c>
    </row>
    <row r="3814">
      <c r="B3814" s="1" t="n">
        <v>4</v>
      </c>
      <c r="C3814" s="24">
        <f>+C3813+31</f>
        <v/>
      </c>
      <c r="D3814" s="24" t="n">
        <v>45260</v>
      </c>
      <c r="E3814" s="25">
        <f>D3814-C3814+1</f>
        <v/>
      </c>
      <c r="F3814" s="319">
        <f>J3813</f>
        <v/>
      </c>
      <c r="G3814" s="319">
        <f>-PMT($D$3802/$D$3804,22,$F$3813,,0)</f>
        <v/>
      </c>
      <c r="H3814" s="319">
        <f>($D$3802/$D$3804*F3814)</f>
        <v/>
      </c>
      <c r="I3814" s="319">
        <f>G3814-H3814</f>
        <v/>
      </c>
      <c r="J3814" s="319">
        <f>F3814-I3814</f>
        <v/>
      </c>
      <c r="K3814" s="516" t="n">
        <v>1600000</v>
      </c>
      <c r="L3814" s="516">
        <f>L3813+G3814-K3814</f>
        <v/>
      </c>
    </row>
    <row r="3815">
      <c r="B3815" s="1" t="n">
        <v>5</v>
      </c>
      <c r="C3815" s="24">
        <f>+C3814+30</f>
        <v/>
      </c>
      <c r="D3815" s="24" t="n">
        <v>45291</v>
      </c>
      <c r="E3815" s="25">
        <f>D3815-C3815+1</f>
        <v/>
      </c>
      <c r="F3815" s="319">
        <f>J3814</f>
        <v/>
      </c>
      <c r="G3815" s="319">
        <f>-PMT($D$3802/$D$3804,22,$F$3813,,0)</f>
        <v/>
      </c>
      <c r="H3815" s="319">
        <f>($D$3802/$D$3804*F3815)</f>
        <v/>
      </c>
      <c r="I3815" s="319">
        <f>G3815-H3815</f>
        <v/>
      </c>
      <c r="J3815" s="319">
        <f>F3815-I3815</f>
        <v/>
      </c>
      <c r="K3815" s="516" t="n"/>
      <c r="L3815" s="516">
        <f>L3814+G3815-K3815</f>
        <v/>
      </c>
    </row>
    <row r="3816">
      <c r="B3816" s="1" t="n">
        <v>6</v>
      </c>
      <c r="C3816" s="24">
        <f>+C3815+31</f>
        <v/>
      </c>
      <c r="D3816" s="24">
        <f>+C3816+30</f>
        <v/>
      </c>
      <c r="E3816" s="25">
        <f>D3816-C3816+1</f>
        <v/>
      </c>
      <c r="F3816" s="319">
        <f>J3815</f>
        <v/>
      </c>
      <c r="G3816" s="319">
        <f>-PMT($D$3802/$D$3804,22,$F$3813,,0)</f>
        <v/>
      </c>
      <c r="H3816" s="319">
        <f>($D$3802/$D$3804*F3816)</f>
        <v/>
      </c>
      <c r="I3816" s="319">
        <f>G3816-H3816</f>
        <v/>
      </c>
      <c r="J3816" s="319">
        <f>F3816-I3816</f>
        <v/>
      </c>
      <c r="K3816" s="516" t="n"/>
      <c r="L3816" s="516">
        <f>L3815+G3816-K3816</f>
        <v/>
      </c>
    </row>
    <row r="3817">
      <c r="B3817" s="1" t="n">
        <v>7</v>
      </c>
      <c r="C3817" s="24">
        <f>+C3816+31</f>
        <v/>
      </c>
      <c r="D3817" s="24">
        <f>+C3817+28</f>
        <v/>
      </c>
      <c r="E3817" s="25">
        <f>D3817-C3817+1</f>
        <v/>
      </c>
      <c r="F3817" s="319">
        <f>J3816</f>
        <v/>
      </c>
      <c r="G3817" s="319">
        <f>-PMT($D$3802/$D$3804,22,$F$3813,,0)</f>
        <v/>
      </c>
      <c r="H3817" s="319">
        <f>($D$3802/$D$3804*F3817)</f>
        <v/>
      </c>
      <c r="I3817" s="319">
        <f>G3817-H3817</f>
        <v/>
      </c>
      <c r="J3817" s="319">
        <f>F3817-I3817</f>
        <v/>
      </c>
      <c r="K3817" s="516" t="n">
        <v>1600000</v>
      </c>
      <c r="L3817" s="516">
        <f>L3816+G3817-K3817</f>
        <v/>
      </c>
    </row>
    <row r="3818">
      <c r="B3818" s="1" t="n">
        <v>8</v>
      </c>
      <c r="C3818" s="24">
        <f>+C3817+29</f>
        <v/>
      </c>
      <c r="D3818" s="24">
        <f>+C3818+30</f>
        <v/>
      </c>
      <c r="E3818" s="25">
        <f>D3818-C3818+1</f>
        <v/>
      </c>
      <c r="F3818" s="319">
        <f>J3817</f>
        <v/>
      </c>
      <c r="G3818" s="319">
        <f>-PMT($D$3802/$D$3804,22,$F$3813,,0)</f>
        <v/>
      </c>
      <c r="H3818" s="319">
        <f>($D$3802/$D$3804*F3818)</f>
        <v/>
      </c>
      <c r="I3818" s="319">
        <f>G3818-H3818</f>
        <v/>
      </c>
      <c r="J3818" s="319">
        <f>F3818-I3818</f>
        <v/>
      </c>
      <c r="K3818" s="516" t="n"/>
      <c r="L3818" s="516">
        <f>L3817+G3818-K3818</f>
        <v/>
      </c>
    </row>
    <row r="3819">
      <c r="B3819" s="1" t="n">
        <v>9</v>
      </c>
      <c r="C3819" s="24">
        <f>+C3818+31</f>
        <v/>
      </c>
      <c r="D3819" s="24">
        <f>+C3819+29</f>
        <v/>
      </c>
      <c r="E3819" s="25">
        <f>D3819-C3819+1</f>
        <v/>
      </c>
      <c r="F3819" s="319">
        <f>J3818</f>
        <v/>
      </c>
      <c r="G3819" s="319">
        <f>-PMT($D$3802/$D$3804,22,$F$3813,,0)</f>
        <v/>
      </c>
      <c r="H3819" s="319">
        <f>($D$3802/$D$3804*F3819)</f>
        <v/>
      </c>
      <c r="I3819" s="319">
        <f>G3819-H3819</f>
        <v/>
      </c>
      <c r="J3819" s="319">
        <f>F3819-I3819</f>
        <v/>
      </c>
      <c r="K3819" s="516" t="n"/>
      <c r="L3819" s="516">
        <f>L3818+G3819-K3819</f>
        <v/>
      </c>
    </row>
    <row r="3820">
      <c r="B3820" s="1" t="n">
        <v>10</v>
      </c>
      <c r="C3820" s="24">
        <f>+C3819+30</f>
        <v/>
      </c>
      <c r="D3820" s="24">
        <f>+C3820+30</f>
        <v/>
      </c>
      <c r="E3820" s="25">
        <f>D3820-C3820+1</f>
        <v/>
      </c>
      <c r="F3820" s="319">
        <f>J3819</f>
        <v/>
      </c>
      <c r="G3820" s="319">
        <f>-PMT($D$3802/$D$3804,22,$F$3813,,0)</f>
        <v/>
      </c>
      <c r="H3820" s="319">
        <f>($D$3802/$D$3804*F3820)</f>
        <v/>
      </c>
      <c r="I3820" s="319">
        <f>G3820-H3820</f>
        <v/>
      </c>
      <c r="J3820" s="319">
        <f>F3820-I3820</f>
        <v/>
      </c>
      <c r="K3820" s="516" t="n"/>
      <c r="L3820" s="516">
        <f>L3819+G3820-K3820</f>
        <v/>
      </c>
    </row>
    <row r="3821">
      <c r="B3821" s="1" t="n">
        <v>11</v>
      </c>
      <c r="C3821" s="24">
        <f>+C3820+31</f>
        <v/>
      </c>
      <c r="D3821" s="24">
        <f>+C3821+29</f>
        <v/>
      </c>
      <c r="E3821" s="25">
        <f>D3821-C3821+1</f>
        <v/>
      </c>
      <c r="F3821" s="319">
        <f>J3820</f>
        <v/>
      </c>
      <c r="G3821" s="319">
        <f>-PMT($D$3802/$D$3804,22,$F$3813,,0)</f>
        <v/>
      </c>
      <c r="H3821" s="319">
        <f>($D$3802/$D$3804*F3821)</f>
        <v/>
      </c>
      <c r="I3821" s="319">
        <f>G3821-H3821</f>
        <v/>
      </c>
      <c r="J3821" s="319">
        <f>F3821-I3821</f>
        <v/>
      </c>
      <c r="K3821" s="516">
        <f>700000</f>
        <v/>
      </c>
      <c r="L3821" s="516">
        <f>L3820+G3821-K3821</f>
        <v/>
      </c>
    </row>
    <row r="3822">
      <c r="B3822" s="1" t="n">
        <v>12</v>
      </c>
      <c r="C3822" s="24">
        <f>+C3821+30</f>
        <v/>
      </c>
      <c r="D3822" s="24">
        <f>+C3822+30</f>
        <v/>
      </c>
      <c r="E3822" s="25">
        <f>D3822-C3822+1</f>
        <v/>
      </c>
      <c r="F3822" s="319">
        <f>J3821</f>
        <v/>
      </c>
      <c r="G3822" s="319">
        <f>-PMT($D$3802/$D$3804,22,$F$3813,,0)</f>
        <v/>
      </c>
      <c r="H3822" s="319">
        <f>($D$3802/$D$3804*F3822)</f>
        <v/>
      </c>
      <c r="I3822" s="319">
        <f>G3822-H3822</f>
        <v/>
      </c>
      <c r="J3822" s="319">
        <f>F3822-I3822</f>
        <v/>
      </c>
      <c r="K3822" s="516" t="n">
        <v>800000</v>
      </c>
      <c r="L3822" s="516">
        <f>L3821+G3822-K3822</f>
        <v/>
      </c>
    </row>
    <row r="3823">
      <c r="B3823" s="1" t="n">
        <v>13</v>
      </c>
      <c r="C3823" s="24">
        <f>+C3822+31</f>
        <v/>
      </c>
      <c r="D3823" s="24">
        <f>+C3823+30</f>
        <v/>
      </c>
      <c r="E3823" s="25">
        <f>D3823-C3823+1</f>
        <v/>
      </c>
      <c r="F3823" s="319">
        <f>J3822</f>
        <v/>
      </c>
      <c r="G3823" s="319">
        <f>-PMT($D$3802/$D$3804,22,$F$3813,,0)</f>
        <v/>
      </c>
      <c r="H3823" s="319">
        <f>($D$3802/$D$3804*F3823)</f>
        <v/>
      </c>
      <c r="I3823" s="319">
        <f>G3823-H3823</f>
        <v/>
      </c>
      <c r="J3823" s="319">
        <f>F3823-I3823</f>
        <v/>
      </c>
      <c r="K3823" s="516" t="n"/>
      <c r="L3823" s="516">
        <f>L3822+G3823-K3823</f>
        <v/>
      </c>
    </row>
    <row r="3824">
      <c r="B3824" s="1" t="n">
        <v>14</v>
      </c>
      <c r="C3824" s="24">
        <f>+C3823+31</f>
        <v/>
      </c>
      <c r="D3824" s="24">
        <f>+C3824+29</f>
        <v/>
      </c>
      <c r="E3824" s="25">
        <f>D3824-C3824+1</f>
        <v/>
      </c>
      <c r="F3824" s="319">
        <f>J3823</f>
        <v/>
      </c>
      <c r="G3824" s="319">
        <f>-PMT($D$3802/$D$3804,22,$F$3813,,0)</f>
        <v/>
      </c>
      <c r="H3824" s="319">
        <f>($D$3802/$D$3804*F3824)</f>
        <v/>
      </c>
      <c r="I3824" s="319">
        <f>G3824-H3824</f>
        <v/>
      </c>
      <c r="J3824" s="319">
        <f>F3824-I3824</f>
        <v/>
      </c>
      <c r="K3824" s="516" t="n">
        <v>1600000</v>
      </c>
      <c r="L3824" s="516">
        <f>L3823+G3824-K3824</f>
        <v/>
      </c>
    </row>
    <row r="3825">
      <c r="B3825" s="1" t="n">
        <v>15</v>
      </c>
      <c r="C3825" s="24">
        <f>+C3824+30</f>
        <v/>
      </c>
      <c r="D3825" s="24">
        <f>+C3825+30</f>
        <v/>
      </c>
      <c r="E3825" s="25">
        <f>D3825-C3825+1</f>
        <v/>
      </c>
      <c r="F3825" s="319">
        <f>J3824</f>
        <v/>
      </c>
      <c r="G3825" s="319">
        <f>-PMT($D$3802/$D$3804,22,$F$3813,,0)</f>
        <v/>
      </c>
      <c r="H3825" s="319">
        <f>($D$3802/$D$3804*F3825)</f>
        <v/>
      </c>
      <c r="I3825" s="319">
        <f>G3825-H3825</f>
        <v/>
      </c>
      <c r="J3825" s="319">
        <f>F3825-I3825</f>
        <v/>
      </c>
      <c r="K3825" s="516" t="n"/>
      <c r="L3825" s="523">
        <f>L3824+G3825-K3825</f>
        <v/>
      </c>
    </row>
    <row r="3826">
      <c r="B3826" s="1" t="n">
        <v>16</v>
      </c>
      <c r="C3826" s="24">
        <f>+C3825+31</f>
        <v/>
      </c>
      <c r="D3826" s="24">
        <f>+C3826+29</f>
        <v/>
      </c>
      <c r="E3826" s="25">
        <f>D3826-C3826+1</f>
        <v/>
      </c>
      <c r="F3826" s="319">
        <f>J3825</f>
        <v/>
      </c>
      <c r="G3826" s="319">
        <f>-PMT($D$3802/$D$3804,22,$F$3813,,0)</f>
        <v/>
      </c>
      <c r="H3826" s="319">
        <f>($D$3802/$D$3804*F3826)</f>
        <v/>
      </c>
      <c r="I3826" s="319">
        <f>G3826-H3826</f>
        <v/>
      </c>
      <c r="J3826" s="319">
        <f>F3826-I3826</f>
        <v/>
      </c>
      <c r="K3826" s="516" t="n"/>
      <c r="L3826" s="516" t="n"/>
    </row>
    <row r="3827">
      <c r="B3827" s="1" t="n">
        <v>17</v>
      </c>
      <c r="C3827" s="24">
        <f>+C3826+30</f>
        <v/>
      </c>
      <c r="D3827" s="24">
        <f>+C3827+30</f>
        <v/>
      </c>
      <c r="E3827" s="25">
        <f>D3827-C3827+1</f>
        <v/>
      </c>
      <c r="F3827" s="319">
        <f>J3826</f>
        <v/>
      </c>
      <c r="G3827" s="319">
        <f>-PMT($D$3802/$D$3804,22,$F$3813,,0)</f>
        <v/>
      </c>
      <c r="H3827" s="319">
        <f>($D$3802/$D$3804*F3827)</f>
        <v/>
      </c>
      <c r="I3827" s="319">
        <f>G3827-H3827</f>
        <v/>
      </c>
      <c r="J3827" s="319">
        <f>F3827-I3827</f>
        <v/>
      </c>
      <c r="K3827" s="516" t="n"/>
      <c r="L3827" s="516" t="n"/>
    </row>
    <row r="3828">
      <c r="B3828" s="1" t="n">
        <v>18</v>
      </c>
      <c r="C3828" s="24">
        <f>+C3827+31</f>
        <v/>
      </c>
      <c r="D3828" s="24">
        <f>+C3828+30</f>
        <v/>
      </c>
      <c r="E3828" s="25">
        <f>D3828-C3828+1</f>
        <v/>
      </c>
      <c r="F3828" s="319">
        <f>J3827</f>
        <v/>
      </c>
      <c r="G3828" s="319">
        <f>-PMT($D$3802/$D$3804,22,$F$3813,,0)</f>
        <v/>
      </c>
      <c r="H3828" s="319">
        <f>($D$3802/$D$3804*F3828)</f>
        <v/>
      </c>
      <c r="I3828" s="319">
        <f>G3828-H3828</f>
        <v/>
      </c>
      <c r="J3828" s="319">
        <f>F3828-I3828</f>
        <v/>
      </c>
      <c r="K3828" s="516" t="n"/>
      <c r="L3828" s="516" t="n"/>
    </row>
    <row r="3829">
      <c r="B3829" s="1" t="n">
        <v>19</v>
      </c>
      <c r="C3829" s="24">
        <f>+C3828+31</f>
        <v/>
      </c>
      <c r="D3829" s="24">
        <f>+C3829+27</f>
        <v/>
      </c>
      <c r="E3829" s="25">
        <f>D3829-C3829+1</f>
        <v/>
      </c>
      <c r="F3829" s="319">
        <f>J3828</f>
        <v/>
      </c>
      <c r="G3829" s="319">
        <f>-PMT($D$3802/$D$3804,22,$F$3813,,0)</f>
        <v/>
      </c>
      <c r="H3829" s="319">
        <f>($D$3802/$D$3804*F3829)</f>
        <v/>
      </c>
      <c r="I3829" s="319">
        <f>G3829-H3829</f>
        <v/>
      </c>
      <c r="J3829" s="319">
        <f>F3829-I3829</f>
        <v/>
      </c>
      <c r="K3829" s="516" t="n"/>
      <c r="L3829" s="516" t="n"/>
    </row>
    <row r="3830">
      <c r="B3830" s="1" t="n">
        <v>20</v>
      </c>
      <c r="C3830" s="24">
        <f>+C3829+28</f>
        <v/>
      </c>
      <c r="D3830" s="24">
        <f>+C3830+30</f>
        <v/>
      </c>
      <c r="E3830" s="25">
        <f>D3830-C3830+1</f>
        <v/>
      </c>
      <c r="F3830" s="319">
        <f>J3829</f>
        <v/>
      </c>
      <c r="G3830" s="319">
        <f>-PMT($D$3802/$D$3804,22,$F$3813,,0)</f>
        <v/>
      </c>
      <c r="H3830" s="319">
        <f>($D$3802/$D$3804*F3830)</f>
        <v/>
      </c>
      <c r="I3830" s="319">
        <f>G3830-H3830</f>
        <v/>
      </c>
      <c r="J3830" s="319">
        <f>F3830-I3830</f>
        <v/>
      </c>
      <c r="K3830" s="516" t="n"/>
      <c r="L3830" s="516" t="n"/>
    </row>
    <row r="3831">
      <c r="B3831" s="1" t="n">
        <v>21</v>
      </c>
      <c r="C3831" s="24">
        <f>+C3830+31</f>
        <v/>
      </c>
      <c r="D3831" s="24">
        <f>+C3831+29</f>
        <v/>
      </c>
      <c r="E3831" s="25">
        <f>D3831-C3831+1</f>
        <v/>
      </c>
      <c r="F3831" s="319">
        <f>J3830</f>
        <v/>
      </c>
      <c r="G3831" s="319">
        <f>-PMT($D$3802/$D$3804,22,$F$3813,,0)</f>
        <v/>
      </c>
      <c r="H3831" s="319">
        <f>($D$3802/$D$3804*F3831)</f>
        <v/>
      </c>
      <c r="I3831" s="319">
        <f>G3831-H3831</f>
        <v/>
      </c>
      <c r="J3831" s="319">
        <f>F3831-I3831</f>
        <v/>
      </c>
      <c r="K3831" s="516" t="n"/>
      <c r="L3831" s="516" t="n"/>
    </row>
    <row r="3832">
      <c r="B3832" s="1" t="n">
        <v>22</v>
      </c>
      <c r="C3832" s="24">
        <f>+C3831+30</f>
        <v/>
      </c>
      <c r="D3832" s="24">
        <f>+C3832+30</f>
        <v/>
      </c>
      <c r="E3832" s="25">
        <f>D3832-C3832+1</f>
        <v/>
      </c>
      <c r="F3832" s="319">
        <f>J3831</f>
        <v/>
      </c>
      <c r="G3832" s="319">
        <f>-PMT($D$3802/$D$3804,22,$F$3813,,0)</f>
        <v/>
      </c>
      <c r="H3832" s="319">
        <f>($D$3802/$D$3804*F3832)</f>
        <v/>
      </c>
      <c r="I3832" s="319">
        <f>G3832-H3832</f>
        <v/>
      </c>
      <c r="J3832" s="319">
        <f>F3832-I3832</f>
        <v/>
      </c>
      <c r="K3832" s="516" t="n"/>
      <c r="L3832" s="516" t="n"/>
    </row>
    <row r="3833">
      <c r="B3833" s="1" t="n">
        <v>23</v>
      </c>
      <c r="C3833" s="24">
        <f>+C3832+31</f>
        <v/>
      </c>
      <c r="D3833" s="24">
        <f>+D3832+30</f>
        <v/>
      </c>
      <c r="E3833" s="25">
        <f>D3833-C3833+1</f>
        <v/>
      </c>
      <c r="F3833" s="319">
        <f>J3832</f>
        <v/>
      </c>
      <c r="G3833" s="319">
        <f>-PMT($D$3802/$D$3804,22,$F$3813,,0)</f>
        <v/>
      </c>
      <c r="H3833" s="319">
        <f>($D$3802/$D$3804*F3833)</f>
        <v/>
      </c>
      <c r="I3833" s="319">
        <f>G3833-H3833</f>
        <v/>
      </c>
      <c r="J3833" s="319">
        <f>F3833-I3833</f>
        <v/>
      </c>
      <c r="K3833" s="516" t="n"/>
      <c r="L3833" s="516" t="n"/>
    </row>
    <row r="3834">
      <c r="B3834" s="1">
        <f>+B3833+1</f>
        <v/>
      </c>
      <c r="C3834" s="24">
        <f>+C3833+30</f>
        <v/>
      </c>
      <c r="D3834" s="24">
        <f>+D3833+30</f>
        <v/>
      </c>
      <c r="E3834" s="25">
        <f>D3834-C3834+1</f>
        <v/>
      </c>
      <c r="F3834" s="319">
        <f>J3833</f>
        <v/>
      </c>
      <c r="G3834" s="319">
        <f>-PMT($D$3802/$D$3804,22,$F$3813,,0)</f>
        <v/>
      </c>
      <c r="H3834" s="319">
        <f>($D$3802/$D$3804*F3834)</f>
        <v/>
      </c>
      <c r="I3834" s="319">
        <f>G3834-H3834</f>
        <v/>
      </c>
      <c r="J3834" s="319">
        <f>F3834-I3834</f>
        <v/>
      </c>
    </row>
    <row r="3836">
      <c r="E3836" s="7">
        <f>SUM(E3810:E3835)</f>
        <v/>
      </c>
    </row>
    <row r="3841">
      <c r="B3841" s="1" t="n"/>
      <c r="C3841" s="9" t="inlineStr">
        <is>
          <t>Design Management Consultants Limited</t>
        </is>
      </c>
      <c r="D3841" s="319" t="n"/>
      <c r="E3841" s="319" t="n"/>
      <c r="F3841" s="319" t="n"/>
      <c r="G3841" s="319" t="n"/>
      <c r="H3841" s="319" t="n"/>
      <c r="I3841" s="319" t="n"/>
      <c r="J3841" s="319" t="n"/>
      <c r="K3841" s="319" t="n"/>
      <c r="L3841" s="319" t="n"/>
      <c r="R3841" s="514" t="inlineStr">
        <is>
          <t>E-Banker account (Dupleix)</t>
        </is>
      </c>
      <c r="S3841" s="495">
        <f>IFERROR(INDEX('Blocks'!$I$2:$I$101,MATCH(70,'Blocks'!$A$2:$A$101,0)),"")</f>
        <v/>
      </c>
    </row>
    <row r="3842">
      <c r="B3842" s="1" t="n"/>
      <c r="C3842" s="1" t="n"/>
      <c r="D3842" s="319" t="n"/>
      <c r="E3842" s="319" t="n"/>
      <c r="F3842" s="319" t="n"/>
      <c r="G3842" s="319" t="n"/>
      <c r="H3842" s="319" t="n"/>
      <c r="I3842" s="319" t="n"/>
      <c r="J3842" s="319" t="n"/>
      <c r="K3842" s="319" t="n"/>
      <c r="L3842" s="319" t="n"/>
      <c r="R3842" s="514" t="inlineStr">
        <is>
          <t>Facility (Loan Book)</t>
        </is>
      </c>
      <c r="S3842" s="495">
        <f>IFERROR(INDEX('Blocks'!$H$2:$H$101,MATCH(70,'Blocks'!$A$2:$A$101,0)),"")</f>
        <v/>
      </c>
    </row>
    <row r="3843">
      <c r="B3843" s="1" t="n"/>
      <c r="C3843" s="10" t="inlineStr">
        <is>
          <t>Principal (MK)</t>
        </is>
      </c>
      <c r="D3843" s="11">
        <f>'[5]Loan amortisation'!$D$4</f>
        <v/>
      </c>
      <c r="E3843" s="319" t="n"/>
      <c r="F3843" s="319" t="n"/>
      <c r="G3843" s="319" t="n"/>
      <c r="H3843" s="319" t="n"/>
      <c r="I3843" s="319" t="n"/>
      <c r="J3843" s="319" t="n"/>
      <c r="K3843" s="319" t="n"/>
      <c r="L3843" s="319" t="n"/>
      <c r="R3843" s="514" t="inlineStr">
        <is>
          <t>Take-on posting 31 Jul 2024</t>
        </is>
      </c>
      <c r="S3843" s="496">
        <f>IFERROR(INDEX('E-Banker master'!$N$2:$N$186,MATCH(S3841,'E-Banker master'!$A$2:$A$186,0)),"")</f>
        <v/>
      </c>
    </row>
    <row r="3844">
      <c r="B3844" s="1" t="n"/>
      <c r="C3844" s="13" t="inlineStr">
        <is>
          <t>Rate</t>
        </is>
      </c>
      <c r="D3844" s="14" t="n">
        <v>0.1</v>
      </c>
      <c r="E3844" s="257" t="n"/>
      <c r="F3844" s="319" t="n"/>
      <c r="G3844" s="319" t="n"/>
      <c r="H3844" s="319" t="n"/>
      <c r="I3844" s="319" t="n"/>
      <c r="J3844" s="319" t="n"/>
      <c r="K3844" s="319" t="n"/>
      <c r="L3844" s="319" t="n"/>
      <c r="R3844" s="514" t="inlineStr">
        <is>
          <t>E-Banker balance 31 Oct 2024</t>
        </is>
      </c>
      <c r="S3844" s="496">
        <f>IFERROR(INDEX('E-Banker master'!$P$2:$P$186,MATCH(S3841,'E-Banker master'!$A$2:$A$186,0)),"")</f>
        <v/>
      </c>
    </row>
    <row r="3845">
      <c r="B3845" s="1" t="n"/>
      <c r="C3845" s="13" t="inlineStr">
        <is>
          <t>n</t>
        </is>
      </c>
      <c r="D3845" s="16" t="n">
        <v>4</v>
      </c>
      <c r="E3845" s="1" t="n"/>
      <c r="F3845" s="319" t="n"/>
      <c r="G3845" s="319" t="n"/>
      <c r="H3845" s="319" t="n"/>
      <c r="I3845" s="319" t="n"/>
      <c r="J3845" s="319" t="n"/>
      <c r="K3845" s="1" t="n"/>
      <c r="L3845" s="1" t="n"/>
    </row>
    <row r="3846">
      <c r="B3846" s="1" t="n"/>
      <c r="C3846" s="13" t="inlineStr">
        <is>
          <t>Per</t>
        </is>
      </c>
      <c r="D3846" s="16" t="n">
        <v>12</v>
      </c>
      <c r="E3846" s="1" t="n"/>
      <c r="F3846" s="319" t="n"/>
      <c r="G3846" s="319" t="n"/>
      <c r="H3846" s="319" t="n"/>
      <c r="I3846" s="319" t="n"/>
      <c r="J3846" s="319" t="n"/>
      <c r="K3846" s="1" t="n"/>
      <c r="L3846" s="1" t="n"/>
    </row>
    <row r="3847">
      <c r="B3847" s="1" t="n"/>
      <c r="C3847" s="13" t="inlineStr">
        <is>
          <t>nPer</t>
        </is>
      </c>
      <c r="D3847" s="515">
        <f>D3845*D3846</f>
        <v/>
      </c>
      <c r="E3847" s="1" t="n"/>
      <c r="F3847" s="319" t="n"/>
      <c r="G3847" s="319" t="n"/>
      <c r="H3847" s="319" t="n"/>
      <c r="I3847" s="319" t="n"/>
      <c r="J3847" s="319" t="n"/>
      <c r="K3847" s="1" t="n"/>
      <c r="L3847" s="1" t="n"/>
    </row>
    <row r="3848">
      <c r="B3848" s="1" t="n"/>
      <c r="C3848" s="13" t="inlineStr">
        <is>
          <t>Days in a year</t>
        </is>
      </c>
      <c r="D3848" s="18" t="n">
        <v>365</v>
      </c>
      <c r="E3848" s="1" t="n"/>
      <c r="F3848" s="319" t="n"/>
      <c r="G3848" s="319" t="n"/>
      <c r="H3848" s="319" t="n"/>
      <c r="I3848" s="319" t="n"/>
      <c r="J3848" s="319" t="n"/>
      <c r="K3848" s="1" t="n"/>
      <c r="L3848" s="1" t="n"/>
    </row>
    <row r="3849">
      <c r="B3849" s="1" t="n"/>
      <c r="C3849" s="19" t="inlineStr">
        <is>
          <t>Pmt (MK)</t>
        </is>
      </c>
      <c r="D3849" s="534">
        <f>-PMT(D3844/D3846,D3847,D3843,0,0)</f>
        <v/>
      </c>
      <c r="E3849" s="319" t="n"/>
      <c r="F3849" s="319" t="n"/>
      <c r="G3849" s="319" t="n"/>
      <c r="H3849" s="319" t="n"/>
      <c r="I3849" s="319" t="n"/>
      <c r="J3849" s="319" t="n"/>
      <c r="K3849" s="1" t="n"/>
      <c r="L3849" s="1" t="n"/>
    </row>
    <row r="3850">
      <c r="B3850" s="1" t="n"/>
      <c r="C3850" s="1" t="n"/>
      <c r="D3850" s="319" t="n"/>
      <c r="E3850" s="319" t="n"/>
      <c r="F3850" s="319" t="n"/>
      <c r="G3850" s="319" t="n"/>
      <c r="H3850" s="319" t="n"/>
      <c r="I3850" s="319" t="n"/>
      <c r="J3850" s="319" t="n"/>
      <c r="K3850" s="1" t="n"/>
      <c r="L3850" s="1" t="n"/>
    </row>
    <row r="3851">
      <c r="B3851" s="1" t="n"/>
      <c r="C3851" s="21" t="inlineStr">
        <is>
          <t>Period Start</t>
        </is>
      </c>
      <c r="D3851" s="22" t="inlineStr">
        <is>
          <t>Period End</t>
        </is>
      </c>
      <c r="E3851" s="22" t="inlineStr">
        <is>
          <t>Days</t>
        </is>
      </c>
      <c r="F3851" s="294" t="inlineStr">
        <is>
          <t>Opening bal.</t>
        </is>
      </c>
      <c r="G3851" s="294" t="inlineStr">
        <is>
          <t>Pmt</t>
        </is>
      </c>
      <c r="H3851" s="294" t="inlineStr">
        <is>
          <t>Interest</t>
        </is>
      </c>
      <c r="I3851" s="294" t="inlineStr">
        <is>
          <t>Principal</t>
        </is>
      </c>
      <c r="J3851" s="294" t="inlineStr">
        <is>
          <t>Closing balance</t>
        </is>
      </c>
      <c r="K3851" s="23" t="inlineStr">
        <is>
          <t>Amount Repaid</t>
        </is>
      </c>
      <c r="L3851" s="23" t="inlineStr">
        <is>
          <t>Accumulated Arrears</t>
        </is>
      </c>
    </row>
    <row r="3852">
      <c r="B3852" s="1" t="n">
        <v>0</v>
      </c>
      <c r="C3852" s="24" t="n">
        <v>45138</v>
      </c>
      <c r="D3852" s="24" t="n">
        <v>45138</v>
      </c>
      <c r="E3852" s="25" t="n">
        <v>0</v>
      </c>
      <c r="F3852" s="319">
        <f>D3843</f>
        <v/>
      </c>
      <c r="G3852" s="319" t="n"/>
      <c r="H3852" s="319">
        <f>($D$3695/$D$3697*F3852*E3852/31)</f>
        <v/>
      </c>
      <c r="I3852" s="319">
        <f>-H3852</f>
        <v/>
      </c>
      <c r="J3852" s="319">
        <f>F3852-I3852</f>
        <v/>
      </c>
      <c r="K3852" s="516" t="n"/>
      <c r="L3852" s="516" t="n"/>
    </row>
    <row r="3853">
      <c r="B3853" s="1" t="n">
        <v>1</v>
      </c>
      <c r="C3853" s="24" t="n">
        <v>45139</v>
      </c>
      <c r="D3853" s="24" t="n">
        <v>45169</v>
      </c>
      <c r="E3853" s="25">
        <f>D3853-C3853+1</f>
        <v/>
      </c>
      <c r="F3853" s="319">
        <f>J3852</f>
        <v/>
      </c>
      <c r="G3853" s="319" t="n"/>
      <c r="H3853" s="319">
        <f>($D$3844/$D$3846*F3853)</f>
        <v/>
      </c>
      <c r="I3853" s="319">
        <f>-H3853</f>
        <v/>
      </c>
      <c r="J3853" s="319">
        <f>F3853-I3853</f>
        <v/>
      </c>
    </row>
    <row r="3854">
      <c r="B3854" s="1" t="n">
        <v>2</v>
      </c>
      <c r="C3854" s="24">
        <f>+C3853+31</f>
        <v/>
      </c>
      <c r="D3854" s="24">
        <f>+C3854+29</f>
        <v/>
      </c>
      <c r="E3854" s="25">
        <f>D3854-C3854+1</f>
        <v/>
      </c>
      <c r="F3854" s="319">
        <f>J3853</f>
        <v/>
      </c>
      <c r="G3854" s="319" t="n"/>
      <c r="H3854" s="319">
        <f>($D$3844/$D$3846*F3854)</f>
        <v/>
      </c>
      <c r="I3854" s="319">
        <f>-H3854</f>
        <v/>
      </c>
      <c r="J3854" s="319">
        <f>F3854-I3854</f>
        <v/>
      </c>
      <c r="K3854" s="516" t="n"/>
      <c r="L3854" s="516" t="n"/>
    </row>
    <row r="3855">
      <c r="B3855" s="1" t="n">
        <v>3</v>
      </c>
      <c r="C3855" s="24">
        <f>+C3854+30</f>
        <v/>
      </c>
      <c r="D3855" s="24" t="n">
        <v>45230</v>
      </c>
      <c r="E3855" s="25">
        <f>D3855-C3855+1</f>
        <v/>
      </c>
      <c r="F3855" s="319">
        <f>J3854</f>
        <v/>
      </c>
      <c r="G3855" s="319" t="n"/>
      <c r="H3855" s="319">
        <f>($D$3844/$D$3846*F3855)</f>
        <v/>
      </c>
      <c r="I3855" s="319">
        <f>G3855-H3855</f>
        <v/>
      </c>
      <c r="J3855" s="319">
        <f>F3855-I3855</f>
        <v/>
      </c>
      <c r="K3855" s="516" t="n"/>
      <c r="L3855" s="516" t="n"/>
    </row>
    <row r="3856">
      <c r="B3856" s="1" t="n">
        <v>4</v>
      </c>
      <c r="C3856" s="24">
        <f>+C3855+31</f>
        <v/>
      </c>
      <c r="D3856" s="24" t="n">
        <v>45260</v>
      </c>
      <c r="E3856" s="25">
        <f>D3856-C3856+1</f>
        <v/>
      </c>
      <c r="F3856" s="319">
        <f>J3855</f>
        <v/>
      </c>
      <c r="G3856" s="319" t="n"/>
      <c r="H3856" s="319">
        <f>($D$3844/$D$3846*F3856)</f>
        <v/>
      </c>
      <c r="I3856" s="319">
        <f>G3856-H3856</f>
        <v/>
      </c>
      <c r="J3856" s="319">
        <f>F3856-I3856</f>
        <v/>
      </c>
      <c r="K3856" s="516" t="n"/>
      <c r="L3856" s="516" t="n"/>
    </row>
    <row r="3857">
      <c r="B3857" s="1" t="n">
        <v>5</v>
      </c>
      <c r="C3857" s="24">
        <f>+C3856+30</f>
        <v/>
      </c>
      <c r="D3857" s="24" t="n">
        <v>45291</v>
      </c>
      <c r="E3857" s="25">
        <f>D3857-C3857+1</f>
        <v/>
      </c>
      <c r="F3857" s="319">
        <f>J3856</f>
        <v/>
      </c>
      <c r="G3857" s="319" t="n"/>
      <c r="H3857" s="319">
        <f>($D$3844/$D$3846*F3857)</f>
        <v/>
      </c>
      <c r="I3857" s="319">
        <f>G3857-H3857</f>
        <v/>
      </c>
      <c r="J3857" s="319">
        <f>F3857-I3857</f>
        <v/>
      </c>
      <c r="K3857" s="516" t="n"/>
      <c r="L3857" s="519" t="n"/>
    </row>
    <row r="3858">
      <c r="B3858" s="1" t="n">
        <v>6</v>
      </c>
      <c r="C3858" s="24">
        <f>+C3857+31</f>
        <v/>
      </c>
      <c r="D3858" s="24">
        <f>+C3858+30</f>
        <v/>
      </c>
      <c r="E3858" s="25">
        <f>D3858-C3858+1</f>
        <v/>
      </c>
      <c r="F3858" s="319">
        <f>J3857</f>
        <v/>
      </c>
      <c r="G3858" s="319" t="n"/>
      <c r="H3858" s="319">
        <f>($D$3844/$D$3846*F3858)</f>
        <v/>
      </c>
      <c r="I3858" s="319">
        <f>G3858-H3858</f>
        <v/>
      </c>
      <c r="J3858" s="319">
        <f>F3858-I3858</f>
        <v/>
      </c>
      <c r="K3858" s="516" t="n"/>
      <c r="L3858" s="516" t="n"/>
    </row>
    <row r="3859">
      <c r="B3859" s="1" t="n">
        <v>7</v>
      </c>
      <c r="C3859" s="24">
        <f>+C3858+31</f>
        <v/>
      </c>
      <c r="D3859" s="24">
        <f>+C3859+28</f>
        <v/>
      </c>
      <c r="E3859" s="25">
        <f>D3859-C3859+1</f>
        <v/>
      </c>
      <c r="F3859" s="319">
        <f>J3858</f>
        <v/>
      </c>
      <c r="G3859" s="319">
        <f>-PMT($D$3844/$D$3846,42,$F$3859,,0)</f>
        <v/>
      </c>
      <c r="H3859" s="319">
        <f>($D$3844/$D$3846*F3859)</f>
        <v/>
      </c>
      <c r="I3859" s="319">
        <f>G3859-H3859</f>
        <v/>
      </c>
      <c r="J3859" s="319">
        <f>F3859-I3859</f>
        <v/>
      </c>
      <c r="K3859" s="516" t="n">
        <v>9154765.109999999</v>
      </c>
      <c r="L3859" s="516">
        <f>L3858+G3859-K3859</f>
        <v/>
      </c>
    </row>
    <row r="3860">
      <c r="B3860" s="1" t="n">
        <v>8</v>
      </c>
      <c r="C3860" s="24">
        <f>+C3859+29</f>
        <v/>
      </c>
      <c r="D3860" s="24">
        <f>+C3860+30</f>
        <v/>
      </c>
      <c r="E3860" s="25">
        <f>D3860-C3860+1</f>
        <v/>
      </c>
      <c r="F3860" s="319">
        <f>J3859</f>
        <v/>
      </c>
      <c r="G3860" s="319">
        <f>-PMT($D$3844/$D$3846,42,$F$3859,,0)</f>
        <v/>
      </c>
      <c r="H3860" s="319">
        <f>($D$3844/$D$3846*F3860)</f>
        <v/>
      </c>
      <c r="I3860" s="319">
        <f>G3860-H3860</f>
        <v/>
      </c>
      <c r="J3860" s="319">
        <f>F3860-I3860</f>
        <v/>
      </c>
      <c r="K3860" s="516" t="n"/>
      <c r="L3860" s="516">
        <f>L3859+G3860-K3860</f>
        <v/>
      </c>
    </row>
    <row r="3861">
      <c r="B3861" s="1" t="n">
        <v>9</v>
      </c>
      <c r="C3861" s="24">
        <f>+C3860+31</f>
        <v/>
      </c>
      <c r="D3861" s="24">
        <f>+C3861+29</f>
        <v/>
      </c>
      <c r="E3861" s="25">
        <f>D3861-C3861+1</f>
        <v/>
      </c>
      <c r="F3861" s="319">
        <f>J3860</f>
        <v/>
      </c>
      <c r="G3861" s="319">
        <f>-PMT($D$3844/$D$3846,42,$F$3859,,0)</f>
        <v/>
      </c>
      <c r="H3861" s="319">
        <f>($D$3844/$D$3846*F3861)</f>
        <v/>
      </c>
      <c r="I3861" s="319">
        <f>G3861-H3861</f>
        <v/>
      </c>
      <c r="J3861" s="319">
        <f>F3861-I3861</f>
        <v/>
      </c>
      <c r="K3861" s="516">
        <f>7196398+7196398.44</f>
        <v/>
      </c>
      <c r="L3861" s="516">
        <f>L3860+G3861-K3861</f>
        <v/>
      </c>
    </row>
    <row r="3862">
      <c r="B3862" s="1" t="n">
        <v>10</v>
      </c>
      <c r="C3862" s="24">
        <f>+C3861+30</f>
        <v/>
      </c>
      <c r="D3862" s="24">
        <f>+C3862+30</f>
        <v/>
      </c>
      <c r="E3862" s="25">
        <f>D3862-C3862+1</f>
        <v/>
      </c>
      <c r="F3862" s="319">
        <f>J3861</f>
        <v/>
      </c>
      <c r="G3862" s="319">
        <f>-PMT($D$3844/$D$3846,42,$F$3859,,0)</f>
        <v/>
      </c>
      <c r="H3862" s="319">
        <f>($D$3844/$D$3846*F3862)</f>
        <v/>
      </c>
      <c r="I3862" s="319">
        <f>G3862-H3862</f>
        <v/>
      </c>
      <c r="J3862" s="319">
        <f>F3862-I3862</f>
        <v/>
      </c>
      <c r="K3862" s="516" t="n">
        <v>7196398.44</v>
      </c>
      <c r="L3862" s="516">
        <f>L3861+G3862-K3862</f>
        <v/>
      </c>
    </row>
    <row r="3863">
      <c r="B3863" s="1" t="n">
        <v>11</v>
      </c>
      <c r="C3863" s="24">
        <f>+C3862+31</f>
        <v/>
      </c>
      <c r="D3863" s="24">
        <f>+C3863+29</f>
        <v/>
      </c>
      <c r="E3863" s="25">
        <f>D3863-C3863+1</f>
        <v/>
      </c>
      <c r="F3863" s="319">
        <f>J3862</f>
        <v/>
      </c>
      <c r="G3863" s="319">
        <f>-PMT($D$3844/$D$3846,42,$F$3859,,0)</f>
        <v/>
      </c>
      <c r="H3863" s="319">
        <f>($D$3844/$D$3846*F3863)</f>
        <v/>
      </c>
      <c r="I3863" s="319">
        <f>G3863-H3863</f>
        <v/>
      </c>
      <c r="J3863" s="319">
        <f>F3863-I3863</f>
        <v/>
      </c>
      <c r="K3863" s="516" t="n">
        <v>7149914.94</v>
      </c>
      <c r="L3863" s="516">
        <f>L3862+G3863-K3863</f>
        <v/>
      </c>
    </row>
    <row r="3864">
      <c r="B3864" s="1" t="n">
        <v>12</v>
      </c>
      <c r="C3864" s="24">
        <f>+C3863+30</f>
        <v/>
      </c>
      <c r="D3864" s="24">
        <f>+C3864+30</f>
        <v/>
      </c>
      <c r="E3864" s="25">
        <f>D3864-C3864+1</f>
        <v/>
      </c>
      <c r="F3864" s="319">
        <f>J3863</f>
        <v/>
      </c>
      <c r="G3864" s="319">
        <f>-PMT($D$3844/$D$3846,42,$F$3859,,0)</f>
        <v/>
      </c>
      <c r="H3864" s="319">
        <f>($D$3844/$D$3846*F3864)</f>
        <v/>
      </c>
      <c r="I3864" s="319">
        <f>G3864-H3864</f>
        <v/>
      </c>
      <c r="J3864" s="319">
        <f>F3864-I3864</f>
        <v/>
      </c>
      <c r="K3864" s="516" t="n">
        <v>7196398.44</v>
      </c>
      <c r="L3864" s="516">
        <f>L3863+G3864-K3864</f>
        <v/>
      </c>
    </row>
    <row r="3865">
      <c r="B3865" s="1" t="n">
        <v>13</v>
      </c>
      <c r="C3865" s="24">
        <f>+C3864+31</f>
        <v/>
      </c>
      <c r="D3865" s="24">
        <f>+C3865+30</f>
        <v/>
      </c>
      <c r="E3865" s="25">
        <f>D3865-C3865+1</f>
        <v/>
      </c>
      <c r="F3865" s="319">
        <f>J3864</f>
        <v/>
      </c>
      <c r="G3865" s="319">
        <f>-PMT($D$3844/$D$3846,42,$F$3859,,0)</f>
        <v/>
      </c>
      <c r="H3865" s="319">
        <f>($D$3844/$D$3846*F3865)</f>
        <v/>
      </c>
      <c r="I3865" s="319">
        <f>G3865-H3865</f>
        <v/>
      </c>
      <c r="J3865" s="319">
        <f>F3865-I3865</f>
        <v/>
      </c>
      <c r="K3865" s="516" t="n">
        <v>7196398.44</v>
      </c>
      <c r="L3865" s="516">
        <f>L3864+G3865-K3865</f>
        <v/>
      </c>
    </row>
    <row r="3866">
      <c r="B3866" s="1" t="n">
        <v>14</v>
      </c>
      <c r="C3866" s="24">
        <f>+C3865+31</f>
        <v/>
      </c>
      <c r="D3866" s="24">
        <f>+C3866+29</f>
        <v/>
      </c>
      <c r="E3866" s="25">
        <f>D3866-C3866+1</f>
        <v/>
      </c>
      <c r="F3866" s="319">
        <f>J3865</f>
        <v/>
      </c>
      <c r="G3866" s="319">
        <f>-PMT($D$3844/$D$3846,42,$F$3859,,0)</f>
        <v/>
      </c>
      <c r="H3866" s="319">
        <f>($D$3844/$D$3846*F3866)</f>
        <v/>
      </c>
      <c r="I3866" s="319">
        <f>G3866-H3866</f>
        <v/>
      </c>
      <c r="J3866" s="319">
        <f>F3866-I3866</f>
        <v/>
      </c>
      <c r="K3866" s="516" t="n">
        <v>7196398.44</v>
      </c>
      <c r="L3866" s="516">
        <f>L3865+G3866-K3866</f>
        <v/>
      </c>
    </row>
    <row r="3867">
      <c r="B3867" s="1" t="n">
        <v>15</v>
      </c>
      <c r="C3867" s="24">
        <f>+C3866+30</f>
        <v/>
      </c>
      <c r="D3867" s="24">
        <f>+C3867+30</f>
        <v/>
      </c>
      <c r="E3867" s="25">
        <f>D3867-C3867+1</f>
        <v/>
      </c>
      <c r="F3867" s="319">
        <f>J3866</f>
        <v/>
      </c>
      <c r="G3867" s="319">
        <f>-PMT($D$3844/$D$3846,42,$F$3859,,0)</f>
        <v/>
      </c>
      <c r="H3867" s="319">
        <f>($D$3844/$D$3846*F3867)</f>
        <v/>
      </c>
      <c r="I3867" s="319">
        <f>G3867-H3867</f>
        <v/>
      </c>
      <c r="J3867" s="319">
        <f>F3867-I3867</f>
        <v/>
      </c>
      <c r="K3867" s="516" t="n">
        <v>7196400</v>
      </c>
      <c r="L3867" s="520">
        <f>L3866+G3867-K3867</f>
        <v/>
      </c>
    </row>
    <row r="3868">
      <c r="B3868" s="1" t="n">
        <v>16</v>
      </c>
      <c r="C3868" s="24">
        <f>+C3867+31</f>
        <v/>
      </c>
      <c r="D3868" s="24">
        <f>+C3868+29</f>
        <v/>
      </c>
      <c r="E3868" s="25">
        <f>D3868-C3868+1</f>
        <v/>
      </c>
      <c r="F3868" s="319">
        <f>J3867</f>
        <v/>
      </c>
      <c r="G3868" s="319">
        <f>-PMT($D$3844/$D$3846,42,$F$3859,,0)</f>
        <v/>
      </c>
      <c r="H3868" s="319">
        <f>($D$3844/$D$3846*F3868)</f>
        <v/>
      </c>
      <c r="I3868" s="319">
        <f>G3868-H3868</f>
        <v/>
      </c>
      <c r="J3868" s="319">
        <f>F3868-I3868</f>
        <v/>
      </c>
      <c r="K3868" s="516" t="n"/>
      <c r="L3868" s="516" t="n"/>
    </row>
    <row r="3869">
      <c r="B3869" s="1" t="n">
        <v>17</v>
      </c>
      <c r="C3869" s="24">
        <f>+C3868+30</f>
        <v/>
      </c>
      <c r="D3869" s="24">
        <f>+C3869+30</f>
        <v/>
      </c>
      <c r="E3869" s="25">
        <f>D3869-C3869+1</f>
        <v/>
      </c>
      <c r="F3869" s="319">
        <f>J3868</f>
        <v/>
      </c>
      <c r="G3869" s="319">
        <f>-PMT($D$3844/$D$3846,42,$F$3859,,0)</f>
        <v/>
      </c>
      <c r="H3869" s="319">
        <f>($D$3844/$D$3846*F3869)</f>
        <v/>
      </c>
      <c r="I3869" s="319">
        <f>G3869-H3869</f>
        <v/>
      </c>
      <c r="J3869" s="319">
        <f>F3869-I3869</f>
        <v/>
      </c>
      <c r="K3869" s="516" t="n"/>
      <c r="L3869" s="516" t="n"/>
    </row>
    <row r="3870">
      <c r="B3870" s="1" t="n">
        <v>18</v>
      </c>
      <c r="C3870" s="24">
        <f>+C3869+31</f>
        <v/>
      </c>
      <c r="D3870" s="24">
        <f>+C3870+30</f>
        <v/>
      </c>
      <c r="E3870" s="25">
        <f>D3870-C3870+1</f>
        <v/>
      </c>
      <c r="F3870" s="319">
        <f>J3869</f>
        <v/>
      </c>
      <c r="G3870" s="319">
        <f>-PMT($D$3844/$D$3846,42,$F$3859,,0)</f>
        <v/>
      </c>
      <c r="H3870" s="319">
        <f>($D$3844/$D$3846*F3870)</f>
        <v/>
      </c>
      <c r="I3870" s="319">
        <f>G3870-H3870</f>
        <v/>
      </c>
      <c r="J3870" s="319">
        <f>F3870-I3870</f>
        <v/>
      </c>
      <c r="K3870" s="516" t="n"/>
      <c r="L3870" s="516" t="n"/>
    </row>
    <row r="3871">
      <c r="B3871" s="1" t="n">
        <v>19</v>
      </c>
      <c r="C3871" s="24">
        <f>+C3870+31</f>
        <v/>
      </c>
      <c r="D3871" s="24">
        <f>+C3871+27</f>
        <v/>
      </c>
      <c r="E3871" s="25">
        <f>D3871-C3871+1</f>
        <v/>
      </c>
      <c r="F3871" s="319">
        <f>J3870</f>
        <v/>
      </c>
      <c r="G3871" s="319">
        <f>-PMT($D$3844/$D$3846,42,$F$3859,,0)</f>
        <v/>
      </c>
      <c r="H3871" s="319">
        <f>($D$3844/$D$3846*F3871)</f>
        <v/>
      </c>
      <c r="I3871" s="319">
        <f>G3871-H3871</f>
        <v/>
      </c>
      <c r="J3871" s="319">
        <f>F3871-I3871</f>
        <v/>
      </c>
      <c r="K3871" s="516" t="n"/>
      <c r="L3871" s="516" t="n"/>
    </row>
    <row r="3872">
      <c r="B3872" s="1" t="n">
        <v>20</v>
      </c>
      <c r="C3872" s="24">
        <f>+C3871+28</f>
        <v/>
      </c>
      <c r="D3872" s="24">
        <f>+C3872+30</f>
        <v/>
      </c>
      <c r="E3872" s="25">
        <f>D3872-C3872+1</f>
        <v/>
      </c>
      <c r="F3872" s="319">
        <f>J3871</f>
        <v/>
      </c>
      <c r="G3872" s="319">
        <f>-PMT($D$3844/$D$3846,42,$F$3859,,0)</f>
        <v/>
      </c>
      <c r="H3872" s="319">
        <f>($D$3844/$D$3846*F3872)</f>
        <v/>
      </c>
      <c r="I3872" s="319">
        <f>G3872-H3872</f>
        <v/>
      </c>
      <c r="J3872" s="319">
        <f>F3872-I3872</f>
        <v/>
      </c>
      <c r="K3872" s="516" t="n"/>
      <c r="L3872" s="516" t="n"/>
    </row>
    <row r="3873">
      <c r="B3873" s="1" t="n">
        <v>21</v>
      </c>
      <c r="C3873" s="24">
        <f>+C3872+31</f>
        <v/>
      </c>
      <c r="D3873" s="24">
        <f>+C3873+29</f>
        <v/>
      </c>
      <c r="E3873" s="25">
        <f>D3873-C3873+1</f>
        <v/>
      </c>
      <c r="F3873" s="319">
        <f>J3872</f>
        <v/>
      </c>
      <c r="G3873" s="319">
        <f>-PMT($D$3844/$D$3846,42,$F$3859,,0)</f>
        <v/>
      </c>
      <c r="H3873" s="319">
        <f>($D$3844/$D$3846*F3873)</f>
        <v/>
      </c>
      <c r="I3873" s="319">
        <f>G3873-H3873</f>
        <v/>
      </c>
      <c r="J3873" s="319">
        <f>F3873-I3873</f>
        <v/>
      </c>
      <c r="K3873" s="516" t="n"/>
      <c r="L3873" s="516" t="n"/>
    </row>
    <row r="3874">
      <c r="B3874" s="1" t="n">
        <v>22</v>
      </c>
      <c r="C3874" s="24">
        <f>+C3873+30</f>
        <v/>
      </c>
      <c r="D3874" s="24">
        <f>+C3874+30</f>
        <v/>
      </c>
      <c r="E3874" s="25">
        <f>D3874-C3874+1</f>
        <v/>
      </c>
      <c r="F3874" s="319">
        <f>J3873</f>
        <v/>
      </c>
      <c r="G3874" s="319">
        <f>-PMT($D$3844/$D$3846,42,$F$3859,,0)</f>
        <v/>
      </c>
      <c r="H3874" s="319">
        <f>($D$3844/$D$3846*F3874)</f>
        <v/>
      </c>
      <c r="I3874" s="319">
        <f>G3874-H3874</f>
        <v/>
      </c>
      <c r="J3874" s="319">
        <f>F3874-I3874</f>
        <v/>
      </c>
      <c r="K3874" s="516" t="n"/>
      <c r="L3874" s="516" t="n"/>
    </row>
    <row r="3875">
      <c r="B3875" s="1" t="n">
        <v>23</v>
      </c>
      <c r="C3875" s="24">
        <f>+C3874+31</f>
        <v/>
      </c>
      <c r="D3875" s="24">
        <f>+D3874+30</f>
        <v/>
      </c>
      <c r="E3875" s="25">
        <f>D3875-C3875+1</f>
        <v/>
      </c>
      <c r="F3875" s="319">
        <f>J3874</f>
        <v/>
      </c>
      <c r="G3875" s="319">
        <f>-PMT($D$3844/$D$3846,42,$F$3859,,0)</f>
        <v/>
      </c>
      <c r="H3875" s="319">
        <f>($D$3844/$D$3846*F3875)</f>
        <v/>
      </c>
      <c r="I3875" s="319">
        <f>G3875-H3875</f>
        <v/>
      </c>
      <c r="J3875" s="319">
        <f>F3875-I3875</f>
        <v/>
      </c>
      <c r="K3875" s="516" t="n"/>
      <c r="L3875" s="516" t="n"/>
    </row>
    <row r="3876">
      <c r="B3876" s="1">
        <f>+B3875+1</f>
        <v/>
      </c>
      <c r="C3876" s="24">
        <f>+C3875+30</f>
        <v/>
      </c>
      <c r="D3876" s="24">
        <f>+D3875+30</f>
        <v/>
      </c>
      <c r="E3876" s="25">
        <f>D3876-C3876+1</f>
        <v/>
      </c>
      <c r="F3876" s="319">
        <f>J3875</f>
        <v/>
      </c>
      <c r="G3876" s="319">
        <f>-PMT($D$3844/$D$3846,42,$F$3859,,0)</f>
        <v/>
      </c>
      <c r="H3876" s="319">
        <f>($D$3844/$D$3846*F3876)</f>
        <v/>
      </c>
      <c r="I3876" s="319">
        <f>G3876-H3876</f>
        <v/>
      </c>
      <c r="J3876" s="319">
        <f>F3876-I3876</f>
        <v/>
      </c>
    </row>
    <row r="3877">
      <c r="B3877" s="1">
        <f>+B3876+1</f>
        <v/>
      </c>
      <c r="C3877" s="24">
        <f>+C3876+31</f>
        <v/>
      </c>
      <c r="D3877" s="24">
        <f>+D3876+31</f>
        <v/>
      </c>
      <c r="E3877" s="25">
        <f>D3877-C3877+1</f>
        <v/>
      </c>
      <c r="F3877" s="319">
        <f>J3876</f>
        <v/>
      </c>
      <c r="G3877" s="319">
        <f>-PMT($D$3844/$D$3846,42,$F$3859,,0)</f>
        <v/>
      </c>
      <c r="H3877" s="319">
        <f>($D$3844/$D$3846*F3877)</f>
        <v/>
      </c>
      <c r="I3877" s="319">
        <f>G3877-H3877</f>
        <v/>
      </c>
      <c r="J3877" s="319">
        <f>F3877-I3877</f>
        <v/>
      </c>
    </row>
    <row r="3878">
      <c r="B3878" s="1">
        <f>+B3877+1</f>
        <v/>
      </c>
      <c r="C3878" s="24">
        <f>+C3877+31</f>
        <v/>
      </c>
      <c r="D3878" s="24">
        <f>+D3877+31</f>
        <v/>
      </c>
      <c r="E3878" s="25">
        <f>D3878-C3878+1</f>
        <v/>
      </c>
      <c r="F3878" s="319">
        <f>J3877</f>
        <v/>
      </c>
      <c r="G3878" s="319">
        <f>-PMT($D$3844/$D$3846,42,$F$3859,,0)</f>
        <v/>
      </c>
      <c r="H3878" s="319">
        <f>($D$3844/$D$3846*F3878)</f>
        <v/>
      </c>
      <c r="I3878" s="319">
        <f>G3878-H3878</f>
        <v/>
      </c>
      <c r="J3878" s="319">
        <f>F3878-I3878</f>
        <v/>
      </c>
    </row>
    <row r="3879">
      <c r="B3879" s="1">
        <f>+B3878+1</f>
        <v/>
      </c>
      <c r="C3879" s="24">
        <f>+C3878+30</f>
        <v/>
      </c>
      <c r="D3879" s="24">
        <f>+D3878+31</f>
        <v/>
      </c>
      <c r="E3879" s="25">
        <f>D3879-C3879+1</f>
        <v/>
      </c>
      <c r="F3879" s="319">
        <f>J3878</f>
        <v/>
      </c>
      <c r="G3879" s="319">
        <f>-PMT($D$3844/$D$3846,42,$F$3859,,0)</f>
        <v/>
      </c>
      <c r="H3879" s="319">
        <f>($D$3844/$D$3846*F3879)</f>
        <v/>
      </c>
      <c r="I3879" s="319">
        <f>G3879-H3879</f>
        <v/>
      </c>
      <c r="J3879" s="319">
        <f>F3879-I3879</f>
        <v/>
      </c>
    </row>
    <row r="3880">
      <c r="B3880" s="1">
        <f>+B3879+1</f>
        <v/>
      </c>
      <c r="C3880" s="24">
        <f>+C3879+31</f>
        <v/>
      </c>
      <c r="D3880" s="24">
        <f>+D3879+30</f>
        <v/>
      </c>
      <c r="E3880" s="25">
        <f>D3880-C3880+1</f>
        <v/>
      </c>
      <c r="F3880" s="319">
        <f>J3879</f>
        <v/>
      </c>
      <c r="G3880" s="319">
        <f>-PMT($D$3844/$D$3846,42,$F$3859,,0)</f>
        <v/>
      </c>
      <c r="H3880" s="319">
        <f>($D$3844/$D$3846*F3880)</f>
        <v/>
      </c>
      <c r="I3880" s="319">
        <f>G3880-H3880</f>
        <v/>
      </c>
      <c r="J3880" s="319">
        <f>F3880-I3880</f>
        <v/>
      </c>
    </row>
    <row r="3881">
      <c r="B3881" s="1">
        <f>+B3880+1</f>
        <v/>
      </c>
      <c r="C3881" s="24">
        <f>+C3880+30</f>
        <v/>
      </c>
      <c r="D3881" s="24">
        <f>+D3880+31</f>
        <v/>
      </c>
      <c r="E3881" s="25">
        <f>D3881-C3881+1</f>
        <v/>
      </c>
      <c r="F3881" s="319">
        <f>J3880</f>
        <v/>
      </c>
      <c r="G3881" s="319">
        <f>-PMT($D$3844/$D$3846,42,$F$3859,,0)</f>
        <v/>
      </c>
      <c r="H3881" s="319">
        <f>($D$3844/$D$3846*F3881)</f>
        <v/>
      </c>
      <c r="I3881" s="319">
        <f>G3881-H3881</f>
        <v/>
      </c>
      <c r="J3881" s="319">
        <f>F3881-I3881</f>
        <v/>
      </c>
    </row>
    <row r="3882">
      <c r="B3882" s="1">
        <f>+B3881+1</f>
        <v/>
      </c>
      <c r="C3882" s="24">
        <f>+C3881+31</f>
        <v/>
      </c>
      <c r="D3882" s="24">
        <f>+D3881+31</f>
        <v/>
      </c>
      <c r="E3882" s="25">
        <f>D3882-C3882+1</f>
        <v/>
      </c>
      <c r="F3882" s="319">
        <f>J3881</f>
        <v/>
      </c>
      <c r="G3882" s="319">
        <f>-PMT($D$3844/$D$3846,42,$F$3859,,0)</f>
        <v/>
      </c>
      <c r="H3882" s="319">
        <f>($D$3844/$D$3846*F3882)</f>
        <v/>
      </c>
      <c r="I3882" s="319">
        <f>G3882-H3882</f>
        <v/>
      </c>
      <c r="J3882" s="319">
        <f>F3882-I3882</f>
        <v/>
      </c>
    </row>
    <row r="3883">
      <c r="B3883" s="1">
        <f>+B3882+1</f>
        <v/>
      </c>
      <c r="C3883" s="24">
        <f>+C3882+31</f>
        <v/>
      </c>
      <c r="D3883" s="24">
        <f>+D3882+28</f>
        <v/>
      </c>
      <c r="E3883" s="25">
        <f>D3883-C3883+1</f>
        <v/>
      </c>
      <c r="F3883" s="319">
        <f>J3882</f>
        <v/>
      </c>
      <c r="G3883" s="319">
        <f>-PMT($D$3844/$D$3846,42,$F$3859,,0)</f>
        <v/>
      </c>
      <c r="H3883" s="319">
        <f>($D$3844/$D$3846*F3883)</f>
        <v/>
      </c>
      <c r="I3883" s="319">
        <f>G3883-H3883</f>
        <v/>
      </c>
      <c r="J3883" s="319">
        <f>F3883-I3883</f>
        <v/>
      </c>
    </row>
    <row r="3884">
      <c r="B3884" s="1">
        <f>+B3883+1</f>
        <v/>
      </c>
      <c r="C3884" s="24">
        <f>+C3883+28</f>
        <v/>
      </c>
      <c r="D3884" s="24">
        <f>+D3883+31</f>
        <v/>
      </c>
      <c r="E3884" s="25">
        <f>D3884-C3884+1</f>
        <v/>
      </c>
      <c r="F3884" s="319">
        <f>J3883</f>
        <v/>
      </c>
      <c r="G3884" s="319">
        <f>-PMT($D$3844/$D$3846,42,$F$3859,,0)</f>
        <v/>
      </c>
      <c r="H3884" s="319">
        <f>($D$3844/$D$3846*F3884)</f>
        <v/>
      </c>
      <c r="I3884" s="319">
        <f>G3884-H3884</f>
        <v/>
      </c>
      <c r="J3884" s="319">
        <f>F3884-I3884</f>
        <v/>
      </c>
    </row>
    <row r="3885">
      <c r="B3885" s="1">
        <f>+B3884+1</f>
        <v/>
      </c>
      <c r="C3885" s="24">
        <f>+C3884+31</f>
        <v/>
      </c>
      <c r="D3885" s="24">
        <f>+D3884+30</f>
        <v/>
      </c>
      <c r="E3885" s="25">
        <f>D3885-C3885+1</f>
        <v/>
      </c>
      <c r="F3885" s="319">
        <f>J3884</f>
        <v/>
      </c>
      <c r="G3885" s="319">
        <f>-PMT($D$3844/$D$3846,42,$F$3859,,0)</f>
        <v/>
      </c>
      <c r="H3885" s="319">
        <f>($D$3844/$D$3846*F3885)</f>
        <v/>
      </c>
      <c r="I3885" s="319">
        <f>G3885-H3885</f>
        <v/>
      </c>
      <c r="J3885" s="319">
        <f>F3885-I3885</f>
        <v/>
      </c>
    </row>
    <row r="3886">
      <c r="B3886" s="1">
        <f>+B3885+1</f>
        <v/>
      </c>
      <c r="C3886" s="24">
        <f>+C3885+30</f>
        <v/>
      </c>
      <c r="D3886" s="24">
        <f>+D3885+31</f>
        <v/>
      </c>
      <c r="E3886" s="25">
        <f>D3886-C3886+1</f>
        <v/>
      </c>
      <c r="F3886" s="319">
        <f>J3885</f>
        <v/>
      </c>
      <c r="G3886" s="319">
        <f>-PMT($D$3844/$D$3846,42,$F$3859,,0)</f>
        <v/>
      </c>
      <c r="H3886" s="319">
        <f>($D$3844/$D$3846*F3886)</f>
        <v/>
      </c>
      <c r="I3886" s="319">
        <f>G3886-H3886</f>
        <v/>
      </c>
      <c r="J3886" s="319">
        <f>F3886-I3886</f>
        <v/>
      </c>
    </row>
    <row r="3887">
      <c r="B3887" s="1">
        <f>+B3886+1</f>
        <v/>
      </c>
      <c r="C3887" s="24">
        <f>+C3886+31</f>
        <v/>
      </c>
      <c r="D3887" s="24">
        <f>+D3886+30</f>
        <v/>
      </c>
      <c r="E3887" s="25">
        <f>D3887-C3887+1</f>
        <v/>
      </c>
      <c r="F3887" s="319">
        <f>J3886</f>
        <v/>
      </c>
      <c r="G3887" s="319">
        <f>-PMT($D$3844/$D$3846,42,$F$3859,,0)</f>
        <v/>
      </c>
      <c r="H3887" s="319">
        <f>($D$3844/$D$3846*F3887)</f>
        <v/>
      </c>
      <c r="I3887" s="319">
        <f>G3887-H3887</f>
        <v/>
      </c>
      <c r="J3887" s="319">
        <f>F3887-I3887</f>
        <v/>
      </c>
    </row>
    <row r="3888">
      <c r="B3888" s="1">
        <f>+B3887+1</f>
        <v/>
      </c>
      <c r="C3888" s="24">
        <f>+C3887+30</f>
        <v/>
      </c>
      <c r="D3888" s="24">
        <f>+D3887+31</f>
        <v/>
      </c>
      <c r="E3888" s="25">
        <f>D3888-C3888+1</f>
        <v/>
      </c>
      <c r="F3888" s="319">
        <f>J3887</f>
        <v/>
      </c>
      <c r="G3888" s="319">
        <f>-PMT($D$3844/$D$3846,42,$F$3859,,0)</f>
        <v/>
      </c>
      <c r="H3888" s="319">
        <f>($D$3844/$D$3846*F3888)</f>
        <v/>
      </c>
      <c r="I3888" s="319">
        <f>G3888-H3888</f>
        <v/>
      </c>
      <c r="J3888" s="319">
        <f>F3888-I3888</f>
        <v/>
      </c>
    </row>
    <row r="3889">
      <c r="B3889" s="1">
        <f>+B3888+1</f>
        <v/>
      </c>
      <c r="C3889" s="24">
        <f>+C3888+31</f>
        <v/>
      </c>
      <c r="D3889" s="24">
        <f>+D3888+31</f>
        <v/>
      </c>
      <c r="E3889" s="25">
        <f>D3889-C3889+1</f>
        <v/>
      </c>
      <c r="F3889" s="319">
        <f>J3888</f>
        <v/>
      </c>
      <c r="G3889" s="319">
        <f>-PMT($D$3844/$D$3846,42,$F$3859,,0)</f>
        <v/>
      </c>
      <c r="H3889" s="319">
        <f>($D$3844/$D$3846*F3889)</f>
        <v/>
      </c>
      <c r="I3889" s="319">
        <f>G3889-H3889</f>
        <v/>
      </c>
      <c r="J3889" s="319">
        <f>F3889-I3889</f>
        <v/>
      </c>
    </row>
    <row r="3890">
      <c r="B3890" s="1">
        <f>+B3889+1</f>
        <v/>
      </c>
      <c r="C3890" s="24">
        <f>+C3889+31</f>
        <v/>
      </c>
      <c r="D3890" s="24">
        <f>+D3889+30</f>
        <v/>
      </c>
      <c r="E3890" s="25">
        <f>D3890-C3890+1</f>
        <v/>
      </c>
      <c r="F3890" s="319">
        <f>J3889</f>
        <v/>
      </c>
      <c r="G3890" s="319">
        <f>-PMT($D$3844/$D$3846,42,$F$3859,,0)</f>
        <v/>
      </c>
      <c r="H3890" s="319">
        <f>($D$3844/$D$3846*F3890)</f>
        <v/>
      </c>
      <c r="I3890" s="319">
        <f>G3890-H3890</f>
        <v/>
      </c>
      <c r="J3890" s="319">
        <f>F3890-I3890</f>
        <v/>
      </c>
    </row>
    <row r="3891">
      <c r="B3891" s="1">
        <f>+B3890+1</f>
        <v/>
      </c>
      <c r="C3891" s="24">
        <f>+C3890+30</f>
        <v/>
      </c>
      <c r="D3891" s="24">
        <f>+D3890+31</f>
        <v/>
      </c>
      <c r="E3891" s="25">
        <f>D3891-C3891+1</f>
        <v/>
      </c>
      <c r="F3891" s="319">
        <f>J3890</f>
        <v/>
      </c>
      <c r="G3891" s="319">
        <f>-PMT($D$3844/$D$3846,42,$F$3859,,0)</f>
        <v/>
      </c>
      <c r="H3891" s="319">
        <f>($D$3844/$D$3846*F3891)</f>
        <v/>
      </c>
      <c r="I3891" s="319">
        <f>G3891-H3891</f>
        <v/>
      </c>
      <c r="J3891" s="319">
        <f>F3891-I3891</f>
        <v/>
      </c>
    </row>
    <row r="3892">
      <c r="B3892" s="1">
        <f>+B3891+1</f>
        <v/>
      </c>
      <c r="C3892" s="24">
        <f>+C3891+31</f>
        <v/>
      </c>
      <c r="D3892" s="24">
        <f>+D3891+30</f>
        <v/>
      </c>
      <c r="E3892" s="25">
        <f>D3892-C3892+1</f>
        <v/>
      </c>
      <c r="F3892" s="319">
        <f>J3891</f>
        <v/>
      </c>
      <c r="G3892" s="319">
        <f>-PMT($D$3844/$D$3846,42,$F$3859,,0)</f>
        <v/>
      </c>
      <c r="H3892" s="319">
        <f>($D$3844/$D$3846*F3892)</f>
        <v/>
      </c>
      <c r="I3892" s="319">
        <f>G3892-H3892</f>
        <v/>
      </c>
      <c r="J3892" s="319">
        <f>F3892-I3892</f>
        <v/>
      </c>
    </row>
    <row r="3893">
      <c r="B3893" s="1">
        <f>+B3892+1</f>
        <v/>
      </c>
      <c r="C3893" s="24">
        <f>+C3892+30</f>
        <v/>
      </c>
      <c r="D3893" s="24">
        <f>+D3892+31</f>
        <v/>
      </c>
      <c r="E3893" s="25">
        <f>D3893-C3893+1</f>
        <v/>
      </c>
      <c r="F3893" s="319">
        <f>J3892</f>
        <v/>
      </c>
      <c r="G3893" s="319">
        <f>-PMT($D$3844/$D$3846,42,$F$3859,,0)</f>
        <v/>
      </c>
      <c r="H3893" s="319">
        <f>($D$3844/$D$3846*F3893)</f>
        <v/>
      </c>
      <c r="I3893" s="319">
        <f>G3893-H3893</f>
        <v/>
      </c>
      <c r="J3893" s="319">
        <f>F3893-I3893</f>
        <v/>
      </c>
    </row>
    <row r="3894">
      <c r="B3894" s="1">
        <f>+B3893+1</f>
        <v/>
      </c>
      <c r="C3894" s="24">
        <f>+C3893+31</f>
        <v/>
      </c>
      <c r="D3894" s="24">
        <f>+D3893+31</f>
        <v/>
      </c>
      <c r="E3894" s="25">
        <f>D3894-C3894+1</f>
        <v/>
      </c>
      <c r="F3894" s="319">
        <f>J3893</f>
        <v/>
      </c>
      <c r="G3894" s="319">
        <f>-PMT($D$3844/$D$3846,42,$F$3859,,0)</f>
        <v/>
      </c>
      <c r="H3894" s="319">
        <f>($D$3844/$D$3846*F3894)</f>
        <v/>
      </c>
      <c r="I3894" s="319">
        <f>G3894-H3894</f>
        <v/>
      </c>
      <c r="J3894" s="319">
        <f>F3894-I3894</f>
        <v/>
      </c>
    </row>
    <row r="3895">
      <c r="B3895" s="1">
        <f>+B3894+1</f>
        <v/>
      </c>
      <c r="C3895" s="24">
        <f>+C3894+31</f>
        <v/>
      </c>
      <c r="D3895" s="24">
        <f>+D3894+28</f>
        <v/>
      </c>
      <c r="E3895" s="25">
        <f>D3895-C3895+1</f>
        <v/>
      </c>
      <c r="F3895" s="319">
        <f>J3894</f>
        <v/>
      </c>
      <c r="G3895" s="319">
        <f>-PMT($D$3844/$D$3846,42,$F$3859,,0)</f>
        <v/>
      </c>
      <c r="H3895" s="319">
        <f>($D$3844/$D$3846*F3895)</f>
        <v/>
      </c>
      <c r="I3895" s="319">
        <f>G3895-H3895</f>
        <v/>
      </c>
      <c r="J3895" s="319">
        <f>F3895-I3895</f>
        <v/>
      </c>
    </row>
    <row r="3896">
      <c r="B3896" s="1">
        <f>+B3895+1</f>
        <v/>
      </c>
      <c r="C3896" s="24">
        <f>+C3895+28</f>
        <v/>
      </c>
      <c r="D3896" s="24">
        <f>+D3895+31</f>
        <v/>
      </c>
      <c r="E3896" s="25">
        <f>D3896-C3896+1</f>
        <v/>
      </c>
      <c r="F3896" s="319">
        <f>J3895</f>
        <v/>
      </c>
      <c r="G3896" s="319">
        <f>-PMT($D$3844/$D$3846,42,$F$3859,,0)</f>
        <v/>
      </c>
      <c r="H3896" s="319">
        <f>($D$3844/$D$3846*F3896)</f>
        <v/>
      </c>
      <c r="I3896" s="319">
        <f>G3896-H3896</f>
        <v/>
      </c>
      <c r="J3896" s="319">
        <f>F3896-I3896</f>
        <v/>
      </c>
    </row>
    <row r="3897">
      <c r="B3897" s="1">
        <f>+B3896+1</f>
        <v/>
      </c>
      <c r="C3897" s="24">
        <f>+C3896+31</f>
        <v/>
      </c>
      <c r="D3897" s="24">
        <f>+D3896+30</f>
        <v/>
      </c>
      <c r="E3897" s="25">
        <f>D3897-C3897+1</f>
        <v/>
      </c>
      <c r="F3897" s="319">
        <f>J3896</f>
        <v/>
      </c>
      <c r="G3897" s="319">
        <f>-PMT($D$3844/$D$3846,42,$F$3859,,0)</f>
        <v/>
      </c>
      <c r="H3897" s="319">
        <f>($D$3844/$D$3846*F3897)</f>
        <v/>
      </c>
      <c r="I3897" s="319">
        <f>G3897-H3897</f>
        <v/>
      </c>
      <c r="J3897" s="319">
        <f>F3897-I3897</f>
        <v/>
      </c>
    </row>
    <row r="3898">
      <c r="B3898" s="1">
        <f>+B3897+1</f>
        <v/>
      </c>
      <c r="C3898" s="24">
        <f>+C3897+30</f>
        <v/>
      </c>
      <c r="D3898" s="24">
        <f>+D3897+31</f>
        <v/>
      </c>
      <c r="E3898" s="25">
        <f>D3898-C3898+1</f>
        <v/>
      </c>
      <c r="F3898" s="319">
        <f>J3897</f>
        <v/>
      </c>
      <c r="G3898" s="319">
        <f>-PMT($D$3844/$D$3846,42,$F$3859,,0)</f>
        <v/>
      </c>
      <c r="H3898" s="319">
        <f>($D$3844/$D$3846*F3898)</f>
        <v/>
      </c>
      <c r="I3898" s="319">
        <f>G3898-H3898</f>
        <v/>
      </c>
      <c r="J3898" s="319">
        <f>F3898-I3898</f>
        <v/>
      </c>
    </row>
    <row r="3899">
      <c r="B3899" s="1">
        <f>+B3898+1</f>
        <v/>
      </c>
      <c r="C3899" s="24">
        <f>+C3898+31</f>
        <v/>
      </c>
      <c r="D3899" s="24">
        <f>+D3898+30</f>
        <v/>
      </c>
      <c r="E3899" s="25">
        <f>D3899-C3899+1</f>
        <v/>
      </c>
      <c r="F3899" s="319">
        <f>J3898</f>
        <v/>
      </c>
      <c r="G3899" s="319">
        <f>-PMT($D$3844/$D$3846,42,$F$3859,,0)</f>
        <v/>
      </c>
      <c r="H3899" s="319">
        <f>($D$3844/$D$3846*F3899)</f>
        <v/>
      </c>
      <c r="I3899" s="319">
        <f>G3899-H3899</f>
        <v/>
      </c>
      <c r="J3899" s="319">
        <f>F3899-I3899</f>
        <v/>
      </c>
    </row>
    <row r="3900">
      <c r="B3900" s="1">
        <f>+B3899+1</f>
        <v/>
      </c>
      <c r="C3900" s="24">
        <f>+C3899+30</f>
        <v/>
      </c>
      <c r="D3900" s="24">
        <f>+D3899+31</f>
        <v/>
      </c>
      <c r="E3900" s="25">
        <f>D3900-C3900+1</f>
        <v/>
      </c>
      <c r="F3900" s="319">
        <f>J3899</f>
        <v/>
      </c>
      <c r="G3900" s="319">
        <f>-PMT($D$3844/$D$3846,42,$F$3859,,0)</f>
        <v/>
      </c>
      <c r="H3900" s="319">
        <f>($D$3844/$D$3846*F3900)</f>
        <v/>
      </c>
      <c r="I3900" s="319">
        <f>G3900-H3900</f>
        <v/>
      </c>
      <c r="J3900" s="319">
        <f>F3900-I3900</f>
        <v/>
      </c>
    </row>
    <row r="3903">
      <c r="E3903" s="7">
        <f>SUM(E3852:E3902)</f>
        <v/>
      </c>
    </row>
    <row r="3907">
      <c r="B3907" s="1" t="n"/>
      <c r="C3907" s="9" t="inlineStr">
        <is>
          <t>Jescal Enterprise</t>
        </is>
      </c>
      <c r="D3907" s="319" t="n"/>
      <c r="E3907" s="319" t="n"/>
      <c r="F3907" s="319" t="n"/>
      <c r="G3907" s="319" t="n"/>
      <c r="H3907" s="319" t="n"/>
      <c r="I3907" s="319" t="n"/>
      <c r="J3907" s="319" t="n"/>
      <c r="K3907" s="319" t="n"/>
      <c r="L3907" s="319" t="n"/>
      <c r="R3907" s="514" t="inlineStr">
        <is>
          <t>E-Banker account (Dupleix)</t>
        </is>
      </c>
      <c r="S3907" s="495">
        <f>IFERROR(INDEX('Blocks'!$I$2:$I$101,MATCH(71,'Blocks'!$A$2:$A$101,0)),"")</f>
        <v/>
      </c>
    </row>
    <row r="3908">
      <c r="B3908" s="1" t="n"/>
      <c r="C3908" s="1" t="n"/>
      <c r="D3908" s="319" t="n"/>
      <c r="E3908" s="319" t="n"/>
      <c r="F3908" s="319" t="n"/>
      <c r="G3908" s="319" t="n"/>
      <c r="H3908" s="319" t="n"/>
      <c r="I3908" s="319" t="n"/>
      <c r="J3908" s="319" t="n"/>
      <c r="K3908" s="319" t="n"/>
      <c r="L3908" s="319" t="n"/>
      <c r="R3908" s="514" t="inlineStr">
        <is>
          <t>Facility (Loan Book)</t>
        </is>
      </c>
      <c r="S3908" s="495">
        <f>IFERROR(INDEX('Blocks'!$H$2:$H$101,MATCH(71,'Blocks'!$A$2:$A$101,0)),"")</f>
        <v/>
      </c>
    </row>
    <row r="3909">
      <c r="B3909" s="1" t="n"/>
      <c r="C3909" s="10" t="inlineStr">
        <is>
          <t>Principal (MK)</t>
        </is>
      </c>
      <c r="D3909" s="11" t="n">
        <v>15000000</v>
      </c>
      <c r="E3909" s="319" t="n"/>
      <c r="F3909" s="319" t="n"/>
      <c r="G3909" s="319" t="n"/>
      <c r="H3909" s="319" t="n"/>
      <c r="I3909" s="319" t="n"/>
      <c r="J3909" s="319" t="n"/>
      <c r="K3909" s="319" t="n"/>
      <c r="L3909" s="319" t="n"/>
      <c r="R3909" s="514" t="inlineStr">
        <is>
          <t>Take-on posting 31 Jul 2024</t>
        </is>
      </c>
      <c r="S3909" s="496">
        <f>IFERROR(INDEX('E-Banker master'!$N$2:$N$186,MATCH(S3907,'E-Banker master'!$A$2:$A$186,0)),"")</f>
        <v/>
      </c>
    </row>
    <row r="3910">
      <c r="B3910" s="1" t="n"/>
      <c r="C3910" s="13" t="inlineStr">
        <is>
          <t>Rate</t>
        </is>
      </c>
      <c r="D3910" s="14" t="n">
        <v>0.1</v>
      </c>
      <c r="E3910" s="257" t="n"/>
      <c r="F3910" s="319" t="n"/>
      <c r="G3910" s="319" t="n"/>
      <c r="H3910" s="319" t="n"/>
      <c r="I3910" s="319" t="n"/>
      <c r="J3910" s="319" t="n"/>
      <c r="K3910" s="319" t="n"/>
      <c r="L3910" s="319" t="n"/>
      <c r="R3910" s="514" t="inlineStr">
        <is>
          <t>E-Banker balance 31 Oct 2024</t>
        </is>
      </c>
      <c r="S3910" s="496">
        <f>IFERROR(INDEX('E-Banker master'!$P$2:$P$186,MATCH(S3907,'E-Banker master'!$A$2:$A$186,0)),"")</f>
        <v/>
      </c>
    </row>
    <row r="3911">
      <c r="B3911" s="1" t="n"/>
      <c r="C3911" s="13" t="inlineStr">
        <is>
          <t>n</t>
        </is>
      </c>
      <c r="D3911" s="16" t="n">
        <v>2</v>
      </c>
      <c r="E3911" s="1" t="n"/>
      <c r="F3911" s="319" t="n"/>
      <c r="G3911" s="319" t="n"/>
      <c r="H3911" s="319" t="n"/>
      <c r="I3911" s="319" t="n"/>
      <c r="J3911" s="319" t="n"/>
      <c r="K3911" s="1" t="n"/>
      <c r="L3911" s="1" t="n"/>
    </row>
    <row r="3912">
      <c r="B3912" s="1" t="n"/>
      <c r="C3912" s="13" t="inlineStr">
        <is>
          <t>Per</t>
        </is>
      </c>
      <c r="D3912" s="16" t="n">
        <v>12</v>
      </c>
      <c r="E3912" s="1" t="n"/>
      <c r="F3912" s="319" t="n"/>
      <c r="G3912" s="319" t="n"/>
      <c r="H3912" s="319" t="n"/>
      <c r="I3912" s="319" t="n"/>
      <c r="J3912" s="319" t="n"/>
      <c r="K3912" s="1" t="n"/>
      <c r="L3912" s="1" t="n"/>
    </row>
    <row r="3913">
      <c r="B3913" s="1" t="n"/>
      <c r="C3913" s="13" t="inlineStr">
        <is>
          <t>nPer</t>
        </is>
      </c>
      <c r="D3913" s="515">
        <f>D3911*D3912</f>
        <v/>
      </c>
      <c r="E3913" s="1" t="n"/>
      <c r="F3913" s="319" t="n"/>
      <c r="G3913" s="319" t="n"/>
      <c r="H3913" s="319" t="n"/>
      <c r="I3913" s="319" t="n"/>
      <c r="J3913" s="319" t="n"/>
      <c r="K3913" s="1" t="n"/>
      <c r="L3913" s="1" t="n"/>
    </row>
    <row r="3914">
      <c r="B3914" s="1" t="n"/>
      <c r="C3914" s="13" t="inlineStr">
        <is>
          <t>Days in a year</t>
        </is>
      </c>
      <c r="D3914" s="18" t="n">
        <v>365</v>
      </c>
      <c r="E3914" s="1" t="n"/>
      <c r="F3914" s="319" t="n"/>
      <c r="G3914" s="319" t="n"/>
      <c r="H3914" s="319" t="n"/>
      <c r="I3914" s="319" t="n"/>
      <c r="J3914" s="319" t="n"/>
      <c r="K3914" s="1" t="n"/>
      <c r="L3914" s="1" t="n"/>
    </row>
    <row r="3915">
      <c r="B3915" s="1" t="n"/>
      <c r="C3915" s="19" t="inlineStr">
        <is>
          <t>Pmt (MK)</t>
        </is>
      </c>
      <c r="D3915" s="20">
        <f>-PMT(D3910/D3912,D3913,D3909,0,0)</f>
        <v/>
      </c>
      <c r="E3915" s="319" t="n"/>
      <c r="F3915" s="319" t="n"/>
      <c r="G3915" s="319" t="n"/>
      <c r="H3915" s="319" t="n"/>
      <c r="I3915" s="319" t="n"/>
      <c r="J3915" s="319" t="n"/>
      <c r="K3915" s="1" t="n"/>
      <c r="L3915" s="1" t="n"/>
    </row>
    <row r="3916">
      <c r="B3916" s="1" t="n"/>
      <c r="C3916" s="1" t="n"/>
      <c r="D3916" s="319" t="n"/>
      <c r="E3916" s="319" t="n"/>
      <c r="F3916" s="319" t="n"/>
      <c r="G3916" s="319" t="n"/>
      <c r="H3916" s="319" t="n"/>
      <c r="I3916" s="319" t="n"/>
      <c r="J3916" s="319" t="n"/>
      <c r="K3916" s="1" t="n"/>
      <c r="L3916" s="1" t="n"/>
    </row>
    <row r="3917">
      <c r="B3917" s="1" t="n"/>
      <c r="C3917" s="21" t="inlineStr">
        <is>
          <t>Period Start</t>
        </is>
      </c>
      <c r="D3917" s="22" t="inlineStr">
        <is>
          <t>Period End</t>
        </is>
      </c>
      <c r="E3917" s="22" t="inlineStr">
        <is>
          <t>Days</t>
        </is>
      </c>
      <c r="F3917" s="294" t="inlineStr">
        <is>
          <t>Opening bal.</t>
        </is>
      </c>
      <c r="G3917" s="294" t="inlineStr">
        <is>
          <t>Pmt</t>
        </is>
      </c>
      <c r="H3917" s="294" t="inlineStr">
        <is>
          <t>Interest</t>
        </is>
      </c>
      <c r="I3917" s="294" t="inlineStr">
        <is>
          <t>Principal</t>
        </is>
      </c>
      <c r="J3917" s="294" t="inlineStr">
        <is>
          <t>Closing balance</t>
        </is>
      </c>
      <c r="K3917" s="23" t="inlineStr">
        <is>
          <t>Amount Repaid</t>
        </is>
      </c>
      <c r="L3917" s="23" t="inlineStr">
        <is>
          <t>Accumulated Arrears</t>
        </is>
      </c>
    </row>
    <row r="3918">
      <c r="B3918" s="1" t="n">
        <v>0</v>
      </c>
      <c r="C3918" s="24" t="n">
        <v>45138</v>
      </c>
      <c r="D3918" s="24" t="n">
        <v>45138</v>
      </c>
      <c r="E3918" s="25" t="n">
        <v>0</v>
      </c>
      <c r="F3918" s="319">
        <f>D3909</f>
        <v/>
      </c>
      <c r="G3918" s="319" t="n"/>
      <c r="H3918" s="319">
        <f>($D$3629/$D$3631*F3918)*E3918</f>
        <v/>
      </c>
      <c r="I3918" s="319">
        <f>-H3918</f>
        <v/>
      </c>
      <c r="J3918" s="319">
        <f>F3918-I3918</f>
        <v/>
      </c>
      <c r="K3918" s="516" t="n"/>
      <c r="L3918" s="516" t="n"/>
    </row>
    <row r="3919">
      <c r="B3919" s="1" t="n">
        <v>1</v>
      </c>
      <c r="C3919" s="24" t="n">
        <v>45139</v>
      </c>
      <c r="D3919" s="24" t="n">
        <v>45169</v>
      </c>
      <c r="E3919" s="25">
        <f>D3919-C3919+1</f>
        <v/>
      </c>
      <c r="F3919" s="319">
        <f>J3918</f>
        <v/>
      </c>
      <c r="G3919" s="319" t="n"/>
      <c r="H3919" s="319">
        <f>($D$3910/$D$3912*F3919)</f>
        <v/>
      </c>
      <c r="I3919" s="319">
        <f>-H3919</f>
        <v/>
      </c>
      <c r="J3919" s="319">
        <f>F3919-I3919</f>
        <v/>
      </c>
    </row>
    <row r="3920">
      <c r="B3920" s="1" t="n">
        <v>2</v>
      </c>
      <c r="C3920" s="24">
        <f>+C3919+31</f>
        <v/>
      </c>
      <c r="D3920" s="24">
        <f>+C3920+29</f>
        <v/>
      </c>
      <c r="E3920" s="25">
        <f>D3920-C3920+1</f>
        <v/>
      </c>
      <c r="F3920" s="319">
        <f>J3919</f>
        <v/>
      </c>
      <c r="G3920" s="319" t="n"/>
      <c r="H3920" s="319">
        <f>($D$3910/$D$3912*F3920)</f>
        <v/>
      </c>
      <c r="I3920" s="319">
        <f>-H3920</f>
        <v/>
      </c>
      <c r="J3920" s="319">
        <f>F3920-I3920</f>
        <v/>
      </c>
      <c r="K3920" s="516" t="n"/>
      <c r="L3920" s="516" t="n"/>
    </row>
    <row r="3921">
      <c r="B3921" s="1" t="n">
        <v>3</v>
      </c>
      <c r="C3921" s="24">
        <f>+C3920+30</f>
        <v/>
      </c>
      <c r="D3921" s="24" t="n">
        <v>45230</v>
      </c>
      <c r="E3921" s="25">
        <f>D3921-C3921+1</f>
        <v/>
      </c>
      <c r="F3921" s="319">
        <f>J3920</f>
        <v/>
      </c>
      <c r="G3921" s="319" t="n"/>
      <c r="H3921" s="319">
        <f>($D$3910/$D$3912*F3921)</f>
        <v/>
      </c>
      <c r="I3921" s="319">
        <f>G3921-H3921</f>
        <v/>
      </c>
      <c r="J3921" s="319">
        <f>F3921-I3921-K3921</f>
        <v/>
      </c>
      <c r="K3921" s="516" t="n">
        <v>1800000</v>
      </c>
      <c r="L3921" s="319">
        <f>L3920+G3921-K3921</f>
        <v/>
      </c>
    </row>
    <row r="3922">
      <c r="B3922" s="1" t="n">
        <v>4</v>
      </c>
      <c r="C3922" s="24">
        <f>+C3921+31</f>
        <v/>
      </c>
      <c r="D3922" s="24" t="n">
        <v>45260</v>
      </c>
      <c r="E3922" s="25">
        <f>D3922-C3922+1</f>
        <v/>
      </c>
      <c r="F3922" s="319">
        <f>J3921</f>
        <v/>
      </c>
      <c r="G3922" s="319">
        <f>-PMT($D$3910/$D$3912,21,$F$3922,,0)</f>
        <v/>
      </c>
      <c r="H3922" s="319">
        <f>($D$3910/$D$3912*F3922)</f>
        <v/>
      </c>
      <c r="I3922" s="319">
        <f>G3922-H3922</f>
        <v/>
      </c>
      <c r="J3922" s="319">
        <f>F3922-I3922</f>
        <v/>
      </c>
      <c r="K3922" s="516" t="n"/>
      <c r="L3922" s="319">
        <f>L3921+G3922-K3922</f>
        <v/>
      </c>
    </row>
    <row r="3923">
      <c r="B3923" s="1" t="n">
        <v>5</v>
      </c>
      <c r="C3923" s="24">
        <f>+C3922+30</f>
        <v/>
      </c>
      <c r="D3923" s="24" t="n">
        <v>45291</v>
      </c>
      <c r="E3923" s="25">
        <f>D3923-C3923+1</f>
        <v/>
      </c>
      <c r="F3923" s="319">
        <f>J3922</f>
        <v/>
      </c>
      <c r="G3923" s="319">
        <f>-PMT($D$3910/$D$3912,21,$F$3922,,0)</f>
        <v/>
      </c>
      <c r="H3923" s="319">
        <f>($D$3910/$D$3912*F3923)</f>
        <v/>
      </c>
      <c r="I3923" s="319">
        <f>G3923-H3923</f>
        <v/>
      </c>
      <c r="J3923" s="319">
        <f>F3923-I3923</f>
        <v/>
      </c>
      <c r="K3923" s="516" t="n">
        <v>850000</v>
      </c>
      <c r="L3923" s="319">
        <f>L3922+G3923-K3923</f>
        <v/>
      </c>
    </row>
    <row r="3924">
      <c r="B3924" s="1" t="n">
        <v>6</v>
      </c>
      <c r="C3924" s="24">
        <f>+C3923+31</f>
        <v/>
      </c>
      <c r="D3924" s="24">
        <f>+C3924+30</f>
        <v/>
      </c>
      <c r="E3924" s="25">
        <f>D3924-C3924+1</f>
        <v/>
      </c>
      <c r="F3924" s="319">
        <f>J3923</f>
        <v/>
      </c>
      <c r="G3924" s="319">
        <f>-PMT($D$3910/$D$3912,21,$F$3922,,0)</f>
        <v/>
      </c>
      <c r="H3924" s="319">
        <f>($D$3910/$D$3912*F3924)</f>
        <v/>
      </c>
      <c r="I3924" s="319">
        <f>G3924-H3924</f>
        <v/>
      </c>
      <c r="J3924" s="319">
        <f>F3924-I3924</f>
        <v/>
      </c>
      <c r="K3924" s="516" t="n">
        <v>800000</v>
      </c>
      <c r="L3924" s="319">
        <f>L3923+G3924-K3924</f>
        <v/>
      </c>
    </row>
    <row r="3925">
      <c r="B3925" s="1" t="n">
        <v>7</v>
      </c>
      <c r="C3925" s="24">
        <f>+C3924+31</f>
        <v/>
      </c>
      <c r="D3925" s="24">
        <f>+C3925+28</f>
        <v/>
      </c>
      <c r="E3925" s="25">
        <f>D3925-C3925+1</f>
        <v/>
      </c>
      <c r="F3925" s="319">
        <f>J3924</f>
        <v/>
      </c>
      <c r="G3925" s="319">
        <f>-PMT($D$3910/$D$3912,21,$F$3922,,0)</f>
        <v/>
      </c>
      <c r="H3925" s="319">
        <f>($D$3910/$D$3912*F3925)</f>
        <v/>
      </c>
      <c r="I3925" s="319">
        <f>G3925-H3925</f>
        <v/>
      </c>
      <c r="J3925" s="319">
        <f>F3925-I3925</f>
        <v/>
      </c>
      <c r="K3925" s="516" t="n">
        <v>1000000</v>
      </c>
      <c r="L3925" s="319">
        <f>L3924+G3925-K3925</f>
        <v/>
      </c>
    </row>
    <row r="3926">
      <c r="B3926" s="1" t="n">
        <v>8</v>
      </c>
      <c r="C3926" s="24">
        <f>+C3925+29</f>
        <v/>
      </c>
      <c r="D3926" s="24">
        <f>+C3926+30</f>
        <v/>
      </c>
      <c r="E3926" s="25">
        <f>D3926-C3926+1</f>
        <v/>
      </c>
      <c r="F3926" s="319">
        <f>J3925</f>
        <v/>
      </c>
      <c r="G3926" s="319">
        <f>-PMT($D$3910/$D$3912,21,$F$3922,,0)</f>
        <v/>
      </c>
      <c r="H3926" s="319">
        <f>($D$3910/$D$3912*F3926)</f>
        <v/>
      </c>
      <c r="I3926" s="319">
        <f>G3926-H3926</f>
        <v/>
      </c>
      <c r="J3926" s="319">
        <f>F3926-I3926</f>
        <v/>
      </c>
      <c r="K3926" s="516" t="n">
        <v>1000000</v>
      </c>
      <c r="L3926" s="319">
        <f>L3925+G3926-K3926</f>
        <v/>
      </c>
    </row>
    <row r="3927">
      <c r="B3927" s="1" t="n">
        <v>9</v>
      </c>
      <c r="C3927" s="24">
        <f>+C3926+31</f>
        <v/>
      </c>
      <c r="D3927" s="24">
        <f>+C3927+29</f>
        <v/>
      </c>
      <c r="E3927" s="25">
        <f>D3927-C3927+1</f>
        <v/>
      </c>
      <c r="F3927" s="319">
        <f>J3926</f>
        <v/>
      </c>
      <c r="G3927" s="319">
        <f>-PMT($D$3910/$D$3912,21,$F$3922,,0)</f>
        <v/>
      </c>
      <c r="H3927" s="319">
        <f>($D$3910/$D$3912*F3927)</f>
        <v/>
      </c>
      <c r="I3927" s="319">
        <f>G3927-H3927</f>
        <v/>
      </c>
      <c r="J3927" s="319">
        <f>F3927-I3927</f>
        <v/>
      </c>
      <c r="K3927" s="516" t="n">
        <v>1000000</v>
      </c>
      <c r="L3927" s="319">
        <f>L3926+G3927-K3927</f>
        <v/>
      </c>
    </row>
    <row r="3928">
      <c r="B3928" s="1" t="n">
        <v>10</v>
      </c>
      <c r="C3928" s="24">
        <f>+C3927+30</f>
        <v/>
      </c>
      <c r="D3928" s="24">
        <f>+C3928+30</f>
        <v/>
      </c>
      <c r="E3928" s="25">
        <f>D3928-C3928+1</f>
        <v/>
      </c>
      <c r="F3928" s="319">
        <f>J3927</f>
        <v/>
      </c>
      <c r="G3928" s="319">
        <f>-PMT($D$3910/$D$3912,21,$F$3922,,0)</f>
        <v/>
      </c>
      <c r="H3928" s="319">
        <f>($D$3910/$D$3912*F3928)</f>
        <v/>
      </c>
      <c r="I3928" s="319">
        <f>G3928-H3928</f>
        <v/>
      </c>
      <c r="J3928" s="319">
        <f>F3928-I3928</f>
        <v/>
      </c>
      <c r="K3928" s="516" t="n"/>
      <c r="L3928" s="319">
        <f>L3927+G3928-K3928</f>
        <v/>
      </c>
    </row>
    <row r="3929">
      <c r="B3929" s="1" t="n">
        <v>11</v>
      </c>
      <c r="C3929" s="24">
        <f>+C3928+31</f>
        <v/>
      </c>
      <c r="D3929" s="24">
        <f>+C3929+29</f>
        <v/>
      </c>
      <c r="E3929" s="25">
        <f>D3929-C3929+1</f>
        <v/>
      </c>
      <c r="F3929" s="319">
        <f>J3928</f>
        <v/>
      </c>
      <c r="G3929" s="319">
        <f>-PMT($D$3910/$D$3912,21,$F$3922,,0)</f>
        <v/>
      </c>
      <c r="H3929" s="319">
        <f>($D$3910/$D$3912*F3929)</f>
        <v/>
      </c>
      <c r="I3929" s="319">
        <f>G3929-H3929</f>
        <v/>
      </c>
      <c r="J3929" s="319">
        <f>F3929-I3929</f>
        <v/>
      </c>
      <c r="K3929" s="516" t="n">
        <v>1000000</v>
      </c>
      <c r="L3929" s="319">
        <f>L3928+G3929-K3929</f>
        <v/>
      </c>
    </row>
    <row r="3930">
      <c r="B3930" s="1" t="n">
        <v>12</v>
      </c>
      <c r="C3930" s="24">
        <f>+C3929+30</f>
        <v/>
      </c>
      <c r="D3930" s="24">
        <f>+C3930+30</f>
        <v/>
      </c>
      <c r="E3930" s="25">
        <f>D3930-C3930+1</f>
        <v/>
      </c>
      <c r="F3930" s="319">
        <f>J3929</f>
        <v/>
      </c>
      <c r="G3930" s="319">
        <f>-PMT($D$3910/$D$3912,21,$F$3922,,0)</f>
        <v/>
      </c>
      <c r="H3930" s="319">
        <f>($D$3910/$D$3912*F3930)</f>
        <v/>
      </c>
      <c r="I3930" s="319">
        <f>G3930-H3930</f>
        <v/>
      </c>
      <c r="J3930" s="319">
        <f>F3930-I3930</f>
        <v/>
      </c>
      <c r="K3930" s="516" t="n">
        <v>0</v>
      </c>
      <c r="L3930" s="319">
        <f>L3929+G3930-K3930</f>
        <v/>
      </c>
    </row>
    <row r="3931">
      <c r="B3931" s="1" t="n">
        <v>13</v>
      </c>
      <c r="C3931" s="24">
        <f>+C3930+31</f>
        <v/>
      </c>
      <c r="D3931" s="24">
        <f>+C3931+30</f>
        <v/>
      </c>
      <c r="E3931" s="25">
        <f>D3931-C3931+1</f>
        <v/>
      </c>
      <c r="F3931" s="319">
        <f>J3930</f>
        <v/>
      </c>
      <c r="G3931" s="319">
        <f>-PMT($D$3910/$D$3912,21,$F$3922,,0)</f>
        <v/>
      </c>
      <c r="H3931" s="319">
        <f>($D$3910/$D$3912*F3931)</f>
        <v/>
      </c>
      <c r="I3931" s="319">
        <f>G3931-H3931</f>
        <v/>
      </c>
      <c r="J3931" s="319">
        <f>F3931-I3931</f>
        <v/>
      </c>
      <c r="K3931" s="516" t="n">
        <v>1000000</v>
      </c>
      <c r="L3931" s="319">
        <f>L3930+G3931-K3931</f>
        <v/>
      </c>
    </row>
    <row r="3932">
      <c r="B3932" s="1" t="n">
        <v>14</v>
      </c>
      <c r="C3932" s="24">
        <f>+C3931+31</f>
        <v/>
      </c>
      <c r="D3932" s="24">
        <f>+C3932+29</f>
        <v/>
      </c>
      <c r="E3932" s="25">
        <f>D3932-C3932+1</f>
        <v/>
      </c>
      <c r="F3932" s="319">
        <f>J3931</f>
        <v/>
      </c>
      <c r="G3932" s="319">
        <f>-PMT($D$3910/$D$3912,21,$F$3922,,0)</f>
        <v/>
      </c>
      <c r="H3932" s="319">
        <f>($D$3910/$D$3912*F3932)</f>
        <v/>
      </c>
      <c r="I3932" s="319">
        <f>G3932-H3932</f>
        <v/>
      </c>
      <c r="J3932" s="319">
        <f>F3932-I3932</f>
        <v/>
      </c>
      <c r="K3932" s="516" t="n"/>
      <c r="L3932" s="319">
        <f>L3931+G3932-K3932</f>
        <v/>
      </c>
    </row>
    <row r="3933">
      <c r="B3933" s="1" t="n">
        <v>15</v>
      </c>
      <c r="C3933" s="24">
        <f>+C3932+30</f>
        <v/>
      </c>
      <c r="D3933" s="24">
        <f>+C3933+30</f>
        <v/>
      </c>
      <c r="E3933" s="25">
        <f>D3933-C3933+1</f>
        <v/>
      </c>
      <c r="F3933" s="319">
        <f>J3932</f>
        <v/>
      </c>
      <c r="G3933" s="319">
        <f>-PMT($D$3910/$D$3912,21,$F$3922,,0)</f>
        <v/>
      </c>
      <c r="H3933" s="319">
        <f>($D$3910/$D$3912*F3933)</f>
        <v/>
      </c>
      <c r="I3933" s="319">
        <f>G3933-H3933</f>
        <v/>
      </c>
      <c r="J3933" s="319">
        <f>F3933-I3933</f>
        <v/>
      </c>
      <c r="K3933" s="516" t="n">
        <v>1000000</v>
      </c>
      <c r="L3933" s="297">
        <f>L3932+G3933-K3933</f>
        <v/>
      </c>
    </row>
    <row r="3934">
      <c r="B3934" s="1" t="n">
        <v>16</v>
      </c>
      <c r="C3934" s="24">
        <f>+C3933+31</f>
        <v/>
      </c>
      <c r="D3934" s="24">
        <f>+C3934+29</f>
        <v/>
      </c>
      <c r="E3934" s="25">
        <f>D3934-C3934+1</f>
        <v/>
      </c>
      <c r="F3934" s="319">
        <f>J3933</f>
        <v/>
      </c>
      <c r="G3934" s="319">
        <f>-PMT($D$3910/$D$3912,21,$F$3922,,0)</f>
        <v/>
      </c>
      <c r="H3934" s="319">
        <f>($D$3910/$D$3912*F3934)</f>
        <v/>
      </c>
      <c r="I3934" s="319">
        <f>G3934-H3934</f>
        <v/>
      </c>
      <c r="J3934" s="319">
        <f>F3934-I3934</f>
        <v/>
      </c>
      <c r="K3934" s="516" t="n"/>
      <c r="L3934" s="516" t="n"/>
    </row>
    <row r="3935">
      <c r="B3935" s="1" t="n">
        <v>17</v>
      </c>
      <c r="C3935" s="24">
        <f>+C3934+30</f>
        <v/>
      </c>
      <c r="D3935" s="24">
        <f>+C3935+30</f>
        <v/>
      </c>
      <c r="E3935" s="25">
        <f>D3935-C3935+1</f>
        <v/>
      </c>
      <c r="F3935" s="319">
        <f>J3934</f>
        <v/>
      </c>
      <c r="G3935" s="319">
        <f>-PMT($D$3910/$D$3912,21,$F$3922,,0)</f>
        <v/>
      </c>
      <c r="H3935" s="319">
        <f>($D$3910/$D$3912*F3935)</f>
        <v/>
      </c>
      <c r="I3935" s="319">
        <f>G3935-H3935</f>
        <v/>
      </c>
      <c r="J3935" s="319">
        <f>F3935-I3935</f>
        <v/>
      </c>
      <c r="K3935" s="516" t="n"/>
      <c r="L3935" s="516" t="n"/>
    </row>
    <row r="3936">
      <c r="B3936" s="1" t="n">
        <v>18</v>
      </c>
      <c r="C3936" s="24">
        <f>+C3935+31</f>
        <v/>
      </c>
      <c r="D3936" s="24">
        <f>+C3936+30</f>
        <v/>
      </c>
      <c r="E3936" s="25">
        <f>D3936-C3936+1</f>
        <v/>
      </c>
      <c r="F3936" s="319">
        <f>J3935</f>
        <v/>
      </c>
      <c r="G3936" s="319">
        <f>-PMT($D$3910/$D$3912,21,$F$3922,,0)</f>
        <v/>
      </c>
      <c r="H3936" s="319">
        <f>($D$3910/$D$3912*F3936)</f>
        <v/>
      </c>
      <c r="I3936" s="319">
        <f>G3936-H3936</f>
        <v/>
      </c>
      <c r="J3936" s="319">
        <f>F3936-I3936</f>
        <v/>
      </c>
      <c r="K3936" s="516" t="n"/>
      <c r="L3936" s="516" t="n"/>
    </row>
    <row r="3937">
      <c r="B3937" s="1" t="n">
        <v>19</v>
      </c>
      <c r="C3937" s="24">
        <f>+C3936+31</f>
        <v/>
      </c>
      <c r="D3937" s="24">
        <f>+C3937+27</f>
        <v/>
      </c>
      <c r="E3937" s="25">
        <f>D3937-C3937+1</f>
        <v/>
      </c>
      <c r="F3937" s="319">
        <f>J3936</f>
        <v/>
      </c>
      <c r="G3937" s="319">
        <f>-PMT($D$3910/$D$3912,21,$F$3922,,0)</f>
        <v/>
      </c>
      <c r="H3937" s="319">
        <f>($D$3910/$D$3912*F3937)</f>
        <v/>
      </c>
      <c r="I3937" s="319">
        <f>G3937-H3937</f>
        <v/>
      </c>
      <c r="J3937" s="319">
        <f>F3937-I3937</f>
        <v/>
      </c>
      <c r="K3937" s="516" t="n"/>
      <c r="L3937" s="516" t="n"/>
    </row>
    <row r="3938">
      <c r="B3938" s="1" t="n">
        <v>20</v>
      </c>
      <c r="C3938" s="24">
        <f>+C3937+28</f>
        <v/>
      </c>
      <c r="D3938" s="24">
        <f>+C3938+30</f>
        <v/>
      </c>
      <c r="E3938" s="25">
        <f>D3938-C3938+1</f>
        <v/>
      </c>
      <c r="F3938" s="319">
        <f>J3937</f>
        <v/>
      </c>
      <c r="G3938" s="319">
        <f>-PMT($D$3910/$D$3912,21,$F$3922,,0)</f>
        <v/>
      </c>
      <c r="H3938" s="319">
        <f>($D$3910/$D$3912*F3938)</f>
        <v/>
      </c>
      <c r="I3938" s="319">
        <f>G3938-H3938</f>
        <v/>
      </c>
      <c r="J3938" s="319">
        <f>F3938-I3938</f>
        <v/>
      </c>
      <c r="K3938" s="516" t="n"/>
      <c r="L3938" s="516" t="n"/>
    </row>
    <row r="3939">
      <c r="B3939" s="1" t="n">
        <v>21</v>
      </c>
      <c r="C3939" s="24">
        <f>+C3938+31</f>
        <v/>
      </c>
      <c r="D3939" s="24">
        <f>+C3939+29</f>
        <v/>
      </c>
      <c r="E3939" s="25">
        <f>D3939-C3939+1</f>
        <v/>
      </c>
      <c r="F3939" s="319">
        <f>J3938</f>
        <v/>
      </c>
      <c r="G3939" s="319">
        <f>-PMT($D$3910/$D$3912,21,$F$3922,,0)</f>
        <v/>
      </c>
      <c r="H3939" s="319">
        <f>($D$3910/$D$3912*F3939)</f>
        <v/>
      </c>
      <c r="I3939" s="319">
        <f>G3939-H3939</f>
        <v/>
      </c>
      <c r="J3939" s="319">
        <f>F3939-I3939</f>
        <v/>
      </c>
      <c r="K3939" s="516" t="n"/>
      <c r="L3939" s="516" t="n"/>
    </row>
    <row r="3940">
      <c r="B3940" s="1" t="n">
        <v>22</v>
      </c>
      <c r="C3940" s="24">
        <f>+C3939+30</f>
        <v/>
      </c>
      <c r="D3940" s="24">
        <f>+C3940+30</f>
        <v/>
      </c>
      <c r="E3940" s="25">
        <f>D3940-C3940+1</f>
        <v/>
      </c>
      <c r="F3940" s="319">
        <f>J3939</f>
        <v/>
      </c>
      <c r="G3940" s="319">
        <f>-PMT($D$3910/$D$3912,21,$F$3922,,0)</f>
        <v/>
      </c>
      <c r="H3940" s="319">
        <f>($D$3910/$D$3912*F3940)</f>
        <v/>
      </c>
      <c r="I3940" s="319">
        <f>G3940-H3940</f>
        <v/>
      </c>
      <c r="J3940" s="319">
        <f>F3940-I3940</f>
        <v/>
      </c>
      <c r="K3940" s="516" t="n"/>
      <c r="L3940" s="516" t="n"/>
    </row>
    <row r="3941">
      <c r="B3941" s="1" t="n">
        <v>23</v>
      </c>
      <c r="C3941" s="24">
        <f>+C3940+31</f>
        <v/>
      </c>
      <c r="D3941" s="24">
        <f>+D3940+30</f>
        <v/>
      </c>
      <c r="E3941" s="25">
        <f>D3941-C3941+1</f>
        <v/>
      </c>
      <c r="F3941" s="319">
        <f>J3940</f>
        <v/>
      </c>
      <c r="G3941" s="319">
        <f>-PMT($D$3910/$D$3912,21,$F$3922,,0)</f>
        <v/>
      </c>
      <c r="H3941" s="319">
        <f>($D$3910/$D$3912*F3941)</f>
        <v/>
      </c>
      <c r="I3941" s="319">
        <f>G3941-H3941</f>
        <v/>
      </c>
      <c r="J3941" s="319">
        <f>F3941-I3941</f>
        <v/>
      </c>
      <c r="K3941" s="516" t="n"/>
      <c r="L3941" s="516" t="n"/>
    </row>
    <row r="3942">
      <c r="B3942" s="1">
        <f>+B3941+1</f>
        <v/>
      </c>
      <c r="C3942" s="24">
        <f>+C3941+30</f>
        <v/>
      </c>
      <c r="D3942" s="24">
        <f>+D3941+30</f>
        <v/>
      </c>
      <c r="E3942" s="25">
        <f>D3942-C3942+1</f>
        <v/>
      </c>
      <c r="F3942" s="319">
        <f>J3941</f>
        <v/>
      </c>
      <c r="G3942" s="319">
        <f>-PMT($D$3910/$D$3912,21,$F$3922,,0)</f>
        <v/>
      </c>
      <c r="H3942" s="319">
        <f>($D$3910/$D$3912*F3942)</f>
        <v/>
      </c>
      <c r="I3942" s="319">
        <f>G3942-H3942</f>
        <v/>
      </c>
      <c r="J3942" s="319">
        <f>F3942-I3942</f>
        <v/>
      </c>
    </row>
    <row r="3944">
      <c r="E3944" s="7">
        <f>SUM(E3918:E3943)</f>
        <v/>
      </c>
    </row>
    <row r="3949">
      <c r="B3949" s="1" t="n"/>
      <c r="C3949" s="9" t="inlineStr">
        <is>
          <t>Mosa Limited Company</t>
        </is>
      </c>
      <c r="D3949" s="319" t="n"/>
      <c r="E3949" s="319" t="n"/>
      <c r="F3949" s="319" t="n"/>
      <c r="G3949" s="319" t="n"/>
      <c r="H3949" s="319" t="n"/>
      <c r="I3949" s="319" t="n"/>
      <c r="J3949" s="319" t="n"/>
      <c r="K3949" s="319" t="n"/>
      <c r="L3949" s="319" t="n"/>
      <c r="R3949" s="514" t="inlineStr">
        <is>
          <t>E-Banker account (Dupleix)</t>
        </is>
      </c>
      <c r="S3949" s="495">
        <f>IFERROR(INDEX('Blocks'!$I$2:$I$101,MATCH(72,'Blocks'!$A$2:$A$101,0)),"")</f>
        <v/>
      </c>
    </row>
    <row r="3950">
      <c r="B3950" s="1" t="n"/>
      <c r="C3950" s="1" t="n"/>
      <c r="D3950" s="319" t="n"/>
      <c r="E3950" s="319" t="n"/>
      <c r="F3950" s="319" t="n"/>
      <c r="G3950" s="319" t="n"/>
      <c r="H3950" s="319" t="n"/>
      <c r="I3950" s="319" t="n"/>
      <c r="J3950" s="319" t="n"/>
      <c r="K3950" s="319" t="n"/>
      <c r="L3950" s="319" t="n"/>
      <c r="R3950" s="514" t="inlineStr">
        <is>
          <t>Facility (Loan Book)</t>
        </is>
      </c>
      <c r="S3950" s="495">
        <f>IFERROR(INDEX('Blocks'!$H$2:$H$101,MATCH(72,'Blocks'!$A$2:$A$101,0)),"")</f>
        <v/>
      </c>
    </row>
    <row r="3951">
      <c r="B3951" s="1" t="n"/>
      <c r="C3951" s="10" t="inlineStr">
        <is>
          <t>Principal (MK)</t>
        </is>
      </c>
      <c r="D3951" s="11" t="n">
        <v>21417000</v>
      </c>
      <c r="E3951" s="319" t="n"/>
      <c r="F3951" s="319" t="n"/>
      <c r="G3951" s="319" t="n"/>
      <c r="H3951" s="319" t="n"/>
      <c r="I3951" s="319" t="n"/>
      <c r="J3951" s="319" t="n"/>
      <c r="K3951" s="319" t="n"/>
      <c r="L3951" s="319" t="n"/>
      <c r="R3951" s="514" t="inlineStr">
        <is>
          <t>Take-on posting 31 Jul 2024</t>
        </is>
      </c>
      <c r="S3951" s="496">
        <f>IFERROR(INDEX('E-Banker master'!$N$2:$N$186,MATCH(S3949,'E-Banker master'!$A$2:$A$186,0)),"")</f>
        <v/>
      </c>
    </row>
    <row r="3952">
      <c r="B3952" s="1" t="n"/>
      <c r="C3952" s="13" t="inlineStr">
        <is>
          <t>Rate</t>
        </is>
      </c>
      <c r="D3952" s="14" t="n">
        <v>0.1</v>
      </c>
      <c r="E3952" s="257" t="n"/>
      <c r="F3952" s="319" t="n"/>
      <c r="G3952" s="319" t="n"/>
      <c r="H3952" s="319" t="n"/>
      <c r="I3952" s="319" t="n"/>
      <c r="J3952" s="319" t="n"/>
      <c r="K3952" s="319" t="n"/>
      <c r="L3952" s="319" t="n"/>
      <c r="R3952" s="514" t="inlineStr">
        <is>
          <t>E-Banker balance 31 Oct 2024</t>
        </is>
      </c>
      <c r="S3952" s="496">
        <f>IFERROR(INDEX('E-Banker master'!$P$2:$P$186,MATCH(S3949,'E-Banker master'!$A$2:$A$186,0)),"")</f>
        <v/>
      </c>
    </row>
    <row r="3953">
      <c r="B3953" s="1" t="n"/>
      <c r="C3953" s="13" t="inlineStr">
        <is>
          <t>n</t>
        </is>
      </c>
      <c r="D3953" s="16" t="n">
        <v>2</v>
      </c>
      <c r="E3953" s="1" t="n"/>
      <c r="F3953" s="319" t="n"/>
      <c r="G3953" s="319" t="n"/>
      <c r="H3953" s="319" t="n"/>
      <c r="I3953" s="319" t="n"/>
      <c r="J3953" s="319" t="n"/>
      <c r="K3953" s="1" t="n"/>
      <c r="L3953" s="1" t="n"/>
    </row>
    <row r="3954">
      <c r="B3954" s="1" t="n"/>
      <c r="C3954" s="13" t="inlineStr">
        <is>
          <t>Per</t>
        </is>
      </c>
      <c r="D3954" s="16" t="n">
        <v>12</v>
      </c>
      <c r="E3954" s="1" t="n"/>
      <c r="F3954" s="319" t="n"/>
      <c r="G3954" s="319" t="n"/>
      <c r="H3954" s="319" t="n"/>
      <c r="I3954" s="319" t="n"/>
      <c r="J3954" s="319" t="n"/>
      <c r="K3954" s="1" t="n"/>
      <c r="L3954" s="1" t="n"/>
    </row>
    <row r="3955">
      <c r="B3955" s="1" t="n"/>
      <c r="C3955" s="13" t="inlineStr">
        <is>
          <t>nPer</t>
        </is>
      </c>
      <c r="D3955" s="515">
        <f>D3953*D3954</f>
        <v/>
      </c>
      <c r="E3955" s="1" t="n"/>
      <c r="F3955" s="319" t="n"/>
      <c r="G3955" s="319" t="n"/>
      <c r="H3955" s="319" t="n"/>
      <c r="I3955" s="319" t="n"/>
      <c r="J3955" s="319" t="n"/>
      <c r="K3955" s="1" t="n"/>
      <c r="L3955" s="1" t="n"/>
    </row>
    <row r="3956">
      <c r="B3956" s="1" t="n"/>
      <c r="C3956" s="13" t="inlineStr">
        <is>
          <t>Days in a year</t>
        </is>
      </c>
      <c r="D3956" s="18" t="n">
        <v>365</v>
      </c>
      <c r="E3956" s="1" t="n"/>
      <c r="F3956" s="319" t="n"/>
      <c r="G3956" s="319" t="n"/>
      <c r="H3956" s="319" t="n"/>
      <c r="I3956" s="319" t="n"/>
      <c r="J3956" s="319" t="n"/>
      <c r="K3956" s="1" t="n"/>
      <c r="L3956" s="1" t="n"/>
    </row>
    <row r="3957">
      <c r="B3957" s="1" t="n"/>
      <c r="C3957" s="19" t="inlineStr">
        <is>
          <t>Pmt (MK)</t>
        </is>
      </c>
      <c r="D3957" s="20">
        <f>-PMT(D3952/D3954,D3955,D3951,0,0)</f>
        <v/>
      </c>
      <c r="E3957" s="319" t="n"/>
      <c r="F3957" s="319" t="n"/>
      <c r="G3957" s="319" t="n"/>
      <c r="H3957" s="319" t="n"/>
      <c r="I3957" s="319" t="n"/>
      <c r="J3957" s="319" t="n"/>
      <c r="K3957" s="1" t="n"/>
      <c r="L3957" s="1" t="n"/>
    </row>
    <row r="3958">
      <c r="B3958" s="1" t="n"/>
      <c r="C3958" s="1" t="n"/>
      <c r="D3958" s="319" t="n"/>
      <c r="E3958" s="319" t="n"/>
      <c r="F3958" s="319" t="n"/>
      <c r="G3958" s="319" t="n"/>
      <c r="H3958" s="319" t="n"/>
      <c r="I3958" s="319" t="n"/>
      <c r="J3958" s="319" t="n"/>
      <c r="K3958" s="1" t="n"/>
      <c r="L3958" s="1" t="n"/>
    </row>
    <row r="3959">
      <c r="B3959" s="1" t="n"/>
      <c r="C3959" s="21" t="inlineStr">
        <is>
          <t>Period Start</t>
        </is>
      </c>
      <c r="D3959" s="22" t="inlineStr">
        <is>
          <t>Period End</t>
        </is>
      </c>
      <c r="E3959" s="22" t="inlineStr">
        <is>
          <t>Days</t>
        </is>
      </c>
      <c r="F3959" s="294" t="inlineStr">
        <is>
          <t>Opening bal.</t>
        </is>
      </c>
      <c r="G3959" s="294" t="inlineStr">
        <is>
          <t>Pmt</t>
        </is>
      </c>
      <c r="H3959" s="294" t="inlineStr">
        <is>
          <t>Interest</t>
        </is>
      </c>
      <c r="I3959" s="294" t="inlineStr">
        <is>
          <t>Principal</t>
        </is>
      </c>
      <c r="J3959" s="294" t="inlineStr">
        <is>
          <t>Closing balance</t>
        </is>
      </c>
      <c r="K3959" s="23" t="inlineStr">
        <is>
          <t>Amount Repaid</t>
        </is>
      </c>
      <c r="L3959" s="23" t="inlineStr">
        <is>
          <t>Accumulated Arrears</t>
        </is>
      </c>
    </row>
    <row r="3960">
      <c r="B3960" s="1" t="n">
        <v>0</v>
      </c>
      <c r="C3960" s="24" t="n">
        <v>45138</v>
      </c>
      <c r="D3960" s="24" t="n">
        <v>45138</v>
      </c>
      <c r="E3960" s="25" t="n">
        <v>0</v>
      </c>
      <c r="F3960" s="319">
        <f>D3951</f>
        <v/>
      </c>
      <c r="G3960" s="319" t="n"/>
      <c r="H3960" s="319">
        <f>($D$3629/$D$3631*F3960)*E3960</f>
        <v/>
      </c>
      <c r="I3960" s="319">
        <f>-H3960</f>
        <v/>
      </c>
      <c r="J3960" s="319">
        <f>F3960-I3960</f>
        <v/>
      </c>
      <c r="K3960" s="516" t="n"/>
      <c r="L3960" s="516" t="n"/>
    </row>
    <row r="3961">
      <c r="B3961" s="1" t="n">
        <v>1</v>
      </c>
      <c r="C3961" s="24" t="n">
        <v>45139</v>
      </c>
      <c r="D3961" s="24" t="n">
        <v>45169</v>
      </c>
      <c r="E3961" s="25">
        <f>D3961-C3961+1</f>
        <v/>
      </c>
      <c r="F3961" s="319">
        <f>J3960</f>
        <v/>
      </c>
      <c r="G3961" s="319" t="n"/>
      <c r="H3961" s="319">
        <f>($D$3952/$D$3954*F3961)</f>
        <v/>
      </c>
      <c r="I3961" s="319">
        <f>-H3961</f>
        <v/>
      </c>
      <c r="J3961" s="319">
        <f>F3961-I3961</f>
        <v/>
      </c>
    </row>
    <row r="3962">
      <c r="B3962" s="1" t="n">
        <v>2</v>
      </c>
      <c r="C3962" s="24">
        <f>+C3961+31</f>
        <v/>
      </c>
      <c r="D3962" s="24">
        <f>+C3962+29</f>
        <v/>
      </c>
      <c r="E3962" s="25">
        <f>D3962-C3962+1</f>
        <v/>
      </c>
      <c r="F3962" s="319">
        <f>J3961</f>
        <v/>
      </c>
      <c r="G3962" s="319" t="n"/>
      <c r="H3962" s="319">
        <f>($D$3952/$D$3954*F3962)</f>
        <v/>
      </c>
      <c r="I3962" s="319">
        <f>-H3962</f>
        <v/>
      </c>
      <c r="J3962" s="319">
        <f>F3962-I3962</f>
        <v/>
      </c>
      <c r="K3962" s="516" t="n"/>
      <c r="L3962" s="516" t="n"/>
    </row>
    <row r="3963">
      <c r="B3963" s="1" t="n">
        <v>3</v>
      </c>
      <c r="C3963" s="24">
        <f>+C3962+30</f>
        <v/>
      </c>
      <c r="D3963" s="24" t="n">
        <v>45230</v>
      </c>
      <c r="E3963" s="25">
        <f>D3963-C3963+1</f>
        <v/>
      </c>
      <c r="F3963" s="319">
        <f>J3962</f>
        <v/>
      </c>
      <c r="G3963" s="319" t="n"/>
      <c r="H3963" s="319">
        <f>($D$3952/$D$3954*F3963)</f>
        <v/>
      </c>
      <c r="I3963" s="319">
        <f>G3963-H3963</f>
        <v/>
      </c>
      <c r="J3963" s="319">
        <f>F3963-I3963</f>
        <v/>
      </c>
      <c r="K3963" s="516" t="n"/>
      <c r="L3963" s="516" t="n"/>
    </row>
    <row r="3964">
      <c r="B3964" s="1" t="n">
        <v>4</v>
      </c>
      <c r="C3964" s="24">
        <f>+C3963+31</f>
        <v/>
      </c>
      <c r="D3964" s="24" t="n">
        <v>45260</v>
      </c>
      <c r="E3964" s="25">
        <f>D3964-C3964+1</f>
        <v/>
      </c>
      <c r="F3964" s="319">
        <f>J3963</f>
        <v/>
      </c>
      <c r="G3964" s="319">
        <f>-PMT($D$3952/$D$3954,21,$F$3964,,0)</f>
        <v/>
      </c>
      <c r="H3964" s="319">
        <f>($D$3952/$D$3954*F3964)</f>
        <v/>
      </c>
      <c r="I3964" s="319">
        <f>G3964-H3964</f>
        <v/>
      </c>
      <c r="J3964" s="319">
        <f>F3964-I3964</f>
        <v/>
      </c>
      <c r="K3964" s="516" t="n"/>
      <c r="L3964" s="516">
        <f>G3964-K3964</f>
        <v/>
      </c>
    </row>
    <row r="3965">
      <c r="B3965" s="1" t="n">
        <v>5</v>
      </c>
      <c r="C3965" s="24">
        <f>+C3964+30</f>
        <v/>
      </c>
      <c r="D3965" s="24" t="n">
        <v>45291</v>
      </c>
      <c r="E3965" s="25">
        <f>D3965-C3965+1</f>
        <v/>
      </c>
      <c r="F3965" s="319">
        <f>J3964</f>
        <v/>
      </c>
      <c r="G3965" s="319">
        <f>-PMT($D$3952/$D$3954,21,$F$3964,,0)</f>
        <v/>
      </c>
      <c r="H3965" s="319">
        <f>($D$3952/$D$3954*F3965)</f>
        <v/>
      </c>
      <c r="I3965" s="319">
        <f>G3965-H3965</f>
        <v/>
      </c>
      <c r="J3965" s="319">
        <f>F3965-I3965</f>
        <v/>
      </c>
      <c r="K3965" s="516" t="n"/>
      <c r="L3965" s="516">
        <f>L3964+G3965-K3965</f>
        <v/>
      </c>
    </row>
    <row r="3966">
      <c r="B3966" s="1" t="n">
        <v>6</v>
      </c>
      <c r="C3966" s="24">
        <f>+C3965+31</f>
        <v/>
      </c>
      <c r="D3966" s="24">
        <f>+C3966+30</f>
        <v/>
      </c>
      <c r="E3966" s="25">
        <f>D3966-C3966+1</f>
        <v/>
      </c>
      <c r="F3966" s="319">
        <f>J3965</f>
        <v/>
      </c>
      <c r="G3966" s="319">
        <f>-PMT($D$3952/$D$3954,21,$F$3964,,0)</f>
        <v/>
      </c>
      <c r="H3966" s="319">
        <f>($D$3952/$D$3954*F3966)</f>
        <v/>
      </c>
      <c r="I3966" s="319">
        <f>G3966-H3966</f>
        <v/>
      </c>
      <c r="J3966" s="319">
        <f>F3966-I3966</f>
        <v/>
      </c>
      <c r="K3966" s="516" t="n"/>
      <c r="L3966" s="516">
        <f>L3965+G3966-K3966</f>
        <v/>
      </c>
    </row>
    <row r="3967">
      <c r="B3967" s="1" t="n">
        <v>7</v>
      </c>
      <c r="C3967" s="24">
        <f>+C3966+31</f>
        <v/>
      </c>
      <c r="D3967" s="24">
        <f>+C3967+28</f>
        <v/>
      </c>
      <c r="E3967" s="25">
        <f>D3967-C3967+1</f>
        <v/>
      </c>
      <c r="F3967" s="319">
        <f>J3966</f>
        <v/>
      </c>
      <c r="G3967" s="319">
        <f>-PMT($D$3952/$D$3954,21,$F$3964,,0)</f>
        <v/>
      </c>
      <c r="H3967" s="319">
        <f>($D$3952/$D$3954*F3967)</f>
        <v/>
      </c>
      <c r="I3967" s="319">
        <f>G3967-H3967</f>
        <v/>
      </c>
      <c r="J3967" s="319">
        <f>F3967-I3967</f>
        <v/>
      </c>
      <c r="K3967" s="516" t="n"/>
      <c r="L3967" s="516">
        <f>L3966+G3967-K3967</f>
        <v/>
      </c>
    </row>
    <row r="3968">
      <c r="B3968" s="1" t="n">
        <v>8</v>
      </c>
      <c r="C3968" s="24">
        <f>+C3967+29</f>
        <v/>
      </c>
      <c r="D3968" s="24">
        <f>+C3968+30</f>
        <v/>
      </c>
      <c r="E3968" s="25">
        <f>D3968-C3968+1</f>
        <v/>
      </c>
      <c r="F3968" s="319">
        <f>J3967</f>
        <v/>
      </c>
      <c r="G3968" s="319">
        <f>-PMT($D$3952/$D$3954,21,$F$3964,,0)</f>
        <v/>
      </c>
      <c r="H3968" s="319">
        <f>($D$3952/$D$3954*F3968)</f>
        <v/>
      </c>
      <c r="I3968" s="319">
        <f>G3968-H3968</f>
        <v/>
      </c>
      <c r="J3968" s="319">
        <f>F3968-I3968</f>
        <v/>
      </c>
      <c r="K3968" s="516" t="n"/>
      <c r="L3968" s="516">
        <f>L3967+G3968-K3968</f>
        <v/>
      </c>
    </row>
    <row r="3969">
      <c r="B3969" s="1" t="n">
        <v>9</v>
      </c>
      <c r="C3969" s="24">
        <f>+C3968+31</f>
        <v/>
      </c>
      <c r="D3969" s="24">
        <f>+C3969+29</f>
        <v/>
      </c>
      <c r="E3969" s="25">
        <f>D3969-C3969+1</f>
        <v/>
      </c>
      <c r="F3969" s="319">
        <f>J3968</f>
        <v/>
      </c>
      <c r="G3969" s="319">
        <f>-PMT($D$3952/$D$3954,21,$F$3964,,0)</f>
        <v/>
      </c>
      <c r="H3969" s="319">
        <f>($D$3952/$D$3954*F3969)</f>
        <v/>
      </c>
      <c r="I3969" s="319">
        <f>G3969-H3969</f>
        <v/>
      </c>
      <c r="J3969" s="319">
        <f>F3969-I3969</f>
        <v/>
      </c>
      <c r="K3969" s="516" t="n"/>
      <c r="L3969" s="516">
        <f>L3968+G3969-K3969</f>
        <v/>
      </c>
    </row>
    <row r="3970">
      <c r="B3970" s="1" t="n">
        <v>10</v>
      </c>
      <c r="C3970" s="24">
        <f>+C3969+30</f>
        <v/>
      </c>
      <c r="D3970" s="24">
        <f>+C3970+30</f>
        <v/>
      </c>
      <c r="E3970" s="25">
        <f>D3970-C3970+1</f>
        <v/>
      </c>
      <c r="F3970" s="319">
        <f>J3969</f>
        <v/>
      </c>
      <c r="G3970" s="319">
        <f>-PMT($D$3952/$D$3954,21,$F$3964,,0)</f>
        <v/>
      </c>
      <c r="H3970" s="319">
        <f>($D$3952/$D$3954*F3970)</f>
        <v/>
      </c>
      <c r="I3970" s="319">
        <f>G3970-H3970</f>
        <v/>
      </c>
      <c r="J3970" s="319">
        <f>F3970-I3970</f>
        <v/>
      </c>
      <c r="K3970" s="516" t="n">
        <v>8008421.304220237</v>
      </c>
      <c r="L3970" s="516">
        <f>L3969+G3970-K3970</f>
        <v/>
      </c>
    </row>
    <row r="3971">
      <c r="B3971" s="1" t="n">
        <v>11</v>
      </c>
      <c r="C3971" s="24">
        <f>+C3970+31</f>
        <v/>
      </c>
      <c r="D3971" s="24">
        <f>+C3971+29</f>
        <v/>
      </c>
      <c r="E3971" s="25">
        <f>D3971-C3971+1</f>
        <v/>
      </c>
      <c r="F3971" s="319">
        <f>J3970</f>
        <v/>
      </c>
      <c r="G3971" s="319">
        <f>-PMT($D$3952/$D$3954,21,$F$3964,,0)</f>
        <v/>
      </c>
      <c r="H3971" s="319">
        <f>($D$3952/$D$3954*F3971)</f>
        <v/>
      </c>
      <c r="I3971" s="319">
        <f>G3971-H3971</f>
        <v/>
      </c>
      <c r="J3971" s="319">
        <f>F3971-I3971</f>
        <v/>
      </c>
      <c r="K3971" s="516" t="n">
        <v>1144060.19</v>
      </c>
      <c r="L3971" s="319">
        <f>L3970+G3971-K3971</f>
        <v/>
      </c>
    </row>
    <row r="3972">
      <c r="B3972" s="1" t="n">
        <v>12</v>
      </c>
      <c r="C3972" s="24">
        <f>+C3971+30</f>
        <v/>
      </c>
      <c r="D3972" s="24">
        <f>+C3972+30</f>
        <v/>
      </c>
      <c r="E3972" s="25">
        <f>D3972-C3972+1</f>
        <v/>
      </c>
      <c r="F3972" s="319">
        <f>J3971</f>
        <v/>
      </c>
      <c r="G3972" s="319">
        <f>-PMT($D$3952/$D$3954,21,$F$3964,,0)</f>
        <v/>
      </c>
      <c r="H3972" s="319">
        <f>($D$3952/$D$3954*F3972)</f>
        <v/>
      </c>
      <c r="I3972" s="319">
        <f>G3972-H3972</f>
        <v/>
      </c>
      <c r="J3972" s="319">
        <f>F3972-I3972</f>
        <v/>
      </c>
      <c r="K3972" s="516" t="n">
        <v>1144060.19</v>
      </c>
      <c r="L3972" s="319">
        <f>L3971+G3972-K3972</f>
        <v/>
      </c>
    </row>
    <row r="3973">
      <c r="B3973" s="1" t="n">
        <v>13</v>
      </c>
      <c r="C3973" s="24">
        <f>+C3972+31</f>
        <v/>
      </c>
      <c r="D3973" s="24">
        <f>+C3973+30</f>
        <v/>
      </c>
      <c r="E3973" s="25">
        <f>D3973-C3973+1</f>
        <v/>
      </c>
      <c r="F3973" s="319">
        <f>J3972</f>
        <v/>
      </c>
      <c r="G3973" s="319">
        <f>-PMT($D$3952/$D$3954,21,$F$3964,,0)</f>
        <v/>
      </c>
      <c r="H3973" s="319">
        <f>($D$3952/$D$3954*F3973)</f>
        <v/>
      </c>
      <c r="I3973" s="319">
        <f>G3973-H3973</f>
        <v/>
      </c>
      <c r="J3973" s="319">
        <f>F3973-I3973</f>
        <v/>
      </c>
      <c r="K3973" s="516" t="n">
        <v>1144060.19</v>
      </c>
      <c r="L3973" s="319">
        <f>L3972+G3973-K3973</f>
        <v/>
      </c>
    </row>
    <row r="3974">
      <c r="B3974" s="1" t="n">
        <v>14</v>
      </c>
      <c r="C3974" s="24">
        <f>+C3973+31</f>
        <v/>
      </c>
      <c r="D3974" s="24">
        <f>+C3974+29</f>
        <v/>
      </c>
      <c r="E3974" s="25">
        <f>D3974-C3974+1</f>
        <v/>
      </c>
      <c r="F3974" s="319">
        <f>J3973</f>
        <v/>
      </c>
      <c r="G3974" s="319">
        <f>-PMT($D$3952/$D$3954,21,$F$3964,,0)</f>
        <v/>
      </c>
      <c r="H3974" s="319">
        <f>($D$3952/$D$3954*F3974)</f>
        <v/>
      </c>
      <c r="I3974" s="319">
        <f>G3974-H3974</f>
        <v/>
      </c>
      <c r="J3974" s="319">
        <f>F3974-I3974</f>
        <v/>
      </c>
      <c r="K3974" s="516" t="n"/>
      <c r="L3974" s="319">
        <f>L3973+G3974-K3974</f>
        <v/>
      </c>
    </row>
    <row r="3975">
      <c r="B3975" s="1" t="n">
        <v>15</v>
      </c>
      <c r="C3975" s="24">
        <f>+C3974+30</f>
        <v/>
      </c>
      <c r="D3975" s="24">
        <f>+C3975+30</f>
        <v/>
      </c>
      <c r="E3975" s="25">
        <f>D3975-C3975+1</f>
        <v/>
      </c>
      <c r="F3975" s="319">
        <f>J3974</f>
        <v/>
      </c>
      <c r="G3975" s="319">
        <f>-PMT($D$3952/$D$3954,21,$F$3964,,0)</f>
        <v/>
      </c>
      <c r="H3975" s="319">
        <f>($D$3952/$D$3954*F3975)</f>
        <v/>
      </c>
      <c r="I3975" s="319">
        <f>G3975-H3975</f>
        <v/>
      </c>
      <c r="J3975" s="319">
        <f>F3975-I3975</f>
        <v/>
      </c>
      <c r="K3975" s="516" t="n"/>
      <c r="L3975" s="317">
        <f>L3974+G3975-K3975</f>
        <v/>
      </c>
    </row>
    <row r="3976">
      <c r="B3976" s="1" t="n">
        <v>16</v>
      </c>
      <c r="C3976" s="24">
        <f>+C3975+31</f>
        <v/>
      </c>
      <c r="D3976" s="24">
        <f>+C3976+29</f>
        <v/>
      </c>
      <c r="E3976" s="25">
        <f>D3976-C3976+1</f>
        <v/>
      </c>
      <c r="F3976" s="319">
        <f>J3975</f>
        <v/>
      </c>
      <c r="G3976" s="319">
        <f>-PMT($D$3952/$D$3954,21,$F$3964,,0)</f>
        <v/>
      </c>
      <c r="H3976" s="319">
        <f>($D$3952/$D$3954*F3976)</f>
        <v/>
      </c>
      <c r="I3976" s="319">
        <f>G3976-H3976</f>
        <v/>
      </c>
      <c r="J3976" s="319">
        <f>F3976-I3976</f>
        <v/>
      </c>
      <c r="K3976" s="516" t="n"/>
      <c r="L3976" s="516" t="n"/>
    </row>
    <row r="3977">
      <c r="B3977" s="1" t="n">
        <v>17</v>
      </c>
      <c r="C3977" s="24">
        <f>+C3976+30</f>
        <v/>
      </c>
      <c r="D3977" s="24">
        <f>+C3977+30</f>
        <v/>
      </c>
      <c r="E3977" s="25">
        <f>D3977-C3977+1</f>
        <v/>
      </c>
      <c r="F3977" s="319">
        <f>J3976</f>
        <v/>
      </c>
      <c r="G3977" s="319">
        <f>-PMT($D$3952/$D$3954,21,$F$3964,,0)</f>
        <v/>
      </c>
      <c r="H3977" s="319">
        <f>($D$3952/$D$3954*F3977)</f>
        <v/>
      </c>
      <c r="I3977" s="319">
        <f>G3977-H3977</f>
        <v/>
      </c>
      <c r="J3977" s="319">
        <f>F3977-I3977</f>
        <v/>
      </c>
      <c r="K3977" s="516" t="n"/>
      <c r="L3977" s="516" t="n"/>
    </row>
    <row r="3978">
      <c r="B3978" s="1" t="n">
        <v>18</v>
      </c>
      <c r="C3978" s="24">
        <f>+C3977+31</f>
        <v/>
      </c>
      <c r="D3978" s="24">
        <f>+C3978+30</f>
        <v/>
      </c>
      <c r="E3978" s="25">
        <f>D3978-C3978+1</f>
        <v/>
      </c>
      <c r="F3978" s="319">
        <f>J3977</f>
        <v/>
      </c>
      <c r="G3978" s="319">
        <f>-PMT($D$3952/$D$3954,21,$F$3964,,0)</f>
        <v/>
      </c>
      <c r="H3978" s="319">
        <f>($D$3952/$D$3954*F3978)</f>
        <v/>
      </c>
      <c r="I3978" s="319">
        <f>G3978-H3978</f>
        <v/>
      </c>
      <c r="J3978" s="319">
        <f>F3978-I3978</f>
        <v/>
      </c>
      <c r="K3978" s="516" t="n"/>
      <c r="L3978" s="516" t="n"/>
    </row>
    <row r="3979">
      <c r="B3979" s="1" t="n">
        <v>19</v>
      </c>
      <c r="C3979" s="24">
        <f>+C3978+31</f>
        <v/>
      </c>
      <c r="D3979" s="24">
        <f>+C3979+27</f>
        <v/>
      </c>
      <c r="E3979" s="25">
        <f>D3979-C3979+1</f>
        <v/>
      </c>
      <c r="F3979" s="319">
        <f>J3978</f>
        <v/>
      </c>
      <c r="G3979" s="319">
        <f>-PMT($D$3952/$D$3954,21,$F$3964,,0)</f>
        <v/>
      </c>
      <c r="H3979" s="319">
        <f>($D$3952/$D$3954*F3979)</f>
        <v/>
      </c>
      <c r="I3979" s="319">
        <f>G3979-H3979</f>
        <v/>
      </c>
      <c r="J3979" s="319">
        <f>F3979-I3979</f>
        <v/>
      </c>
      <c r="K3979" s="516" t="n"/>
      <c r="L3979" s="516" t="n"/>
    </row>
    <row r="3980">
      <c r="B3980" s="1" t="n">
        <v>20</v>
      </c>
      <c r="C3980" s="24">
        <f>+C3979+28</f>
        <v/>
      </c>
      <c r="D3980" s="24">
        <f>+C3980+30</f>
        <v/>
      </c>
      <c r="E3980" s="25">
        <f>D3980-C3980+1</f>
        <v/>
      </c>
      <c r="F3980" s="319">
        <f>J3979</f>
        <v/>
      </c>
      <c r="G3980" s="319">
        <f>-PMT($D$3952/$D$3954,21,$F$3964,,0)</f>
        <v/>
      </c>
      <c r="H3980" s="319">
        <f>($D$3952/$D$3954*F3980)</f>
        <v/>
      </c>
      <c r="I3980" s="319">
        <f>G3980-H3980</f>
        <v/>
      </c>
      <c r="J3980" s="319">
        <f>F3980-I3980</f>
        <v/>
      </c>
      <c r="K3980" s="516" t="n"/>
      <c r="L3980" s="516" t="n"/>
    </row>
    <row r="3981">
      <c r="B3981" s="1" t="n">
        <v>21</v>
      </c>
      <c r="C3981" s="24">
        <f>+C3980+31</f>
        <v/>
      </c>
      <c r="D3981" s="24">
        <f>+C3981+29</f>
        <v/>
      </c>
      <c r="E3981" s="25">
        <f>D3981-C3981+1</f>
        <v/>
      </c>
      <c r="F3981" s="319">
        <f>J3980</f>
        <v/>
      </c>
      <c r="G3981" s="319">
        <f>-PMT($D$3952/$D$3954,21,$F$3964,,0)</f>
        <v/>
      </c>
      <c r="H3981" s="319">
        <f>($D$3952/$D$3954*F3981)</f>
        <v/>
      </c>
      <c r="I3981" s="319">
        <f>G3981-H3981</f>
        <v/>
      </c>
      <c r="J3981" s="319">
        <f>F3981-I3981</f>
        <v/>
      </c>
      <c r="K3981" s="516" t="n"/>
      <c r="L3981" s="516" t="n"/>
    </row>
    <row r="3982">
      <c r="B3982" s="1" t="n">
        <v>22</v>
      </c>
      <c r="C3982" s="24">
        <f>+C3981+30</f>
        <v/>
      </c>
      <c r="D3982" s="24">
        <f>+C3982+30</f>
        <v/>
      </c>
      <c r="E3982" s="25">
        <f>D3982-C3982+1</f>
        <v/>
      </c>
      <c r="F3982" s="319">
        <f>J3981</f>
        <v/>
      </c>
      <c r="G3982" s="319">
        <f>-PMT($D$3952/$D$3954,21,$F$3964,,0)</f>
        <v/>
      </c>
      <c r="H3982" s="319">
        <f>($D$3952/$D$3954*F3982)</f>
        <v/>
      </c>
      <c r="I3982" s="319">
        <f>G3982-H3982</f>
        <v/>
      </c>
      <c r="J3982" s="319">
        <f>F3982-I3982</f>
        <v/>
      </c>
      <c r="K3982" s="516" t="n"/>
      <c r="L3982" s="516" t="n"/>
    </row>
    <row r="3983">
      <c r="B3983" s="1" t="n">
        <v>23</v>
      </c>
      <c r="C3983" s="24">
        <f>+C3982+31</f>
        <v/>
      </c>
      <c r="D3983" s="24">
        <f>+D3982+30</f>
        <v/>
      </c>
      <c r="E3983" s="25">
        <f>D3983-C3983+1</f>
        <v/>
      </c>
      <c r="F3983" s="319">
        <f>J3982</f>
        <v/>
      </c>
      <c r="G3983" s="319">
        <f>-PMT($D$3952/$D$3954,21,$F$3964,,0)</f>
        <v/>
      </c>
      <c r="H3983" s="319">
        <f>($D$3952/$D$3954*F3983)</f>
        <v/>
      </c>
      <c r="I3983" s="319">
        <f>G3983-H3983</f>
        <v/>
      </c>
      <c r="J3983" s="319">
        <f>F3983-I3983</f>
        <v/>
      </c>
      <c r="K3983" s="516" t="n"/>
      <c r="L3983" s="516" t="n"/>
    </row>
    <row r="3984">
      <c r="B3984" s="1">
        <f>+B3983+1</f>
        <v/>
      </c>
      <c r="C3984" s="24">
        <f>+C3983+30</f>
        <v/>
      </c>
      <c r="D3984" s="24">
        <f>+D3983+30</f>
        <v/>
      </c>
      <c r="E3984" s="25">
        <f>D3984-C3984+1</f>
        <v/>
      </c>
      <c r="F3984" s="319">
        <f>J3983</f>
        <v/>
      </c>
      <c r="G3984" s="319">
        <f>-PMT($D$3952/$D$3954,21,$F$3964,,0)</f>
        <v/>
      </c>
      <c r="H3984" s="319">
        <f>($D$3952/$D$3954*F3984)</f>
        <v/>
      </c>
      <c r="I3984" s="319">
        <f>G3984-H3984</f>
        <v/>
      </c>
      <c r="J3984" s="319">
        <f>F3984-I3984</f>
        <v/>
      </c>
    </row>
    <row r="3986">
      <c r="E3986" s="7">
        <f>SUM(E3960:E3985)</f>
        <v/>
      </c>
    </row>
    <row r="3991">
      <c r="B3991" s="1" t="n"/>
      <c r="C3991" s="9" t="inlineStr">
        <is>
          <t>Global Seeds</t>
        </is>
      </c>
      <c r="D3991" s="319" t="n"/>
      <c r="E3991" s="319" t="n"/>
      <c r="F3991" s="319" t="n"/>
      <c r="G3991" s="319" t="n"/>
      <c r="H3991" s="319" t="n"/>
      <c r="I3991" s="319" t="n"/>
      <c r="J3991" s="319" t="n"/>
      <c r="K3991" s="319" t="n"/>
      <c r="L3991" s="319" t="n"/>
      <c r="R3991" s="514" t="inlineStr">
        <is>
          <t>E-Banker account (Dupleix)</t>
        </is>
      </c>
      <c r="S3991" s="495">
        <f>IFERROR(INDEX('Blocks'!$I$2:$I$101,MATCH(73,'Blocks'!$A$2:$A$101,0)),"")</f>
        <v/>
      </c>
    </row>
    <row r="3992">
      <c r="B3992" s="1" t="n"/>
      <c r="C3992" s="1" t="n"/>
      <c r="D3992" s="319" t="n"/>
      <c r="E3992" s="319" t="n"/>
      <c r="F3992" s="319" t="n"/>
      <c r="G3992" s="319" t="n"/>
      <c r="H3992" s="319" t="n"/>
      <c r="I3992" s="319" t="n"/>
      <c r="J3992" s="319" t="n"/>
      <c r="K3992" s="319" t="n"/>
      <c r="L3992" s="319" t="n"/>
      <c r="R3992" s="514" t="inlineStr">
        <is>
          <t>Facility (Loan Book)</t>
        </is>
      </c>
      <c r="S3992" s="495">
        <f>IFERROR(INDEX('Blocks'!$H$2:$H$101,MATCH(73,'Blocks'!$A$2:$A$101,0)),"")</f>
        <v/>
      </c>
    </row>
    <row r="3993">
      <c r="B3993" s="1" t="n"/>
      <c r="C3993" s="10" t="inlineStr">
        <is>
          <t>Principal (MK)</t>
        </is>
      </c>
      <c r="D3993" s="11" t="n">
        <v>250000000</v>
      </c>
      <c r="E3993" s="319" t="n"/>
      <c r="F3993" s="319" t="n"/>
      <c r="G3993" s="319" t="n"/>
      <c r="H3993" s="319" t="n"/>
      <c r="I3993" s="319" t="n"/>
      <c r="J3993" s="319" t="n"/>
      <c r="K3993" s="319" t="n"/>
      <c r="L3993" s="319" t="n"/>
      <c r="R3993" s="514" t="inlineStr">
        <is>
          <t>Take-on posting 31 Jul 2024</t>
        </is>
      </c>
      <c r="S3993" s="496">
        <f>IFERROR(INDEX('E-Banker master'!$N$2:$N$186,MATCH(S3991,'E-Banker master'!$A$2:$A$186,0)),"")</f>
        <v/>
      </c>
    </row>
    <row r="3994">
      <c r="B3994" s="1" t="n"/>
      <c r="C3994" s="13" t="inlineStr">
        <is>
          <t>Rate</t>
        </is>
      </c>
      <c r="D3994" s="14" t="n">
        <v>0.1</v>
      </c>
      <c r="E3994" s="257" t="n"/>
      <c r="F3994" s="319" t="n"/>
      <c r="G3994" s="319" t="n"/>
      <c r="H3994" s="319" t="n"/>
      <c r="I3994" s="319" t="n"/>
      <c r="J3994" s="319" t="n"/>
      <c r="K3994" s="319" t="n"/>
      <c r="L3994" s="319" t="n"/>
      <c r="R3994" s="514" t="inlineStr">
        <is>
          <t>E-Banker balance 31 Oct 2024</t>
        </is>
      </c>
      <c r="S3994" s="496">
        <f>IFERROR(INDEX('E-Banker master'!$P$2:$P$186,MATCH(S3991,'E-Banker master'!$A$2:$A$186,0)),"")</f>
        <v/>
      </c>
    </row>
    <row r="3995">
      <c r="B3995" s="1" t="n"/>
      <c r="C3995" s="13" t="inlineStr">
        <is>
          <t>n</t>
        </is>
      </c>
      <c r="D3995" s="16" t="n">
        <v>4</v>
      </c>
      <c r="E3995" s="1" t="n"/>
      <c r="F3995" s="319" t="n"/>
      <c r="G3995" s="319" t="n"/>
      <c r="H3995" s="319" t="n"/>
      <c r="I3995" s="319" t="n"/>
      <c r="J3995" s="319" t="n"/>
      <c r="K3995" s="1" t="n"/>
      <c r="L3995" s="1" t="n"/>
    </row>
    <row r="3996">
      <c r="B3996" s="1" t="n"/>
      <c r="C3996" s="13" t="inlineStr">
        <is>
          <t>Per</t>
        </is>
      </c>
      <c r="D3996" s="16" t="n">
        <v>12</v>
      </c>
      <c r="E3996" s="1" t="n"/>
      <c r="F3996" s="319" t="n"/>
      <c r="G3996" s="319" t="n"/>
      <c r="H3996" s="319" t="n"/>
      <c r="I3996" s="319" t="n"/>
      <c r="J3996" s="319" t="n"/>
      <c r="K3996" s="1" t="n"/>
      <c r="L3996" s="1" t="n"/>
    </row>
    <row r="3997">
      <c r="B3997" s="1" t="n"/>
      <c r="C3997" s="13" t="inlineStr">
        <is>
          <t>nPer</t>
        </is>
      </c>
      <c r="D3997" s="515">
        <f>D3995*D3996</f>
        <v/>
      </c>
      <c r="E3997" s="1" t="n"/>
      <c r="F3997" s="319" t="n"/>
      <c r="G3997" s="319" t="n"/>
      <c r="H3997" s="319" t="n"/>
      <c r="I3997" s="319" t="n"/>
      <c r="J3997" s="319" t="n"/>
      <c r="K3997" s="1" t="n"/>
      <c r="L3997" s="1" t="n"/>
    </row>
    <row r="3998">
      <c r="B3998" s="1" t="n"/>
      <c r="C3998" s="13" t="inlineStr">
        <is>
          <t>Days in a year</t>
        </is>
      </c>
      <c r="D3998" s="18" t="n">
        <v>365</v>
      </c>
      <c r="E3998" s="1" t="n"/>
      <c r="F3998" s="319" t="n"/>
      <c r="G3998" s="319" t="n"/>
      <c r="H3998" s="319" t="n"/>
      <c r="I3998" s="319" t="n"/>
      <c r="J3998" s="319" t="n"/>
      <c r="K3998" s="1" t="n"/>
      <c r="L3998" s="1" t="n"/>
    </row>
    <row r="3999">
      <c r="B3999" s="1" t="n"/>
      <c r="C3999" s="19" t="inlineStr">
        <is>
          <t>Pmt (MK)</t>
        </is>
      </c>
      <c r="D3999" s="20">
        <f>-PMT(D3994/D3996,D3997,D3993,0,0)</f>
        <v/>
      </c>
      <c r="E3999" s="319" t="n"/>
      <c r="F3999" s="319" t="n"/>
      <c r="G3999" s="319" t="n"/>
      <c r="H3999" s="319" t="n"/>
      <c r="I3999" s="319" t="n"/>
      <c r="J3999" s="319" t="n"/>
      <c r="K3999" s="1" t="n"/>
      <c r="L3999" s="1" t="n"/>
    </row>
    <row r="4000">
      <c r="B4000" s="1" t="n"/>
      <c r="C4000" s="1" t="n"/>
      <c r="D4000" s="319" t="n"/>
      <c r="E4000" s="319" t="n"/>
      <c r="F4000" s="319" t="n"/>
      <c r="G4000" s="319" t="n"/>
      <c r="H4000" s="319" t="n"/>
      <c r="I4000" s="319" t="n"/>
      <c r="J4000" s="319" t="n"/>
      <c r="K4000" s="1" t="n"/>
      <c r="L4000" s="1" t="n"/>
    </row>
    <row r="4001">
      <c r="B4001" s="1" t="n"/>
      <c r="C4001" s="21" t="inlineStr">
        <is>
          <t>Period Start</t>
        </is>
      </c>
      <c r="D4001" s="22" t="inlineStr">
        <is>
          <t>Period End</t>
        </is>
      </c>
      <c r="E4001" s="22" t="inlineStr">
        <is>
          <t>Days</t>
        </is>
      </c>
      <c r="F4001" s="294" t="inlineStr">
        <is>
          <t>Opening bal.</t>
        </is>
      </c>
      <c r="G4001" s="294" t="inlineStr">
        <is>
          <t>Pmt</t>
        </is>
      </c>
      <c r="H4001" s="294" t="inlineStr">
        <is>
          <t>Interest</t>
        </is>
      </c>
      <c r="I4001" s="294" t="inlineStr">
        <is>
          <t>Principal</t>
        </is>
      </c>
      <c r="J4001" s="294" t="inlineStr">
        <is>
          <t>Closing balance</t>
        </is>
      </c>
      <c r="K4001" s="23" t="inlineStr">
        <is>
          <t>Amount Repaid</t>
        </is>
      </c>
      <c r="L4001" s="23" t="inlineStr">
        <is>
          <t>Accumulated Arrears</t>
        </is>
      </c>
    </row>
    <row r="4002">
      <c r="B4002" s="1" t="n">
        <v>0</v>
      </c>
      <c r="C4002" s="24" t="n">
        <v>45145</v>
      </c>
      <c r="D4002" s="24" t="n">
        <v>45169</v>
      </c>
      <c r="E4002" s="25">
        <f>D4002-C4002+1</f>
        <v/>
      </c>
      <c r="F4002" s="319">
        <f>D3993</f>
        <v/>
      </c>
      <c r="G4002" s="319" t="n"/>
      <c r="H4002" s="319">
        <f>($D$3994/$D$3996*F4002*E4002/31)</f>
        <v/>
      </c>
      <c r="I4002" s="319">
        <f>G4002-H4002</f>
        <v/>
      </c>
      <c r="J4002" s="319">
        <f>F4002-I4002</f>
        <v/>
      </c>
    </row>
    <row r="4003">
      <c r="B4003" s="1" t="n">
        <v>1</v>
      </c>
      <c r="C4003" s="24" t="n">
        <v>45170</v>
      </c>
      <c r="D4003" s="24" t="n">
        <v>45199</v>
      </c>
      <c r="E4003" s="25" t="n">
        <v>30</v>
      </c>
      <c r="F4003" s="319">
        <f>J4002</f>
        <v/>
      </c>
      <c r="G4003" s="319">
        <f>-PMT($D$3994/$D$3996,48,$F$4003,,0)</f>
        <v/>
      </c>
      <c r="H4003" s="319">
        <f>($D$3994/$D$3996*F4003)</f>
        <v/>
      </c>
      <c r="I4003" s="319">
        <f>G4003-H4003</f>
        <v/>
      </c>
      <c r="J4003" s="319">
        <f>F4003-I4003</f>
        <v/>
      </c>
      <c r="K4003" s="516" t="n"/>
      <c r="L4003" s="516" t="n"/>
    </row>
    <row r="4004">
      <c r="B4004" s="1" t="n">
        <v>2</v>
      </c>
      <c r="C4004" s="24" t="n">
        <v>45200</v>
      </c>
      <c r="D4004" s="24" t="n">
        <v>45230</v>
      </c>
      <c r="E4004" s="25" t="n">
        <v>31</v>
      </c>
      <c r="F4004" s="319">
        <f>J4003</f>
        <v/>
      </c>
      <c r="G4004" s="319">
        <f>-PMT($D$3994/$D$3996,48,$F$4003,,0)</f>
        <v/>
      </c>
      <c r="H4004" s="319">
        <f>($D$3994/$D$3996*F4004)</f>
        <v/>
      </c>
      <c r="I4004" s="319">
        <f>G4004-H4004</f>
        <v/>
      </c>
      <c r="J4004" s="319">
        <f>F4004-I4004</f>
        <v/>
      </c>
      <c r="K4004" s="516" t="n"/>
      <c r="L4004" s="516" t="n"/>
    </row>
    <row r="4005">
      <c r="B4005" s="1">
        <f>+B4004+1</f>
        <v/>
      </c>
      <c r="C4005" s="24" t="n">
        <v>45231</v>
      </c>
      <c r="D4005" s="24" t="n">
        <v>45260</v>
      </c>
      <c r="E4005" s="25" t="n">
        <v>30</v>
      </c>
      <c r="F4005" s="319">
        <f>J4004</f>
        <v/>
      </c>
      <c r="G4005" s="319">
        <f>-PMT($D$3994/$D$3996,48,$F$4003,,0)</f>
        <v/>
      </c>
      <c r="H4005" s="319">
        <f>($D$3994/$D$3996*F4005)</f>
        <v/>
      </c>
      <c r="I4005" s="319">
        <f>G4005-H4005</f>
        <v/>
      </c>
      <c r="J4005" s="319">
        <f>F4005-I4005</f>
        <v/>
      </c>
      <c r="K4005" s="516" t="n"/>
      <c r="L4005" s="516" t="n"/>
    </row>
    <row r="4006">
      <c r="B4006" s="1">
        <f>+B4005+1</f>
        <v/>
      </c>
      <c r="C4006" s="24" t="n">
        <v>45261</v>
      </c>
      <c r="D4006" s="24" t="n">
        <v>45291</v>
      </c>
      <c r="E4006" s="25" t="n">
        <v>31</v>
      </c>
      <c r="F4006" s="319">
        <f>J4005</f>
        <v/>
      </c>
      <c r="G4006" s="319">
        <f>-PMT($D$3994/$D$3996,48,$F$4003,,0)</f>
        <v/>
      </c>
      <c r="H4006" s="319">
        <f>($D$3994/$D$3996*F4006)</f>
        <v/>
      </c>
      <c r="I4006" s="319">
        <f>G4006-H4006</f>
        <v/>
      </c>
      <c r="J4006" s="319">
        <f>F4006-I4006</f>
        <v/>
      </c>
      <c r="K4006" s="516" t="n"/>
      <c r="L4006" s="516" t="n"/>
    </row>
    <row r="4007">
      <c r="B4007" s="1">
        <f>+B4006+1</f>
        <v/>
      </c>
      <c r="C4007" s="24" t="n">
        <v>45292</v>
      </c>
      <c r="D4007" s="24" t="n">
        <v>45322</v>
      </c>
      <c r="E4007" s="25" t="n">
        <v>31</v>
      </c>
      <c r="F4007" s="319">
        <f>J4006</f>
        <v/>
      </c>
      <c r="G4007" s="319">
        <f>-PMT($D$3994/$D$3996,48,$F$4003,,0)</f>
        <v/>
      </c>
      <c r="H4007" s="319">
        <f>($D$3994/$D$3996*F4007)</f>
        <v/>
      </c>
      <c r="I4007" s="319">
        <f>G4007-H4007</f>
        <v/>
      </c>
      <c r="J4007" s="319">
        <f>F4007-I4007</f>
        <v/>
      </c>
      <c r="K4007" s="516" t="n"/>
      <c r="L4007" s="516" t="n"/>
    </row>
    <row r="4008">
      <c r="B4008" s="1">
        <f>+B4007+1</f>
        <v/>
      </c>
      <c r="C4008" s="24" t="n">
        <v>45323</v>
      </c>
      <c r="D4008" s="24" t="n">
        <v>45351</v>
      </c>
      <c r="E4008" s="25" t="n">
        <v>29</v>
      </c>
      <c r="F4008" s="319">
        <f>J4007</f>
        <v/>
      </c>
      <c r="G4008" s="319">
        <f>-PMT($D$3994/$D$3996,48,$F$4003,,0)</f>
        <v/>
      </c>
      <c r="H4008" s="319">
        <f>($D$3994/$D$3996*F4008)</f>
        <v/>
      </c>
      <c r="I4008" s="319">
        <f>G4008-H4008</f>
        <v/>
      </c>
      <c r="J4008" s="319">
        <f>F4008-I4008</f>
        <v/>
      </c>
      <c r="K4008" s="516" t="n"/>
      <c r="L4008" s="516" t="n"/>
    </row>
    <row r="4009">
      <c r="B4009" s="1">
        <f>+B4008+1</f>
        <v/>
      </c>
      <c r="C4009" s="24" t="n">
        <v>45352</v>
      </c>
      <c r="D4009" s="24" t="n">
        <v>45382</v>
      </c>
      <c r="E4009" s="25" t="n">
        <v>31</v>
      </c>
      <c r="F4009" s="319">
        <f>J4008</f>
        <v/>
      </c>
      <c r="G4009" s="319">
        <f>-PMT($D$3994/$D$3996,48,$F$4003,,0)</f>
        <v/>
      </c>
      <c r="H4009" s="319">
        <f>($D$3994/$D$3996*F4009)</f>
        <v/>
      </c>
      <c r="I4009" s="319">
        <f>G4009-H4009</f>
        <v/>
      </c>
      <c r="J4009" s="319">
        <f>F4009-I4009</f>
        <v/>
      </c>
      <c r="K4009" s="516" t="n"/>
      <c r="L4009" s="519" t="n"/>
    </row>
    <row r="4010">
      <c r="B4010" s="1">
        <f>+B4009+1</f>
        <v/>
      </c>
      <c r="C4010" s="24" t="n">
        <v>45383</v>
      </c>
      <c r="D4010" s="24" t="n">
        <v>45412</v>
      </c>
      <c r="E4010" s="25" t="n">
        <v>30</v>
      </c>
      <c r="F4010" s="319">
        <f>J4009</f>
        <v/>
      </c>
      <c r="G4010" s="319">
        <f>-PMT($D$3994/$D$3996,48,$F$4003,,0)</f>
        <v/>
      </c>
      <c r="H4010" s="319">
        <f>($D$3994/$D$3996*F4010)</f>
        <v/>
      </c>
      <c r="I4010" s="319">
        <f>G4010-H4010</f>
        <v/>
      </c>
      <c r="J4010" s="319">
        <f>F4010-I4010</f>
        <v/>
      </c>
      <c r="K4010" s="516" t="n"/>
      <c r="L4010" s="516" t="n"/>
    </row>
    <row r="4011">
      <c r="B4011" s="1">
        <f>+B4010+1</f>
        <v/>
      </c>
      <c r="C4011" s="24" t="n">
        <v>45413</v>
      </c>
      <c r="D4011" s="24" t="n">
        <v>45443</v>
      </c>
      <c r="E4011" s="25" t="n">
        <v>31</v>
      </c>
      <c r="F4011" s="319">
        <f>J4010</f>
        <v/>
      </c>
      <c r="G4011" s="319">
        <f>-PMT($D$3994/$D$3996,48,$F$4003,,0)</f>
        <v/>
      </c>
      <c r="H4011" s="319">
        <f>($D$3994/$D$3996*F4011)</f>
        <v/>
      </c>
      <c r="I4011" s="319">
        <f>G4011-H4011</f>
        <v/>
      </c>
      <c r="J4011" s="319">
        <f>F4011-I4011</f>
        <v/>
      </c>
      <c r="K4011" s="516" t="n"/>
      <c r="L4011" s="516" t="n"/>
    </row>
    <row r="4012">
      <c r="B4012" s="1">
        <f>+B4011+1</f>
        <v/>
      </c>
      <c r="C4012" s="24" t="n">
        <v>45444</v>
      </c>
      <c r="D4012" s="24" t="n">
        <v>45473</v>
      </c>
      <c r="E4012" s="25" t="n">
        <v>30</v>
      </c>
      <c r="F4012" s="319">
        <f>J4011</f>
        <v/>
      </c>
      <c r="G4012" s="319">
        <f>-PMT($D$3994/$D$3996,48,$F$4003,,0)</f>
        <v/>
      </c>
      <c r="H4012" s="319">
        <f>($D$3994/$D$3996*F4012)</f>
        <v/>
      </c>
      <c r="I4012" s="319">
        <f>G4012-H4012</f>
        <v/>
      </c>
      <c r="J4012" s="319">
        <f>F4012-I4012</f>
        <v/>
      </c>
      <c r="K4012" s="516" t="n"/>
      <c r="L4012" s="516" t="n"/>
    </row>
    <row r="4013">
      <c r="B4013" s="1">
        <f>+B4012+1</f>
        <v/>
      </c>
      <c r="C4013" s="24" t="n">
        <v>45474</v>
      </c>
      <c r="D4013" s="24" t="n">
        <v>45504</v>
      </c>
      <c r="E4013" s="25" t="n">
        <v>31</v>
      </c>
      <c r="F4013" s="319">
        <f>J4012</f>
        <v/>
      </c>
      <c r="G4013" s="319">
        <f>-PMT($D$3994/$D$3996,48,$F$4003,,0)</f>
        <v/>
      </c>
      <c r="H4013" s="319">
        <f>($D$3994/$D$3996*F4013)</f>
        <v/>
      </c>
      <c r="I4013" s="319">
        <f>G4013-H4013</f>
        <v/>
      </c>
      <c r="J4013" s="319">
        <f>F4013-I4013</f>
        <v/>
      </c>
      <c r="K4013" s="516" t="n"/>
      <c r="L4013" s="516" t="n"/>
    </row>
    <row r="4014">
      <c r="B4014" s="1">
        <f>+B4013+1</f>
        <v/>
      </c>
      <c r="C4014" s="24" t="n">
        <v>45505</v>
      </c>
      <c r="D4014" s="24" t="n">
        <v>45535</v>
      </c>
      <c r="E4014" s="25" t="n">
        <v>31</v>
      </c>
      <c r="F4014" s="319">
        <f>J4013</f>
        <v/>
      </c>
      <c r="G4014" s="319">
        <f>-PMT($D$3994/$D$3996,48,$F$4003,,0)</f>
        <v/>
      </c>
      <c r="H4014" s="319">
        <f>($D$3994/$D$3996*F4014)</f>
        <v/>
      </c>
      <c r="I4014" s="319">
        <f>G4014-H4014</f>
        <v/>
      </c>
      <c r="J4014" s="319">
        <f>F4014-I4014</f>
        <v/>
      </c>
      <c r="K4014" s="538" t="n">
        <v>76599092.70999999</v>
      </c>
      <c r="L4014" s="538">
        <f>+K4014-SUM(G4003:G4014)</f>
        <v/>
      </c>
    </row>
    <row r="4015">
      <c r="B4015" s="1">
        <f>+B4014+1</f>
        <v/>
      </c>
      <c r="C4015" s="24" t="n">
        <v>45536</v>
      </c>
      <c r="D4015" s="24" t="n">
        <v>45565</v>
      </c>
      <c r="E4015" s="25" t="n">
        <v>30</v>
      </c>
      <c r="F4015" s="319">
        <f>J4014</f>
        <v/>
      </c>
      <c r="G4015" s="319">
        <f>-PMT($D$3994/$D$3996,48,$F$4003,,0)</f>
        <v/>
      </c>
      <c r="H4015" s="319">
        <f>($D$3994/$D$3996*F4015)</f>
        <v/>
      </c>
      <c r="I4015" s="319">
        <f>G4015-H4015</f>
        <v/>
      </c>
      <c r="J4015" s="319">
        <f>F4015-I4015</f>
        <v/>
      </c>
      <c r="K4015" s="516" t="n"/>
      <c r="L4015" s="516" t="n"/>
    </row>
    <row r="4016">
      <c r="B4016" s="1">
        <f>+B4015+1</f>
        <v/>
      </c>
      <c r="C4016" s="24" t="n">
        <v>45566</v>
      </c>
      <c r="D4016" s="24" t="n">
        <v>45596</v>
      </c>
      <c r="E4016" s="25" t="n">
        <v>31</v>
      </c>
      <c r="F4016" s="319">
        <f>J4015</f>
        <v/>
      </c>
      <c r="G4016" s="319">
        <f>-PMT($D$3994/$D$3996,48,$F$4003,,0)</f>
        <v/>
      </c>
      <c r="H4016" s="319">
        <f>($D$3994/$D$3996*F4016)</f>
        <v/>
      </c>
      <c r="I4016" s="319">
        <f>G4016-H4016</f>
        <v/>
      </c>
      <c r="J4016" s="319">
        <f>F4016-I4016</f>
        <v/>
      </c>
      <c r="K4016" s="516" t="n"/>
      <c r="L4016" s="516" t="n"/>
    </row>
    <row r="4017">
      <c r="B4017" s="1">
        <f>+B4016+1</f>
        <v/>
      </c>
      <c r="C4017" s="24" t="n">
        <v>45597</v>
      </c>
      <c r="D4017" s="24" t="n">
        <v>45626</v>
      </c>
      <c r="E4017" s="25" t="n">
        <v>30</v>
      </c>
      <c r="F4017" s="319">
        <f>J4016</f>
        <v/>
      </c>
      <c r="G4017" s="319">
        <f>-PMT($D$3994/$D$3996,48,$F$4003,,0)</f>
        <v/>
      </c>
      <c r="H4017" s="319">
        <f>($D$3994/$D$3996*F4017)</f>
        <v/>
      </c>
      <c r="I4017" s="319">
        <f>G4017-H4017</f>
        <v/>
      </c>
      <c r="J4017" s="319">
        <f>F4017-I4017</f>
        <v/>
      </c>
      <c r="K4017" s="516" t="n"/>
      <c r="L4017" s="516" t="n"/>
    </row>
    <row r="4018">
      <c r="B4018" s="1">
        <f>+B4017+1</f>
        <v/>
      </c>
      <c r="C4018" s="24" t="n">
        <v>45627</v>
      </c>
      <c r="D4018" s="24" t="n">
        <v>45657</v>
      </c>
      <c r="E4018" s="25" t="n">
        <v>31</v>
      </c>
      <c r="F4018" s="319">
        <f>J4017</f>
        <v/>
      </c>
      <c r="G4018" s="319">
        <f>-PMT($D$3994/$D$3996,48,$F$4003,,0)</f>
        <v/>
      </c>
      <c r="H4018" s="319">
        <f>($D$3994/$D$3996*F4018)</f>
        <v/>
      </c>
      <c r="I4018" s="319">
        <f>G4018-H4018</f>
        <v/>
      </c>
      <c r="J4018" s="319">
        <f>F4018-I4018</f>
        <v/>
      </c>
      <c r="K4018" s="516" t="n"/>
      <c r="L4018" s="516" t="n"/>
    </row>
    <row r="4019">
      <c r="B4019" s="1">
        <f>+B4018+1</f>
        <v/>
      </c>
      <c r="C4019" s="24" t="n">
        <v>45658</v>
      </c>
      <c r="D4019" s="24" t="n">
        <v>45688</v>
      </c>
      <c r="E4019" s="25" t="n">
        <v>31</v>
      </c>
      <c r="F4019" s="319">
        <f>J4018</f>
        <v/>
      </c>
      <c r="G4019" s="319">
        <f>-PMT($D$3994/$D$3996,48,$F$4003,,0)</f>
        <v/>
      </c>
      <c r="H4019" s="319">
        <f>($D$3994/$D$3996*F4019)</f>
        <v/>
      </c>
      <c r="I4019" s="319">
        <f>G4019-H4019</f>
        <v/>
      </c>
      <c r="J4019" s="319">
        <f>F4019-I4019</f>
        <v/>
      </c>
      <c r="K4019" s="516" t="n"/>
      <c r="L4019" s="516" t="n"/>
    </row>
    <row r="4020">
      <c r="B4020" s="1">
        <f>+B4019+1</f>
        <v/>
      </c>
      <c r="C4020" s="24" t="n">
        <v>45689</v>
      </c>
      <c r="D4020" s="24" t="n">
        <v>45716</v>
      </c>
      <c r="E4020" s="25" t="n">
        <v>28</v>
      </c>
      <c r="F4020" s="319">
        <f>J4019</f>
        <v/>
      </c>
      <c r="G4020" s="319">
        <f>-PMT($D$3994/$D$3996,48,$F$4003,,0)</f>
        <v/>
      </c>
      <c r="H4020" s="319">
        <f>($D$3994/$D$3996*F4020)</f>
        <v/>
      </c>
      <c r="I4020" s="319">
        <f>G4020-H4020</f>
        <v/>
      </c>
      <c r="J4020" s="319">
        <f>F4020-I4020</f>
        <v/>
      </c>
      <c r="K4020" s="516" t="n"/>
      <c r="L4020" s="516" t="n"/>
    </row>
    <row r="4021">
      <c r="B4021" s="1">
        <f>+B4020+1</f>
        <v/>
      </c>
      <c r="C4021" s="24" t="n">
        <v>45717</v>
      </c>
      <c r="D4021" s="24" t="n">
        <v>45747</v>
      </c>
      <c r="E4021" s="25" t="n">
        <v>31</v>
      </c>
      <c r="F4021" s="319">
        <f>J4020</f>
        <v/>
      </c>
      <c r="G4021" s="319">
        <f>-PMT($D$3994/$D$3996,48,$F$4003,,0)</f>
        <v/>
      </c>
      <c r="H4021" s="319">
        <f>($D$3994/$D$3996*F4021)</f>
        <v/>
      </c>
      <c r="I4021" s="319">
        <f>G4021-H4021</f>
        <v/>
      </c>
      <c r="J4021" s="319">
        <f>F4021-I4021</f>
        <v/>
      </c>
      <c r="K4021" s="516" t="n"/>
      <c r="L4021" s="516" t="n"/>
    </row>
    <row r="4022">
      <c r="B4022" s="1">
        <f>+B4021+1</f>
        <v/>
      </c>
      <c r="C4022" s="24" t="n">
        <v>45748</v>
      </c>
      <c r="D4022" s="24" t="n">
        <v>45777</v>
      </c>
      <c r="E4022" s="25" t="n">
        <v>30</v>
      </c>
      <c r="F4022" s="319">
        <f>J4021</f>
        <v/>
      </c>
      <c r="G4022" s="319">
        <f>-PMT($D$3994/$D$3996,48,$F$4003,,0)</f>
        <v/>
      </c>
      <c r="H4022" s="319">
        <f>($D$3994/$D$3996*F4022)</f>
        <v/>
      </c>
      <c r="I4022" s="319">
        <f>G4022-H4022</f>
        <v/>
      </c>
      <c r="J4022" s="319">
        <f>F4022-I4022</f>
        <v/>
      </c>
      <c r="K4022" s="516" t="n"/>
      <c r="L4022" s="516" t="n"/>
    </row>
    <row r="4023">
      <c r="B4023" s="1">
        <f>+B4022+1</f>
        <v/>
      </c>
      <c r="C4023" s="24" t="n">
        <v>45778</v>
      </c>
      <c r="D4023" s="24" t="n">
        <v>45808</v>
      </c>
      <c r="E4023" s="25" t="n">
        <v>31</v>
      </c>
      <c r="F4023" s="319">
        <f>J4022</f>
        <v/>
      </c>
      <c r="G4023" s="319">
        <f>-PMT($D$3994/$D$3996,48,$F$4003,,0)</f>
        <v/>
      </c>
      <c r="H4023" s="319">
        <f>($D$3994/$D$3996*F4023)</f>
        <v/>
      </c>
      <c r="I4023" s="319">
        <f>G4023-H4023</f>
        <v/>
      </c>
      <c r="J4023" s="319">
        <f>F4023-I4023</f>
        <v/>
      </c>
      <c r="K4023" s="516" t="n"/>
      <c r="L4023" s="516" t="n"/>
    </row>
    <row r="4024">
      <c r="B4024" s="1">
        <f>+B4023+1</f>
        <v/>
      </c>
      <c r="C4024" s="24" t="n">
        <v>45809</v>
      </c>
      <c r="D4024" s="24" t="n">
        <v>45838</v>
      </c>
      <c r="E4024" s="25" t="n">
        <v>30</v>
      </c>
      <c r="F4024" s="319">
        <f>J4023</f>
        <v/>
      </c>
      <c r="G4024" s="319">
        <f>-PMT($D$3994/$D$3996,48,$F$4003,,0)</f>
        <v/>
      </c>
      <c r="H4024" s="319">
        <f>($D$3994/$D$3996*F4024)</f>
        <v/>
      </c>
      <c r="I4024" s="319">
        <f>G4024-H4024</f>
        <v/>
      </c>
      <c r="J4024" s="319">
        <f>F4024-I4024</f>
        <v/>
      </c>
      <c r="K4024" s="516" t="n"/>
      <c r="L4024" s="516" t="n"/>
    </row>
    <row r="4025">
      <c r="B4025" s="1">
        <f>+B4024+1</f>
        <v/>
      </c>
      <c r="C4025" s="24" t="n">
        <v>45839</v>
      </c>
      <c r="D4025" s="24" t="n">
        <v>45868</v>
      </c>
      <c r="E4025" s="25" t="n">
        <v>30</v>
      </c>
      <c r="F4025" s="319">
        <f>J4024</f>
        <v/>
      </c>
      <c r="G4025" s="319">
        <f>-PMT($D$3994/$D$3996,48,$F$4003,,0)</f>
        <v/>
      </c>
      <c r="H4025" s="319">
        <f>($D$3994/$D$3996*F4025)</f>
        <v/>
      </c>
      <c r="I4025" s="319">
        <f>G4025-H4025</f>
        <v/>
      </c>
      <c r="J4025" s="319">
        <f>F4025-I4025</f>
        <v/>
      </c>
    </row>
    <row r="4026">
      <c r="B4026" s="1">
        <f>+B4025+1</f>
        <v/>
      </c>
      <c r="C4026" s="24" t="n">
        <v>45870</v>
      </c>
      <c r="D4026" s="24" t="n">
        <v>45899</v>
      </c>
      <c r="E4026" s="25" t="n">
        <v>30</v>
      </c>
      <c r="F4026" s="319">
        <f>J4025</f>
        <v/>
      </c>
      <c r="G4026" s="315">
        <f>-PMT($D$3994/$D$3996,48,$F$4003,,0)</f>
        <v/>
      </c>
      <c r="H4026" s="319">
        <f>($D$3994/$D$3996*F4026)</f>
        <v/>
      </c>
      <c r="I4026" s="319">
        <f>G4026-H4026</f>
        <v/>
      </c>
      <c r="J4026" s="319">
        <f>F4026-I4026</f>
        <v/>
      </c>
      <c r="K4026" s="446" t="inlineStr">
        <is>
          <t>NEXT PAYMENT</t>
        </is>
      </c>
      <c r="L4026" s="446" t="n"/>
    </row>
    <row r="4027">
      <c r="B4027" s="1">
        <f>+B4026+1</f>
        <v/>
      </c>
      <c r="C4027" s="24" t="n">
        <v>45901</v>
      </c>
      <c r="D4027" s="24" t="n">
        <v>45930</v>
      </c>
      <c r="E4027" s="25" t="n">
        <v>30</v>
      </c>
      <c r="F4027" s="319">
        <f>J4026</f>
        <v/>
      </c>
      <c r="G4027" s="319">
        <f>-PMT($D$3994/$D$3996,48,$F$4003,,0)</f>
        <v/>
      </c>
      <c r="H4027" s="319">
        <f>($D$3994/$D$3996*F4027)</f>
        <v/>
      </c>
      <c r="I4027" s="319">
        <f>G4027-H4027</f>
        <v/>
      </c>
      <c r="J4027" s="319">
        <f>F4027-I4027</f>
        <v/>
      </c>
    </row>
    <row r="4028">
      <c r="B4028" s="1">
        <f>+B4027+1</f>
        <v/>
      </c>
      <c r="C4028" s="24" t="n">
        <v>45931</v>
      </c>
      <c r="D4028" s="24" t="n">
        <v>45961</v>
      </c>
      <c r="E4028" s="25" t="n">
        <v>31</v>
      </c>
      <c r="F4028" s="319">
        <f>J4027</f>
        <v/>
      </c>
      <c r="G4028" s="319">
        <f>-PMT($D$3994/$D$3996,48,$F$4003,,0)</f>
        <v/>
      </c>
      <c r="H4028" s="319">
        <f>($D$3994/$D$3996*F4028)</f>
        <v/>
      </c>
      <c r="I4028" s="319">
        <f>G4028-H4028</f>
        <v/>
      </c>
      <c r="J4028" s="319">
        <f>F4028-I4028</f>
        <v/>
      </c>
    </row>
    <row r="4029">
      <c r="B4029" s="1">
        <f>+B4028+1</f>
        <v/>
      </c>
      <c r="C4029" s="24" t="n">
        <v>45962</v>
      </c>
      <c r="D4029" s="24" t="n">
        <v>45991</v>
      </c>
      <c r="E4029" s="25" t="n">
        <v>30</v>
      </c>
      <c r="F4029" s="319">
        <f>J4028</f>
        <v/>
      </c>
      <c r="G4029" s="319">
        <f>-PMT($D$3994/$D$3996,48,$F$4003,,0)</f>
        <v/>
      </c>
      <c r="H4029" s="319">
        <f>($D$3994/$D$3996*F4029)</f>
        <v/>
      </c>
      <c r="I4029" s="319">
        <f>G4029-H4029</f>
        <v/>
      </c>
      <c r="J4029" s="319">
        <f>F4029-I4029</f>
        <v/>
      </c>
    </row>
    <row r="4030">
      <c r="B4030" s="1">
        <f>+B4029+1</f>
        <v/>
      </c>
      <c r="C4030" s="24" t="n">
        <v>45992</v>
      </c>
      <c r="D4030" s="24" t="n">
        <v>46022</v>
      </c>
      <c r="E4030" s="25" t="n">
        <v>31</v>
      </c>
      <c r="F4030" s="319">
        <f>J4029</f>
        <v/>
      </c>
      <c r="G4030" s="319">
        <f>-PMT($D$3994/$D$3996,48,$F$4003,,0)</f>
        <v/>
      </c>
      <c r="H4030" s="319">
        <f>($D$3994/$D$3996*F4030)</f>
        <v/>
      </c>
      <c r="I4030" s="319">
        <f>G4030-H4030</f>
        <v/>
      </c>
      <c r="J4030" s="319">
        <f>F4030-I4030</f>
        <v/>
      </c>
    </row>
    <row r="4031">
      <c r="B4031" s="1">
        <f>+B4030+1</f>
        <v/>
      </c>
      <c r="C4031" s="24" t="n">
        <v>46023</v>
      </c>
      <c r="D4031" s="24" t="n">
        <v>46053</v>
      </c>
      <c r="E4031" s="25" t="n">
        <v>31</v>
      </c>
      <c r="F4031" s="319">
        <f>J4030</f>
        <v/>
      </c>
      <c r="G4031" s="319">
        <f>-PMT($D$3994/$D$3996,48,$F$4003,,0)</f>
        <v/>
      </c>
      <c r="H4031" s="319">
        <f>($D$3994/$D$3996*F4031)</f>
        <v/>
      </c>
      <c r="I4031" s="319">
        <f>G4031-H4031</f>
        <v/>
      </c>
      <c r="J4031" s="319">
        <f>F4031-I4031</f>
        <v/>
      </c>
    </row>
    <row r="4032">
      <c r="B4032" s="1">
        <f>+B4031+1</f>
        <v/>
      </c>
      <c r="C4032" s="24" t="n">
        <v>46054</v>
      </c>
      <c r="D4032" s="24" t="n">
        <v>46081</v>
      </c>
      <c r="E4032" s="25" t="n">
        <v>28</v>
      </c>
      <c r="F4032" s="319">
        <f>J4031</f>
        <v/>
      </c>
      <c r="G4032" s="319">
        <f>-PMT($D$3994/$D$3996,48,$F$4003,,0)</f>
        <v/>
      </c>
      <c r="H4032" s="319">
        <f>($D$3994/$D$3996*F4032)</f>
        <v/>
      </c>
      <c r="I4032" s="319">
        <f>G4032-H4032</f>
        <v/>
      </c>
      <c r="J4032" s="319">
        <f>F4032-I4032</f>
        <v/>
      </c>
    </row>
    <row r="4033">
      <c r="B4033" s="1">
        <f>+B4032+1</f>
        <v/>
      </c>
      <c r="C4033" s="24" t="n">
        <v>46082</v>
      </c>
      <c r="D4033" s="24" t="n">
        <v>46112</v>
      </c>
      <c r="E4033" s="25" t="n">
        <v>31</v>
      </c>
      <c r="F4033" s="319">
        <f>J4032</f>
        <v/>
      </c>
      <c r="G4033" s="319">
        <f>-PMT($D$3994/$D$3996,48,$F$4003,,0)</f>
        <v/>
      </c>
      <c r="H4033" s="319">
        <f>($D$3994/$D$3996*F4033)</f>
        <v/>
      </c>
      <c r="I4033" s="319">
        <f>G4033-H4033</f>
        <v/>
      </c>
      <c r="J4033" s="319">
        <f>F4033-I4033</f>
        <v/>
      </c>
    </row>
    <row r="4034">
      <c r="B4034" s="1">
        <f>+B4033+1</f>
        <v/>
      </c>
      <c r="C4034" s="24" t="n">
        <v>46113</v>
      </c>
      <c r="D4034" s="24" t="n">
        <v>46142</v>
      </c>
      <c r="E4034" s="25" t="n">
        <v>30</v>
      </c>
      <c r="F4034" s="319">
        <f>J4033</f>
        <v/>
      </c>
      <c r="G4034" s="319">
        <f>-PMT($D$3994/$D$3996,48,$F$4003,,0)</f>
        <v/>
      </c>
      <c r="H4034" s="319">
        <f>($D$3994/$D$3996*F4034)</f>
        <v/>
      </c>
      <c r="I4034" s="319">
        <f>G4034-H4034</f>
        <v/>
      </c>
      <c r="J4034" s="319">
        <f>F4034-I4034</f>
        <v/>
      </c>
    </row>
    <row r="4035">
      <c r="B4035" s="1">
        <f>+B4034+1</f>
        <v/>
      </c>
      <c r="C4035" s="24" t="n">
        <v>46143</v>
      </c>
      <c r="D4035" s="24" t="n">
        <v>46173</v>
      </c>
      <c r="E4035" s="25" t="n">
        <v>31</v>
      </c>
      <c r="F4035" s="319">
        <f>J4034</f>
        <v/>
      </c>
      <c r="G4035" s="319">
        <f>-PMT($D$3994/$D$3996,48,$F$4003,,0)</f>
        <v/>
      </c>
      <c r="H4035" s="319">
        <f>($D$3994/$D$3996*F4035)</f>
        <v/>
      </c>
      <c r="I4035" s="319">
        <f>G4035-H4035</f>
        <v/>
      </c>
      <c r="J4035" s="319">
        <f>F4035-I4035</f>
        <v/>
      </c>
    </row>
    <row r="4036">
      <c r="B4036" s="1">
        <f>+B4035+1</f>
        <v/>
      </c>
      <c r="C4036" s="24" t="n">
        <v>46174</v>
      </c>
      <c r="D4036" s="24" t="n">
        <v>46203</v>
      </c>
      <c r="E4036" s="25" t="n">
        <v>30</v>
      </c>
      <c r="F4036" s="319">
        <f>J4035</f>
        <v/>
      </c>
      <c r="G4036" s="319">
        <f>-PMT($D$3994/$D$3996,48,$F$4003,,0)</f>
        <v/>
      </c>
      <c r="H4036" s="319">
        <f>($D$3994/$D$3996*F4036)</f>
        <v/>
      </c>
      <c r="I4036" s="319">
        <f>G4036-H4036</f>
        <v/>
      </c>
      <c r="J4036" s="319">
        <f>F4036-I4036</f>
        <v/>
      </c>
    </row>
    <row r="4037">
      <c r="B4037" s="1">
        <f>+B4036+1</f>
        <v/>
      </c>
      <c r="C4037" s="24" t="n">
        <v>46204</v>
      </c>
      <c r="D4037" s="24" t="n">
        <v>46234</v>
      </c>
      <c r="E4037" s="25" t="n">
        <v>31</v>
      </c>
      <c r="F4037" s="319">
        <f>J4036</f>
        <v/>
      </c>
      <c r="G4037" s="319">
        <f>-PMT($D$3994/$D$3996,48,$F$4003,,0)</f>
        <v/>
      </c>
      <c r="H4037" s="319">
        <f>($D$3994/$D$3996*F4037)</f>
        <v/>
      </c>
      <c r="I4037" s="319">
        <f>G4037-H4037</f>
        <v/>
      </c>
      <c r="J4037" s="319">
        <f>F4037-I4037</f>
        <v/>
      </c>
    </row>
    <row r="4038">
      <c r="B4038" s="1">
        <f>+B4037+1</f>
        <v/>
      </c>
      <c r="C4038" s="24" t="n">
        <v>46235</v>
      </c>
      <c r="D4038" s="24" t="n">
        <v>46265</v>
      </c>
      <c r="E4038" s="25" t="n">
        <v>31</v>
      </c>
      <c r="F4038" s="319">
        <f>J4037</f>
        <v/>
      </c>
      <c r="G4038" s="319">
        <f>-PMT($D$3994/$D$3996,48,$F$4003,,0)</f>
        <v/>
      </c>
      <c r="H4038" s="319">
        <f>($D$3994/$D$3996*F4038)</f>
        <v/>
      </c>
      <c r="I4038" s="319">
        <f>G4038-H4038</f>
        <v/>
      </c>
      <c r="J4038" s="319">
        <f>F4038-I4038</f>
        <v/>
      </c>
    </row>
    <row r="4039">
      <c r="B4039" s="1">
        <f>+B4038+1</f>
        <v/>
      </c>
      <c r="C4039" s="24" t="n">
        <v>46266</v>
      </c>
      <c r="D4039" s="24" t="n">
        <v>46295</v>
      </c>
      <c r="E4039" s="25" t="n">
        <v>30</v>
      </c>
      <c r="F4039" s="319">
        <f>J4038</f>
        <v/>
      </c>
      <c r="G4039" s="319">
        <f>-PMT($D$3994/$D$3996,48,$F$4003,,0)</f>
        <v/>
      </c>
      <c r="H4039" s="319">
        <f>($D$3994/$D$3996*F4039)</f>
        <v/>
      </c>
      <c r="I4039" s="319">
        <f>G4039-H4039</f>
        <v/>
      </c>
      <c r="J4039" s="319">
        <f>F4039-I4039</f>
        <v/>
      </c>
    </row>
    <row r="4040">
      <c r="B4040" s="1">
        <f>+B4039+1</f>
        <v/>
      </c>
      <c r="C4040" s="24" t="n">
        <v>46296</v>
      </c>
      <c r="D4040" s="24" t="n">
        <v>46326</v>
      </c>
      <c r="E4040" s="25" t="n">
        <v>31</v>
      </c>
      <c r="F4040" s="319">
        <f>J4039</f>
        <v/>
      </c>
      <c r="G4040" s="319">
        <f>-PMT($D$3994/$D$3996,48,$F$4003,,0)</f>
        <v/>
      </c>
      <c r="H4040" s="319">
        <f>($D$3994/$D$3996*F4040)</f>
        <v/>
      </c>
      <c r="I4040" s="319">
        <f>G4040-H4040</f>
        <v/>
      </c>
      <c r="J4040" s="319">
        <f>F4040-I4040</f>
        <v/>
      </c>
    </row>
    <row r="4041">
      <c r="B4041" s="1">
        <f>+B4040+1</f>
        <v/>
      </c>
      <c r="C4041" s="24" t="n">
        <v>46327</v>
      </c>
      <c r="D4041" s="24" t="n">
        <v>46356</v>
      </c>
      <c r="E4041" s="25" t="n">
        <v>30</v>
      </c>
      <c r="F4041" s="319">
        <f>J4040</f>
        <v/>
      </c>
      <c r="G4041" s="319">
        <f>-PMT($D$3994/$D$3996,48,$F$4003,,0)</f>
        <v/>
      </c>
      <c r="H4041" s="319">
        <f>($D$3994/$D$3996*F4041)</f>
        <v/>
      </c>
      <c r="I4041" s="319">
        <f>G4041-H4041</f>
        <v/>
      </c>
      <c r="J4041" s="319">
        <f>F4041-I4041</f>
        <v/>
      </c>
    </row>
    <row r="4042">
      <c r="B4042" s="1">
        <f>+B4041+1</f>
        <v/>
      </c>
      <c r="C4042" s="24" t="n">
        <v>46357</v>
      </c>
      <c r="D4042" s="24" t="n">
        <v>46387</v>
      </c>
      <c r="E4042" s="25" t="n">
        <v>31</v>
      </c>
      <c r="F4042" s="319">
        <f>J4041</f>
        <v/>
      </c>
      <c r="G4042" s="319">
        <f>-PMT($D$3994/$D$3996,48,$F$4003,,0)</f>
        <v/>
      </c>
      <c r="H4042" s="319">
        <f>($D$3994/$D$3996*F4042)</f>
        <v/>
      </c>
      <c r="I4042" s="319">
        <f>G4042-H4042</f>
        <v/>
      </c>
      <c r="J4042" s="319">
        <f>F4042-I4042</f>
        <v/>
      </c>
    </row>
    <row r="4043">
      <c r="B4043" s="1">
        <f>+B4042+1</f>
        <v/>
      </c>
      <c r="C4043" s="24" t="n">
        <v>46388</v>
      </c>
      <c r="D4043" s="24" t="n">
        <v>46418</v>
      </c>
      <c r="E4043" s="25" t="n">
        <v>31</v>
      </c>
      <c r="F4043" s="319">
        <f>J4042</f>
        <v/>
      </c>
      <c r="G4043" s="319">
        <f>-PMT($D$3994/$D$3996,48,$F$4003,,0)</f>
        <v/>
      </c>
      <c r="H4043" s="319">
        <f>($D$3994/$D$3996*F4043)</f>
        <v/>
      </c>
      <c r="I4043" s="319">
        <f>G4043-H4043</f>
        <v/>
      </c>
      <c r="J4043" s="319">
        <f>F4043-I4043</f>
        <v/>
      </c>
    </row>
    <row r="4044">
      <c r="B4044" s="1">
        <f>+B4043+1</f>
        <v/>
      </c>
      <c r="C4044" s="24" t="n">
        <v>46419</v>
      </c>
      <c r="D4044" s="24" t="n">
        <v>46446</v>
      </c>
      <c r="E4044" s="25" t="n">
        <v>28</v>
      </c>
      <c r="F4044" s="319">
        <f>J4043</f>
        <v/>
      </c>
      <c r="G4044" s="319">
        <f>-PMT($D$3994/$D$3996,48,$F$4003,,0)</f>
        <v/>
      </c>
      <c r="H4044" s="319">
        <f>($D$3994/$D$3996*F4044)</f>
        <v/>
      </c>
      <c r="I4044" s="319">
        <f>G4044-H4044</f>
        <v/>
      </c>
      <c r="J4044" s="319">
        <f>F4044-I4044</f>
        <v/>
      </c>
    </row>
    <row r="4045">
      <c r="B4045" s="1">
        <f>+B4044+1</f>
        <v/>
      </c>
      <c r="C4045" s="24" t="n">
        <v>46447</v>
      </c>
      <c r="D4045" s="24" t="n">
        <v>46477</v>
      </c>
      <c r="E4045" s="25" t="n">
        <v>31</v>
      </c>
      <c r="F4045" s="319">
        <f>J4044</f>
        <v/>
      </c>
      <c r="G4045" s="319">
        <f>-PMT($D$3994/$D$3996,48,$F$4003,,0)</f>
        <v/>
      </c>
      <c r="H4045" s="319">
        <f>($D$3994/$D$3996*F4045)</f>
        <v/>
      </c>
      <c r="I4045" s="319">
        <f>G4045-H4045</f>
        <v/>
      </c>
      <c r="J4045" s="319">
        <f>F4045-I4045</f>
        <v/>
      </c>
    </row>
    <row r="4046">
      <c r="B4046" s="1">
        <f>+B4045+1</f>
        <v/>
      </c>
      <c r="C4046" s="24" t="n">
        <v>46478</v>
      </c>
      <c r="D4046" s="24" t="n">
        <v>46507</v>
      </c>
      <c r="E4046" s="25" t="n">
        <v>30</v>
      </c>
      <c r="F4046" s="319">
        <f>J4045</f>
        <v/>
      </c>
      <c r="G4046" s="319">
        <f>-PMT($D$3994/$D$3996,48,$F$4003,,0)</f>
        <v/>
      </c>
      <c r="H4046" s="319">
        <f>($D$3994/$D$3996*F4046)</f>
        <v/>
      </c>
      <c r="I4046" s="319">
        <f>G4046-H4046</f>
        <v/>
      </c>
      <c r="J4046" s="319">
        <f>F4046-I4046</f>
        <v/>
      </c>
    </row>
    <row r="4047">
      <c r="B4047" s="1">
        <f>+B4046+1</f>
        <v/>
      </c>
      <c r="C4047" s="24" t="n">
        <v>46508</v>
      </c>
      <c r="D4047" s="24" t="n">
        <v>46538</v>
      </c>
      <c r="E4047" s="25" t="n">
        <v>31</v>
      </c>
      <c r="F4047" s="319">
        <f>J4046</f>
        <v/>
      </c>
      <c r="G4047" s="319">
        <f>-PMT($D$3994/$D$3996,48,$F$4003,,0)</f>
        <v/>
      </c>
      <c r="H4047" s="319">
        <f>($D$3994/$D$3996*F4047)</f>
        <v/>
      </c>
      <c r="I4047" s="319">
        <f>G4047-H4047</f>
        <v/>
      </c>
      <c r="J4047" s="319">
        <f>F4047-I4047</f>
        <v/>
      </c>
    </row>
    <row r="4048">
      <c r="B4048" s="1">
        <f>+B4047+1</f>
        <v/>
      </c>
      <c r="C4048" s="24" t="n">
        <v>46539</v>
      </c>
      <c r="D4048" s="24" t="n">
        <v>46568</v>
      </c>
      <c r="E4048" s="25" t="n">
        <v>30</v>
      </c>
      <c r="F4048" s="319">
        <f>J4047</f>
        <v/>
      </c>
      <c r="G4048" s="319">
        <f>-PMT($D$3994/$D$3996,48,$F$4003,,0)</f>
        <v/>
      </c>
      <c r="H4048" s="319">
        <f>($D$3994/$D$3996*F4048)</f>
        <v/>
      </c>
      <c r="I4048" s="319">
        <f>G4048-H4048</f>
        <v/>
      </c>
      <c r="J4048" s="319">
        <f>F4048-I4048</f>
        <v/>
      </c>
    </row>
    <row r="4049">
      <c r="B4049" s="1">
        <f>+B4048+1</f>
        <v/>
      </c>
      <c r="C4049" s="24" t="n">
        <v>46569</v>
      </c>
      <c r="D4049" s="24" t="n">
        <v>46599</v>
      </c>
      <c r="E4049" s="25" t="n">
        <v>31</v>
      </c>
      <c r="F4049" s="319">
        <f>J4048</f>
        <v/>
      </c>
      <c r="G4049" s="319">
        <f>-PMT($D$3994/$D$3996,48,$F$4003,,0)</f>
        <v/>
      </c>
      <c r="H4049" s="319">
        <f>($D$3994/$D$3996*F4049)</f>
        <v/>
      </c>
      <c r="I4049" s="319">
        <f>G4049-H4049</f>
        <v/>
      </c>
      <c r="J4049" s="319">
        <f>F4049-I4049</f>
        <v/>
      </c>
    </row>
    <row r="4050">
      <c r="B4050" s="1">
        <f>+B4049+1</f>
        <v/>
      </c>
      <c r="C4050" s="24" t="n">
        <v>46600</v>
      </c>
      <c r="D4050" s="24" t="n">
        <v>46630</v>
      </c>
      <c r="E4050" s="25" t="n">
        <v>31</v>
      </c>
      <c r="F4050" s="319">
        <f>J4049</f>
        <v/>
      </c>
      <c r="G4050" s="319">
        <f>-PMT($D$3994/$D$3996,48,$F$4003,,0)</f>
        <v/>
      </c>
      <c r="H4050" s="319">
        <f>($D$3994/$D$3996*F4050)</f>
        <v/>
      </c>
      <c r="I4050" s="319">
        <f>G4050-H4050</f>
        <v/>
      </c>
      <c r="J4050" s="319">
        <f>F4050-I4050</f>
        <v/>
      </c>
    </row>
    <row r="4056">
      <c r="B4056" s="1" t="n"/>
      <c r="C4056" s="9" t="inlineStr">
        <is>
          <t>Beualaland Food Processors</t>
        </is>
      </c>
      <c r="D4056" s="319" t="n"/>
      <c r="E4056" s="319" t="n"/>
      <c r="F4056" s="319" t="n"/>
      <c r="G4056" s="319" t="n"/>
      <c r="H4056" s="319" t="n"/>
      <c r="I4056" s="319" t="n"/>
      <c r="J4056" s="319" t="n"/>
      <c r="K4056" s="319" t="n"/>
      <c r="L4056" s="319" t="n"/>
      <c r="R4056" s="514" t="inlineStr">
        <is>
          <t>E-Banker account (Dupleix)</t>
        </is>
      </c>
      <c r="S4056" s="495">
        <f>IFERROR(INDEX('Blocks'!$I$2:$I$101,MATCH(74,'Blocks'!$A$2:$A$101,0)),"")</f>
        <v/>
      </c>
    </row>
    <row r="4057">
      <c r="B4057" s="1" t="n"/>
      <c r="C4057" s="1" t="n"/>
      <c r="D4057" s="319" t="n"/>
      <c r="E4057" s="319" t="n"/>
      <c r="F4057" s="319" t="n"/>
      <c r="G4057" s="319" t="n"/>
      <c r="H4057" s="319" t="n"/>
      <c r="I4057" s="319" t="n"/>
      <c r="J4057" s="319" t="n"/>
      <c r="K4057" s="319" t="n"/>
      <c r="L4057" s="319" t="n"/>
      <c r="R4057" s="514" t="inlineStr">
        <is>
          <t>Facility (Loan Book)</t>
        </is>
      </c>
      <c r="S4057" s="495">
        <f>IFERROR(INDEX('Blocks'!$H$2:$H$101,MATCH(74,'Blocks'!$A$2:$A$101,0)),"")</f>
        <v/>
      </c>
    </row>
    <row r="4058">
      <c r="B4058" s="1" t="n"/>
      <c r="C4058" s="10" t="inlineStr">
        <is>
          <t>Principal (MK)</t>
        </is>
      </c>
      <c r="D4058" s="11" t="n">
        <v>30000000</v>
      </c>
      <c r="E4058" s="319" t="n"/>
      <c r="F4058" s="319" t="n"/>
      <c r="G4058" s="319" t="n"/>
      <c r="H4058" s="319" t="n"/>
      <c r="I4058" s="319" t="n"/>
      <c r="J4058" s="319" t="n"/>
      <c r="K4058" s="319" t="n"/>
      <c r="L4058" s="319" t="n"/>
      <c r="R4058" s="514" t="inlineStr">
        <is>
          <t>Take-on posting 31 Jul 2024</t>
        </is>
      </c>
      <c r="S4058" s="496">
        <f>IFERROR(INDEX('E-Banker master'!$N$2:$N$186,MATCH(S4056,'E-Banker master'!$A$2:$A$186,0)),"")</f>
        <v/>
      </c>
    </row>
    <row r="4059">
      <c r="B4059" s="1" t="n"/>
      <c r="C4059" s="13" t="inlineStr">
        <is>
          <t>Rate</t>
        </is>
      </c>
      <c r="D4059" s="14" t="n">
        <v>0.1</v>
      </c>
      <c r="E4059" s="257" t="n"/>
      <c r="F4059" s="319" t="n"/>
      <c r="G4059" s="319" t="n"/>
      <c r="H4059" s="319" t="n"/>
      <c r="I4059" s="319" t="n"/>
      <c r="J4059" s="319" t="n"/>
      <c r="K4059" s="319" t="n"/>
      <c r="L4059" s="319" t="n"/>
      <c r="R4059" s="514" t="inlineStr">
        <is>
          <t>E-Banker balance 31 Oct 2024</t>
        </is>
      </c>
      <c r="S4059" s="496">
        <f>IFERROR(INDEX('E-Banker master'!$P$2:$P$186,MATCH(S4056,'E-Banker master'!$A$2:$A$186,0)),"")</f>
        <v/>
      </c>
    </row>
    <row r="4060">
      <c r="B4060" s="1" t="n"/>
      <c r="C4060" s="13" t="inlineStr">
        <is>
          <t>n</t>
        </is>
      </c>
      <c r="D4060" s="16" t="n">
        <v>2</v>
      </c>
      <c r="E4060" s="1" t="n"/>
      <c r="F4060" s="319" t="n"/>
      <c r="G4060" s="319" t="n"/>
      <c r="H4060" s="319" t="n"/>
      <c r="I4060" s="319" t="n"/>
      <c r="J4060" s="319" t="n"/>
      <c r="K4060" s="1" t="n"/>
      <c r="L4060" s="1" t="n"/>
    </row>
    <row r="4061">
      <c r="B4061" s="1" t="n"/>
      <c r="C4061" s="13" t="inlineStr">
        <is>
          <t>Per</t>
        </is>
      </c>
      <c r="D4061" s="16" t="n">
        <v>12</v>
      </c>
      <c r="E4061" s="1" t="n"/>
      <c r="F4061" s="319" t="n"/>
      <c r="G4061" s="319" t="n"/>
      <c r="H4061" s="319" t="n"/>
      <c r="I4061" s="319" t="n"/>
      <c r="J4061" s="319" t="n"/>
      <c r="K4061" s="1" t="n"/>
      <c r="L4061" s="1" t="n"/>
    </row>
    <row r="4062">
      <c r="B4062" s="1" t="n"/>
      <c r="C4062" s="13" t="inlineStr">
        <is>
          <t>nPer</t>
        </is>
      </c>
      <c r="D4062" s="515">
        <f>D4060*D4061</f>
        <v/>
      </c>
      <c r="E4062" s="1" t="n"/>
      <c r="F4062" s="319" t="n"/>
      <c r="G4062" s="319" t="n"/>
      <c r="H4062" s="319" t="n"/>
      <c r="I4062" s="319" t="n"/>
      <c r="J4062" s="319" t="n"/>
      <c r="K4062" s="1" t="n"/>
      <c r="L4062" s="1" t="n"/>
    </row>
    <row r="4063">
      <c r="B4063" s="1" t="n"/>
      <c r="C4063" s="13" t="inlineStr">
        <is>
          <t>Days in a year</t>
        </is>
      </c>
      <c r="D4063" s="18" t="n">
        <v>365</v>
      </c>
      <c r="E4063" s="1" t="n"/>
      <c r="F4063" s="319" t="n"/>
      <c r="G4063" s="319" t="n"/>
      <c r="H4063" s="319" t="n"/>
      <c r="I4063" s="319" t="n"/>
      <c r="J4063" s="319" t="n"/>
      <c r="K4063" s="1" t="n"/>
      <c r="L4063" s="1" t="n"/>
    </row>
    <row r="4064">
      <c r="B4064" s="1" t="n"/>
      <c r="C4064" s="19" t="inlineStr">
        <is>
          <t>Pmt (MK)</t>
        </is>
      </c>
      <c r="D4064" s="20">
        <f>-PMT(D4059/D4061,D4062,D4058,0,0)</f>
        <v/>
      </c>
      <c r="E4064" s="319" t="n"/>
      <c r="F4064" s="319" t="n"/>
      <c r="G4064" s="319" t="n"/>
      <c r="H4064" s="319" t="n"/>
      <c r="I4064" s="319" t="n"/>
      <c r="J4064" s="319" t="n"/>
      <c r="K4064" s="1" t="n"/>
      <c r="L4064" s="1" t="n"/>
    </row>
    <row r="4065">
      <c r="B4065" s="1" t="n"/>
      <c r="C4065" s="1" t="n"/>
      <c r="D4065" s="319" t="n"/>
      <c r="E4065" s="319" t="n"/>
      <c r="F4065" s="319" t="n"/>
      <c r="G4065" s="319" t="n"/>
      <c r="H4065" s="319" t="n"/>
      <c r="I4065" s="319" t="n"/>
      <c r="J4065" s="319" t="n"/>
      <c r="K4065" s="1" t="n"/>
      <c r="L4065" s="1" t="n"/>
    </row>
    <row r="4066">
      <c r="B4066" s="1" t="n"/>
      <c r="C4066" s="21" t="inlineStr">
        <is>
          <t>Period Start</t>
        </is>
      </c>
      <c r="D4066" s="22" t="inlineStr">
        <is>
          <t>Period End</t>
        </is>
      </c>
      <c r="E4066" s="22" t="inlineStr">
        <is>
          <t>Days</t>
        </is>
      </c>
      <c r="F4066" s="294" t="inlineStr">
        <is>
          <t>Opening bal.</t>
        </is>
      </c>
      <c r="G4066" s="294" t="inlineStr">
        <is>
          <t>Pmt</t>
        </is>
      </c>
      <c r="H4066" s="294" t="inlineStr">
        <is>
          <t>Interest</t>
        </is>
      </c>
      <c r="I4066" s="294" t="inlineStr">
        <is>
          <t>Principal</t>
        </is>
      </c>
      <c r="J4066" s="294" t="inlineStr">
        <is>
          <t>Closing balance</t>
        </is>
      </c>
      <c r="K4066" s="23" t="inlineStr">
        <is>
          <t>Amount Repaid</t>
        </is>
      </c>
      <c r="L4066" s="23" t="inlineStr">
        <is>
          <t>Accumulated Arrears</t>
        </is>
      </c>
    </row>
    <row r="4067">
      <c r="B4067" s="1" t="n">
        <v>0</v>
      </c>
      <c r="C4067" s="24" t="n">
        <v>45153</v>
      </c>
      <c r="D4067" s="24" t="n">
        <v>45169</v>
      </c>
      <c r="E4067" s="25">
        <f>D4067-C4067+1</f>
        <v/>
      </c>
      <c r="F4067" s="319">
        <f>D4058</f>
        <v/>
      </c>
      <c r="G4067" s="319" t="n"/>
      <c r="H4067" s="319">
        <f>($D$4059/$D$4061*F4067*E4067/31)</f>
        <v/>
      </c>
      <c r="I4067" s="319">
        <f>-H4067</f>
        <v/>
      </c>
      <c r="J4067" s="319">
        <f>F4067-I4067</f>
        <v/>
      </c>
    </row>
    <row r="4068">
      <c r="B4068" s="1" t="n">
        <v>1</v>
      </c>
      <c r="C4068" s="24" t="n">
        <v>45170</v>
      </c>
      <c r="D4068" s="24" t="n">
        <v>45199</v>
      </c>
      <c r="E4068" s="25" t="n">
        <v>30</v>
      </c>
      <c r="F4068" s="319">
        <f>J4067</f>
        <v/>
      </c>
      <c r="G4068" s="319" t="n"/>
      <c r="H4068" s="319">
        <f>($D$3952/$D$3954*F4068)</f>
        <v/>
      </c>
      <c r="I4068" s="319">
        <f>-H4068</f>
        <v/>
      </c>
      <c r="J4068" s="319">
        <f>F4068-I4068</f>
        <v/>
      </c>
      <c r="K4068" s="516" t="n"/>
      <c r="L4068" s="516" t="n"/>
    </row>
    <row r="4069">
      <c r="B4069" s="1">
        <f>+B4068+1</f>
        <v/>
      </c>
      <c r="C4069" s="24" t="n">
        <v>45200</v>
      </c>
      <c r="D4069" s="24" t="n">
        <v>45230</v>
      </c>
      <c r="E4069" s="25" t="n">
        <v>31</v>
      </c>
      <c r="F4069" s="319">
        <f>J4068</f>
        <v/>
      </c>
      <c r="G4069" s="319" t="n"/>
      <c r="H4069" s="319">
        <f>($D$3952/$D$3954*F4069)</f>
        <v/>
      </c>
      <c r="I4069" s="319">
        <f>G4069-H4069</f>
        <v/>
      </c>
      <c r="J4069" s="319">
        <f>F4069-I4069</f>
        <v/>
      </c>
      <c r="K4069" s="516" t="n"/>
      <c r="L4069" s="516" t="n"/>
    </row>
    <row r="4070">
      <c r="B4070" s="1">
        <f>+B4069+1</f>
        <v/>
      </c>
      <c r="C4070" s="24" t="n">
        <v>45231</v>
      </c>
      <c r="D4070" s="24" t="n">
        <v>45260</v>
      </c>
      <c r="E4070" s="25" t="n">
        <v>30</v>
      </c>
      <c r="F4070" s="319">
        <f>J4069</f>
        <v/>
      </c>
      <c r="G4070" s="319">
        <f>-PMT($D$4059/$D$4061,34,$F$4070,,0)</f>
        <v/>
      </c>
      <c r="H4070" s="319">
        <f>($D$4059/$D$4061*F4070)</f>
        <v/>
      </c>
      <c r="I4070" s="319">
        <f>G4070-H4070</f>
        <v/>
      </c>
      <c r="J4070" s="319">
        <f>F4070-I4070</f>
        <v/>
      </c>
      <c r="K4070" s="516" t="n"/>
      <c r="L4070" s="516">
        <f>G4070</f>
        <v/>
      </c>
    </row>
    <row r="4071">
      <c r="B4071" s="1">
        <f>+B4070+1</f>
        <v/>
      </c>
      <c r="C4071" s="24" t="n">
        <v>45261</v>
      </c>
      <c r="D4071" s="24" t="n">
        <v>45291</v>
      </c>
      <c r="E4071" s="25" t="n">
        <v>31</v>
      </c>
      <c r="F4071" s="319">
        <f>J4070</f>
        <v/>
      </c>
      <c r="G4071" s="319">
        <f>-PMT($D$4059/$D$4061,34,$F$4070,,0)</f>
        <v/>
      </c>
      <c r="H4071" s="319">
        <f>($D$4059/$D$4061*F4071)</f>
        <v/>
      </c>
      <c r="I4071" s="319">
        <f>G4071-H4071</f>
        <v/>
      </c>
      <c r="J4071" s="319">
        <f>F4071-I4071</f>
        <v/>
      </c>
      <c r="K4071" s="516" t="n">
        <v>1100000</v>
      </c>
      <c r="L4071" s="516">
        <f>L4070+G4071-K4071</f>
        <v/>
      </c>
    </row>
    <row r="4072">
      <c r="B4072" s="1">
        <f>+B4071+1</f>
        <v/>
      </c>
      <c r="C4072" s="24" t="n">
        <v>45292</v>
      </c>
      <c r="D4072" s="24" t="n">
        <v>45322</v>
      </c>
      <c r="E4072" s="25" t="n">
        <v>31</v>
      </c>
      <c r="F4072" s="319">
        <f>J4071</f>
        <v/>
      </c>
      <c r="G4072" s="319">
        <f>-PMT($D$4059/$D$4061,34,$F$4070,,0)</f>
        <v/>
      </c>
      <c r="H4072" s="319">
        <f>($D$4059/$D$4061*F4072)</f>
        <v/>
      </c>
      <c r="I4072" s="319">
        <f>G4072-H4072</f>
        <v/>
      </c>
      <c r="J4072" s="319">
        <f>F4072-I4072</f>
        <v/>
      </c>
      <c r="K4072" s="516" t="n">
        <v>1100000</v>
      </c>
      <c r="L4072" s="516">
        <f>L4071+G4072-K4072</f>
        <v/>
      </c>
    </row>
    <row r="4073">
      <c r="B4073" s="1">
        <f>+B4072+1</f>
        <v/>
      </c>
      <c r="C4073" s="24" t="n">
        <v>45323</v>
      </c>
      <c r="D4073" s="24" t="n">
        <v>45351</v>
      </c>
      <c r="E4073" s="25" t="n">
        <v>29</v>
      </c>
      <c r="F4073" s="319">
        <f>J4072</f>
        <v/>
      </c>
      <c r="G4073" s="319">
        <f>-PMT($D$4059/$D$4061,34,$F$4070,,0)</f>
        <v/>
      </c>
      <c r="H4073" s="319">
        <f>($D$4059/$D$4061*F4073)</f>
        <v/>
      </c>
      <c r="I4073" s="319">
        <f>G4073-H4073</f>
        <v/>
      </c>
      <c r="J4073" s="319">
        <f>F4073-I4073</f>
        <v/>
      </c>
      <c r="K4073" s="516" t="n">
        <v>1100000</v>
      </c>
      <c r="L4073" s="516">
        <f>L4072+G4073-K4073</f>
        <v/>
      </c>
    </row>
    <row r="4074">
      <c r="B4074" s="1">
        <f>+B4073+1</f>
        <v/>
      </c>
      <c r="C4074" s="24" t="n">
        <v>45352</v>
      </c>
      <c r="D4074" s="24" t="n">
        <v>45382</v>
      </c>
      <c r="E4074" s="25" t="n">
        <v>31</v>
      </c>
      <c r="F4074" s="319">
        <f>J4073</f>
        <v/>
      </c>
      <c r="G4074" s="319">
        <f>-PMT($D$4059/$D$4061,34,$F$4070,,0)</f>
        <v/>
      </c>
      <c r="H4074" s="319">
        <f>($D$4059/$D$4061*F4074)</f>
        <v/>
      </c>
      <c r="I4074" s="319">
        <f>G4074-H4074</f>
        <v/>
      </c>
      <c r="J4074" s="319">
        <f>F4074-I4074</f>
        <v/>
      </c>
      <c r="K4074" s="516" t="n">
        <v>1100000</v>
      </c>
      <c r="L4074" s="516">
        <f>L4073+G4074-K4074</f>
        <v/>
      </c>
    </row>
    <row r="4075">
      <c r="B4075" s="1">
        <f>+B4074+1</f>
        <v/>
      </c>
      <c r="C4075" s="24" t="n">
        <v>45383</v>
      </c>
      <c r="D4075" s="24" t="n">
        <v>45412</v>
      </c>
      <c r="E4075" s="25" t="n">
        <v>30</v>
      </c>
      <c r="F4075" s="319">
        <f>J4074</f>
        <v/>
      </c>
      <c r="G4075" s="319">
        <f>-PMT($D$4059/$D$4061,34,$F$4070,,0)</f>
        <v/>
      </c>
      <c r="H4075" s="319">
        <f>($D$4059/$D$4061*F4075)</f>
        <v/>
      </c>
      <c r="I4075" s="319">
        <f>G4075-H4075</f>
        <v/>
      </c>
      <c r="J4075" s="319">
        <f>F4075-I4075</f>
        <v/>
      </c>
      <c r="K4075" s="516" t="n">
        <v>1100000</v>
      </c>
      <c r="L4075" s="516">
        <f>L4074+G4075-K4075</f>
        <v/>
      </c>
    </row>
    <row r="4076">
      <c r="B4076" s="1">
        <f>+B4075+1</f>
        <v/>
      </c>
      <c r="C4076" s="24" t="n">
        <v>45413</v>
      </c>
      <c r="D4076" s="24" t="n">
        <v>45443</v>
      </c>
      <c r="E4076" s="25" t="n">
        <v>31</v>
      </c>
      <c r="F4076" s="319">
        <f>J4075</f>
        <v/>
      </c>
      <c r="G4076" s="319">
        <f>-PMT($D$4059/$D$4061,34,$F$4070,,0)</f>
        <v/>
      </c>
      <c r="H4076" s="319">
        <f>($D$4059/$D$4061*F4076)</f>
        <v/>
      </c>
      <c r="I4076" s="319">
        <f>G4076-H4076</f>
        <v/>
      </c>
      <c r="J4076" s="319">
        <f>F4076-I4076</f>
        <v/>
      </c>
      <c r="K4076" s="516" t="n">
        <v>1100000</v>
      </c>
      <c r="L4076" s="516">
        <f>L4075+G4076-K4076</f>
        <v/>
      </c>
    </row>
    <row r="4077">
      <c r="B4077" s="1">
        <f>+B4076+1</f>
        <v/>
      </c>
      <c r="C4077" s="24" t="n">
        <v>45444</v>
      </c>
      <c r="D4077" s="24" t="n">
        <v>45473</v>
      </c>
      <c r="E4077" s="25" t="n">
        <v>30</v>
      </c>
      <c r="F4077" s="319">
        <f>J4076</f>
        <v/>
      </c>
      <c r="G4077" s="319">
        <f>-PMT($D$4059/$D$4061,34,$F$4070,,0)</f>
        <v/>
      </c>
      <c r="H4077" s="319">
        <f>($D$4059/$D$4061*F4077)</f>
        <v/>
      </c>
      <c r="I4077" s="319">
        <f>G4077-H4077</f>
        <v/>
      </c>
      <c r="J4077" s="319">
        <f>F4077-I4077</f>
        <v/>
      </c>
      <c r="K4077" s="516" t="n">
        <v>0</v>
      </c>
      <c r="L4077" s="516">
        <f>L4076+G4077-K4077</f>
        <v/>
      </c>
    </row>
    <row r="4078">
      <c r="B4078" s="1">
        <f>+B4077+1</f>
        <v/>
      </c>
      <c r="C4078" s="24" t="n">
        <v>45474</v>
      </c>
      <c r="D4078" s="24" t="n">
        <v>45504</v>
      </c>
      <c r="E4078" s="25" t="n">
        <v>31</v>
      </c>
      <c r="F4078" s="319">
        <f>J4077</f>
        <v/>
      </c>
      <c r="G4078" s="319">
        <f>-PMT($D$4059/$D$4061,34,$F$4070,,0)</f>
        <v/>
      </c>
      <c r="H4078" s="319">
        <f>($D$4059/$D$4061*F4078)</f>
        <v/>
      </c>
      <c r="I4078" s="319">
        <f>G4078-H4078</f>
        <v/>
      </c>
      <c r="J4078" s="319">
        <f>F4078-I4078</f>
        <v/>
      </c>
      <c r="K4078" s="516">
        <f>1100000+500000</f>
        <v/>
      </c>
      <c r="L4078" s="516">
        <f>L4077+G4078-K4078</f>
        <v/>
      </c>
    </row>
    <row r="4079">
      <c r="B4079" s="1">
        <f>+B4078+1</f>
        <v/>
      </c>
      <c r="C4079" s="24" t="n">
        <v>45505</v>
      </c>
      <c r="D4079" s="24" t="n">
        <v>45535</v>
      </c>
      <c r="E4079" s="25" t="n">
        <v>31</v>
      </c>
      <c r="F4079" s="319">
        <f>J4078</f>
        <v/>
      </c>
      <c r="G4079" s="319">
        <f>-PMT($D$4059/$D$4061,34,$F$4070,,0)</f>
        <v/>
      </c>
      <c r="H4079" s="319">
        <f>($D$4059/$D$4061*F4079)</f>
        <v/>
      </c>
      <c r="I4079" s="319">
        <f>G4079-H4079</f>
        <v/>
      </c>
      <c r="J4079" s="319">
        <f>F4079-I4079</f>
        <v/>
      </c>
      <c r="K4079" s="516" t="n">
        <v>1500000</v>
      </c>
      <c r="L4079" s="516">
        <f>L4078+G4079-K4079</f>
        <v/>
      </c>
    </row>
    <row r="4080">
      <c r="B4080" s="1">
        <f>+B4079+1</f>
        <v/>
      </c>
      <c r="C4080" s="24" t="n">
        <v>45536</v>
      </c>
      <c r="D4080" s="24" t="n">
        <v>45565</v>
      </c>
      <c r="E4080" s="25" t="n">
        <v>30</v>
      </c>
      <c r="F4080" s="319">
        <f>J4079</f>
        <v/>
      </c>
      <c r="G4080" s="319">
        <f>-PMT($D$4059/$D$4061,34,$F$4070,,0)</f>
        <v/>
      </c>
      <c r="H4080" s="319">
        <f>($D$4059/$D$4061*F4080)</f>
        <v/>
      </c>
      <c r="I4080" s="319">
        <f>G4080-H4080</f>
        <v/>
      </c>
      <c r="J4080" s="319">
        <f>F4080-I4080</f>
        <v/>
      </c>
      <c r="K4080" s="516" t="n">
        <v>1100000</v>
      </c>
      <c r="L4080" s="516">
        <f>L4079+G4080-K4080</f>
        <v/>
      </c>
    </row>
    <row r="4081">
      <c r="B4081" s="1">
        <f>+B4080+1</f>
        <v/>
      </c>
      <c r="C4081" s="24" t="n">
        <v>45566</v>
      </c>
      <c r="D4081" s="24" t="n">
        <v>45596</v>
      </c>
      <c r="E4081" s="25" t="n">
        <v>31</v>
      </c>
      <c r="F4081" s="319">
        <f>J4080</f>
        <v/>
      </c>
      <c r="G4081" s="319">
        <f>-PMT($D$4059/$D$4061,34,$F$4070,,0)</f>
        <v/>
      </c>
      <c r="H4081" s="319">
        <f>($D$4059/$D$4061*F4081)</f>
        <v/>
      </c>
      <c r="I4081" s="319">
        <f>G4081-H4081</f>
        <v/>
      </c>
      <c r="J4081" s="319">
        <f>F4081-I4081</f>
        <v/>
      </c>
      <c r="K4081" s="516" t="n">
        <v>1300000</v>
      </c>
      <c r="L4081" s="520">
        <f>L4080+G4081-K4081</f>
        <v/>
      </c>
    </row>
    <row r="4082">
      <c r="B4082" s="1">
        <f>+B4081+1</f>
        <v/>
      </c>
      <c r="C4082" s="24" t="n">
        <v>45597</v>
      </c>
      <c r="D4082" s="24" t="n">
        <v>45626</v>
      </c>
      <c r="E4082" s="25" t="n">
        <v>30</v>
      </c>
      <c r="F4082" s="319">
        <f>J4081</f>
        <v/>
      </c>
      <c r="G4082" s="319">
        <f>-PMT($D$4059/$D$4061,34,$F$4070,,0)</f>
        <v/>
      </c>
      <c r="H4082" s="319">
        <f>($D$4059/$D$4061*F4082)</f>
        <v/>
      </c>
      <c r="I4082" s="319">
        <f>G4082-H4082</f>
        <v/>
      </c>
      <c r="J4082" s="319">
        <f>F4082-I4082</f>
        <v/>
      </c>
      <c r="K4082" s="516" t="n"/>
      <c r="L4082" s="516" t="n"/>
    </row>
    <row r="4083">
      <c r="B4083" s="1">
        <f>+B4082+1</f>
        <v/>
      </c>
      <c r="C4083" s="24" t="n">
        <v>45627</v>
      </c>
      <c r="D4083" s="24" t="n">
        <v>45657</v>
      </c>
      <c r="E4083" s="25" t="n">
        <v>31</v>
      </c>
      <c r="F4083" s="319">
        <f>J4082</f>
        <v/>
      </c>
      <c r="G4083" s="319">
        <f>-PMT($D$4059/$D$4061,34,$F$4070,,0)</f>
        <v/>
      </c>
      <c r="H4083" s="319">
        <f>($D$4059/$D$4061*F4083)</f>
        <v/>
      </c>
      <c r="I4083" s="319">
        <f>G4083-H4083</f>
        <v/>
      </c>
      <c r="J4083" s="319">
        <f>F4083-I4083</f>
        <v/>
      </c>
      <c r="K4083" s="516" t="n"/>
      <c r="L4083" s="516" t="n"/>
    </row>
    <row r="4084">
      <c r="B4084" s="1">
        <f>+B4083+1</f>
        <v/>
      </c>
      <c r="C4084" s="24" t="n">
        <v>45658</v>
      </c>
      <c r="D4084" s="24" t="n">
        <v>45688</v>
      </c>
      <c r="E4084" s="25" t="n">
        <v>31</v>
      </c>
      <c r="F4084" s="319">
        <f>J4083</f>
        <v/>
      </c>
      <c r="G4084" s="319">
        <f>-PMT($D$4059/$D$4061,34,$F$4070,,0)</f>
        <v/>
      </c>
      <c r="H4084" s="319">
        <f>($D$4059/$D$4061*F4084)</f>
        <v/>
      </c>
      <c r="I4084" s="319">
        <f>G4084-H4084</f>
        <v/>
      </c>
      <c r="J4084" s="319">
        <f>F4084-I4084</f>
        <v/>
      </c>
      <c r="K4084" s="516" t="n"/>
      <c r="L4084" s="516" t="n"/>
    </row>
    <row r="4085">
      <c r="B4085" s="1">
        <f>+B4084+1</f>
        <v/>
      </c>
      <c r="C4085" s="24" t="n">
        <v>45689</v>
      </c>
      <c r="D4085" s="24" t="n">
        <v>45716</v>
      </c>
      <c r="E4085" s="25" t="n">
        <v>28</v>
      </c>
      <c r="F4085" s="319">
        <f>J4084</f>
        <v/>
      </c>
      <c r="G4085" s="319">
        <f>-PMT($D$4059/$D$4061,34,$F$4070,,0)</f>
        <v/>
      </c>
      <c r="H4085" s="319">
        <f>($D$4059/$D$4061*F4085)</f>
        <v/>
      </c>
      <c r="I4085" s="319">
        <f>G4085-H4085</f>
        <v/>
      </c>
      <c r="J4085" s="319">
        <f>F4085-I4085</f>
        <v/>
      </c>
      <c r="K4085" s="516" t="n"/>
      <c r="L4085" s="516" t="n"/>
    </row>
    <row r="4086">
      <c r="B4086" s="1">
        <f>+B4085+1</f>
        <v/>
      </c>
      <c r="C4086" s="24" t="n">
        <v>45717</v>
      </c>
      <c r="D4086" s="24" t="n">
        <v>45747</v>
      </c>
      <c r="E4086" s="25" t="n">
        <v>31</v>
      </c>
      <c r="F4086" s="319">
        <f>J4085</f>
        <v/>
      </c>
      <c r="G4086" s="319">
        <f>-PMT($D$4059/$D$4061,34,$F$4070,,0)</f>
        <v/>
      </c>
      <c r="H4086" s="319">
        <f>($D$4059/$D$4061*F4086)</f>
        <v/>
      </c>
      <c r="I4086" s="319">
        <f>G4086-H4086</f>
        <v/>
      </c>
      <c r="J4086" s="319">
        <f>F4086-I4086</f>
        <v/>
      </c>
      <c r="K4086" s="516" t="n"/>
      <c r="L4086" s="516" t="n"/>
    </row>
    <row r="4087">
      <c r="B4087" s="1">
        <f>+B4086+1</f>
        <v/>
      </c>
      <c r="C4087" s="24" t="n">
        <v>45748</v>
      </c>
      <c r="D4087" s="24" t="n">
        <v>45777</v>
      </c>
      <c r="E4087" s="25" t="n">
        <v>30</v>
      </c>
      <c r="F4087" s="319">
        <f>J4086</f>
        <v/>
      </c>
      <c r="G4087" s="319">
        <f>-PMT($D$4059/$D$4061,34,$F$4070,,0)</f>
        <v/>
      </c>
      <c r="H4087" s="319">
        <f>($D$4059/$D$4061*F4087)</f>
        <v/>
      </c>
      <c r="I4087" s="319">
        <f>G4087-H4087</f>
        <v/>
      </c>
      <c r="J4087" s="319">
        <f>F4087-I4087</f>
        <v/>
      </c>
      <c r="K4087" s="516" t="n"/>
      <c r="L4087" s="516" t="n"/>
    </row>
    <row r="4088">
      <c r="B4088" s="1">
        <f>+B4087+1</f>
        <v/>
      </c>
      <c r="C4088" s="24" t="n">
        <v>45778</v>
      </c>
      <c r="D4088" s="24" t="n">
        <v>45808</v>
      </c>
      <c r="E4088" s="25" t="n">
        <v>31</v>
      </c>
      <c r="F4088" s="319">
        <f>J4087</f>
        <v/>
      </c>
      <c r="G4088" s="319">
        <f>-PMT($D$4059/$D$4061,34,$F$4070,,0)</f>
        <v/>
      </c>
      <c r="H4088" s="319">
        <f>($D$4059/$D$4061*F4088)</f>
        <v/>
      </c>
      <c r="I4088" s="319">
        <f>G4088-H4088</f>
        <v/>
      </c>
      <c r="J4088" s="319">
        <f>F4088-I4088</f>
        <v/>
      </c>
      <c r="K4088" s="516" t="n"/>
      <c r="L4088" s="516" t="n"/>
    </row>
    <row r="4089">
      <c r="B4089" s="1">
        <f>+B4088+1</f>
        <v/>
      </c>
      <c r="C4089" s="24" t="n">
        <v>45809</v>
      </c>
      <c r="D4089" s="24" t="n">
        <v>45838</v>
      </c>
      <c r="E4089" s="25" t="n">
        <v>30</v>
      </c>
      <c r="F4089" s="319">
        <f>J4088</f>
        <v/>
      </c>
      <c r="G4089" s="319">
        <f>-PMT($D$4059/$D$4061,34,$F$4070,,0)</f>
        <v/>
      </c>
      <c r="H4089" s="319">
        <f>($D$4059/$D$4061*F4089)</f>
        <v/>
      </c>
      <c r="I4089" s="319">
        <f>G4089-H4089</f>
        <v/>
      </c>
      <c r="J4089" s="319">
        <f>F4089-I4089</f>
        <v/>
      </c>
      <c r="K4089" s="516" t="n"/>
      <c r="L4089" s="516" t="n"/>
    </row>
    <row r="4090">
      <c r="B4090" s="1">
        <f>+B4089+1</f>
        <v/>
      </c>
      <c r="C4090" s="24">
        <f>+C4089+30</f>
        <v/>
      </c>
      <c r="D4090" s="24">
        <f>+D4089+30</f>
        <v/>
      </c>
      <c r="E4090" s="25">
        <f>D4090-C4090+1</f>
        <v/>
      </c>
      <c r="F4090" s="319">
        <f>J4089</f>
        <v/>
      </c>
      <c r="G4090" s="319">
        <f>-PMT($D$4059/$D$4061,34,$F$4070,,0)</f>
        <v/>
      </c>
      <c r="H4090" s="319">
        <f>($D$4059/$D$4061*F4090)</f>
        <v/>
      </c>
      <c r="I4090" s="319">
        <f>G4090-H4090</f>
        <v/>
      </c>
      <c r="J4090" s="319">
        <f>F4090-I4090</f>
        <v/>
      </c>
    </row>
    <row r="4091">
      <c r="B4091" s="1">
        <f>+B4090+1</f>
        <v/>
      </c>
      <c r="C4091" s="24">
        <f>+C4090+31</f>
        <v/>
      </c>
      <c r="D4091" s="24">
        <f>+D4090+31</f>
        <v/>
      </c>
      <c r="E4091" s="25">
        <f>D4091-C4091+1</f>
        <v/>
      </c>
      <c r="F4091" s="319">
        <f>J4090</f>
        <v/>
      </c>
      <c r="G4091" s="319">
        <f>-PMT($D$4059/$D$4061,34,$F$4070,,0)</f>
        <v/>
      </c>
      <c r="H4091" s="319">
        <f>($D$4059/$D$4061*F4091)</f>
        <v/>
      </c>
      <c r="I4091" s="319">
        <f>G4091-H4091</f>
        <v/>
      </c>
      <c r="J4091" s="319">
        <f>F4091-I4091</f>
        <v/>
      </c>
    </row>
    <row r="4092">
      <c r="B4092" s="1">
        <f>+B4091+1</f>
        <v/>
      </c>
      <c r="C4092" s="24" t="n">
        <v>45839</v>
      </c>
      <c r="D4092" s="24" t="n">
        <v>45869</v>
      </c>
      <c r="E4092" s="25" t="n">
        <v>29</v>
      </c>
      <c r="F4092" s="319">
        <f>J4091</f>
        <v/>
      </c>
      <c r="G4092" s="319">
        <f>-PMT($D$4059/$D$4061,34,$F$4070,,0)</f>
        <v/>
      </c>
      <c r="H4092" s="319">
        <f>($D$4059/$D$4061*F4092)</f>
        <v/>
      </c>
      <c r="I4092" s="319">
        <f>G4092-H4092</f>
        <v/>
      </c>
      <c r="J4092" s="319">
        <f>F4092-I4092</f>
        <v/>
      </c>
    </row>
    <row r="4093">
      <c r="B4093" s="1">
        <f>+B4092+1</f>
        <v/>
      </c>
      <c r="C4093" s="24" t="n">
        <v>45870</v>
      </c>
      <c r="D4093" s="24" t="n">
        <v>45900</v>
      </c>
      <c r="E4093" s="25" t="n">
        <v>28</v>
      </c>
      <c r="F4093" s="319">
        <f>J4092</f>
        <v/>
      </c>
      <c r="G4093" s="319">
        <f>-PMT($D$4059/$D$4061,34,$F$4070,,0)</f>
        <v/>
      </c>
      <c r="H4093" s="319">
        <f>($D$4059/$D$4061*F4093)</f>
        <v/>
      </c>
      <c r="I4093" s="319">
        <f>G4093-H4093</f>
        <v/>
      </c>
      <c r="J4093" s="319">
        <f>F4093-I4093</f>
        <v/>
      </c>
    </row>
    <row r="4094">
      <c r="B4094" s="1">
        <f>+B4093+1</f>
        <v/>
      </c>
      <c r="C4094" s="24">
        <f>+C4093+30</f>
        <v/>
      </c>
      <c r="D4094" s="24">
        <f>+D4093+30</f>
        <v/>
      </c>
      <c r="E4094" s="25">
        <f>D4094-C4094+1</f>
        <v/>
      </c>
      <c r="F4094" s="319">
        <f>J4093</f>
        <v/>
      </c>
      <c r="G4094" s="319">
        <f>-PMT($D$4059/$D$4061,34,$F$4070,,0)</f>
        <v/>
      </c>
      <c r="H4094" s="319">
        <f>($D$4059/$D$4061*F4094)</f>
        <v/>
      </c>
      <c r="I4094" s="319">
        <f>G4094-H4094</f>
        <v/>
      </c>
      <c r="J4094" s="319">
        <f>F4094-I4094</f>
        <v/>
      </c>
    </row>
    <row r="4095">
      <c r="B4095" s="1">
        <f>+B4094+1</f>
        <v/>
      </c>
      <c r="C4095" s="24">
        <f>+C4094+31</f>
        <v/>
      </c>
      <c r="D4095" s="24">
        <f>+D4094+31</f>
        <v/>
      </c>
      <c r="E4095" s="25">
        <f>D4095-C4095+1</f>
        <v/>
      </c>
      <c r="F4095" s="319">
        <f>J4094</f>
        <v/>
      </c>
      <c r="G4095" s="319">
        <f>-PMT($D$4059/$D$4061,34,$F$4070,,0)</f>
        <v/>
      </c>
      <c r="H4095" s="319">
        <f>($D$4059/$D$4061*F4095)</f>
        <v/>
      </c>
      <c r="I4095" s="319">
        <f>G4095-H4095</f>
        <v/>
      </c>
      <c r="J4095" s="319">
        <f>F4095-I4095</f>
        <v/>
      </c>
    </row>
    <row r="4096">
      <c r="B4096" s="1">
        <f>+B4095+1</f>
        <v/>
      </c>
      <c r="C4096" s="24" t="n">
        <v>45901</v>
      </c>
      <c r="D4096" s="24" t="n">
        <v>45930</v>
      </c>
      <c r="E4096" s="25" t="n">
        <v>27</v>
      </c>
      <c r="F4096" s="319">
        <f>J4095</f>
        <v/>
      </c>
      <c r="G4096" s="319">
        <f>-PMT($D$4059/$D$4061,34,$F$4070,,0)</f>
        <v/>
      </c>
      <c r="H4096" s="319">
        <f>($D$4059/$D$4061*F4096)</f>
        <v/>
      </c>
      <c r="I4096" s="319">
        <f>G4096-H4096</f>
        <v/>
      </c>
      <c r="J4096" s="319">
        <f>F4096-I4096</f>
        <v/>
      </c>
    </row>
    <row r="4097">
      <c r="B4097" s="1">
        <f>+B4096+1</f>
        <v/>
      </c>
      <c r="C4097" s="24" t="n">
        <v>45931</v>
      </c>
      <c r="D4097" s="24" t="n">
        <v>45961</v>
      </c>
      <c r="E4097" s="25" t="n">
        <v>26</v>
      </c>
      <c r="F4097" s="319">
        <f>J4096</f>
        <v/>
      </c>
      <c r="G4097" s="319">
        <f>-PMT($D$4059/$D$4061,34,$F$4070,,0)</f>
        <v/>
      </c>
      <c r="H4097" s="319">
        <f>($D$4059/$D$4061*F4097)</f>
        <v/>
      </c>
      <c r="I4097" s="319">
        <f>G4097-H4097</f>
        <v/>
      </c>
      <c r="J4097" s="319">
        <f>F4097-I4097</f>
        <v/>
      </c>
    </row>
    <row r="4098">
      <c r="B4098" s="1">
        <f>+B4097+1</f>
        <v/>
      </c>
      <c r="C4098" s="24">
        <f>+C4097+30</f>
        <v/>
      </c>
      <c r="D4098" s="24">
        <f>+D4097+30</f>
        <v/>
      </c>
      <c r="E4098" s="25">
        <f>D4098-C4098+1</f>
        <v/>
      </c>
      <c r="F4098" s="319">
        <f>J4097</f>
        <v/>
      </c>
      <c r="G4098" s="319">
        <f>-PMT($D$4059/$D$4061,34,$F$4070,,0)</f>
        <v/>
      </c>
      <c r="H4098" s="319">
        <f>($D$4059/$D$4061*F4098)</f>
        <v/>
      </c>
      <c r="I4098" s="319">
        <f>G4098-H4098</f>
        <v/>
      </c>
      <c r="J4098" s="319">
        <f>F4098-I4098</f>
        <v/>
      </c>
    </row>
    <row r="4099">
      <c r="B4099" s="1">
        <f>+B4098+1</f>
        <v/>
      </c>
      <c r="C4099" s="24">
        <f>+C4098+31</f>
        <v/>
      </c>
      <c r="D4099" s="24">
        <f>+D4098+31</f>
        <v/>
      </c>
      <c r="E4099" s="25">
        <f>D4099-C4099+1</f>
        <v/>
      </c>
      <c r="F4099" s="319">
        <f>J4098</f>
        <v/>
      </c>
      <c r="G4099" s="319">
        <f>-PMT($D$4059/$D$4061,34,$F$4070,,0)</f>
        <v/>
      </c>
      <c r="H4099" s="319">
        <f>($D$4059/$D$4061*F4099)</f>
        <v/>
      </c>
      <c r="I4099" s="319">
        <f>G4099-H4099</f>
        <v/>
      </c>
      <c r="J4099" s="319">
        <f>F4099-I4099</f>
        <v/>
      </c>
    </row>
    <row r="4100">
      <c r="B4100" s="1">
        <f>+B4099+1</f>
        <v/>
      </c>
      <c r="C4100" s="24" t="n">
        <v>45962</v>
      </c>
      <c r="D4100" s="24" t="n">
        <v>45991</v>
      </c>
      <c r="E4100" s="25" t="n">
        <v>25</v>
      </c>
      <c r="F4100" s="319">
        <f>J4099</f>
        <v/>
      </c>
      <c r="G4100" s="319">
        <f>-PMT($D$4059/$D$4061,34,$F$4070,,0)</f>
        <v/>
      </c>
      <c r="H4100" s="319">
        <f>($D$4059/$D$4061*F4100)</f>
        <v/>
      </c>
      <c r="I4100" s="319">
        <f>G4100-H4100</f>
        <v/>
      </c>
      <c r="J4100" s="319">
        <f>F4100-I4100</f>
        <v/>
      </c>
    </row>
    <row r="4101">
      <c r="B4101" s="1">
        <f>+B4100+1</f>
        <v/>
      </c>
      <c r="C4101" s="24" t="n">
        <v>45992</v>
      </c>
      <c r="D4101" s="24" t="n">
        <v>46022</v>
      </c>
      <c r="E4101" s="25" t="n">
        <v>24</v>
      </c>
      <c r="F4101" s="319">
        <f>J4100</f>
        <v/>
      </c>
      <c r="G4101" s="319">
        <f>-PMT($D$4059/$D$4061,34,$F$4070,,0)</f>
        <v/>
      </c>
      <c r="H4101" s="319">
        <f>($D$4059/$D$4061*F4101)</f>
        <v/>
      </c>
      <c r="I4101" s="319">
        <f>G4101-H4101</f>
        <v/>
      </c>
      <c r="J4101" s="319">
        <f>F4101-I4101</f>
        <v/>
      </c>
    </row>
    <row r="4102">
      <c r="B4102" s="1">
        <f>+B4101+1</f>
        <v/>
      </c>
      <c r="C4102" s="24">
        <f>+C4101+30</f>
        <v/>
      </c>
      <c r="D4102" s="24">
        <f>+D4101+30</f>
        <v/>
      </c>
      <c r="E4102" s="25">
        <f>D4102-C4102+1</f>
        <v/>
      </c>
      <c r="F4102" s="319">
        <f>J4101</f>
        <v/>
      </c>
      <c r="G4102" s="319">
        <f>-PMT($D$4059/$D$4061,34,$F$4070,,0)</f>
        <v/>
      </c>
      <c r="H4102" s="319">
        <f>($D$4059/$D$4061*F4102)</f>
        <v/>
      </c>
      <c r="I4102" s="319">
        <f>G4102-H4102</f>
        <v/>
      </c>
      <c r="J4102" s="319">
        <f>F4102-I4102</f>
        <v/>
      </c>
    </row>
    <row r="4103">
      <c r="B4103" s="1">
        <f>+B4102+1</f>
        <v/>
      </c>
      <c r="C4103" s="24">
        <f>+C4102+31</f>
        <v/>
      </c>
      <c r="D4103" s="24">
        <f>+D4102+31</f>
        <v/>
      </c>
      <c r="E4103" s="25">
        <f>D4103-C4103+1</f>
        <v/>
      </c>
      <c r="F4103" s="319">
        <f>J4102</f>
        <v/>
      </c>
      <c r="G4103" s="319">
        <f>-PMT($D$4059/$D$4061,34,$F$4070,,0)</f>
        <v/>
      </c>
      <c r="H4103" s="319">
        <f>($D$4059/$D$4061*F4103)</f>
        <v/>
      </c>
      <c r="I4103" s="319">
        <f>G4103-H4103</f>
        <v/>
      </c>
      <c r="J4103" s="319">
        <f>F4103-I4103</f>
        <v/>
      </c>
    </row>
    <row r="4109">
      <c r="B4109" s="1" t="n"/>
      <c r="C4109" s="9" t="inlineStr">
        <is>
          <t>Kwithu Kitchens 2</t>
        </is>
      </c>
      <c r="D4109" s="319" t="n"/>
      <c r="E4109" s="319" t="n"/>
      <c r="F4109" s="319" t="n"/>
      <c r="G4109" s="319" t="n"/>
      <c r="H4109" s="319" t="n"/>
      <c r="I4109" s="319" t="n"/>
      <c r="J4109" s="319" t="n"/>
      <c r="K4109" s="319" t="n"/>
      <c r="L4109" s="319" t="n"/>
      <c r="R4109" s="514" t="inlineStr">
        <is>
          <t>E-Banker account (Dupleix)</t>
        </is>
      </c>
      <c r="S4109" s="495">
        <f>IFERROR(INDEX('Blocks'!$I$2:$I$101,MATCH(75,'Blocks'!$A$2:$A$101,0)),"")</f>
        <v/>
      </c>
    </row>
    <row r="4110">
      <c r="B4110" s="1" t="n"/>
      <c r="C4110" s="1" t="n"/>
      <c r="D4110" s="319" t="n"/>
      <c r="E4110" s="319" t="n"/>
      <c r="F4110" s="319" t="n"/>
      <c r="G4110" s="319" t="n"/>
      <c r="H4110" s="319" t="n"/>
      <c r="I4110" s="319" t="n"/>
      <c r="J4110" s="319" t="n"/>
      <c r="K4110" s="319" t="n"/>
      <c r="L4110" s="319" t="n"/>
      <c r="R4110" s="514" t="inlineStr">
        <is>
          <t>Facility (Loan Book)</t>
        </is>
      </c>
      <c r="S4110" s="495">
        <f>IFERROR(INDEX('Blocks'!$H$2:$H$101,MATCH(75,'Blocks'!$A$2:$A$101,0)),"")</f>
        <v/>
      </c>
    </row>
    <row r="4111">
      <c r="B4111" s="1" t="n"/>
      <c r="C4111" s="10" t="inlineStr">
        <is>
          <t>Principal (MK)</t>
        </is>
      </c>
      <c r="D4111" s="11" t="n">
        <v>164000000</v>
      </c>
      <c r="E4111" s="319" t="n"/>
      <c r="F4111" s="319" t="n"/>
      <c r="G4111" s="319" t="n"/>
      <c r="H4111" s="319" t="n"/>
      <c r="I4111" s="319" t="n"/>
      <c r="J4111" s="319" t="n"/>
      <c r="K4111" s="319" t="n"/>
      <c r="L4111" s="319" t="n"/>
      <c r="R4111" s="514" t="inlineStr">
        <is>
          <t>Take-on posting 31 Jul 2024</t>
        </is>
      </c>
      <c r="S4111" s="496">
        <f>IFERROR(INDEX('E-Banker master'!$N$2:$N$186,MATCH(S4109,'E-Banker master'!$A$2:$A$186,0)),"")</f>
        <v/>
      </c>
    </row>
    <row r="4112">
      <c r="B4112" s="1" t="n"/>
      <c r="C4112" s="13" t="inlineStr">
        <is>
          <t>Rate</t>
        </is>
      </c>
      <c r="D4112" s="14" t="n">
        <v>0.1</v>
      </c>
      <c r="E4112" s="257" t="n"/>
      <c r="F4112" s="319" t="n"/>
      <c r="G4112" s="319" t="n"/>
      <c r="H4112" s="319" t="n"/>
      <c r="I4112" s="319" t="n"/>
      <c r="J4112" s="319" t="n"/>
      <c r="K4112" s="319" t="n"/>
      <c r="L4112" s="319" t="n"/>
      <c r="R4112" s="514" t="inlineStr">
        <is>
          <t>E-Banker balance 31 Oct 2024</t>
        </is>
      </c>
      <c r="S4112" s="496">
        <f>IFERROR(INDEX('E-Banker master'!$P$2:$P$186,MATCH(S4109,'E-Banker master'!$A$2:$A$186,0)),"")</f>
        <v/>
      </c>
    </row>
    <row r="4113">
      <c r="B4113" s="1" t="n"/>
      <c r="C4113" s="13" t="inlineStr">
        <is>
          <t>n</t>
        </is>
      </c>
      <c r="D4113" s="16" t="n">
        <v>4</v>
      </c>
      <c r="E4113" s="1" t="n"/>
      <c r="F4113" s="319" t="n"/>
      <c r="G4113" s="319" t="n"/>
      <c r="H4113" s="319" t="n"/>
      <c r="I4113" s="319" t="n"/>
      <c r="J4113" s="319" t="n"/>
      <c r="K4113" s="1" t="n"/>
      <c r="L4113" s="1" t="n"/>
    </row>
    <row r="4114">
      <c r="B4114" s="1" t="n"/>
      <c r="C4114" s="13" t="inlineStr">
        <is>
          <t>Per</t>
        </is>
      </c>
      <c r="D4114" s="16" t="n">
        <v>12</v>
      </c>
      <c r="E4114" s="1" t="n"/>
      <c r="F4114" s="319" t="n"/>
      <c r="G4114" s="319" t="n"/>
      <c r="H4114" s="319" t="n"/>
      <c r="I4114" s="319" t="n"/>
      <c r="J4114" s="319" t="n"/>
      <c r="K4114" s="1" t="n"/>
      <c r="L4114" s="1" t="n"/>
    </row>
    <row r="4115">
      <c r="B4115" s="1" t="n"/>
      <c r="C4115" s="13" t="inlineStr">
        <is>
          <t>nPer</t>
        </is>
      </c>
      <c r="D4115" s="515">
        <f>D4113*D4114</f>
        <v/>
      </c>
      <c r="E4115" s="1" t="n"/>
      <c r="F4115" s="319" t="n"/>
      <c r="G4115" s="319" t="n"/>
      <c r="H4115" s="319" t="n"/>
      <c r="I4115" s="319" t="n"/>
      <c r="J4115" s="319" t="n"/>
      <c r="K4115" s="1" t="n"/>
      <c r="L4115" s="1" t="n"/>
    </row>
    <row r="4116">
      <c r="B4116" s="1" t="n"/>
      <c r="C4116" s="13" t="inlineStr">
        <is>
          <t>Days in a year</t>
        </is>
      </c>
      <c r="D4116" s="18" t="n">
        <v>365</v>
      </c>
      <c r="E4116" s="1" t="n"/>
      <c r="F4116" s="319" t="n"/>
      <c r="G4116" s="319" t="n"/>
      <c r="H4116" s="319" t="n"/>
      <c r="I4116" s="319" t="n"/>
      <c r="J4116" s="319" t="n"/>
      <c r="K4116" s="1" t="n"/>
      <c r="L4116" s="1" t="n"/>
    </row>
    <row r="4117">
      <c r="B4117" s="1" t="n"/>
      <c r="C4117" s="19" t="inlineStr">
        <is>
          <t>Pmt (MK)</t>
        </is>
      </c>
      <c r="D4117" s="20">
        <f>-PMT(D4112/D4114,D4115,D4111,0,0)</f>
        <v/>
      </c>
      <c r="E4117" s="319" t="n"/>
      <c r="F4117" s="319" t="n"/>
      <c r="G4117" s="319" t="n"/>
      <c r="H4117" s="319" t="n"/>
      <c r="I4117" s="319" t="n"/>
      <c r="J4117" s="319" t="n"/>
      <c r="K4117" s="1" t="n"/>
      <c r="L4117" s="1" t="n"/>
    </row>
    <row r="4118">
      <c r="B4118" s="1" t="n"/>
      <c r="C4118" s="1" t="n"/>
      <c r="D4118" s="319" t="n"/>
      <c r="E4118" s="319" t="n"/>
      <c r="F4118" s="319" t="n"/>
      <c r="G4118" s="319" t="n"/>
      <c r="H4118" s="319" t="n"/>
      <c r="I4118" s="319" t="n"/>
      <c r="J4118" s="319" t="n"/>
      <c r="K4118" s="1" t="n"/>
      <c r="L4118" s="1" t="n"/>
    </row>
    <row r="4119">
      <c r="B4119" s="1" t="n"/>
      <c r="C4119" s="21" t="inlineStr">
        <is>
          <t>Period Start</t>
        </is>
      </c>
      <c r="D4119" s="22" t="inlineStr">
        <is>
          <t>Period End</t>
        </is>
      </c>
      <c r="E4119" s="22" t="inlineStr">
        <is>
          <t>Days</t>
        </is>
      </c>
      <c r="F4119" s="294" t="inlineStr">
        <is>
          <t>Opening bal.</t>
        </is>
      </c>
      <c r="G4119" s="294" t="inlineStr">
        <is>
          <t>Pmt</t>
        </is>
      </c>
      <c r="H4119" s="294" t="inlineStr">
        <is>
          <t>Interest</t>
        </is>
      </c>
      <c r="I4119" s="294" t="inlineStr">
        <is>
          <t>Principal</t>
        </is>
      </c>
      <c r="J4119" s="294" t="inlineStr">
        <is>
          <t>Closing balance</t>
        </is>
      </c>
      <c r="K4119" s="23" t="inlineStr">
        <is>
          <t>Amount Repaid</t>
        </is>
      </c>
      <c r="L4119" s="23" t="inlineStr">
        <is>
          <t>Accumulated Arrears</t>
        </is>
      </c>
    </row>
    <row r="4120">
      <c r="B4120" s="1" t="n">
        <v>0</v>
      </c>
      <c r="C4120" s="24" t="n">
        <v>45216</v>
      </c>
      <c r="D4120" s="24" t="n">
        <v>45230</v>
      </c>
      <c r="E4120" s="318">
        <f>+D4120-C4120</f>
        <v/>
      </c>
      <c r="F4120" s="319">
        <f>D4111</f>
        <v/>
      </c>
      <c r="G4120" s="319" t="n">
        <v>617204.3010752689</v>
      </c>
      <c r="H4120" s="319">
        <f>($D$4112/$D$4114*F4120*E4120/31)</f>
        <v/>
      </c>
      <c r="I4120" s="319">
        <f>G4120-H4120</f>
        <v/>
      </c>
      <c r="J4120" s="319">
        <f>F4120-I4120</f>
        <v/>
      </c>
      <c r="K4120" s="319" t="n">
        <v>617204.3</v>
      </c>
    </row>
    <row r="4121">
      <c r="B4121" s="1" t="n">
        <v>1</v>
      </c>
      <c r="C4121" s="24" t="n">
        <v>45231</v>
      </c>
      <c r="D4121" s="24" t="n">
        <v>45260</v>
      </c>
      <c r="E4121" s="25" t="n">
        <v>30</v>
      </c>
      <c r="F4121" s="319">
        <f>J4120</f>
        <v/>
      </c>
      <c r="G4121" s="319" t="n">
        <v>1366666.666666667</v>
      </c>
      <c r="H4121" s="319">
        <f>($D$4112/$D$4114*F4120)</f>
        <v/>
      </c>
      <c r="I4121" s="319">
        <f>G4121-H4121</f>
        <v/>
      </c>
      <c r="J4121" s="319">
        <f>F4121-I4121</f>
        <v/>
      </c>
      <c r="K4121" s="516" t="n">
        <v>1378056</v>
      </c>
      <c r="L4121" s="516">
        <f>G4121-K4121</f>
        <v/>
      </c>
    </row>
    <row r="4122">
      <c r="B4122" s="1" t="n">
        <v>2</v>
      </c>
      <c r="C4122" s="24" t="n">
        <v>45261</v>
      </c>
      <c r="D4122" s="24" t="n">
        <v>45291</v>
      </c>
      <c r="E4122" s="25" t="n">
        <v>31</v>
      </c>
      <c r="F4122" s="319">
        <f>J4121</f>
        <v/>
      </c>
      <c r="G4122" s="319" t="n">
        <v>1366666.666666667</v>
      </c>
      <c r="H4122" s="319">
        <f>($D$4112/$D$4114*F4121)</f>
        <v/>
      </c>
      <c r="I4122" s="319">
        <f>G4122-H4122</f>
        <v/>
      </c>
      <c r="J4122" s="319">
        <f>F4122-I4122</f>
        <v/>
      </c>
      <c r="K4122" s="516" t="n">
        <v>1389539</v>
      </c>
      <c r="L4122" s="516">
        <f>L4121+G4122-K4122</f>
        <v/>
      </c>
    </row>
    <row r="4123">
      <c r="B4123" s="1">
        <f>+B4122+1</f>
        <v/>
      </c>
      <c r="C4123" s="24" t="n">
        <v>45292</v>
      </c>
      <c r="D4123" s="24" t="n">
        <v>45322</v>
      </c>
      <c r="E4123" s="25" t="n">
        <v>31</v>
      </c>
      <c r="F4123" s="319">
        <f>J4122</f>
        <v/>
      </c>
      <c r="G4123" s="319" t="n">
        <v>1366666.666666667</v>
      </c>
      <c r="H4123" s="319">
        <f>($D$4112/$D$4114*F4122)</f>
        <v/>
      </c>
      <c r="I4123" s="319">
        <f>G4123-H4123</f>
        <v/>
      </c>
      <c r="J4123" s="319">
        <f>F4123-I4123</f>
        <v/>
      </c>
      <c r="K4123" s="516" t="n">
        <v>1389539</v>
      </c>
      <c r="L4123" s="516">
        <f>L4122+G4123-K4123</f>
        <v/>
      </c>
    </row>
    <row r="4124">
      <c r="B4124" s="1">
        <f>+B4123+1</f>
        <v/>
      </c>
      <c r="C4124" s="24" t="n">
        <v>45323</v>
      </c>
      <c r="D4124" s="24" t="n">
        <v>45351</v>
      </c>
      <c r="E4124" s="25" t="n">
        <v>29</v>
      </c>
      <c r="F4124" s="319">
        <f>J4123</f>
        <v/>
      </c>
      <c r="G4124" s="319">
        <f>-PMT($D$4112/$D$4114,45,$F$4124,,0)</f>
        <v/>
      </c>
      <c r="H4124" s="319">
        <f>($D$4112/$D$4114*F4124)</f>
        <v/>
      </c>
      <c r="I4124" s="319">
        <f>G4124-H4124</f>
        <v/>
      </c>
      <c r="J4124" s="319">
        <f>F4124-I4124</f>
        <v/>
      </c>
      <c r="K4124" s="516" t="n">
        <v>4495925</v>
      </c>
      <c r="L4124" s="516">
        <f>L4123+G4124-K4124</f>
        <v/>
      </c>
    </row>
    <row r="4125">
      <c r="B4125" s="1">
        <f>+B4124+1</f>
        <v/>
      </c>
      <c r="C4125" s="24" t="n">
        <v>45352</v>
      </c>
      <c r="D4125" s="24" t="n">
        <v>45382</v>
      </c>
      <c r="E4125" s="25" t="n">
        <v>31</v>
      </c>
      <c r="F4125" s="319">
        <f>J4124</f>
        <v/>
      </c>
      <c r="G4125" s="319">
        <f>-PMT($D$4112/$D$4114,45,$F$4124,,0)</f>
        <v/>
      </c>
      <c r="H4125" s="319">
        <f>($D$4112/$D$4114*F4125)</f>
        <v/>
      </c>
      <c r="I4125" s="319">
        <f>G4125-H4125</f>
        <v/>
      </c>
      <c r="J4125" s="319">
        <f>F4125-I4125</f>
        <v/>
      </c>
      <c r="K4125" s="516" t="n">
        <v>4495925</v>
      </c>
      <c r="L4125" s="516">
        <f>L4124+G4125-K4125</f>
        <v/>
      </c>
    </row>
    <row r="4126">
      <c r="B4126" s="1">
        <f>+B4125+1</f>
        <v/>
      </c>
      <c r="C4126" s="24" t="n">
        <v>45383</v>
      </c>
      <c r="D4126" s="24" t="n">
        <v>45412</v>
      </c>
      <c r="E4126" s="25" t="n">
        <v>30</v>
      </c>
      <c r="F4126" s="319">
        <f>J4125</f>
        <v/>
      </c>
      <c r="G4126" s="319">
        <f>-PMT($D$4112/$D$4114,45,$F$4124,,0)</f>
        <v/>
      </c>
      <c r="H4126" s="319">
        <f>($D$4112/$D$4114*F4126)</f>
        <v/>
      </c>
      <c r="I4126" s="319">
        <f>G4126-H4126</f>
        <v/>
      </c>
      <c r="J4126" s="319">
        <f>F4126-I4126</f>
        <v/>
      </c>
      <c r="K4126" s="516" t="n">
        <v>4495925</v>
      </c>
      <c r="L4126" s="516">
        <f>L4125+G4126-K4126</f>
        <v/>
      </c>
    </row>
    <row r="4127">
      <c r="B4127" s="1">
        <f>+B4126+1</f>
        <v/>
      </c>
      <c r="C4127" s="24" t="n">
        <v>45413</v>
      </c>
      <c r="D4127" s="24" t="n">
        <v>45443</v>
      </c>
      <c r="E4127" s="25" t="n">
        <v>31</v>
      </c>
      <c r="F4127" s="319">
        <f>J4126</f>
        <v/>
      </c>
      <c r="G4127" s="319">
        <f>-PMT($D$4112/$D$4114,45,$F$4124,,0)</f>
        <v/>
      </c>
      <c r="H4127" s="319">
        <f>($D$4112/$D$4114*F4127)</f>
        <v/>
      </c>
      <c r="I4127" s="319">
        <f>G4127-H4127</f>
        <v/>
      </c>
      <c r="J4127" s="319">
        <f>F4127-I4127</f>
        <v/>
      </c>
      <c r="K4127" s="516" t="n"/>
      <c r="L4127" s="516">
        <f>L4126+G4127-K4127</f>
        <v/>
      </c>
    </row>
    <row r="4128">
      <c r="B4128" s="1">
        <f>+B4127+1</f>
        <v/>
      </c>
      <c r="C4128" s="24" t="n">
        <v>45444</v>
      </c>
      <c r="D4128" s="24" t="n">
        <v>45473</v>
      </c>
      <c r="E4128" s="25" t="n">
        <v>30</v>
      </c>
      <c r="F4128" s="319">
        <f>J4127</f>
        <v/>
      </c>
      <c r="G4128" s="319">
        <f>-PMT($D$4112/$D$4114,45,$F$4124,,0)</f>
        <v/>
      </c>
      <c r="H4128" s="319">
        <f>($D$4112/$D$4114*F4128)</f>
        <v/>
      </c>
      <c r="I4128" s="319">
        <f>G4128-H4128</f>
        <v/>
      </c>
      <c r="J4128" s="319">
        <f>F4128-I4128</f>
        <v/>
      </c>
      <c r="K4128" s="516">
        <f>4495925+4495925</f>
        <v/>
      </c>
      <c r="L4128" s="516">
        <f>L4127+G4128-K4128</f>
        <v/>
      </c>
    </row>
    <row r="4129">
      <c r="B4129" s="1">
        <f>+B4128+1</f>
        <v/>
      </c>
      <c r="C4129" s="24" t="n">
        <v>45474</v>
      </c>
      <c r="D4129" s="24" t="n">
        <v>45504</v>
      </c>
      <c r="E4129" s="25" t="n">
        <v>31</v>
      </c>
      <c r="F4129" s="319">
        <f>J4128</f>
        <v/>
      </c>
      <c r="G4129" s="319">
        <f>-PMT($D$4112/$D$4114,45,$F$4124,,0)</f>
        <v/>
      </c>
      <c r="H4129" s="319">
        <f>($D$4112/$D$4114*F4129)</f>
        <v/>
      </c>
      <c r="I4129" s="319">
        <f>G4129-H4129</f>
        <v/>
      </c>
      <c r="J4129" s="319">
        <f>F4129-I4129</f>
        <v/>
      </c>
      <c r="K4129" s="516" t="n">
        <v>4495925</v>
      </c>
      <c r="L4129" s="516">
        <f>L4128+G4129-K4129</f>
        <v/>
      </c>
    </row>
    <row r="4130">
      <c r="B4130" s="1">
        <f>+B4129+1</f>
        <v/>
      </c>
      <c r="C4130" s="24" t="n">
        <v>45505</v>
      </c>
      <c r="D4130" s="24" t="n">
        <v>45535</v>
      </c>
      <c r="E4130" s="25" t="n">
        <v>31</v>
      </c>
      <c r="F4130" s="319">
        <f>J4129</f>
        <v/>
      </c>
      <c r="G4130" s="319">
        <f>-PMT($D$4112/$D$4114,45,$F$4124,,0)</f>
        <v/>
      </c>
      <c r="H4130" s="319">
        <f>($D$4112/$D$4114*F4130)</f>
        <v/>
      </c>
      <c r="I4130" s="319">
        <f>G4130-H4130</f>
        <v/>
      </c>
      <c r="J4130" s="319">
        <f>F4130-I4130</f>
        <v/>
      </c>
      <c r="K4130" s="516" t="n"/>
      <c r="L4130" s="516">
        <f>L4129+G4130-K4130</f>
        <v/>
      </c>
    </row>
    <row r="4131">
      <c r="B4131" s="1">
        <f>+B4130+1</f>
        <v/>
      </c>
      <c r="C4131" s="24" t="n">
        <v>45536</v>
      </c>
      <c r="D4131" s="24" t="n">
        <v>45565</v>
      </c>
      <c r="E4131" s="25" t="n">
        <v>30</v>
      </c>
      <c r="F4131" s="319">
        <f>J4130</f>
        <v/>
      </c>
      <c r="G4131" s="319">
        <f>-PMT($D$4112/$D$4114,45,$F$4124,,0)</f>
        <v/>
      </c>
      <c r="H4131" s="319">
        <f>($D$4112/$D$4114*F4131)</f>
        <v/>
      </c>
      <c r="I4131" s="319">
        <f>G4131-H4131</f>
        <v/>
      </c>
      <c r="J4131" s="319">
        <f>F4131-I4131</f>
        <v/>
      </c>
      <c r="K4131" s="516">
        <f>4495925+4495925</f>
        <v/>
      </c>
      <c r="L4131" s="516">
        <f>L4130+G4131-K4131</f>
        <v/>
      </c>
    </row>
    <row r="4132">
      <c r="B4132" s="1">
        <f>+B4131+1</f>
        <v/>
      </c>
      <c r="C4132" s="24" t="n">
        <v>45566</v>
      </c>
      <c r="D4132" s="24" t="n">
        <v>45596</v>
      </c>
      <c r="E4132" s="25" t="n">
        <v>31</v>
      </c>
      <c r="F4132" s="319">
        <f>J4131</f>
        <v/>
      </c>
      <c r="G4132" s="319">
        <f>-PMT($D$4112/$D$4114,45,$F$4124,,0)</f>
        <v/>
      </c>
      <c r="H4132" s="319">
        <f>($D$4112/$D$4114*F4132)</f>
        <v/>
      </c>
      <c r="I4132" s="319">
        <f>G4132-H4132</f>
        <v/>
      </c>
      <c r="J4132" s="319">
        <f>F4132-I4132</f>
        <v/>
      </c>
      <c r="K4132" s="516" t="n">
        <v>4495925</v>
      </c>
      <c r="L4132" s="520">
        <f>L4131+G4132-K4132</f>
        <v/>
      </c>
    </row>
    <row r="4133">
      <c r="B4133" s="1">
        <f>+B4132+1</f>
        <v/>
      </c>
      <c r="C4133" s="24" t="n">
        <v>45597</v>
      </c>
      <c r="D4133" s="24" t="n">
        <v>45626</v>
      </c>
      <c r="E4133" s="25" t="n">
        <v>30</v>
      </c>
      <c r="F4133" s="319">
        <f>J4132</f>
        <v/>
      </c>
      <c r="G4133" s="319">
        <f>-PMT($D$4112/$D$4114,45,$F$4124,,0)</f>
        <v/>
      </c>
      <c r="H4133" s="319">
        <f>($D$4112/$D$4114*F4133)</f>
        <v/>
      </c>
      <c r="I4133" s="319">
        <f>G4133-H4133</f>
        <v/>
      </c>
      <c r="J4133" s="319">
        <f>F4133-I4133</f>
        <v/>
      </c>
      <c r="K4133" s="516" t="n"/>
      <c r="L4133" s="516" t="n"/>
    </row>
    <row r="4134">
      <c r="B4134" s="1">
        <f>+B4133+1</f>
        <v/>
      </c>
      <c r="C4134" s="24" t="n">
        <v>45627</v>
      </c>
      <c r="D4134" s="24" t="n">
        <v>45657</v>
      </c>
      <c r="E4134" s="25" t="n">
        <v>31</v>
      </c>
      <c r="F4134" s="319">
        <f>J4133</f>
        <v/>
      </c>
      <c r="G4134" s="319">
        <f>-PMT($D$4112/$D$4114,45,$F$4124,,0)</f>
        <v/>
      </c>
      <c r="H4134" s="319">
        <f>($D$4112/$D$4114*F4134)</f>
        <v/>
      </c>
      <c r="I4134" s="319">
        <f>G4134-H4134</f>
        <v/>
      </c>
      <c r="J4134" s="319">
        <f>F4134-I4134</f>
        <v/>
      </c>
      <c r="K4134" s="516" t="n"/>
      <c r="L4134" s="516" t="n"/>
    </row>
    <row r="4135">
      <c r="B4135" s="1">
        <f>+B4134+1</f>
        <v/>
      </c>
      <c r="C4135" s="24" t="n">
        <v>45658</v>
      </c>
      <c r="D4135" s="24" t="n">
        <v>45688</v>
      </c>
      <c r="E4135" s="25" t="n">
        <v>31</v>
      </c>
      <c r="F4135" s="319">
        <f>J4134</f>
        <v/>
      </c>
      <c r="G4135" s="319">
        <f>-PMT($D$4112/$D$4114,45,$F$4124,,0)</f>
        <v/>
      </c>
      <c r="H4135" s="319">
        <f>($D$4112/$D$4114*F4135)</f>
        <v/>
      </c>
      <c r="I4135" s="319">
        <f>G4135-H4135</f>
        <v/>
      </c>
      <c r="J4135" s="319">
        <f>F4135-I4135</f>
        <v/>
      </c>
      <c r="K4135" s="516" t="n"/>
      <c r="L4135" s="516" t="n"/>
    </row>
    <row r="4136">
      <c r="B4136" s="1">
        <f>+B4135+1</f>
        <v/>
      </c>
      <c r="C4136" s="24" t="n">
        <v>45689</v>
      </c>
      <c r="D4136" s="24" t="n">
        <v>45716</v>
      </c>
      <c r="E4136" s="25" t="n">
        <v>28</v>
      </c>
      <c r="F4136" s="319">
        <f>J4135</f>
        <v/>
      </c>
      <c r="G4136" s="319">
        <f>-PMT($D$4112/$D$4114,45,$F$4124,,0)</f>
        <v/>
      </c>
      <c r="H4136" s="319">
        <f>($D$4112/$D$4114*F4136)</f>
        <v/>
      </c>
      <c r="I4136" s="319">
        <f>G4136-H4136</f>
        <v/>
      </c>
      <c r="J4136" s="319">
        <f>F4136-I4136</f>
        <v/>
      </c>
      <c r="K4136" s="516" t="n"/>
      <c r="L4136" s="516" t="n"/>
    </row>
    <row r="4137">
      <c r="B4137" s="1">
        <f>+B4136+1</f>
        <v/>
      </c>
      <c r="C4137" s="24" t="n">
        <v>45717</v>
      </c>
      <c r="D4137" s="24" t="n">
        <v>45747</v>
      </c>
      <c r="E4137" s="25" t="n">
        <v>31</v>
      </c>
      <c r="F4137" s="319">
        <f>J4136</f>
        <v/>
      </c>
      <c r="G4137" s="319">
        <f>-PMT($D$4112/$D$4114,45,$F$4124,,0)</f>
        <v/>
      </c>
      <c r="H4137" s="319">
        <f>($D$4112/$D$4114*F4137)</f>
        <v/>
      </c>
      <c r="I4137" s="319">
        <f>G4137-H4137</f>
        <v/>
      </c>
      <c r="J4137" s="319">
        <f>F4137-I4137</f>
        <v/>
      </c>
      <c r="K4137" s="516" t="n"/>
      <c r="L4137" s="516" t="n"/>
    </row>
    <row r="4138">
      <c r="B4138" s="1">
        <f>+B4137+1</f>
        <v/>
      </c>
      <c r="C4138" s="24" t="n">
        <v>45748</v>
      </c>
      <c r="D4138" s="24" t="n">
        <v>45777</v>
      </c>
      <c r="E4138" s="25" t="n">
        <v>30</v>
      </c>
      <c r="F4138" s="319">
        <f>J4137</f>
        <v/>
      </c>
      <c r="G4138" s="319">
        <f>-PMT($D$4112/$D$4114,45,$F$4124,,0)</f>
        <v/>
      </c>
      <c r="H4138" s="319">
        <f>($D$4112/$D$4114*F4138)</f>
        <v/>
      </c>
      <c r="I4138" s="319">
        <f>G4138-H4138</f>
        <v/>
      </c>
      <c r="J4138" s="319">
        <f>F4138-I4138</f>
        <v/>
      </c>
      <c r="K4138" s="516" t="n"/>
      <c r="L4138" s="516" t="n"/>
    </row>
    <row r="4139">
      <c r="B4139" s="1">
        <f>+B4138+1</f>
        <v/>
      </c>
      <c r="C4139" s="24" t="n">
        <v>45778</v>
      </c>
      <c r="D4139" s="24" t="n">
        <v>45808</v>
      </c>
      <c r="E4139" s="25" t="n">
        <v>31</v>
      </c>
      <c r="F4139" s="319">
        <f>J4138</f>
        <v/>
      </c>
      <c r="G4139" s="319">
        <f>-PMT($D$4112/$D$4114,45,$F$4124,,0)</f>
        <v/>
      </c>
      <c r="H4139" s="319">
        <f>($D$4112/$D$4114*F4139)</f>
        <v/>
      </c>
      <c r="I4139" s="319">
        <f>G4139-H4139</f>
        <v/>
      </c>
      <c r="J4139" s="319">
        <f>F4139-I4139</f>
        <v/>
      </c>
      <c r="K4139" s="516" t="n"/>
      <c r="L4139" s="516" t="n"/>
    </row>
    <row r="4140">
      <c r="B4140" s="1">
        <f>+B4139+1</f>
        <v/>
      </c>
      <c r="C4140" s="24" t="n">
        <v>45809</v>
      </c>
      <c r="D4140" s="24" t="n">
        <v>45838</v>
      </c>
      <c r="E4140" s="25" t="n">
        <v>30</v>
      </c>
      <c r="F4140" s="319">
        <f>J4139</f>
        <v/>
      </c>
      <c r="G4140" s="319">
        <f>-PMT($D$4112/$D$4114,45,$F$4124,,0)</f>
        <v/>
      </c>
      <c r="H4140" s="319">
        <f>($D$4112/$D$4114*F4140)</f>
        <v/>
      </c>
      <c r="I4140" s="319">
        <f>G4140-H4140</f>
        <v/>
      </c>
      <c r="J4140" s="319">
        <f>F4140-I4140</f>
        <v/>
      </c>
      <c r="K4140" s="516" t="n"/>
      <c r="L4140" s="516" t="n"/>
    </row>
    <row r="4141">
      <c r="B4141" s="1">
        <f>+B4140+1</f>
        <v/>
      </c>
      <c r="C4141" s="24" t="n">
        <v>45839</v>
      </c>
      <c r="D4141" s="24" t="n">
        <v>45868</v>
      </c>
      <c r="E4141" s="25" t="n">
        <v>30</v>
      </c>
      <c r="F4141" s="319">
        <f>J4140</f>
        <v/>
      </c>
      <c r="G4141" s="319">
        <f>-PMT($D$4112/$D$4114,45,$F$4124,,0)</f>
        <v/>
      </c>
      <c r="H4141" s="319">
        <f>($D$4112/$D$4114*F4141)</f>
        <v/>
      </c>
      <c r="I4141" s="319">
        <f>G4141-H4141</f>
        <v/>
      </c>
      <c r="J4141" s="319">
        <f>F4141-I4141</f>
        <v/>
      </c>
      <c r="K4141" s="516" t="n"/>
      <c r="L4141" s="516" t="n"/>
    </row>
    <row r="4142">
      <c r="B4142" s="1">
        <f>+B4141+1</f>
        <v/>
      </c>
      <c r="C4142" s="24" t="n">
        <v>45870</v>
      </c>
      <c r="D4142" s="24" t="n">
        <v>45899</v>
      </c>
      <c r="E4142" s="25" t="n">
        <v>30</v>
      </c>
      <c r="F4142" s="319">
        <f>J4141</f>
        <v/>
      </c>
      <c r="G4142" s="319">
        <f>-PMT($D$4112/$D$4114,45,$F$4124,,0)</f>
        <v/>
      </c>
      <c r="H4142" s="319">
        <f>($D$4112/$D$4114*F4142)</f>
        <v/>
      </c>
      <c r="I4142" s="319">
        <f>G4142-H4142</f>
        <v/>
      </c>
      <c r="J4142" s="319">
        <f>F4142-I4142</f>
        <v/>
      </c>
      <c r="K4142" s="516" t="n"/>
      <c r="L4142" s="516" t="n"/>
    </row>
    <row r="4143">
      <c r="B4143" s="1">
        <f>+B4142+1</f>
        <v/>
      </c>
      <c r="C4143" s="24" t="n">
        <v>45901</v>
      </c>
      <c r="D4143" s="24" t="n">
        <v>45930</v>
      </c>
      <c r="E4143" s="25" t="n">
        <v>30</v>
      </c>
      <c r="F4143" s="319">
        <f>J4142</f>
        <v/>
      </c>
      <c r="G4143" s="319">
        <f>-PMT($D$4112/$D$4114,45,$F$4124,,0)</f>
        <v/>
      </c>
      <c r="H4143" s="319">
        <f>($D$4112/$D$4114*F4143)</f>
        <v/>
      </c>
      <c r="I4143" s="319">
        <f>G4143-H4143</f>
        <v/>
      </c>
      <c r="J4143" s="319">
        <f>F4143-I4143</f>
        <v/>
      </c>
    </row>
    <row r="4144">
      <c r="B4144" s="1">
        <f>+B4143+1</f>
        <v/>
      </c>
      <c r="C4144" s="24" t="n">
        <v>45931</v>
      </c>
      <c r="D4144" s="24" t="n">
        <v>45961</v>
      </c>
      <c r="E4144" s="25" t="n">
        <v>31</v>
      </c>
      <c r="F4144" s="319">
        <f>J4143</f>
        <v/>
      </c>
      <c r="G4144" s="319">
        <f>-PMT($D$4112/$D$4114,45,$F$4124,,0)</f>
        <v/>
      </c>
      <c r="H4144" s="319">
        <f>($D$4112/$D$4114*F4144)</f>
        <v/>
      </c>
      <c r="I4144" s="319">
        <f>G4144-H4144</f>
        <v/>
      </c>
      <c r="J4144" s="319">
        <f>F4144-I4144</f>
        <v/>
      </c>
    </row>
    <row r="4145">
      <c r="B4145" s="1">
        <f>+B4144+1</f>
        <v/>
      </c>
      <c r="C4145" s="24" t="n">
        <v>45962</v>
      </c>
      <c r="D4145" s="24" t="n">
        <v>45991</v>
      </c>
      <c r="E4145" s="25" t="n">
        <v>30</v>
      </c>
      <c r="F4145" s="319">
        <f>J4144</f>
        <v/>
      </c>
      <c r="G4145" s="319">
        <f>-PMT($D$4112/$D$4114,45,$F$4124,,0)</f>
        <v/>
      </c>
      <c r="H4145" s="319">
        <f>($D$4112/$D$4114*F4145)</f>
        <v/>
      </c>
      <c r="I4145" s="319">
        <f>G4145-H4145</f>
        <v/>
      </c>
      <c r="J4145" s="319">
        <f>F4145-I4145</f>
        <v/>
      </c>
    </row>
    <row r="4146">
      <c r="B4146" s="1">
        <f>+B4145+1</f>
        <v/>
      </c>
      <c r="C4146" s="24" t="n">
        <v>45992</v>
      </c>
      <c r="D4146" s="24" t="n">
        <v>46022</v>
      </c>
      <c r="E4146" s="25" t="n">
        <v>31</v>
      </c>
      <c r="F4146" s="319">
        <f>J4145</f>
        <v/>
      </c>
      <c r="G4146" s="319">
        <f>-PMT($D$4112/$D$4114,45,$F$4124,,0)</f>
        <v/>
      </c>
      <c r="H4146" s="319">
        <f>($D$4112/$D$4114*F4146)</f>
        <v/>
      </c>
      <c r="I4146" s="319">
        <f>G4146-H4146</f>
        <v/>
      </c>
      <c r="J4146" s="319">
        <f>F4146-I4146</f>
        <v/>
      </c>
    </row>
    <row r="4147">
      <c r="B4147" s="1">
        <f>+B4146+1</f>
        <v/>
      </c>
      <c r="C4147" s="24" t="n">
        <v>46023</v>
      </c>
      <c r="D4147" s="24" t="n">
        <v>46053</v>
      </c>
      <c r="E4147" s="25" t="n">
        <v>31</v>
      </c>
      <c r="F4147" s="319">
        <f>J4146</f>
        <v/>
      </c>
      <c r="G4147" s="319">
        <f>-PMT($D$4112/$D$4114,45,$F$4124,,0)</f>
        <v/>
      </c>
      <c r="H4147" s="319">
        <f>($D$4112/$D$4114*F4147)</f>
        <v/>
      </c>
      <c r="I4147" s="319">
        <f>G4147-H4147</f>
        <v/>
      </c>
      <c r="J4147" s="319">
        <f>F4147-I4147</f>
        <v/>
      </c>
    </row>
    <row r="4148">
      <c r="B4148" s="1">
        <f>+B4147+1</f>
        <v/>
      </c>
      <c r="C4148" s="24" t="n">
        <v>46054</v>
      </c>
      <c r="D4148" s="24" t="n">
        <v>46081</v>
      </c>
      <c r="E4148" s="25" t="n">
        <v>28</v>
      </c>
      <c r="F4148" s="319">
        <f>J4147</f>
        <v/>
      </c>
      <c r="G4148" s="319">
        <f>-PMT($D$4112/$D$4114,45,$F$4124,,0)</f>
        <v/>
      </c>
      <c r="H4148" s="319">
        <f>($D$4112/$D$4114*F4148)</f>
        <v/>
      </c>
      <c r="I4148" s="319">
        <f>G4148-H4148</f>
        <v/>
      </c>
      <c r="J4148" s="319">
        <f>F4148-I4148</f>
        <v/>
      </c>
    </row>
    <row r="4149">
      <c r="B4149" s="1">
        <f>+B4148+1</f>
        <v/>
      </c>
      <c r="C4149" s="24" t="n">
        <v>46082</v>
      </c>
      <c r="D4149" s="24" t="n">
        <v>46112</v>
      </c>
      <c r="E4149" s="25" t="n">
        <v>31</v>
      </c>
      <c r="F4149" s="319">
        <f>J4148</f>
        <v/>
      </c>
      <c r="G4149" s="319">
        <f>-PMT($D$4112/$D$4114,45,$F$4124,,0)</f>
        <v/>
      </c>
      <c r="H4149" s="319">
        <f>($D$4112/$D$4114*F4149)</f>
        <v/>
      </c>
      <c r="I4149" s="319">
        <f>G4149-H4149</f>
        <v/>
      </c>
      <c r="J4149" s="319">
        <f>F4149-I4149</f>
        <v/>
      </c>
    </row>
    <row r="4150">
      <c r="B4150" s="1">
        <f>+B4149+1</f>
        <v/>
      </c>
      <c r="C4150" s="24" t="n">
        <v>46113</v>
      </c>
      <c r="D4150" s="24" t="n">
        <v>46142</v>
      </c>
      <c r="E4150" s="25" t="n">
        <v>30</v>
      </c>
      <c r="F4150" s="319">
        <f>J4149</f>
        <v/>
      </c>
      <c r="G4150" s="319">
        <f>-PMT($D$4112/$D$4114,45,$F$4124,,0)</f>
        <v/>
      </c>
      <c r="H4150" s="319">
        <f>($D$4112/$D$4114*F4150)</f>
        <v/>
      </c>
      <c r="I4150" s="319">
        <f>G4150-H4150</f>
        <v/>
      </c>
      <c r="J4150" s="319">
        <f>F4150-I4150</f>
        <v/>
      </c>
    </row>
    <row r="4151">
      <c r="B4151" s="1">
        <f>+B4150+1</f>
        <v/>
      </c>
      <c r="C4151" s="24" t="n">
        <v>46143</v>
      </c>
      <c r="D4151" s="24" t="n">
        <v>46173</v>
      </c>
      <c r="E4151" s="25" t="n">
        <v>31</v>
      </c>
      <c r="F4151" s="319">
        <f>J4150</f>
        <v/>
      </c>
      <c r="G4151" s="319">
        <f>-PMT($D$4112/$D$4114,45,$F$4124,,0)</f>
        <v/>
      </c>
      <c r="H4151" s="319">
        <f>($D$4112/$D$4114*F4151)</f>
        <v/>
      </c>
      <c r="I4151" s="319">
        <f>G4151-H4151</f>
        <v/>
      </c>
      <c r="J4151" s="319">
        <f>F4151-I4151</f>
        <v/>
      </c>
    </row>
    <row r="4152">
      <c r="B4152" s="1">
        <f>+B4151+1</f>
        <v/>
      </c>
      <c r="C4152" s="24" t="n">
        <v>46174</v>
      </c>
      <c r="D4152" s="24" t="n">
        <v>46203</v>
      </c>
      <c r="E4152" s="25" t="n">
        <v>30</v>
      </c>
      <c r="F4152" s="319">
        <f>J4151</f>
        <v/>
      </c>
      <c r="G4152" s="319">
        <f>-PMT($D$4112/$D$4114,45,$F$4124,,0)</f>
        <v/>
      </c>
      <c r="H4152" s="319">
        <f>($D$4112/$D$4114*F4152)</f>
        <v/>
      </c>
      <c r="I4152" s="319">
        <f>G4152-H4152</f>
        <v/>
      </c>
      <c r="J4152" s="319">
        <f>F4152-I4152</f>
        <v/>
      </c>
    </row>
    <row r="4153">
      <c r="B4153" s="1">
        <f>+B4152+1</f>
        <v/>
      </c>
      <c r="C4153" s="24" t="n">
        <v>46204</v>
      </c>
      <c r="D4153" s="24" t="n">
        <v>46234</v>
      </c>
      <c r="E4153" s="25" t="n">
        <v>31</v>
      </c>
      <c r="F4153" s="319">
        <f>J4152</f>
        <v/>
      </c>
      <c r="G4153" s="319">
        <f>-PMT($D$4112/$D$4114,45,$F$4124,,0)</f>
        <v/>
      </c>
      <c r="H4153" s="319">
        <f>($D$4112/$D$4114*F4153)</f>
        <v/>
      </c>
      <c r="I4153" s="319">
        <f>G4153-H4153</f>
        <v/>
      </c>
      <c r="J4153" s="319">
        <f>F4153-I4153</f>
        <v/>
      </c>
    </row>
    <row r="4154">
      <c r="B4154" s="1">
        <f>+B4153+1</f>
        <v/>
      </c>
      <c r="C4154" s="24" t="n">
        <v>46235</v>
      </c>
      <c r="D4154" s="24" t="n">
        <v>46265</v>
      </c>
      <c r="E4154" s="25" t="n">
        <v>31</v>
      </c>
      <c r="F4154" s="319">
        <f>J4153</f>
        <v/>
      </c>
      <c r="G4154" s="319">
        <f>-PMT($D$4112/$D$4114,45,$F$4124,,0)</f>
        <v/>
      </c>
      <c r="H4154" s="319">
        <f>($D$4112/$D$4114*F4154)</f>
        <v/>
      </c>
      <c r="I4154" s="319">
        <f>G4154-H4154</f>
        <v/>
      </c>
      <c r="J4154" s="319">
        <f>F4154-I4154</f>
        <v/>
      </c>
    </row>
    <row r="4155">
      <c r="B4155" s="1">
        <f>+B4154+1</f>
        <v/>
      </c>
      <c r="C4155" s="24" t="n">
        <v>46266</v>
      </c>
      <c r="D4155" s="24" t="n">
        <v>46295</v>
      </c>
      <c r="E4155" s="25" t="n">
        <v>30</v>
      </c>
      <c r="F4155" s="319">
        <f>J4154</f>
        <v/>
      </c>
      <c r="G4155" s="319">
        <f>-PMT($D$4112/$D$4114,45,$F$4124,,0)</f>
        <v/>
      </c>
      <c r="H4155" s="319">
        <f>($D$4112/$D$4114*F4155)</f>
        <v/>
      </c>
      <c r="I4155" s="319">
        <f>G4155-H4155</f>
        <v/>
      </c>
      <c r="J4155" s="319">
        <f>F4155-I4155</f>
        <v/>
      </c>
    </row>
    <row r="4156">
      <c r="B4156" s="1">
        <f>+B4155+1</f>
        <v/>
      </c>
      <c r="C4156" s="24" t="n">
        <v>46296</v>
      </c>
      <c r="D4156" s="24" t="n">
        <v>46326</v>
      </c>
      <c r="E4156" s="25" t="n">
        <v>31</v>
      </c>
      <c r="F4156" s="319">
        <f>J4155</f>
        <v/>
      </c>
      <c r="G4156" s="319">
        <f>-PMT($D$4112/$D$4114,45,$F$4124,,0)</f>
        <v/>
      </c>
      <c r="H4156" s="319">
        <f>($D$4112/$D$4114*F4156)</f>
        <v/>
      </c>
      <c r="I4156" s="319">
        <f>G4156-H4156</f>
        <v/>
      </c>
      <c r="J4156" s="319">
        <f>F4156-I4156</f>
        <v/>
      </c>
    </row>
    <row r="4157">
      <c r="B4157" s="1">
        <f>+B4156+1</f>
        <v/>
      </c>
      <c r="C4157" s="24" t="n">
        <v>46327</v>
      </c>
      <c r="D4157" s="24" t="n">
        <v>46356</v>
      </c>
      <c r="E4157" s="25" t="n">
        <v>30</v>
      </c>
      <c r="F4157" s="319">
        <f>J4156</f>
        <v/>
      </c>
      <c r="G4157" s="319">
        <f>-PMT($D$4112/$D$4114,45,$F$4124,,0)</f>
        <v/>
      </c>
      <c r="H4157" s="319">
        <f>($D$4112/$D$4114*F4157)</f>
        <v/>
      </c>
      <c r="I4157" s="319">
        <f>G4157-H4157</f>
        <v/>
      </c>
      <c r="J4157" s="319">
        <f>F4157-I4157</f>
        <v/>
      </c>
    </row>
    <row r="4158">
      <c r="B4158" s="1">
        <f>+B4157+1</f>
        <v/>
      </c>
      <c r="C4158" s="24" t="n">
        <v>46357</v>
      </c>
      <c r="D4158" s="24" t="n">
        <v>46387</v>
      </c>
      <c r="E4158" s="25" t="n">
        <v>31</v>
      </c>
      <c r="F4158" s="319">
        <f>J4157</f>
        <v/>
      </c>
      <c r="G4158" s="319">
        <f>-PMT($D$4112/$D$4114,45,$F$4124,,0)</f>
        <v/>
      </c>
      <c r="H4158" s="319">
        <f>($D$4112/$D$4114*F4158)</f>
        <v/>
      </c>
      <c r="I4158" s="319">
        <f>G4158-H4158</f>
        <v/>
      </c>
      <c r="J4158" s="319">
        <f>F4158-I4158</f>
        <v/>
      </c>
    </row>
    <row r="4159">
      <c r="B4159" s="1">
        <f>+B4158+1</f>
        <v/>
      </c>
      <c r="C4159" s="24" t="n">
        <v>46388</v>
      </c>
      <c r="D4159" s="24" t="n">
        <v>46418</v>
      </c>
      <c r="E4159" s="25" t="n">
        <v>31</v>
      </c>
      <c r="F4159" s="319">
        <f>J4158</f>
        <v/>
      </c>
      <c r="G4159" s="319">
        <f>-PMT($D$4112/$D$4114,45,$F$4124,,0)</f>
        <v/>
      </c>
      <c r="H4159" s="319">
        <f>($D$4112/$D$4114*F4159)</f>
        <v/>
      </c>
      <c r="I4159" s="319">
        <f>G4159-H4159</f>
        <v/>
      </c>
      <c r="J4159" s="319">
        <f>F4159-I4159</f>
        <v/>
      </c>
    </row>
    <row r="4160">
      <c r="B4160" s="1">
        <f>+B4159+1</f>
        <v/>
      </c>
      <c r="C4160" s="24" t="n">
        <v>46419</v>
      </c>
      <c r="D4160" s="24" t="n">
        <v>46446</v>
      </c>
      <c r="E4160" s="25" t="n">
        <v>28</v>
      </c>
      <c r="F4160" s="319">
        <f>J4159</f>
        <v/>
      </c>
      <c r="G4160" s="319">
        <f>-PMT($D$4112/$D$4114,45,$F$4124,,0)</f>
        <v/>
      </c>
      <c r="H4160" s="319">
        <f>($D$4112/$D$4114*F4160)</f>
        <v/>
      </c>
      <c r="I4160" s="319">
        <f>G4160-H4160</f>
        <v/>
      </c>
      <c r="J4160" s="319">
        <f>F4160-I4160</f>
        <v/>
      </c>
    </row>
    <row r="4161">
      <c r="B4161" s="1">
        <f>+B4160+1</f>
        <v/>
      </c>
      <c r="C4161" s="24" t="n">
        <v>46447</v>
      </c>
      <c r="D4161" s="24" t="n">
        <v>46477</v>
      </c>
      <c r="E4161" s="25" t="n">
        <v>31</v>
      </c>
      <c r="F4161" s="319">
        <f>J4160</f>
        <v/>
      </c>
      <c r="G4161" s="319">
        <f>-PMT($D$4112/$D$4114,45,$F$4124,,0)</f>
        <v/>
      </c>
      <c r="H4161" s="319">
        <f>($D$4112/$D$4114*F4161)</f>
        <v/>
      </c>
      <c r="I4161" s="319">
        <f>G4161-H4161</f>
        <v/>
      </c>
      <c r="J4161" s="319">
        <f>F4161-I4161</f>
        <v/>
      </c>
    </row>
    <row r="4162">
      <c r="B4162" s="1">
        <f>+B4161+1</f>
        <v/>
      </c>
      <c r="C4162" s="24" t="n">
        <v>46478</v>
      </c>
      <c r="D4162" s="24" t="n">
        <v>46507</v>
      </c>
      <c r="E4162" s="25" t="n">
        <v>30</v>
      </c>
      <c r="F4162" s="319">
        <f>J4161</f>
        <v/>
      </c>
      <c r="G4162" s="319">
        <f>-PMT($D$4112/$D$4114,45,$F$4124,,0)</f>
        <v/>
      </c>
      <c r="H4162" s="319">
        <f>($D$4112/$D$4114*F4162)</f>
        <v/>
      </c>
      <c r="I4162" s="319">
        <f>G4162-H4162</f>
        <v/>
      </c>
      <c r="J4162" s="319">
        <f>F4162-I4162</f>
        <v/>
      </c>
    </row>
    <row r="4163">
      <c r="B4163" s="1">
        <f>+B4162+1</f>
        <v/>
      </c>
      <c r="C4163" s="24" t="n">
        <v>46508</v>
      </c>
      <c r="D4163" s="24" t="n">
        <v>46538</v>
      </c>
      <c r="E4163" s="25" t="n">
        <v>31</v>
      </c>
      <c r="F4163" s="319">
        <f>J4162</f>
        <v/>
      </c>
      <c r="G4163" s="319">
        <f>-PMT($D$4112/$D$4114,45,$F$4124,,0)</f>
        <v/>
      </c>
      <c r="H4163" s="319">
        <f>($D$4112/$D$4114*F4163)</f>
        <v/>
      </c>
      <c r="I4163" s="319">
        <f>G4163-H4163</f>
        <v/>
      </c>
      <c r="J4163" s="319">
        <f>F4163-I4163</f>
        <v/>
      </c>
    </row>
    <row r="4164">
      <c r="B4164" s="1">
        <f>+B4163+1</f>
        <v/>
      </c>
      <c r="C4164" s="24" t="n">
        <v>46539</v>
      </c>
      <c r="D4164" s="24" t="n">
        <v>46568</v>
      </c>
      <c r="E4164" s="25" t="n">
        <v>30</v>
      </c>
      <c r="F4164" s="319">
        <f>J4163</f>
        <v/>
      </c>
      <c r="G4164" s="319">
        <f>-PMT($D$4112/$D$4114,45,$F$4124,,0)</f>
        <v/>
      </c>
      <c r="H4164" s="319">
        <f>($D$4112/$D$4114*F4164)</f>
        <v/>
      </c>
      <c r="I4164" s="319">
        <f>G4164-H4164</f>
        <v/>
      </c>
      <c r="J4164" s="319">
        <f>F4164-I4164</f>
        <v/>
      </c>
    </row>
    <row r="4165">
      <c r="B4165" s="1">
        <f>+B4164+1</f>
        <v/>
      </c>
      <c r="C4165" s="24" t="n">
        <v>46569</v>
      </c>
      <c r="D4165" s="24" t="n">
        <v>46599</v>
      </c>
      <c r="E4165" s="25" t="n">
        <v>31</v>
      </c>
      <c r="F4165" s="319">
        <f>J4164</f>
        <v/>
      </c>
      <c r="G4165" s="319">
        <f>-PMT($D$4112/$D$4114,45,$F$4124,,0)</f>
        <v/>
      </c>
      <c r="H4165" s="319">
        <f>($D$4112/$D$4114*F4165)</f>
        <v/>
      </c>
      <c r="I4165" s="319">
        <f>G4165-H4165</f>
        <v/>
      </c>
      <c r="J4165" s="319">
        <f>F4165-I4165</f>
        <v/>
      </c>
    </row>
    <row r="4166">
      <c r="B4166" s="1">
        <f>+B4165+1</f>
        <v/>
      </c>
      <c r="C4166" s="24" t="n">
        <v>46600</v>
      </c>
      <c r="D4166" s="24" t="n">
        <v>46630</v>
      </c>
      <c r="E4166" s="25" t="n">
        <v>31</v>
      </c>
      <c r="F4166" s="319">
        <f>J4165</f>
        <v/>
      </c>
      <c r="G4166" s="319">
        <f>-PMT($D$4112/$D$4114,45,$F$4124,,0)</f>
        <v/>
      </c>
      <c r="H4166" s="319">
        <f>($D$4112/$D$4114*F4166)</f>
        <v/>
      </c>
      <c r="I4166" s="319">
        <f>G4166-H4166</f>
        <v/>
      </c>
      <c r="J4166" s="319">
        <f>F4166-I4166</f>
        <v/>
      </c>
    </row>
    <row r="4167">
      <c r="B4167" s="1">
        <f>+B4166+1</f>
        <v/>
      </c>
      <c r="C4167" s="24">
        <f>+D4166+1</f>
        <v/>
      </c>
      <c r="D4167" s="24">
        <f>+C4167+29</f>
        <v/>
      </c>
      <c r="E4167" s="25" t="n">
        <v>30</v>
      </c>
      <c r="F4167" s="319">
        <f>J4166</f>
        <v/>
      </c>
      <c r="G4167" s="319">
        <f>-PMT($D$4112/$D$4114,45,$F$4124,,0)</f>
        <v/>
      </c>
      <c r="H4167" s="319">
        <f>($D$4112/$D$4114*F4167)</f>
        <v/>
      </c>
      <c r="I4167" s="319">
        <f>G4167-H4167</f>
        <v/>
      </c>
      <c r="J4167" s="319">
        <f>F4167-I4167</f>
        <v/>
      </c>
    </row>
    <row r="4168">
      <c r="B4168" s="1">
        <f>+B4167+1</f>
        <v/>
      </c>
      <c r="C4168" s="24">
        <f>+D4167+1</f>
        <v/>
      </c>
      <c r="D4168" s="24">
        <f>+C4168+30</f>
        <v/>
      </c>
      <c r="E4168" s="25" t="n">
        <v>31</v>
      </c>
      <c r="F4168" s="319">
        <f>J4167</f>
        <v/>
      </c>
      <c r="G4168" s="319">
        <f>-PMT($D$4112/$D$4114,45,$F$4124,,0)</f>
        <v/>
      </c>
      <c r="H4168" s="319">
        <f>($D$4112/$D$4114*F4168)</f>
        <v/>
      </c>
      <c r="I4168" s="319">
        <f>G4168-H4168</f>
        <v/>
      </c>
      <c r="J4168" s="319">
        <f>F4168-I4168</f>
        <v/>
      </c>
    </row>
    <row r="4173">
      <c r="B4173" s="1" t="n"/>
      <c r="C4173" s="9" t="inlineStr">
        <is>
          <t>Green Pharmacy</t>
        </is>
      </c>
      <c r="D4173" s="319" t="n"/>
      <c r="E4173" s="319" t="n"/>
      <c r="F4173" s="319" t="n"/>
      <c r="G4173" s="319" t="n"/>
      <c r="H4173" s="319" t="n"/>
      <c r="I4173" s="319" t="n"/>
      <c r="J4173" s="319" t="n"/>
      <c r="K4173" s="319" t="n"/>
      <c r="L4173" s="319" t="n"/>
      <c r="R4173" s="514" t="inlineStr">
        <is>
          <t>E-Banker account (Dupleix)</t>
        </is>
      </c>
      <c r="S4173" s="495">
        <f>IFERROR(INDEX('Blocks'!$I$2:$I$101,MATCH(76,'Blocks'!$A$2:$A$101,0)),"")</f>
        <v/>
      </c>
    </row>
    <row r="4174">
      <c r="B4174" s="1" t="n"/>
      <c r="C4174" s="1" t="n"/>
      <c r="D4174" s="319" t="n"/>
      <c r="E4174" s="319" t="n"/>
      <c r="F4174" s="319" t="n"/>
      <c r="G4174" s="319" t="n"/>
      <c r="H4174" s="319" t="n"/>
      <c r="I4174" s="319" t="n"/>
      <c r="J4174" s="319" t="n"/>
      <c r="K4174" s="319" t="n"/>
      <c r="L4174" s="319" t="n"/>
      <c r="R4174" s="514" t="inlineStr">
        <is>
          <t>Facility (Loan Book)</t>
        </is>
      </c>
      <c r="S4174" s="495">
        <f>IFERROR(INDEX('Blocks'!$H$2:$H$101,MATCH(76,'Blocks'!$A$2:$A$101,0)),"")</f>
        <v/>
      </c>
    </row>
    <row r="4175">
      <c r="B4175" s="1" t="n"/>
      <c r="C4175" s="10" t="inlineStr">
        <is>
          <t>Principal (MK)</t>
        </is>
      </c>
      <c r="D4175" s="11">
        <f>'[6]Amortization- GREEN P.'!$D$4</f>
        <v/>
      </c>
      <c r="E4175" s="319" t="n"/>
      <c r="F4175" s="319" t="n"/>
      <c r="G4175" s="319" t="n"/>
      <c r="H4175" s="319" t="n"/>
      <c r="I4175" s="319" t="n"/>
      <c r="J4175" s="319" t="n"/>
      <c r="K4175" s="319" t="n"/>
      <c r="L4175" s="319" t="n"/>
      <c r="R4175" s="514" t="inlineStr">
        <is>
          <t>Take-on posting 31 Jul 2024</t>
        </is>
      </c>
      <c r="S4175" s="496">
        <f>IFERROR(INDEX('E-Banker master'!$N$2:$N$186,MATCH(S4173,'E-Banker master'!$A$2:$A$186,0)),"")</f>
        <v/>
      </c>
    </row>
    <row r="4176">
      <c r="B4176" s="1" t="n"/>
      <c r="C4176" s="13" t="inlineStr">
        <is>
          <t>Rate</t>
        </is>
      </c>
      <c r="D4176" s="14" t="n">
        <v>0.1</v>
      </c>
      <c r="E4176" s="257" t="n"/>
      <c r="F4176" s="319" t="n"/>
      <c r="G4176" s="319" t="n"/>
      <c r="H4176" s="319" t="n"/>
      <c r="I4176" s="319" t="n"/>
      <c r="J4176" s="319" t="n"/>
      <c r="K4176" s="319" t="n"/>
      <c r="L4176" s="319" t="n"/>
      <c r="R4176" s="514" t="inlineStr">
        <is>
          <t>E-Banker balance 31 Oct 2024</t>
        </is>
      </c>
      <c r="S4176" s="496">
        <f>IFERROR(INDEX('E-Banker master'!$P$2:$P$186,MATCH(S4173,'E-Banker master'!$A$2:$A$186,0)),"")</f>
        <v/>
      </c>
    </row>
    <row r="4177">
      <c r="B4177" s="1" t="n"/>
      <c r="C4177" s="13" t="inlineStr">
        <is>
          <t>n</t>
        </is>
      </c>
      <c r="D4177" s="16" t="n">
        <v>3</v>
      </c>
      <c r="E4177" s="1" t="n"/>
      <c r="F4177" s="319" t="n"/>
      <c r="G4177" s="319" t="n"/>
      <c r="H4177" s="319" t="n"/>
      <c r="I4177" s="319" t="n"/>
      <c r="J4177" s="319" t="n"/>
      <c r="K4177" s="1" t="n"/>
      <c r="L4177" s="1" t="n"/>
    </row>
    <row r="4178">
      <c r="B4178" s="1" t="n"/>
      <c r="C4178" s="13" t="inlineStr">
        <is>
          <t>Per</t>
        </is>
      </c>
      <c r="D4178" s="16" t="n">
        <v>12</v>
      </c>
      <c r="E4178" s="1" t="n"/>
      <c r="F4178" s="319" t="n"/>
      <c r="G4178" s="319" t="n"/>
      <c r="H4178" s="319" t="n"/>
      <c r="I4178" s="319" t="n"/>
      <c r="J4178" s="319" t="n"/>
      <c r="K4178" s="1" t="n"/>
      <c r="L4178" s="1" t="n"/>
    </row>
    <row r="4179">
      <c r="B4179" s="1" t="n"/>
      <c r="C4179" s="13" t="inlineStr">
        <is>
          <t>nPer</t>
        </is>
      </c>
      <c r="D4179" s="515">
        <f>D4177*D4178</f>
        <v/>
      </c>
      <c r="E4179" s="1" t="n"/>
      <c r="F4179" s="319" t="n"/>
      <c r="G4179" s="319" t="n"/>
      <c r="H4179" s="319" t="n"/>
      <c r="I4179" s="319" t="n"/>
      <c r="J4179" s="319" t="n"/>
      <c r="K4179" s="1" t="n"/>
      <c r="L4179" s="1" t="n"/>
    </row>
    <row r="4180">
      <c r="B4180" s="1" t="n"/>
      <c r="C4180" s="13" t="inlineStr">
        <is>
          <t>Days in a year</t>
        </is>
      </c>
      <c r="D4180" s="18" t="n">
        <v>365</v>
      </c>
      <c r="E4180" s="1" t="n"/>
      <c r="F4180" s="319" t="n"/>
      <c r="G4180" s="319" t="n"/>
      <c r="H4180" s="319" t="n"/>
      <c r="I4180" s="319" t="n"/>
      <c r="J4180" s="319" t="n"/>
      <c r="K4180" s="1" t="n"/>
      <c r="L4180" s="1" t="n"/>
    </row>
    <row r="4181">
      <c r="B4181" s="1" t="n"/>
      <c r="C4181" s="19" t="inlineStr">
        <is>
          <t>Pmt (MK)</t>
        </is>
      </c>
      <c r="D4181" s="20">
        <f>-PMT(D4176/D4178,D4179,D4175,0,0)</f>
        <v/>
      </c>
      <c r="E4181" s="319" t="n"/>
      <c r="F4181" s="319" t="n"/>
      <c r="G4181" s="319" t="n"/>
      <c r="H4181" s="319" t="n"/>
      <c r="I4181" s="319" t="n"/>
      <c r="J4181" s="319" t="n"/>
      <c r="K4181" s="1" t="n"/>
      <c r="L4181" s="1" t="n"/>
    </row>
    <row r="4182">
      <c r="B4182" s="1" t="n"/>
      <c r="C4182" s="1" t="n"/>
      <c r="D4182" s="319" t="n"/>
      <c r="E4182" s="319" t="n"/>
      <c r="F4182" s="319" t="n"/>
      <c r="G4182" s="319" t="n"/>
      <c r="H4182" s="319" t="n"/>
      <c r="I4182" s="319" t="n"/>
      <c r="J4182" s="319" t="n"/>
      <c r="K4182" s="1" t="n"/>
      <c r="L4182" s="1" t="n"/>
    </row>
    <row r="4183">
      <c r="B4183" s="1" t="n"/>
      <c r="C4183" s="21" t="inlineStr">
        <is>
          <t>Period Start</t>
        </is>
      </c>
      <c r="D4183" s="22" t="inlineStr">
        <is>
          <t>Period End</t>
        </is>
      </c>
      <c r="E4183" s="22" t="inlineStr">
        <is>
          <t>Days</t>
        </is>
      </c>
      <c r="F4183" s="294" t="inlineStr">
        <is>
          <t>Opening bal.</t>
        </is>
      </c>
      <c r="G4183" s="294" t="inlineStr">
        <is>
          <t>Pmt</t>
        </is>
      </c>
      <c r="H4183" s="294" t="inlineStr">
        <is>
          <t>Interest</t>
        </is>
      </c>
      <c r="I4183" s="294" t="inlineStr">
        <is>
          <t>Principal</t>
        </is>
      </c>
      <c r="J4183" s="294" t="inlineStr">
        <is>
          <t>Closing balance</t>
        </is>
      </c>
      <c r="K4183" s="23" t="inlineStr">
        <is>
          <t>Amount Repaid</t>
        </is>
      </c>
      <c r="L4183" s="23" t="inlineStr">
        <is>
          <t>Accumulated Arrears</t>
        </is>
      </c>
    </row>
    <row r="4184">
      <c r="B4184" s="1" t="n">
        <v>0</v>
      </c>
      <c r="C4184" s="24" t="n">
        <v>45222</v>
      </c>
      <c r="D4184" s="24" t="n">
        <v>45230</v>
      </c>
      <c r="E4184" s="318">
        <f>+D4184-C4184</f>
        <v/>
      </c>
      <c r="F4184" s="319">
        <f>D4175</f>
        <v/>
      </c>
      <c r="G4184" s="319" t="n">
        <v>0</v>
      </c>
      <c r="H4184" s="319">
        <f>($D$4176/$D$4178*F4184*E4184/31)</f>
        <v/>
      </c>
      <c r="I4184" s="319">
        <f>G4184-H4184</f>
        <v/>
      </c>
      <c r="J4184" s="319">
        <f>F4184-I4184</f>
        <v/>
      </c>
    </row>
    <row r="4185">
      <c r="B4185" s="1" t="n">
        <v>1</v>
      </c>
      <c r="C4185" s="24" t="n">
        <v>45231</v>
      </c>
      <c r="D4185" s="24" t="n">
        <v>45260</v>
      </c>
      <c r="E4185" s="25" t="n">
        <v>30</v>
      </c>
      <c r="F4185" s="319">
        <f>J4184</f>
        <v/>
      </c>
      <c r="G4185" s="319" t="n"/>
      <c r="H4185" s="319">
        <f>($D$4176/$D$4178*F4185)</f>
        <v/>
      </c>
      <c r="I4185" s="319">
        <f>G4185-H4185</f>
        <v/>
      </c>
      <c r="J4185" s="319">
        <f>F4185-I4185</f>
        <v/>
      </c>
      <c r="K4185" s="516" t="n"/>
      <c r="L4185" s="516" t="n"/>
    </row>
    <row r="4186">
      <c r="B4186" s="1" t="n">
        <v>2</v>
      </c>
      <c r="C4186" s="24" t="n">
        <v>45261</v>
      </c>
      <c r="D4186" s="24" t="n">
        <v>45291</v>
      </c>
      <c r="E4186" s="25" t="n">
        <v>31</v>
      </c>
      <c r="F4186" s="319">
        <f>J4185</f>
        <v/>
      </c>
      <c r="G4186" s="319" t="n"/>
      <c r="H4186" s="319">
        <f>($D$4176/$D$4178*F4186)</f>
        <v/>
      </c>
      <c r="I4186" s="319">
        <f>G4186-H4186</f>
        <v/>
      </c>
      <c r="J4186" s="319">
        <f>F4186-I4186</f>
        <v/>
      </c>
      <c r="K4186" s="516" t="n"/>
      <c r="L4186" s="516" t="n"/>
    </row>
    <row r="4187">
      <c r="B4187" s="1">
        <f>+B4186+1</f>
        <v/>
      </c>
      <c r="C4187" s="24" t="n">
        <v>45292</v>
      </c>
      <c r="D4187" s="24" t="n">
        <v>45322</v>
      </c>
      <c r="E4187" s="25" t="n">
        <v>31</v>
      </c>
      <c r="F4187" s="319">
        <f>J4186</f>
        <v/>
      </c>
      <c r="G4187" s="319" t="n"/>
      <c r="H4187" s="319">
        <f>($D$4176/$D$4178*F4187)</f>
        <v/>
      </c>
      <c r="I4187" s="319">
        <f>G4187-H4187</f>
        <v/>
      </c>
      <c r="J4187" s="319">
        <f>F4187-I4187</f>
        <v/>
      </c>
      <c r="K4187" s="516" t="n"/>
      <c r="L4187" s="516" t="n"/>
    </row>
    <row r="4188">
      <c r="B4188" s="1">
        <f>+B4187+1</f>
        <v/>
      </c>
      <c r="C4188" s="24" t="n">
        <v>45323</v>
      </c>
      <c r="D4188" s="24" t="n">
        <v>45351</v>
      </c>
      <c r="E4188" s="25" t="n">
        <v>29</v>
      </c>
      <c r="F4188" s="319">
        <f>J4187</f>
        <v/>
      </c>
      <c r="G4188" s="319" t="n"/>
      <c r="H4188" s="319">
        <f>($D$4176/$D$4178*F4188)</f>
        <v/>
      </c>
      <c r="I4188" s="319">
        <f>G4188-H4188</f>
        <v/>
      </c>
      <c r="J4188" s="319">
        <f>F4188-I4188</f>
        <v/>
      </c>
      <c r="K4188" s="516" t="n"/>
      <c r="L4188" s="519" t="n"/>
    </row>
    <row r="4189">
      <c r="B4189" s="1">
        <f>+B4188+1</f>
        <v/>
      </c>
      <c r="C4189" s="24" t="n">
        <v>45352</v>
      </c>
      <c r="D4189" s="24" t="n">
        <v>45382</v>
      </c>
      <c r="E4189" s="25" t="n">
        <v>31</v>
      </c>
      <c r="F4189" s="319">
        <f>J4188</f>
        <v/>
      </c>
      <c r="G4189" s="319" t="n"/>
      <c r="H4189" s="319">
        <f>($D$4176/$D$4178*F4189)</f>
        <v/>
      </c>
      <c r="I4189" s="319">
        <f>G4189-H4189</f>
        <v/>
      </c>
      <c r="J4189" s="319">
        <f>F4189-I4189</f>
        <v/>
      </c>
      <c r="K4189" s="516" t="n"/>
      <c r="L4189" s="516" t="n"/>
    </row>
    <row r="4190">
      <c r="B4190" s="1">
        <f>+B4189+1</f>
        <v/>
      </c>
      <c r="C4190" s="24" t="n">
        <v>45383</v>
      </c>
      <c r="D4190" s="24" t="n">
        <v>45412</v>
      </c>
      <c r="E4190" s="25" t="n">
        <v>30</v>
      </c>
      <c r="F4190" s="319">
        <f>J4189</f>
        <v/>
      </c>
      <c r="G4190" s="319" t="n"/>
      <c r="H4190" s="319">
        <f>($D$4176/$D$4178*F4190)</f>
        <v/>
      </c>
      <c r="I4190" s="319">
        <f>G4190-H4190</f>
        <v/>
      </c>
      <c r="J4190" s="319">
        <f>F4190-I4190</f>
        <v/>
      </c>
      <c r="K4190" s="516" t="n"/>
      <c r="L4190" s="516" t="n"/>
    </row>
    <row r="4191">
      <c r="B4191" s="1">
        <f>+B4190+1</f>
        <v/>
      </c>
      <c r="C4191" s="24" t="n">
        <v>45413</v>
      </c>
      <c r="D4191" s="24" t="n">
        <v>45443</v>
      </c>
      <c r="E4191" s="25" t="n">
        <v>31</v>
      </c>
      <c r="F4191" s="319">
        <f>J4190</f>
        <v/>
      </c>
      <c r="G4191" s="319">
        <f>-PMT($D$4112/$D$4114,30,$F$4191,,0)</f>
        <v/>
      </c>
      <c r="H4191" s="319">
        <f>($D$4176/$D$4178*F4191)</f>
        <v/>
      </c>
      <c r="I4191" s="319">
        <f>G4191-H4191</f>
        <v/>
      </c>
      <c r="J4191" s="319">
        <f>F4191-I4191</f>
        <v/>
      </c>
      <c r="K4191" s="516" t="n"/>
      <c r="L4191" s="516">
        <f>+G4191+L4190-K4191</f>
        <v/>
      </c>
    </row>
    <row r="4192">
      <c r="B4192" s="1">
        <f>+B4191+1</f>
        <v/>
      </c>
      <c r="C4192" s="24" t="n">
        <v>45444</v>
      </c>
      <c r="D4192" s="24" t="n">
        <v>45473</v>
      </c>
      <c r="E4192" s="25" t="n">
        <v>30</v>
      </c>
      <c r="F4192" s="319">
        <f>J4191</f>
        <v/>
      </c>
      <c r="G4192" s="319">
        <f>-PMT($D$4112/$D$4114,30,$F$4191,,0)</f>
        <v/>
      </c>
      <c r="H4192" s="319">
        <f>($D$4176/$D$4178*F4192)</f>
        <v/>
      </c>
      <c r="I4192" s="319">
        <f>G4192-H4192</f>
        <v/>
      </c>
      <c r="J4192" s="319">
        <f>F4192-I4192</f>
        <v/>
      </c>
      <c r="K4192" s="516" t="n"/>
      <c r="L4192" s="516">
        <f>+G4192+L4191-K4192</f>
        <v/>
      </c>
    </row>
    <row r="4193">
      <c r="B4193" s="1">
        <f>+B4192+1</f>
        <v/>
      </c>
      <c r="C4193" s="24" t="n">
        <v>45474</v>
      </c>
      <c r="D4193" s="24" t="n">
        <v>45504</v>
      </c>
      <c r="E4193" s="25" t="n">
        <v>31</v>
      </c>
      <c r="F4193" s="319">
        <f>J4192</f>
        <v/>
      </c>
      <c r="G4193" s="319">
        <f>-PMT($D$4112/$D$4114,30,$F$4191,,0)</f>
        <v/>
      </c>
      <c r="H4193" s="319">
        <f>($D$4176/$D$4178*F4193)</f>
        <v/>
      </c>
      <c r="I4193" s="319">
        <f>G4193-H4193</f>
        <v/>
      </c>
      <c r="J4193" s="319">
        <f>F4193-I4193</f>
        <v/>
      </c>
      <c r="K4193" s="516" t="n"/>
      <c r="L4193" s="516">
        <f>+G4193+L4192-K4193</f>
        <v/>
      </c>
    </row>
    <row r="4194">
      <c r="B4194" s="1">
        <f>+B4193+1</f>
        <v/>
      </c>
      <c r="C4194" s="24" t="n">
        <v>45505</v>
      </c>
      <c r="D4194" s="24" t="n">
        <v>45535</v>
      </c>
      <c r="E4194" s="25" t="n">
        <v>31</v>
      </c>
      <c r="F4194" s="319">
        <f>J4193</f>
        <v/>
      </c>
      <c r="G4194" s="319">
        <f>-PMT($D$4112/$D$4114,30,$F$4191,,0)</f>
        <v/>
      </c>
      <c r="H4194" s="319">
        <f>($D$4176/$D$4178*F4194)</f>
        <v/>
      </c>
      <c r="I4194" s="319">
        <f>G4194-H4194</f>
        <v/>
      </c>
      <c r="J4194" s="319">
        <f>F4194-I4194</f>
        <v/>
      </c>
      <c r="K4194" s="516" t="n"/>
      <c r="L4194" s="516">
        <f>+G4194+L4193-K4194</f>
        <v/>
      </c>
    </row>
    <row r="4195">
      <c r="B4195" s="1">
        <f>+B4194+1</f>
        <v/>
      </c>
      <c r="C4195" s="24" t="n">
        <v>45536</v>
      </c>
      <c r="D4195" s="24" t="n">
        <v>45565</v>
      </c>
      <c r="E4195" s="25" t="n">
        <v>30</v>
      </c>
      <c r="F4195" s="319">
        <f>J4194</f>
        <v/>
      </c>
      <c r="G4195" s="319">
        <f>-PMT($D$4112/$D$4114,30,$F$4191,,0)</f>
        <v/>
      </c>
      <c r="H4195" s="319">
        <f>($D$4176/$D$4178*F4195)</f>
        <v/>
      </c>
      <c r="I4195" s="319">
        <f>G4195-H4195</f>
        <v/>
      </c>
      <c r="J4195" s="319">
        <f>F4195-I4195</f>
        <v/>
      </c>
      <c r="K4195" s="516" t="n"/>
      <c r="L4195" s="516">
        <f>+G4195+L4194-K4195</f>
        <v/>
      </c>
    </row>
    <row r="4196">
      <c r="B4196" s="1">
        <f>+B4195+1</f>
        <v/>
      </c>
      <c r="C4196" s="24" t="n">
        <v>45566</v>
      </c>
      <c r="D4196" s="24" t="n">
        <v>45596</v>
      </c>
      <c r="E4196" s="25" t="n">
        <v>31</v>
      </c>
      <c r="F4196" s="319">
        <f>J4195</f>
        <v/>
      </c>
      <c r="G4196" s="319">
        <f>-PMT($D$4112/$D$4114,30,$F$4191,,0)</f>
        <v/>
      </c>
      <c r="H4196" s="319">
        <f>($D$4176/$D$4178*F4196)</f>
        <v/>
      </c>
      <c r="I4196" s="319">
        <f>G4196-H4196</f>
        <v/>
      </c>
      <c r="J4196" s="319">
        <f>F4196-I4196</f>
        <v/>
      </c>
      <c r="K4196" s="516" t="n"/>
      <c r="L4196" s="523">
        <f>+G4196+L4195-K4196</f>
        <v/>
      </c>
    </row>
    <row r="4197">
      <c r="B4197" s="1">
        <f>+B4196+1</f>
        <v/>
      </c>
      <c r="C4197" s="24" t="n">
        <v>45597</v>
      </c>
      <c r="D4197" s="24" t="n">
        <v>45626</v>
      </c>
      <c r="E4197" s="25" t="n">
        <v>30</v>
      </c>
      <c r="F4197" s="319">
        <f>J4196</f>
        <v/>
      </c>
      <c r="G4197" s="319">
        <f>-PMT($D$4112/$D$4114,30,$F$4191,,0)</f>
        <v/>
      </c>
      <c r="H4197" s="319">
        <f>($D$4176/$D$4178*F4197)</f>
        <v/>
      </c>
      <c r="I4197" s="319">
        <f>G4197-H4197</f>
        <v/>
      </c>
      <c r="J4197" s="319">
        <f>F4197-I4197</f>
        <v/>
      </c>
      <c r="K4197" s="516" t="n"/>
      <c r="L4197" s="516" t="n"/>
    </row>
    <row r="4198">
      <c r="B4198" s="1">
        <f>+B4197+1</f>
        <v/>
      </c>
      <c r="C4198" s="24" t="n">
        <v>45627</v>
      </c>
      <c r="D4198" s="24" t="n">
        <v>45657</v>
      </c>
      <c r="E4198" s="25" t="n">
        <v>31</v>
      </c>
      <c r="F4198" s="319">
        <f>J4197</f>
        <v/>
      </c>
      <c r="G4198" s="319">
        <f>-PMT($D$4112/$D$4114,30,$F$4191,,0)</f>
        <v/>
      </c>
      <c r="H4198" s="319">
        <f>($D$4176/$D$4178*F4198)</f>
        <v/>
      </c>
      <c r="I4198" s="319">
        <f>G4198-H4198</f>
        <v/>
      </c>
      <c r="J4198" s="319">
        <f>F4198-I4198</f>
        <v/>
      </c>
      <c r="K4198" s="516" t="n"/>
      <c r="L4198" s="516" t="n"/>
    </row>
    <row r="4199">
      <c r="B4199" s="1">
        <f>+B4198+1</f>
        <v/>
      </c>
      <c r="C4199" s="24" t="n">
        <v>45658</v>
      </c>
      <c r="D4199" s="24" t="n">
        <v>45688</v>
      </c>
      <c r="E4199" s="25" t="n">
        <v>31</v>
      </c>
      <c r="F4199" s="319">
        <f>J4198</f>
        <v/>
      </c>
      <c r="G4199" s="319">
        <f>-PMT($D$4112/$D$4114,30,$F$4191,,0)</f>
        <v/>
      </c>
      <c r="H4199" s="319">
        <f>($D$4176/$D$4178*F4199)</f>
        <v/>
      </c>
      <c r="I4199" s="319">
        <f>G4199-H4199</f>
        <v/>
      </c>
      <c r="J4199" s="319">
        <f>F4199-I4199</f>
        <v/>
      </c>
      <c r="K4199" s="516" t="n"/>
      <c r="L4199" s="516" t="n"/>
    </row>
    <row r="4200">
      <c r="B4200" s="1">
        <f>+B4199+1</f>
        <v/>
      </c>
      <c r="C4200" s="24" t="n">
        <v>45689</v>
      </c>
      <c r="D4200" s="24" t="n">
        <v>45716</v>
      </c>
      <c r="E4200" s="25" t="n">
        <v>28</v>
      </c>
      <c r="F4200" s="319">
        <f>J4199</f>
        <v/>
      </c>
      <c r="G4200" s="319">
        <f>-PMT($D$4112/$D$4114,30,$F$4191,,0)</f>
        <v/>
      </c>
      <c r="H4200" s="319">
        <f>($D$4176/$D$4178*F4200)</f>
        <v/>
      </c>
      <c r="I4200" s="319">
        <f>G4200-H4200</f>
        <v/>
      </c>
      <c r="J4200" s="319">
        <f>F4200-I4200</f>
        <v/>
      </c>
      <c r="K4200" s="516" t="n"/>
      <c r="L4200" s="516" t="n"/>
    </row>
    <row r="4201">
      <c r="B4201" s="1">
        <f>+B4200+1</f>
        <v/>
      </c>
      <c r="C4201" s="24" t="n">
        <v>45717</v>
      </c>
      <c r="D4201" s="24" t="n">
        <v>45747</v>
      </c>
      <c r="E4201" s="25" t="n">
        <v>31</v>
      </c>
      <c r="F4201" s="319">
        <f>J4200</f>
        <v/>
      </c>
      <c r="G4201" s="319">
        <f>-PMT($D$4112/$D$4114,30,$F$4191,,0)</f>
        <v/>
      </c>
      <c r="H4201" s="319">
        <f>($D$4176/$D$4178*F4201)</f>
        <v/>
      </c>
      <c r="I4201" s="319">
        <f>G4201-H4201</f>
        <v/>
      </c>
      <c r="J4201" s="319">
        <f>F4201-I4201</f>
        <v/>
      </c>
      <c r="K4201" s="516" t="n"/>
      <c r="L4201" s="516" t="n"/>
    </row>
    <row r="4202">
      <c r="B4202" s="1">
        <f>+B4201+1</f>
        <v/>
      </c>
      <c r="C4202" s="24" t="n">
        <v>45748</v>
      </c>
      <c r="D4202" s="24" t="n">
        <v>45777</v>
      </c>
      <c r="E4202" s="25" t="n">
        <v>30</v>
      </c>
      <c r="F4202" s="319">
        <f>J4201</f>
        <v/>
      </c>
      <c r="G4202" s="319">
        <f>-PMT($D$4112/$D$4114,30,$F$4191,,0)</f>
        <v/>
      </c>
      <c r="H4202" s="319">
        <f>($D$4176/$D$4178*F4202)</f>
        <v/>
      </c>
      <c r="I4202" s="319">
        <f>G4202-H4202</f>
        <v/>
      </c>
      <c r="J4202" s="319">
        <f>F4202-I4202</f>
        <v/>
      </c>
      <c r="K4202" s="516" t="n"/>
      <c r="L4202" s="516" t="n"/>
    </row>
    <row r="4203">
      <c r="B4203" s="1">
        <f>+B4202+1</f>
        <v/>
      </c>
      <c r="C4203" s="24" t="n">
        <v>45778</v>
      </c>
      <c r="D4203" s="24" t="n">
        <v>45808</v>
      </c>
      <c r="E4203" s="25" t="n">
        <v>31</v>
      </c>
      <c r="F4203" s="319">
        <f>J4202</f>
        <v/>
      </c>
      <c r="G4203" s="319">
        <f>-PMT($D$4112/$D$4114,30,$F$4191,,0)</f>
        <v/>
      </c>
      <c r="H4203" s="319">
        <f>($D$4176/$D$4178*F4203)</f>
        <v/>
      </c>
      <c r="I4203" s="319">
        <f>G4203-H4203</f>
        <v/>
      </c>
      <c r="J4203" s="319">
        <f>F4203-I4203</f>
        <v/>
      </c>
      <c r="K4203" s="516" t="n"/>
      <c r="L4203" s="516" t="n"/>
    </row>
    <row r="4204">
      <c r="B4204" s="1">
        <f>+B4203+1</f>
        <v/>
      </c>
      <c r="C4204" s="24" t="n">
        <v>45809</v>
      </c>
      <c r="D4204" s="24" t="n">
        <v>45838</v>
      </c>
      <c r="E4204" s="25" t="n">
        <v>30</v>
      </c>
      <c r="F4204" s="319">
        <f>J4203</f>
        <v/>
      </c>
      <c r="G4204" s="319">
        <f>-PMT($D$4112/$D$4114,30,$F$4191,,0)</f>
        <v/>
      </c>
      <c r="H4204" s="319">
        <f>($D$4176/$D$4178*F4204)</f>
        <v/>
      </c>
      <c r="I4204" s="319">
        <f>G4204-H4204</f>
        <v/>
      </c>
      <c r="J4204" s="319">
        <f>F4204-I4204</f>
        <v/>
      </c>
      <c r="K4204" s="516" t="n"/>
      <c r="L4204" s="516" t="n"/>
    </row>
    <row r="4205">
      <c r="B4205" s="1">
        <f>+B4204+1</f>
        <v/>
      </c>
      <c r="C4205" s="24" t="n">
        <v>45839</v>
      </c>
      <c r="D4205" s="24" t="n">
        <v>45868</v>
      </c>
      <c r="E4205" s="25" t="n">
        <v>30</v>
      </c>
      <c r="F4205" s="319">
        <f>J4204</f>
        <v/>
      </c>
      <c r="G4205" s="319">
        <f>-PMT($D$4112/$D$4114,30,$F$4191,,0)</f>
        <v/>
      </c>
      <c r="H4205" s="319">
        <f>($D$4176/$D$4178*F4205)</f>
        <v/>
      </c>
      <c r="I4205" s="319">
        <f>G4205-H4205</f>
        <v/>
      </c>
      <c r="J4205" s="319">
        <f>F4205-I4205</f>
        <v/>
      </c>
      <c r="K4205" s="516" t="n"/>
      <c r="L4205" s="516" t="n"/>
    </row>
    <row r="4206">
      <c r="B4206" s="1">
        <f>+B4205+1</f>
        <v/>
      </c>
      <c r="C4206" s="24" t="n">
        <v>45870</v>
      </c>
      <c r="D4206" s="24" t="n">
        <v>45899</v>
      </c>
      <c r="E4206" s="25" t="n">
        <v>30</v>
      </c>
      <c r="F4206" s="319">
        <f>J4205</f>
        <v/>
      </c>
      <c r="G4206" s="319">
        <f>-PMT($D$4112/$D$4114,30,$F$4191,,0)</f>
        <v/>
      </c>
      <c r="H4206" s="319">
        <f>($D$4176/$D$4178*F4206)</f>
        <v/>
      </c>
      <c r="I4206" s="319">
        <f>G4206-H4206</f>
        <v/>
      </c>
      <c r="J4206" s="319">
        <f>F4206-I4206</f>
        <v/>
      </c>
      <c r="K4206" s="516" t="n"/>
      <c r="L4206" s="516" t="n"/>
    </row>
    <row r="4207">
      <c r="B4207" s="1">
        <f>+B4206+1</f>
        <v/>
      </c>
      <c r="C4207" s="24" t="n">
        <v>45901</v>
      </c>
      <c r="D4207" s="24" t="n">
        <v>45930</v>
      </c>
      <c r="E4207" s="25" t="n">
        <v>30</v>
      </c>
      <c r="F4207" s="319">
        <f>J4206</f>
        <v/>
      </c>
      <c r="G4207" s="319">
        <f>-PMT($D$4112/$D$4114,30,$F$4191,,0)</f>
        <v/>
      </c>
      <c r="H4207" s="319">
        <f>($D$4176/$D$4178*F4207)</f>
        <v/>
      </c>
      <c r="I4207" s="319">
        <f>G4207-H4207</f>
        <v/>
      </c>
      <c r="J4207" s="319">
        <f>F4207-I4207</f>
        <v/>
      </c>
    </row>
    <row r="4208">
      <c r="B4208" s="1">
        <f>+B4207+1</f>
        <v/>
      </c>
      <c r="C4208" s="24" t="n">
        <v>45931</v>
      </c>
      <c r="D4208" s="24" t="n">
        <v>45961</v>
      </c>
      <c r="E4208" s="25" t="n">
        <v>31</v>
      </c>
      <c r="F4208" s="319">
        <f>J4207</f>
        <v/>
      </c>
      <c r="G4208" s="319">
        <f>-PMT($D$4112/$D$4114,30,$F$4191,,0)</f>
        <v/>
      </c>
      <c r="H4208" s="319">
        <f>($D$4176/$D$4178*F4208)</f>
        <v/>
      </c>
      <c r="I4208" s="319">
        <f>G4208-H4208</f>
        <v/>
      </c>
      <c r="J4208" s="319">
        <f>F4208-I4208</f>
        <v/>
      </c>
    </row>
    <row r="4209">
      <c r="B4209" s="1">
        <f>+B4208+1</f>
        <v/>
      </c>
      <c r="C4209" s="24" t="n">
        <v>45962</v>
      </c>
      <c r="D4209" s="24" t="n">
        <v>45991</v>
      </c>
      <c r="E4209" s="25" t="n">
        <v>30</v>
      </c>
      <c r="F4209" s="319">
        <f>J4208</f>
        <v/>
      </c>
      <c r="G4209" s="319">
        <f>-PMT($D$4112/$D$4114,30,$F$4191,,0)</f>
        <v/>
      </c>
      <c r="H4209" s="319">
        <f>($D$4176/$D$4178*F4209)</f>
        <v/>
      </c>
      <c r="I4209" s="319">
        <f>G4209-H4209</f>
        <v/>
      </c>
      <c r="J4209" s="319">
        <f>F4209-I4209</f>
        <v/>
      </c>
    </row>
    <row r="4210">
      <c r="B4210" s="1">
        <f>+B4209+1</f>
        <v/>
      </c>
      <c r="C4210" s="24" t="n">
        <v>45992</v>
      </c>
      <c r="D4210" s="24" t="n">
        <v>46022</v>
      </c>
      <c r="E4210" s="25" t="n">
        <v>31</v>
      </c>
      <c r="F4210" s="319">
        <f>J4209</f>
        <v/>
      </c>
      <c r="G4210" s="319">
        <f>-PMT($D$4112/$D$4114,30,$F$4191,,0)</f>
        <v/>
      </c>
      <c r="H4210" s="319">
        <f>($D$4176/$D$4178*F4210)</f>
        <v/>
      </c>
      <c r="I4210" s="319">
        <f>G4210-H4210</f>
        <v/>
      </c>
      <c r="J4210" s="319">
        <f>F4210-I4210</f>
        <v/>
      </c>
    </row>
    <row r="4211">
      <c r="B4211" s="1">
        <f>+B4210+1</f>
        <v/>
      </c>
      <c r="C4211" s="24" t="n">
        <v>46023</v>
      </c>
      <c r="D4211" s="24" t="n">
        <v>46053</v>
      </c>
      <c r="E4211" s="25" t="n">
        <v>31</v>
      </c>
      <c r="F4211" s="319">
        <f>J4210</f>
        <v/>
      </c>
      <c r="G4211" s="319">
        <f>-PMT($D$4112/$D$4114,30,$F$4191,,0)</f>
        <v/>
      </c>
      <c r="H4211" s="319">
        <f>($D$4176/$D$4178*F4211)</f>
        <v/>
      </c>
      <c r="I4211" s="319">
        <f>G4211-H4211</f>
        <v/>
      </c>
      <c r="J4211" s="319">
        <f>F4211-I4211</f>
        <v/>
      </c>
    </row>
    <row r="4212">
      <c r="B4212" s="1">
        <f>+B4211+1</f>
        <v/>
      </c>
      <c r="C4212" s="24" t="n">
        <v>46054</v>
      </c>
      <c r="D4212" s="24" t="n">
        <v>46081</v>
      </c>
      <c r="E4212" s="25" t="n">
        <v>28</v>
      </c>
      <c r="F4212" s="319">
        <f>J4211</f>
        <v/>
      </c>
      <c r="G4212" s="319">
        <f>-PMT($D$4112/$D$4114,30,$F$4191,,0)</f>
        <v/>
      </c>
      <c r="H4212" s="319">
        <f>($D$4176/$D$4178*F4212)</f>
        <v/>
      </c>
      <c r="I4212" s="319">
        <f>G4212-H4212</f>
        <v/>
      </c>
      <c r="J4212" s="319">
        <f>F4212-I4212</f>
        <v/>
      </c>
    </row>
    <row r="4213">
      <c r="B4213" s="1">
        <f>+B4212+1</f>
        <v/>
      </c>
      <c r="C4213" s="24" t="n">
        <v>46082</v>
      </c>
      <c r="D4213" s="24" t="n">
        <v>46112</v>
      </c>
      <c r="E4213" s="25" t="n">
        <v>31</v>
      </c>
      <c r="F4213" s="319">
        <f>J4212</f>
        <v/>
      </c>
      <c r="G4213" s="319">
        <f>-PMT($D$4112/$D$4114,30,$F$4191,,0)</f>
        <v/>
      </c>
      <c r="H4213" s="319">
        <f>($D$4176/$D$4178*F4213)</f>
        <v/>
      </c>
      <c r="I4213" s="319">
        <f>G4213-H4213</f>
        <v/>
      </c>
      <c r="J4213" s="319">
        <f>F4213-I4213</f>
        <v/>
      </c>
    </row>
    <row r="4214">
      <c r="B4214" s="1">
        <f>+B4213+1</f>
        <v/>
      </c>
      <c r="C4214" s="24" t="n">
        <v>46113</v>
      </c>
      <c r="D4214" s="24" t="n">
        <v>46142</v>
      </c>
      <c r="E4214" s="25" t="n">
        <v>30</v>
      </c>
      <c r="F4214" s="319">
        <f>J4213</f>
        <v/>
      </c>
      <c r="G4214" s="319">
        <f>-PMT($D$4112/$D$4114,30,$F$4191,,0)</f>
        <v/>
      </c>
      <c r="H4214" s="319">
        <f>($D$4176/$D$4178*F4214)</f>
        <v/>
      </c>
      <c r="I4214" s="319">
        <f>G4214-H4214</f>
        <v/>
      </c>
      <c r="J4214" s="319">
        <f>F4214-I4214</f>
        <v/>
      </c>
    </row>
    <row r="4215">
      <c r="B4215" s="1">
        <f>+B4214+1</f>
        <v/>
      </c>
      <c r="C4215" s="24" t="n">
        <v>46143</v>
      </c>
      <c r="D4215" s="24" t="n">
        <v>46173</v>
      </c>
      <c r="E4215" s="25" t="n">
        <v>31</v>
      </c>
      <c r="F4215" s="319">
        <f>J4214</f>
        <v/>
      </c>
      <c r="G4215" s="319">
        <f>-PMT($D$4112/$D$4114,30,$F$4191,,0)</f>
        <v/>
      </c>
      <c r="H4215" s="319">
        <f>($D$4176/$D$4178*F4215)</f>
        <v/>
      </c>
      <c r="I4215" s="319">
        <f>G4215-H4215</f>
        <v/>
      </c>
      <c r="J4215" s="319">
        <f>F4215-I4215</f>
        <v/>
      </c>
    </row>
    <row r="4216">
      <c r="B4216" s="1">
        <f>+B4215+1</f>
        <v/>
      </c>
      <c r="C4216" s="24" t="n">
        <v>46174</v>
      </c>
      <c r="D4216" s="24" t="n">
        <v>46203</v>
      </c>
      <c r="E4216" s="25" t="n">
        <v>30</v>
      </c>
      <c r="F4216" s="319">
        <f>J4215</f>
        <v/>
      </c>
      <c r="G4216" s="319">
        <f>-PMT($D$4112/$D$4114,30,$F$4191,,0)</f>
        <v/>
      </c>
      <c r="H4216" s="319">
        <f>($D$4176/$D$4178*F4216)</f>
        <v/>
      </c>
      <c r="I4216" s="319">
        <f>G4216-H4216</f>
        <v/>
      </c>
      <c r="J4216" s="319">
        <f>F4216-I4216</f>
        <v/>
      </c>
    </row>
    <row r="4217">
      <c r="B4217" s="1">
        <f>+B4216+1</f>
        <v/>
      </c>
      <c r="C4217" s="24" t="n">
        <v>46204</v>
      </c>
      <c r="D4217" s="24" t="n">
        <v>46234</v>
      </c>
      <c r="E4217" s="25" t="n">
        <v>31</v>
      </c>
      <c r="F4217" s="319">
        <f>J4216</f>
        <v/>
      </c>
      <c r="G4217" s="319">
        <f>-PMT($D$4112/$D$4114,30,$F$4191,,0)</f>
        <v/>
      </c>
      <c r="H4217" s="319">
        <f>($D$4176/$D$4178*F4217)</f>
        <v/>
      </c>
      <c r="I4217" s="319">
        <f>G4217-H4217</f>
        <v/>
      </c>
      <c r="J4217" s="319">
        <f>F4217-I4217</f>
        <v/>
      </c>
    </row>
    <row r="4218">
      <c r="B4218" s="1">
        <f>+B4217+1</f>
        <v/>
      </c>
      <c r="C4218" s="24" t="n">
        <v>46235</v>
      </c>
      <c r="D4218" s="24" t="n">
        <v>46265</v>
      </c>
      <c r="E4218" s="25" t="n">
        <v>31</v>
      </c>
      <c r="F4218" s="319">
        <f>J4217</f>
        <v/>
      </c>
      <c r="G4218" s="319">
        <f>-PMT($D$4112/$D$4114,30,$F$4191,,0)</f>
        <v/>
      </c>
      <c r="H4218" s="319">
        <f>($D$4176/$D$4178*F4218)</f>
        <v/>
      </c>
      <c r="I4218" s="319">
        <f>G4218-H4218</f>
        <v/>
      </c>
      <c r="J4218" s="319">
        <f>F4218-I4218</f>
        <v/>
      </c>
    </row>
    <row r="4219">
      <c r="B4219" s="1">
        <f>+B4218+1</f>
        <v/>
      </c>
      <c r="C4219" s="24" t="n">
        <v>46266</v>
      </c>
      <c r="D4219" s="24" t="n">
        <v>46295</v>
      </c>
      <c r="E4219" s="25" t="n">
        <v>30</v>
      </c>
      <c r="F4219" s="319">
        <f>J4218</f>
        <v/>
      </c>
      <c r="G4219" s="319">
        <f>-PMT($D$4112/$D$4114,30,$F$4191,,0)</f>
        <v/>
      </c>
      <c r="H4219" s="319">
        <f>($D$4176/$D$4178*F4219)</f>
        <v/>
      </c>
      <c r="I4219" s="319">
        <f>G4219-H4219</f>
        <v/>
      </c>
      <c r="J4219" s="319">
        <f>F4219-I4219</f>
        <v/>
      </c>
    </row>
    <row r="4220">
      <c r="B4220" s="1">
        <f>+B4219+1</f>
        <v/>
      </c>
      <c r="C4220" s="24" t="n">
        <v>46296</v>
      </c>
      <c r="D4220" s="24" t="n">
        <v>46326</v>
      </c>
      <c r="E4220" s="25" t="n">
        <v>31</v>
      </c>
      <c r="F4220" s="319">
        <f>J4219</f>
        <v/>
      </c>
      <c r="G4220" s="319">
        <f>-PMT($D$4112/$D$4114,30,$F$4191,,0)</f>
        <v/>
      </c>
      <c r="H4220" s="319">
        <f>($D$4176/$D$4178*F4220)</f>
        <v/>
      </c>
      <c r="I4220" s="319">
        <f>G4220-H4220</f>
        <v/>
      </c>
      <c r="J4220" s="319">
        <f>F4220-I4220</f>
        <v/>
      </c>
    </row>
    <row r="4221">
      <c r="B4221" s="1" t="n"/>
      <c r="C4221" s="24" t="n"/>
      <c r="D4221" s="24" t="n"/>
      <c r="E4221" s="25" t="n"/>
      <c r="F4221" s="319" t="n"/>
      <c r="G4221" s="319" t="n"/>
      <c r="H4221" s="319" t="n"/>
      <c r="I4221" s="319" t="n"/>
      <c r="J4221" s="319" t="n"/>
    </row>
    <row r="4222">
      <c r="B4222" s="1" t="n"/>
      <c r="C4222" s="24" t="n"/>
      <c r="D4222" s="24" t="n"/>
      <c r="E4222" s="25" t="n"/>
      <c r="F4222" s="319" t="n"/>
      <c r="G4222" s="319" t="n"/>
      <c r="H4222" s="319" t="n"/>
      <c r="I4222" s="319" t="n"/>
      <c r="J4222" s="319" t="n"/>
    </row>
    <row r="4223">
      <c r="B4223" s="1" t="n"/>
      <c r="C4223" s="24" t="n"/>
      <c r="D4223" s="24" t="n"/>
      <c r="E4223" s="25" t="n"/>
      <c r="F4223" s="319" t="n"/>
      <c r="G4223" s="319" t="n"/>
      <c r="H4223" s="319" t="n"/>
      <c r="I4223" s="319" t="n"/>
      <c r="J4223" s="319" t="n"/>
    </row>
    <row r="4224">
      <c r="B4224" s="1" t="n"/>
      <c r="C4224" s="9" t="inlineStr">
        <is>
          <t>Lilongwe Private Clinic</t>
        </is>
      </c>
      <c r="D4224" s="319" t="n"/>
      <c r="E4224" s="319" t="n"/>
      <c r="F4224" s="319" t="n"/>
      <c r="G4224" s="319" t="n"/>
      <c r="H4224" s="319" t="n"/>
      <c r="I4224" s="319" t="n"/>
      <c r="J4224" s="319" t="n"/>
      <c r="K4224" s="319" t="n"/>
      <c r="L4224" s="319" t="n"/>
      <c r="R4224" s="514" t="inlineStr">
        <is>
          <t>E-Banker account (Dupleix)</t>
        </is>
      </c>
      <c r="S4224" s="495">
        <f>IFERROR(INDEX('Blocks'!$I$2:$I$101,MATCH(77,'Blocks'!$A$2:$A$101,0)),"")</f>
        <v/>
      </c>
    </row>
    <row r="4225">
      <c r="B4225" s="1" t="n"/>
      <c r="C4225" s="1" t="n"/>
      <c r="D4225" s="319" t="n"/>
      <c r="E4225" s="319" t="n"/>
      <c r="F4225" s="319" t="n"/>
      <c r="G4225" s="319" t="n"/>
      <c r="H4225" s="319" t="n"/>
      <c r="I4225" s="319" t="n"/>
      <c r="J4225" s="319" t="n"/>
      <c r="K4225" s="319" t="n"/>
      <c r="L4225" s="319" t="n"/>
      <c r="R4225" s="514" t="inlineStr">
        <is>
          <t>Facility (Loan Book)</t>
        </is>
      </c>
      <c r="S4225" s="495">
        <f>IFERROR(INDEX('Blocks'!$H$2:$H$101,MATCH(77,'Blocks'!$A$2:$A$101,0)),"")</f>
        <v/>
      </c>
    </row>
    <row r="4226">
      <c r="B4226" s="1" t="n"/>
      <c r="C4226" s="10" t="inlineStr">
        <is>
          <t>Principal (MK)</t>
        </is>
      </c>
      <c r="D4226" s="11">
        <f>'[6]Loan amortisation- LLWPC'!$D$4</f>
        <v/>
      </c>
      <c r="E4226" s="319" t="n"/>
      <c r="F4226" s="319" t="n"/>
      <c r="G4226" s="319" t="n"/>
      <c r="H4226" s="319" t="n"/>
      <c r="I4226" s="319" t="n"/>
      <c r="J4226" s="319" t="n"/>
      <c r="K4226" s="319" t="n"/>
      <c r="L4226" s="319" t="n"/>
      <c r="R4226" s="514" t="inlineStr">
        <is>
          <t>Take-on posting 31 Jul 2024</t>
        </is>
      </c>
      <c r="S4226" s="496">
        <f>IFERROR(INDEX('E-Banker master'!$N$2:$N$186,MATCH(S4224,'E-Banker master'!$A$2:$A$186,0)),"")</f>
        <v/>
      </c>
    </row>
    <row r="4227">
      <c r="B4227" s="1" t="n"/>
      <c r="C4227" s="13" t="inlineStr">
        <is>
          <t>Rate</t>
        </is>
      </c>
      <c r="D4227" s="14" t="n">
        <v>0.1</v>
      </c>
      <c r="E4227" s="257" t="n"/>
      <c r="F4227" s="319" t="n"/>
      <c r="G4227" s="319" t="n"/>
      <c r="H4227" s="319" t="n"/>
      <c r="I4227" s="319" t="n"/>
      <c r="J4227" s="319" t="n"/>
      <c r="K4227" s="319" t="n"/>
      <c r="L4227" s="319" t="n"/>
      <c r="R4227" s="514" t="inlineStr">
        <is>
          <t>E-Banker balance 31 Oct 2024</t>
        </is>
      </c>
      <c r="S4227" s="496">
        <f>IFERROR(INDEX('E-Banker master'!$P$2:$P$186,MATCH(S4224,'E-Banker master'!$A$2:$A$186,0)),"")</f>
        <v/>
      </c>
    </row>
    <row r="4228">
      <c r="B4228" s="1" t="n"/>
      <c r="C4228" s="13" t="inlineStr">
        <is>
          <t>n</t>
        </is>
      </c>
      <c r="D4228" s="16" t="n">
        <v>4</v>
      </c>
      <c r="E4228" s="1" t="n"/>
      <c r="F4228" s="319" t="n"/>
      <c r="G4228" s="319" t="n"/>
      <c r="H4228" s="319" t="n"/>
      <c r="I4228" s="319" t="n"/>
      <c r="J4228" s="319" t="n"/>
      <c r="K4228" s="1" t="n"/>
      <c r="L4228" s="1" t="n"/>
    </row>
    <row r="4229">
      <c r="B4229" s="1" t="n"/>
      <c r="C4229" s="13" t="inlineStr">
        <is>
          <t>Per</t>
        </is>
      </c>
      <c r="D4229" s="16" t="n">
        <v>12</v>
      </c>
      <c r="E4229" s="1" t="n"/>
      <c r="F4229" s="319" t="n"/>
      <c r="G4229" s="319" t="n"/>
      <c r="H4229" s="319" t="n"/>
      <c r="I4229" s="319" t="n"/>
      <c r="J4229" s="319" t="n"/>
      <c r="K4229" s="1" t="n"/>
      <c r="L4229" s="1" t="n"/>
    </row>
    <row r="4230">
      <c r="B4230" s="1" t="n"/>
      <c r="C4230" s="13" t="inlineStr">
        <is>
          <t>nPer</t>
        </is>
      </c>
      <c r="D4230" s="515">
        <f>D4228*D4229</f>
        <v/>
      </c>
      <c r="E4230" s="1" t="n"/>
      <c r="F4230" s="319" t="n"/>
      <c r="G4230" s="319" t="n"/>
      <c r="H4230" s="319" t="n"/>
      <c r="I4230" s="319" t="n"/>
      <c r="J4230" s="319" t="n"/>
      <c r="K4230" s="1" t="n"/>
      <c r="L4230" s="1" t="n"/>
    </row>
    <row r="4231">
      <c r="B4231" s="1" t="n"/>
      <c r="C4231" s="13" t="inlineStr">
        <is>
          <t>Days in a year</t>
        </is>
      </c>
      <c r="D4231" s="18" t="n">
        <v>365</v>
      </c>
      <c r="E4231" s="1" t="n"/>
      <c r="F4231" s="319" t="n"/>
      <c r="G4231" s="319" t="n"/>
      <c r="H4231" s="319" t="n"/>
      <c r="I4231" s="319" t="n"/>
      <c r="J4231" s="319" t="n"/>
      <c r="K4231" s="1" t="n"/>
      <c r="L4231" s="1" t="n"/>
    </row>
    <row r="4232">
      <c r="B4232" s="1" t="n"/>
      <c r="C4232" s="19" t="inlineStr">
        <is>
          <t>Pmt (MK)</t>
        </is>
      </c>
      <c r="D4232" s="20">
        <f>-PMT(D4227/D4229,D4230,D4226,0,0)</f>
        <v/>
      </c>
      <c r="E4232" s="319" t="n"/>
      <c r="F4232" s="319" t="n"/>
      <c r="G4232" s="319" t="n"/>
      <c r="H4232" s="319" t="n"/>
      <c r="I4232" s="319" t="n"/>
      <c r="J4232" s="319" t="n"/>
      <c r="K4232" s="1" t="n"/>
      <c r="L4232" s="1" t="n"/>
    </row>
    <row r="4233">
      <c r="B4233" s="1" t="n"/>
      <c r="C4233" s="1" t="n"/>
      <c r="D4233" s="319" t="n"/>
      <c r="E4233" s="319" t="n"/>
      <c r="F4233" s="319" t="n"/>
      <c r="G4233" s="319" t="n"/>
      <c r="H4233" s="319" t="n"/>
      <c r="I4233" s="319" t="n"/>
      <c r="J4233" s="319" t="n"/>
      <c r="K4233" s="1" t="n"/>
      <c r="L4233" s="1" t="n"/>
    </row>
    <row r="4234">
      <c r="B4234" s="1" t="n"/>
      <c r="C4234" s="21" t="inlineStr">
        <is>
          <t>Period Start</t>
        </is>
      </c>
      <c r="D4234" s="22" t="inlineStr">
        <is>
          <t>Period End</t>
        </is>
      </c>
      <c r="E4234" s="22" t="inlineStr">
        <is>
          <t>Days</t>
        </is>
      </c>
      <c r="F4234" s="294" t="inlineStr">
        <is>
          <t>Opening bal.</t>
        </is>
      </c>
      <c r="G4234" s="294" t="inlineStr">
        <is>
          <t>Pmt</t>
        </is>
      </c>
      <c r="H4234" s="294" t="inlineStr">
        <is>
          <t>Interest</t>
        </is>
      </c>
      <c r="I4234" s="294" t="inlineStr">
        <is>
          <t>Principal</t>
        </is>
      </c>
      <c r="J4234" s="294" t="inlineStr">
        <is>
          <t>Closing balance</t>
        </is>
      </c>
      <c r="K4234" s="23" t="inlineStr">
        <is>
          <t>Amount Repaid</t>
        </is>
      </c>
      <c r="L4234" s="23" t="inlineStr">
        <is>
          <t>Accumulated Arrears</t>
        </is>
      </c>
    </row>
    <row r="4235">
      <c r="B4235" s="1" t="n">
        <v>0</v>
      </c>
      <c r="C4235" s="24" t="n">
        <v>45217</v>
      </c>
      <c r="D4235" s="24" t="n">
        <v>45230</v>
      </c>
      <c r="E4235" s="318">
        <f>+D4235-C4235</f>
        <v/>
      </c>
      <c r="F4235" s="319">
        <f>D4226</f>
        <v/>
      </c>
      <c r="G4235" s="319" t="n">
        <v>524193.55</v>
      </c>
      <c r="H4235" s="319">
        <f>($D$4112/$D$4114*F4235*E4235/31)</f>
        <v/>
      </c>
      <c r="I4235" s="319">
        <f>G4235-H4235</f>
        <v/>
      </c>
      <c r="J4235" s="319">
        <f>F4235-I4235</f>
        <v/>
      </c>
    </row>
    <row r="4236">
      <c r="B4236" s="1" t="n">
        <v>1</v>
      </c>
      <c r="C4236" s="24" t="n">
        <v>45231</v>
      </c>
      <c r="D4236" s="24" t="n">
        <v>45260</v>
      </c>
      <c r="E4236" s="25" t="n">
        <v>30</v>
      </c>
      <c r="F4236" s="319">
        <f>J4235</f>
        <v/>
      </c>
      <c r="G4236" s="319" t="n">
        <v>1250000</v>
      </c>
      <c r="H4236" s="319">
        <f>($D$4227/$D$4229*F4235)</f>
        <v/>
      </c>
      <c r="I4236" s="319">
        <f>G4236-H4236</f>
        <v/>
      </c>
      <c r="J4236" s="319">
        <f>F4236-I4236</f>
        <v/>
      </c>
      <c r="K4236" s="516" t="n"/>
      <c r="L4236" s="516">
        <f>G4235+G4236</f>
        <v/>
      </c>
    </row>
    <row r="4237">
      <c r="B4237" s="1" t="n">
        <v>2</v>
      </c>
      <c r="C4237" s="24" t="n">
        <v>45261</v>
      </c>
      <c r="D4237" s="24" t="n">
        <v>45291</v>
      </c>
      <c r="E4237" s="25" t="n">
        <v>31</v>
      </c>
      <c r="F4237" s="319">
        <f>J4236</f>
        <v/>
      </c>
      <c r="G4237" s="319" t="n">
        <v>1250000</v>
      </c>
      <c r="H4237" s="319">
        <f>($D$4227/$D$4229*F4235)</f>
        <v/>
      </c>
      <c r="I4237" s="319">
        <f>G4237-H4237</f>
        <v/>
      </c>
      <c r="J4237" s="319">
        <f>F4237-I4237</f>
        <v/>
      </c>
      <c r="K4237" s="516" t="n"/>
      <c r="L4237" s="516">
        <f>L4236+G4237-K4237</f>
        <v/>
      </c>
    </row>
    <row r="4238">
      <c r="B4238" s="1">
        <f>+B4237+1</f>
        <v/>
      </c>
      <c r="C4238" s="24" t="n">
        <v>45292</v>
      </c>
      <c r="D4238" s="24" t="n">
        <v>45322</v>
      </c>
      <c r="E4238" s="25" t="n">
        <v>31</v>
      </c>
      <c r="F4238" s="319">
        <f>J4237</f>
        <v/>
      </c>
      <c r="G4238" s="319" t="n">
        <v>1250000</v>
      </c>
      <c r="H4238" s="319">
        <f>($D$4227/$D$4229*F4235)</f>
        <v/>
      </c>
      <c r="I4238" s="319">
        <f>G4238-H4238</f>
        <v/>
      </c>
      <c r="J4238" s="319">
        <f>F4238-I4238</f>
        <v/>
      </c>
      <c r="K4238" s="516" t="n">
        <v>2500000</v>
      </c>
      <c r="L4238" s="516">
        <f>L4237+G4238-K4238</f>
        <v/>
      </c>
    </row>
    <row r="4239">
      <c r="B4239" s="1">
        <f>+B4238+1</f>
        <v/>
      </c>
      <c r="C4239" s="24" t="n">
        <v>45323</v>
      </c>
      <c r="D4239" s="24" t="n">
        <v>45351</v>
      </c>
      <c r="E4239" s="25" t="n">
        <v>29</v>
      </c>
      <c r="F4239" s="319">
        <f>J4238</f>
        <v/>
      </c>
      <c r="G4239" s="319" t="n">
        <v>1250000</v>
      </c>
      <c r="H4239" s="319">
        <f>($D$4227/$D$4229*F4235)</f>
        <v/>
      </c>
      <c r="I4239" s="319">
        <f>G4239-H4239</f>
        <v/>
      </c>
      <c r="J4239" s="319">
        <f>F4239-I4239</f>
        <v/>
      </c>
      <c r="K4239" s="516" t="n">
        <v>2500000</v>
      </c>
      <c r="L4239" s="516">
        <f>L4238+G4239-K4239</f>
        <v/>
      </c>
    </row>
    <row r="4240">
      <c r="B4240" s="1">
        <f>+B4239+1</f>
        <v/>
      </c>
      <c r="C4240" s="24" t="n">
        <v>45352</v>
      </c>
      <c r="D4240" s="24" t="n">
        <v>45382</v>
      </c>
      <c r="E4240" s="25" t="n">
        <v>31</v>
      </c>
      <c r="F4240" s="319">
        <f>J4239</f>
        <v/>
      </c>
      <c r="G4240" s="319" t="n">
        <v>1250000</v>
      </c>
      <c r="H4240" s="319">
        <f>($D$4227/$D$4229*F4235)</f>
        <v/>
      </c>
      <c r="I4240" s="319">
        <f>G4240-H4240</f>
        <v/>
      </c>
      <c r="J4240" s="319">
        <f>F4240-I4240</f>
        <v/>
      </c>
      <c r="K4240" s="516" t="n">
        <v>1250000</v>
      </c>
      <c r="L4240" s="516">
        <f>L4239+G4240-K4240</f>
        <v/>
      </c>
    </row>
    <row r="4241">
      <c r="B4241" s="1">
        <f>+B4240+1</f>
        <v/>
      </c>
      <c r="C4241" s="24" t="n">
        <v>45383</v>
      </c>
      <c r="D4241" s="24" t="n">
        <v>45412</v>
      </c>
      <c r="E4241" s="25" t="n">
        <v>30</v>
      </c>
      <c r="F4241" s="319">
        <f>J4240</f>
        <v/>
      </c>
      <c r="G4241" s="319" t="n">
        <v>1250000</v>
      </c>
      <c r="H4241" s="319">
        <f>($D$4227/$D$4229*F4235)</f>
        <v/>
      </c>
      <c r="I4241" s="319">
        <f>G4241-H4241</f>
        <v/>
      </c>
      <c r="J4241" s="319">
        <f>F4241-I4241</f>
        <v/>
      </c>
      <c r="K4241" s="516" t="n">
        <v>1250000</v>
      </c>
      <c r="L4241" s="516">
        <f>L4240+G4241-K4241</f>
        <v/>
      </c>
    </row>
    <row r="4242">
      <c r="B4242" s="1">
        <f>+B4241+1</f>
        <v/>
      </c>
      <c r="C4242" s="24" t="n">
        <v>45413</v>
      </c>
      <c r="D4242" s="24" t="n">
        <v>45443</v>
      </c>
      <c r="E4242" s="25" t="n">
        <v>31</v>
      </c>
      <c r="F4242" s="319">
        <f>J4241</f>
        <v/>
      </c>
      <c r="G4242" s="319">
        <f>-PMT($D$4227/$D$4229,42,$F$4242,,0)</f>
        <v/>
      </c>
      <c r="H4242" s="319">
        <f>($D$4227/$D$4229*F4242)</f>
        <v/>
      </c>
      <c r="I4242" s="319">
        <f>G4242-H4242</f>
        <v/>
      </c>
      <c r="J4242" s="319">
        <f>F4242-I4242</f>
        <v/>
      </c>
      <c r="K4242" s="516" t="n"/>
      <c r="L4242" s="516">
        <f>L4241+G4242-K4242</f>
        <v/>
      </c>
    </row>
    <row r="4243">
      <c r="B4243" s="1">
        <f>+B4242+1</f>
        <v/>
      </c>
      <c r="C4243" s="24" t="n">
        <v>45444</v>
      </c>
      <c r="D4243" s="24" t="n">
        <v>45473</v>
      </c>
      <c r="E4243" s="25" t="n">
        <v>30</v>
      </c>
      <c r="F4243" s="319">
        <f>J4242</f>
        <v/>
      </c>
      <c r="G4243" s="319">
        <f>-PMT($D$4227/$D$4229,42,$F$4242,,0)</f>
        <v/>
      </c>
      <c r="H4243" s="319">
        <f>($D$4227/$D$4229*F4243)</f>
        <v/>
      </c>
      <c r="I4243" s="319">
        <f>G4243-H4243</f>
        <v/>
      </c>
      <c r="J4243" s="319">
        <f>F4243-I4243</f>
        <v/>
      </c>
      <c r="K4243" s="516" t="n">
        <v>4247552.9</v>
      </c>
      <c r="L4243" s="516">
        <f>L4242+G4243-K4243</f>
        <v/>
      </c>
    </row>
    <row r="4244">
      <c r="B4244" s="1">
        <f>+B4243+1</f>
        <v/>
      </c>
      <c r="C4244" s="24" t="n">
        <v>45474</v>
      </c>
      <c r="D4244" s="24" t="n">
        <v>45504</v>
      </c>
      <c r="E4244" s="25" t="n">
        <v>31</v>
      </c>
      <c r="F4244" s="319">
        <f>J4243</f>
        <v/>
      </c>
      <c r="G4244" s="319">
        <f>-PMT($D$4227/$D$4229,42,$F$4242,,0)</f>
        <v/>
      </c>
      <c r="H4244" s="319">
        <f>($D$4227/$D$4229*F4244)</f>
        <v/>
      </c>
      <c r="I4244" s="319">
        <f>G4244-H4244</f>
        <v/>
      </c>
      <c r="J4244" s="319">
        <f>F4244-I4244</f>
        <v/>
      </c>
      <c r="K4244" s="516" t="n">
        <v>4247552.9</v>
      </c>
      <c r="L4244" s="516">
        <f>L4243+G4244-K4244</f>
        <v/>
      </c>
    </row>
    <row r="4245">
      <c r="B4245" s="1">
        <f>+B4244+1</f>
        <v/>
      </c>
      <c r="C4245" s="24" t="n">
        <v>45505</v>
      </c>
      <c r="D4245" s="24" t="n">
        <v>45535</v>
      </c>
      <c r="E4245" s="25" t="n">
        <v>31</v>
      </c>
      <c r="F4245" s="319">
        <f>J4244</f>
        <v/>
      </c>
      <c r="G4245" s="319">
        <f>-PMT($D$4227/$D$4229,42,$F$4242,,0)</f>
        <v/>
      </c>
      <c r="H4245" s="319">
        <f>($D$4227/$D$4229*F4245)</f>
        <v/>
      </c>
      <c r="I4245" s="319">
        <f>G4245-H4245</f>
        <v/>
      </c>
      <c r="J4245" s="319">
        <f>F4245-I4245</f>
        <v/>
      </c>
      <c r="K4245" s="516">
        <f>4247552.9+4247552.9</f>
        <v/>
      </c>
      <c r="L4245" s="516">
        <f>L4244+G4245-K4245</f>
        <v/>
      </c>
    </row>
    <row r="4246">
      <c r="B4246" s="1">
        <f>+B4245+1</f>
        <v/>
      </c>
      <c r="C4246" s="24" t="n">
        <v>45536</v>
      </c>
      <c r="D4246" s="24" t="n">
        <v>45565</v>
      </c>
      <c r="E4246" s="25" t="n">
        <v>30</v>
      </c>
      <c r="F4246" s="319">
        <f>J4245</f>
        <v/>
      </c>
      <c r="G4246" s="319">
        <f>-PMT($D$4227/$D$4229,42,$F$4242,,0)</f>
        <v/>
      </c>
      <c r="H4246" s="319">
        <f>($D$4227/$D$4229*F4246)</f>
        <v/>
      </c>
      <c r="I4246" s="319">
        <f>G4246-H4246</f>
        <v/>
      </c>
      <c r="J4246" s="319">
        <f>F4246-I4246</f>
        <v/>
      </c>
      <c r="K4246" s="516" t="n"/>
      <c r="L4246" s="516">
        <f>L4245+G4246-K4246</f>
        <v/>
      </c>
    </row>
    <row r="4247">
      <c r="B4247" s="1">
        <f>+B4246+1</f>
        <v/>
      </c>
      <c r="C4247" s="24" t="n">
        <v>45566</v>
      </c>
      <c r="D4247" s="24" t="n">
        <v>45596</v>
      </c>
      <c r="E4247" s="25" t="n">
        <v>31</v>
      </c>
      <c r="F4247" s="319">
        <f>J4246</f>
        <v/>
      </c>
      <c r="G4247" s="319">
        <f>-PMT($D$4227/$D$4229,42,$F$4242,,0)</f>
        <v/>
      </c>
      <c r="H4247" s="319">
        <f>($D$4227/$D$4229*F4247)</f>
        <v/>
      </c>
      <c r="I4247" s="319">
        <f>G4247-H4247</f>
        <v/>
      </c>
      <c r="J4247" s="319">
        <f>F4247-I4247</f>
        <v/>
      </c>
      <c r="K4247" s="516" t="n">
        <v>4247552.9</v>
      </c>
      <c r="L4247" s="520">
        <f>L4246+G4247-K4247</f>
        <v/>
      </c>
    </row>
    <row r="4248">
      <c r="B4248" s="1">
        <f>+B4247+1</f>
        <v/>
      </c>
      <c r="C4248" s="24" t="n">
        <v>45597</v>
      </c>
      <c r="D4248" s="24" t="n">
        <v>45626</v>
      </c>
      <c r="E4248" s="25" t="n">
        <v>30</v>
      </c>
      <c r="F4248" s="319">
        <f>J4247</f>
        <v/>
      </c>
      <c r="G4248" s="319">
        <f>-PMT($D$4227/$D$4229,42,$F$4242,,0)</f>
        <v/>
      </c>
      <c r="H4248" s="319">
        <f>($D$4227/$D$4229*F4248)</f>
        <v/>
      </c>
      <c r="I4248" s="319">
        <f>G4248-H4248</f>
        <v/>
      </c>
      <c r="J4248" s="319">
        <f>F4248-I4248</f>
        <v/>
      </c>
      <c r="K4248" s="516" t="n"/>
      <c r="L4248" s="516" t="n"/>
    </row>
    <row r="4249">
      <c r="B4249" s="1">
        <f>+B4248+1</f>
        <v/>
      </c>
      <c r="C4249" s="24" t="n">
        <v>45627</v>
      </c>
      <c r="D4249" s="24" t="n">
        <v>45657</v>
      </c>
      <c r="E4249" s="25" t="n">
        <v>31</v>
      </c>
      <c r="F4249" s="319">
        <f>J4248</f>
        <v/>
      </c>
      <c r="G4249" s="319">
        <f>-PMT($D$4227/$D$4229,42,$F$4242,,0)</f>
        <v/>
      </c>
      <c r="H4249" s="319">
        <f>($D$4227/$D$4229*F4249)</f>
        <v/>
      </c>
      <c r="I4249" s="319">
        <f>G4249-H4249</f>
        <v/>
      </c>
      <c r="J4249" s="319">
        <f>F4249-I4249</f>
        <v/>
      </c>
      <c r="K4249" s="516" t="n"/>
      <c r="L4249" s="516" t="n"/>
    </row>
    <row r="4250">
      <c r="B4250" s="1">
        <f>+B4249+1</f>
        <v/>
      </c>
      <c r="C4250" s="24" t="n">
        <v>45658</v>
      </c>
      <c r="D4250" s="24" t="n">
        <v>45688</v>
      </c>
      <c r="E4250" s="25" t="n">
        <v>31</v>
      </c>
      <c r="F4250" s="319">
        <f>J4249</f>
        <v/>
      </c>
      <c r="G4250" s="319">
        <f>-PMT($D$4227/$D$4229,42,$F$4242,,0)</f>
        <v/>
      </c>
      <c r="H4250" s="319">
        <f>($D$4227/$D$4229*F4250)</f>
        <v/>
      </c>
      <c r="I4250" s="319">
        <f>G4250-H4250</f>
        <v/>
      </c>
      <c r="J4250" s="319">
        <f>F4250-I4250</f>
        <v/>
      </c>
      <c r="K4250" s="516" t="n"/>
      <c r="L4250" s="516" t="n"/>
    </row>
    <row r="4251">
      <c r="B4251" s="1">
        <f>+B4250+1</f>
        <v/>
      </c>
      <c r="C4251" s="24" t="n">
        <v>45689</v>
      </c>
      <c r="D4251" s="24" t="n">
        <v>45716</v>
      </c>
      <c r="E4251" s="25" t="n">
        <v>28</v>
      </c>
      <c r="F4251" s="319">
        <f>J4250</f>
        <v/>
      </c>
      <c r="G4251" s="319">
        <f>-PMT($D$4227/$D$4229,42,$F$4242,,0)</f>
        <v/>
      </c>
      <c r="H4251" s="319">
        <f>($D$4227/$D$4229*F4251)</f>
        <v/>
      </c>
      <c r="I4251" s="319">
        <f>G4251-H4251</f>
        <v/>
      </c>
      <c r="J4251" s="319">
        <f>F4251-I4251</f>
        <v/>
      </c>
      <c r="K4251" s="516" t="n"/>
      <c r="L4251" s="516" t="n"/>
    </row>
    <row r="4252">
      <c r="B4252" s="1">
        <f>+B4251+1</f>
        <v/>
      </c>
      <c r="C4252" s="24" t="n">
        <v>45717</v>
      </c>
      <c r="D4252" s="24" t="n">
        <v>45747</v>
      </c>
      <c r="E4252" s="25" t="n">
        <v>31</v>
      </c>
      <c r="F4252" s="319">
        <f>J4251</f>
        <v/>
      </c>
      <c r="G4252" s="319">
        <f>-PMT($D$4227/$D$4229,42,$F$4242,,0)</f>
        <v/>
      </c>
      <c r="H4252" s="319">
        <f>($D$4227/$D$4229*F4252)</f>
        <v/>
      </c>
      <c r="I4252" s="319">
        <f>G4252-H4252</f>
        <v/>
      </c>
      <c r="J4252" s="319">
        <f>F4252-I4252</f>
        <v/>
      </c>
      <c r="K4252" s="516" t="n"/>
      <c r="L4252" s="516" t="n"/>
    </row>
    <row r="4253">
      <c r="B4253" s="1">
        <f>+B4252+1</f>
        <v/>
      </c>
      <c r="C4253" s="24" t="n">
        <v>45748</v>
      </c>
      <c r="D4253" s="24" t="n">
        <v>45777</v>
      </c>
      <c r="E4253" s="25" t="n">
        <v>30</v>
      </c>
      <c r="F4253" s="319">
        <f>J4252</f>
        <v/>
      </c>
      <c r="G4253" s="319">
        <f>-PMT($D$4227/$D$4229,42,$F$4242,,0)</f>
        <v/>
      </c>
      <c r="H4253" s="319">
        <f>($D$4227/$D$4229*F4253)</f>
        <v/>
      </c>
      <c r="I4253" s="319">
        <f>G4253-H4253</f>
        <v/>
      </c>
      <c r="J4253" s="319">
        <f>F4253-I4253</f>
        <v/>
      </c>
      <c r="K4253" s="516" t="n"/>
      <c r="L4253" s="516" t="n"/>
    </row>
    <row r="4254">
      <c r="B4254" s="1">
        <f>+B4253+1</f>
        <v/>
      </c>
      <c r="C4254" s="24" t="n">
        <v>45778</v>
      </c>
      <c r="D4254" s="24" t="n">
        <v>45808</v>
      </c>
      <c r="E4254" s="25" t="n">
        <v>31</v>
      </c>
      <c r="F4254" s="319">
        <f>J4253</f>
        <v/>
      </c>
      <c r="G4254" s="319">
        <f>-PMT($D$4227/$D$4229,42,$F$4242,,0)</f>
        <v/>
      </c>
      <c r="H4254" s="319">
        <f>($D$4227/$D$4229*F4254)</f>
        <v/>
      </c>
      <c r="I4254" s="319">
        <f>G4254-H4254</f>
        <v/>
      </c>
      <c r="J4254" s="319">
        <f>F4254-I4254</f>
        <v/>
      </c>
      <c r="K4254" s="516" t="n"/>
      <c r="L4254" s="516" t="n"/>
    </row>
    <row r="4255">
      <c r="B4255" s="1">
        <f>+B4254+1</f>
        <v/>
      </c>
      <c r="C4255" s="24" t="n">
        <v>45809</v>
      </c>
      <c r="D4255" s="24" t="n">
        <v>45838</v>
      </c>
      <c r="E4255" s="25" t="n">
        <v>30</v>
      </c>
      <c r="F4255" s="319">
        <f>J4254</f>
        <v/>
      </c>
      <c r="G4255" s="319">
        <f>-PMT($D$4227/$D$4229,42,$F$4242,,0)</f>
        <v/>
      </c>
      <c r="H4255" s="319">
        <f>($D$4227/$D$4229*F4255)</f>
        <v/>
      </c>
      <c r="I4255" s="319">
        <f>G4255-H4255</f>
        <v/>
      </c>
      <c r="J4255" s="319">
        <f>F4255-I4255</f>
        <v/>
      </c>
      <c r="K4255" s="516" t="n"/>
      <c r="L4255" s="516" t="n"/>
    </row>
    <row r="4256">
      <c r="B4256" s="1">
        <f>+B4255+1</f>
        <v/>
      </c>
      <c r="C4256" s="24" t="n">
        <v>45839</v>
      </c>
      <c r="D4256" s="24" t="n">
        <v>45868</v>
      </c>
      <c r="E4256" s="25" t="n">
        <v>30</v>
      </c>
      <c r="F4256" s="319">
        <f>J4255</f>
        <v/>
      </c>
      <c r="G4256" s="319">
        <f>-PMT($D$4227/$D$4229,42,$F$4242,,0)</f>
        <v/>
      </c>
      <c r="H4256" s="319">
        <f>($D$4227/$D$4229*F4256)</f>
        <v/>
      </c>
      <c r="I4256" s="319">
        <f>G4256-H4256</f>
        <v/>
      </c>
      <c r="J4256" s="319">
        <f>F4256-I4256</f>
        <v/>
      </c>
      <c r="K4256" s="516" t="n"/>
      <c r="L4256" s="516" t="n"/>
    </row>
    <row r="4257">
      <c r="B4257" s="1">
        <f>+B4256+1</f>
        <v/>
      </c>
      <c r="C4257" s="24" t="n">
        <v>45870</v>
      </c>
      <c r="D4257" s="24" t="n">
        <v>45899</v>
      </c>
      <c r="E4257" s="25" t="n">
        <v>30</v>
      </c>
      <c r="F4257" s="319">
        <f>J4256</f>
        <v/>
      </c>
      <c r="G4257" s="319">
        <f>-PMT($D$4227/$D$4229,42,$F$4242,,0)</f>
        <v/>
      </c>
      <c r="H4257" s="319">
        <f>($D$4227/$D$4229*F4257)</f>
        <v/>
      </c>
      <c r="I4257" s="319">
        <f>G4257-H4257</f>
        <v/>
      </c>
      <c r="J4257" s="319">
        <f>F4257-I4257</f>
        <v/>
      </c>
      <c r="K4257" s="516" t="n"/>
      <c r="L4257" s="516" t="n"/>
    </row>
    <row r="4258">
      <c r="B4258" s="1">
        <f>+B4257+1</f>
        <v/>
      </c>
      <c r="C4258" s="24" t="n">
        <v>45901</v>
      </c>
      <c r="D4258" s="24" t="n">
        <v>45930</v>
      </c>
      <c r="E4258" s="25" t="n">
        <v>30</v>
      </c>
      <c r="F4258" s="319">
        <f>J4257</f>
        <v/>
      </c>
      <c r="G4258" s="319">
        <f>-PMT($D$4227/$D$4229,42,$F$4242,,0)</f>
        <v/>
      </c>
      <c r="H4258" s="319">
        <f>($D$4227/$D$4229*F4258)</f>
        <v/>
      </c>
      <c r="I4258" s="319">
        <f>G4258-H4258</f>
        <v/>
      </c>
      <c r="J4258" s="319">
        <f>F4258-I4258</f>
        <v/>
      </c>
    </row>
    <row r="4259">
      <c r="B4259" s="1">
        <f>+B4258+1</f>
        <v/>
      </c>
      <c r="C4259" s="24" t="n">
        <v>45931</v>
      </c>
      <c r="D4259" s="24" t="n">
        <v>45961</v>
      </c>
      <c r="E4259" s="25" t="n">
        <v>31</v>
      </c>
      <c r="F4259" s="319">
        <f>J4258</f>
        <v/>
      </c>
      <c r="G4259" s="319">
        <f>-PMT($D$4227/$D$4229,42,$F$4242,,0)</f>
        <v/>
      </c>
      <c r="H4259" s="319">
        <f>($D$4227/$D$4229*F4259)</f>
        <v/>
      </c>
      <c r="I4259" s="319">
        <f>G4259-H4259</f>
        <v/>
      </c>
      <c r="J4259" s="319">
        <f>F4259-I4259</f>
        <v/>
      </c>
    </row>
    <row r="4260">
      <c r="B4260" s="1">
        <f>+B4259+1</f>
        <v/>
      </c>
      <c r="C4260" s="24" t="n">
        <v>45962</v>
      </c>
      <c r="D4260" s="24" t="n">
        <v>45991</v>
      </c>
      <c r="E4260" s="25" t="n">
        <v>30</v>
      </c>
      <c r="F4260" s="319">
        <f>J4259</f>
        <v/>
      </c>
      <c r="G4260" s="319">
        <f>-PMT($D$4227/$D$4229,42,$F$4242,,0)</f>
        <v/>
      </c>
      <c r="H4260" s="319">
        <f>($D$4227/$D$4229*F4260)</f>
        <v/>
      </c>
      <c r="I4260" s="319">
        <f>G4260-H4260</f>
        <v/>
      </c>
      <c r="J4260" s="319">
        <f>F4260-I4260</f>
        <v/>
      </c>
    </row>
    <row r="4261">
      <c r="B4261" s="1">
        <f>+B4260+1</f>
        <v/>
      </c>
      <c r="C4261" s="24" t="n">
        <v>45992</v>
      </c>
      <c r="D4261" s="24" t="n">
        <v>46022</v>
      </c>
      <c r="E4261" s="25" t="n">
        <v>31</v>
      </c>
      <c r="F4261" s="319">
        <f>J4260</f>
        <v/>
      </c>
      <c r="G4261" s="319">
        <f>-PMT($D$4227/$D$4229,42,$F$4242,,0)</f>
        <v/>
      </c>
      <c r="H4261" s="319">
        <f>($D$4227/$D$4229*F4261)</f>
        <v/>
      </c>
      <c r="I4261" s="319">
        <f>G4261-H4261</f>
        <v/>
      </c>
      <c r="J4261" s="319">
        <f>F4261-I4261</f>
        <v/>
      </c>
    </row>
    <row r="4262">
      <c r="B4262" s="1">
        <f>+B4261+1</f>
        <v/>
      </c>
      <c r="C4262" s="24" t="n">
        <v>46023</v>
      </c>
      <c r="D4262" s="24" t="n">
        <v>46053</v>
      </c>
      <c r="E4262" s="25" t="n">
        <v>31</v>
      </c>
      <c r="F4262" s="319">
        <f>J4261</f>
        <v/>
      </c>
      <c r="G4262" s="319">
        <f>-PMT($D$4227/$D$4229,42,$F$4242,,0)</f>
        <v/>
      </c>
      <c r="H4262" s="319">
        <f>($D$4227/$D$4229*F4262)</f>
        <v/>
      </c>
      <c r="I4262" s="319">
        <f>G4262-H4262</f>
        <v/>
      </c>
      <c r="J4262" s="319">
        <f>F4262-I4262</f>
        <v/>
      </c>
    </row>
    <row r="4263">
      <c r="B4263" s="1">
        <f>+B4262+1</f>
        <v/>
      </c>
      <c r="C4263" s="24" t="n">
        <v>46054</v>
      </c>
      <c r="D4263" s="24" t="n">
        <v>46081</v>
      </c>
      <c r="E4263" s="25" t="n">
        <v>28</v>
      </c>
      <c r="F4263" s="319">
        <f>J4262</f>
        <v/>
      </c>
      <c r="G4263" s="319">
        <f>-PMT($D$4227/$D$4229,42,$F$4242,,0)</f>
        <v/>
      </c>
      <c r="H4263" s="319">
        <f>($D$4227/$D$4229*F4263)</f>
        <v/>
      </c>
      <c r="I4263" s="319">
        <f>G4263-H4263</f>
        <v/>
      </c>
      <c r="J4263" s="319">
        <f>F4263-I4263</f>
        <v/>
      </c>
    </row>
    <row r="4264">
      <c r="B4264" s="1">
        <f>+B4263+1</f>
        <v/>
      </c>
      <c r="C4264" s="24" t="n">
        <v>46082</v>
      </c>
      <c r="D4264" s="24" t="n">
        <v>46112</v>
      </c>
      <c r="E4264" s="25" t="n">
        <v>31</v>
      </c>
      <c r="F4264" s="319">
        <f>J4263</f>
        <v/>
      </c>
      <c r="G4264" s="319">
        <f>-PMT($D$4227/$D$4229,42,$F$4242,,0)</f>
        <v/>
      </c>
      <c r="H4264" s="319">
        <f>($D$4227/$D$4229*F4264)</f>
        <v/>
      </c>
      <c r="I4264" s="319">
        <f>G4264-H4264</f>
        <v/>
      </c>
      <c r="J4264" s="319">
        <f>F4264-I4264</f>
        <v/>
      </c>
    </row>
    <row r="4265">
      <c r="B4265" s="1">
        <f>+B4264+1</f>
        <v/>
      </c>
      <c r="C4265" s="24" t="n">
        <v>46113</v>
      </c>
      <c r="D4265" s="24" t="n">
        <v>46142</v>
      </c>
      <c r="E4265" s="25" t="n">
        <v>30</v>
      </c>
      <c r="F4265" s="319">
        <f>J4264</f>
        <v/>
      </c>
      <c r="G4265" s="319">
        <f>-PMT($D$4227/$D$4229,42,$F$4242,,0)</f>
        <v/>
      </c>
      <c r="H4265" s="319">
        <f>($D$4227/$D$4229*F4265)</f>
        <v/>
      </c>
      <c r="I4265" s="319">
        <f>G4265-H4265</f>
        <v/>
      </c>
      <c r="J4265" s="319">
        <f>F4265-I4265</f>
        <v/>
      </c>
    </row>
    <row r="4266">
      <c r="B4266" s="1">
        <f>+B4265+1</f>
        <v/>
      </c>
      <c r="C4266" s="24" t="n">
        <v>46143</v>
      </c>
      <c r="D4266" s="24" t="n">
        <v>46173</v>
      </c>
      <c r="E4266" s="25" t="n">
        <v>31</v>
      </c>
      <c r="F4266" s="319">
        <f>J4265</f>
        <v/>
      </c>
      <c r="G4266" s="319">
        <f>-PMT($D$4227/$D$4229,42,$F$4242,,0)</f>
        <v/>
      </c>
      <c r="H4266" s="319">
        <f>($D$4227/$D$4229*F4266)</f>
        <v/>
      </c>
      <c r="I4266" s="319">
        <f>G4266-H4266</f>
        <v/>
      </c>
      <c r="J4266" s="319">
        <f>F4266-I4266</f>
        <v/>
      </c>
    </row>
    <row r="4267">
      <c r="B4267" s="1">
        <f>+B4266+1</f>
        <v/>
      </c>
      <c r="C4267" s="24" t="n">
        <v>46174</v>
      </c>
      <c r="D4267" s="24" t="n">
        <v>46203</v>
      </c>
      <c r="E4267" s="25" t="n">
        <v>30</v>
      </c>
      <c r="F4267" s="319">
        <f>J4266</f>
        <v/>
      </c>
      <c r="G4267" s="319">
        <f>-PMT($D$4227/$D$4229,42,$F$4242,,0)</f>
        <v/>
      </c>
      <c r="H4267" s="319">
        <f>($D$4227/$D$4229*F4267)</f>
        <v/>
      </c>
      <c r="I4267" s="319">
        <f>G4267-H4267</f>
        <v/>
      </c>
      <c r="J4267" s="319">
        <f>F4267-I4267</f>
        <v/>
      </c>
    </row>
    <row r="4268">
      <c r="B4268" s="1">
        <f>+B4267+1</f>
        <v/>
      </c>
      <c r="C4268" s="24" t="n">
        <v>46204</v>
      </c>
      <c r="D4268" s="24" t="n">
        <v>46234</v>
      </c>
      <c r="E4268" s="25" t="n">
        <v>31</v>
      </c>
      <c r="F4268" s="319">
        <f>J4267</f>
        <v/>
      </c>
      <c r="G4268" s="319">
        <f>-PMT($D$4227/$D$4229,42,$F$4242,,0)</f>
        <v/>
      </c>
      <c r="H4268" s="319">
        <f>($D$4227/$D$4229*F4268)</f>
        <v/>
      </c>
      <c r="I4268" s="319">
        <f>G4268-H4268</f>
        <v/>
      </c>
      <c r="J4268" s="319">
        <f>F4268-I4268</f>
        <v/>
      </c>
    </row>
    <row r="4269">
      <c r="B4269" s="1">
        <f>+B4268+1</f>
        <v/>
      </c>
      <c r="C4269" s="24" t="n">
        <v>46235</v>
      </c>
      <c r="D4269" s="24" t="n">
        <v>46265</v>
      </c>
      <c r="E4269" s="25" t="n">
        <v>31</v>
      </c>
      <c r="F4269" s="319">
        <f>J4268</f>
        <v/>
      </c>
      <c r="G4269" s="319">
        <f>-PMT($D$4227/$D$4229,42,$F$4242,,0)</f>
        <v/>
      </c>
      <c r="H4269" s="319">
        <f>($D$4227/$D$4229*F4269)</f>
        <v/>
      </c>
      <c r="I4269" s="319">
        <f>G4269-H4269</f>
        <v/>
      </c>
      <c r="J4269" s="319">
        <f>F4269-I4269</f>
        <v/>
      </c>
    </row>
    <row r="4270">
      <c r="B4270" s="1">
        <f>+B4269+1</f>
        <v/>
      </c>
      <c r="C4270" s="24" t="n">
        <v>46266</v>
      </c>
      <c r="D4270" s="24" t="n">
        <v>46295</v>
      </c>
      <c r="E4270" s="25" t="n">
        <v>30</v>
      </c>
      <c r="F4270" s="319">
        <f>J4269</f>
        <v/>
      </c>
      <c r="G4270" s="319">
        <f>-PMT($D$4227/$D$4229,42,$F$4242,,0)</f>
        <v/>
      </c>
      <c r="H4270" s="319">
        <f>($D$4227/$D$4229*F4270)</f>
        <v/>
      </c>
      <c r="I4270" s="319">
        <f>G4270-H4270</f>
        <v/>
      </c>
      <c r="J4270" s="319">
        <f>F4270-I4270</f>
        <v/>
      </c>
    </row>
    <row r="4271">
      <c r="B4271" s="1">
        <f>+B4270+1</f>
        <v/>
      </c>
      <c r="C4271" s="24" t="n">
        <v>46296</v>
      </c>
      <c r="D4271" s="24" t="n">
        <v>46326</v>
      </c>
      <c r="E4271" s="25" t="n">
        <v>31</v>
      </c>
      <c r="F4271" s="319">
        <f>J4270</f>
        <v/>
      </c>
      <c r="G4271" s="319">
        <f>-PMT($D$4227/$D$4229,42,$F$4242,,0)</f>
        <v/>
      </c>
      <c r="H4271" s="319">
        <f>($D$4227/$D$4229*F4271)</f>
        <v/>
      </c>
      <c r="I4271" s="319">
        <f>G4271-H4271</f>
        <v/>
      </c>
      <c r="J4271" s="319">
        <f>F4271-I4271</f>
        <v/>
      </c>
    </row>
    <row r="4272">
      <c r="B4272" s="1">
        <f>+B4271+1</f>
        <v/>
      </c>
      <c r="C4272" s="24" t="n">
        <v>46327</v>
      </c>
      <c r="D4272" s="24" t="n">
        <v>46356</v>
      </c>
      <c r="E4272" s="25" t="n">
        <v>30</v>
      </c>
      <c r="F4272" s="319">
        <f>J4271</f>
        <v/>
      </c>
      <c r="G4272" s="319">
        <f>-PMT($D$4227/$D$4229,42,$F$4242,,0)</f>
        <v/>
      </c>
      <c r="H4272" s="319">
        <f>($D$4227/$D$4229*F4272)</f>
        <v/>
      </c>
      <c r="I4272" s="319">
        <f>G4272-H4272</f>
        <v/>
      </c>
      <c r="J4272" s="319">
        <f>F4272-I4272</f>
        <v/>
      </c>
    </row>
    <row r="4273">
      <c r="B4273" s="1">
        <f>+B4272+1</f>
        <v/>
      </c>
      <c r="C4273" s="24" t="n">
        <v>46357</v>
      </c>
      <c r="D4273" s="24" t="n">
        <v>46387</v>
      </c>
      <c r="E4273" s="25" t="n">
        <v>31</v>
      </c>
      <c r="F4273" s="319">
        <f>J4272</f>
        <v/>
      </c>
      <c r="G4273" s="319">
        <f>-PMT($D$4227/$D$4229,42,$F$4242,,0)</f>
        <v/>
      </c>
      <c r="H4273" s="319">
        <f>($D$4227/$D$4229*F4273)</f>
        <v/>
      </c>
      <c r="I4273" s="319">
        <f>G4273-H4273</f>
        <v/>
      </c>
      <c r="J4273" s="319">
        <f>F4273-I4273</f>
        <v/>
      </c>
    </row>
    <row r="4274">
      <c r="B4274" s="1">
        <f>+B4273+1</f>
        <v/>
      </c>
      <c r="C4274" s="24" t="n">
        <v>46388</v>
      </c>
      <c r="D4274" s="24" t="n">
        <v>46418</v>
      </c>
      <c r="E4274" s="25" t="n">
        <v>31</v>
      </c>
      <c r="F4274" s="319">
        <f>J4273</f>
        <v/>
      </c>
      <c r="G4274" s="319">
        <f>-PMT($D$4227/$D$4229,42,$F$4242,,0)</f>
        <v/>
      </c>
      <c r="H4274" s="319">
        <f>($D$4227/$D$4229*F4274)</f>
        <v/>
      </c>
      <c r="I4274" s="319">
        <f>G4274-H4274</f>
        <v/>
      </c>
      <c r="J4274" s="319">
        <f>F4274-I4274</f>
        <v/>
      </c>
    </row>
    <row r="4275">
      <c r="B4275" s="1">
        <f>+B4274+1</f>
        <v/>
      </c>
      <c r="C4275" s="24" t="n">
        <v>46419</v>
      </c>
      <c r="D4275" s="24" t="n">
        <v>46446</v>
      </c>
      <c r="E4275" s="25" t="n">
        <v>28</v>
      </c>
      <c r="F4275" s="319">
        <f>J4274</f>
        <v/>
      </c>
      <c r="G4275" s="319">
        <f>-PMT($D$4227/$D$4229,42,$F$4242,,0)</f>
        <v/>
      </c>
      <c r="H4275" s="319">
        <f>($D$4227/$D$4229*F4275)</f>
        <v/>
      </c>
      <c r="I4275" s="319">
        <f>G4275-H4275</f>
        <v/>
      </c>
      <c r="J4275" s="319">
        <f>F4275-I4275</f>
        <v/>
      </c>
    </row>
    <row r="4276">
      <c r="B4276" s="1">
        <f>+B4275+1</f>
        <v/>
      </c>
      <c r="C4276" s="24" t="n">
        <v>46447</v>
      </c>
      <c r="D4276" s="24" t="n">
        <v>46477</v>
      </c>
      <c r="E4276" s="25" t="n">
        <v>31</v>
      </c>
      <c r="F4276" s="319">
        <f>J4275</f>
        <v/>
      </c>
      <c r="G4276" s="319">
        <f>-PMT($D$4227/$D$4229,42,$F$4242,,0)</f>
        <v/>
      </c>
      <c r="H4276" s="319">
        <f>($D$4227/$D$4229*F4276)</f>
        <v/>
      </c>
      <c r="I4276" s="319">
        <f>G4276-H4276</f>
        <v/>
      </c>
      <c r="J4276" s="319">
        <f>F4276-I4276</f>
        <v/>
      </c>
    </row>
    <row r="4277">
      <c r="B4277" s="1">
        <f>+B4276+1</f>
        <v/>
      </c>
      <c r="C4277" s="24" t="n">
        <v>46478</v>
      </c>
      <c r="D4277" s="24" t="n">
        <v>46507</v>
      </c>
      <c r="E4277" s="25" t="n">
        <v>30</v>
      </c>
      <c r="F4277" s="319">
        <f>J4276</f>
        <v/>
      </c>
      <c r="G4277" s="319">
        <f>-PMT($D$4227/$D$4229,42,$F$4242,,0)</f>
        <v/>
      </c>
      <c r="H4277" s="319">
        <f>($D$4227/$D$4229*F4277)</f>
        <v/>
      </c>
      <c r="I4277" s="319">
        <f>G4277-H4277</f>
        <v/>
      </c>
      <c r="J4277" s="319">
        <f>F4277-I4277</f>
        <v/>
      </c>
    </row>
    <row r="4278">
      <c r="B4278" s="1">
        <f>+B4277+1</f>
        <v/>
      </c>
      <c r="C4278" s="24" t="n">
        <v>46508</v>
      </c>
      <c r="D4278" s="24" t="n">
        <v>46538</v>
      </c>
      <c r="E4278" s="25" t="n">
        <v>31</v>
      </c>
      <c r="F4278" s="319">
        <f>J4277</f>
        <v/>
      </c>
      <c r="G4278" s="319">
        <f>-PMT($D$4227/$D$4229,42,$F$4242,,0)</f>
        <v/>
      </c>
      <c r="H4278" s="319">
        <f>($D$4227/$D$4229*F4278)</f>
        <v/>
      </c>
      <c r="I4278" s="319">
        <f>G4278-H4278</f>
        <v/>
      </c>
      <c r="J4278" s="319">
        <f>F4278-I4278</f>
        <v/>
      </c>
    </row>
    <row r="4279">
      <c r="B4279" s="1">
        <f>+B4278+1</f>
        <v/>
      </c>
      <c r="C4279" s="24" t="n">
        <v>46539</v>
      </c>
      <c r="D4279" s="24" t="n">
        <v>46568</v>
      </c>
      <c r="E4279" s="25" t="n">
        <v>30</v>
      </c>
      <c r="F4279" s="319">
        <f>J4278</f>
        <v/>
      </c>
      <c r="G4279" s="319">
        <f>-PMT($D$4227/$D$4229,42,$F$4242,,0)</f>
        <v/>
      </c>
      <c r="H4279" s="319">
        <f>($D$4227/$D$4229*F4279)</f>
        <v/>
      </c>
      <c r="I4279" s="319">
        <f>G4279-H4279</f>
        <v/>
      </c>
      <c r="J4279" s="319">
        <f>F4279-I4279</f>
        <v/>
      </c>
    </row>
    <row r="4280">
      <c r="B4280" s="1">
        <f>+B4279+1</f>
        <v/>
      </c>
      <c r="C4280" s="24" t="n">
        <v>46569</v>
      </c>
      <c r="D4280" s="24" t="n">
        <v>46599</v>
      </c>
      <c r="E4280" s="25" t="n">
        <v>31</v>
      </c>
      <c r="F4280" s="319">
        <f>J4279</f>
        <v/>
      </c>
      <c r="G4280" s="319">
        <f>-PMT($D$4227/$D$4229,42,$F$4242,,0)</f>
        <v/>
      </c>
      <c r="H4280" s="319">
        <f>($D$4227/$D$4229*F4280)</f>
        <v/>
      </c>
      <c r="I4280" s="319">
        <f>G4280-H4280</f>
        <v/>
      </c>
      <c r="J4280" s="319">
        <f>F4280-I4280</f>
        <v/>
      </c>
    </row>
    <row r="4281">
      <c r="B4281" s="1">
        <f>+B4280+1</f>
        <v/>
      </c>
      <c r="C4281" s="24" t="n">
        <v>46600</v>
      </c>
      <c r="D4281" s="24" t="n">
        <v>46630</v>
      </c>
      <c r="E4281" s="25" t="n">
        <v>31</v>
      </c>
      <c r="F4281" s="319">
        <f>J4280</f>
        <v/>
      </c>
      <c r="G4281" s="319">
        <f>-PMT($D$4227/$D$4229,42,$F$4242,,0)</f>
        <v/>
      </c>
      <c r="H4281" s="319">
        <f>($D$4227/$D$4229*F4281)</f>
        <v/>
      </c>
      <c r="I4281" s="319">
        <f>G4281-H4281</f>
        <v/>
      </c>
      <c r="J4281" s="319">
        <f>F4281-I4281</f>
        <v/>
      </c>
    </row>
    <row r="4282">
      <c r="B4282" s="1">
        <f>+B4281+1</f>
        <v/>
      </c>
      <c r="C4282" s="24">
        <f>+D4281+1</f>
        <v/>
      </c>
      <c r="D4282" s="24">
        <f>+C4282+29</f>
        <v/>
      </c>
      <c r="E4282" s="25" t="n">
        <v>30</v>
      </c>
      <c r="F4282" s="319">
        <f>J4281</f>
        <v/>
      </c>
      <c r="G4282" s="319">
        <f>-PMT($D$4227/$D$4229,42,$F$4242,,0)</f>
        <v/>
      </c>
      <c r="H4282" s="319">
        <f>($D$4227/$D$4229*F4282)</f>
        <v/>
      </c>
      <c r="I4282" s="319">
        <f>G4282-H4282</f>
        <v/>
      </c>
      <c r="J4282" s="319">
        <f>F4282-I4282</f>
        <v/>
      </c>
    </row>
    <row r="4283">
      <c r="B4283" s="1">
        <f>+B4282+1</f>
        <v/>
      </c>
      <c r="C4283" s="24">
        <f>+D4282+1</f>
        <v/>
      </c>
      <c r="D4283" s="24">
        <f>+C4283+30</f>
        <v/>
      </c>
      <c r="E4283" s="25" t="n">
        <v>31</v>
      </c>
      <c r="F4283" s="319">
        <f>J4282</f>
        <v/>
      </c>
      <c r="G4283" s="319">
        <f>-PMT($D$4227/$D$4229,42,$F$4242,,0)</f>
        <v/>
      </c>
      <c r="H4283" s="319">
        <f>($D$4227/$D$4229*F4283)</f>
        <v/>
      </c>
      <c r="I4283" s="319">
        <f>G4283-H4283</f>
        <v/>
      </c>
      <c r="J4283" s="319">
        <f>F4283-I4283</f>
        <v/>
      </c>
    </row>
    <row r="4286">
      <c r="B4286" s="1" t="n"/>
      <c r="C4286" s="9" t="inlineStr">
        <is>
          <t>F&amp; K Construction</t>
        </is>
      </c>
      <c r="D4286" s="319" t="n"/>
      <c r="E4286" s="319" t="n"/>
      <c r="F4286" s="319" t="n"/>
      <c r="G4286" s="319" t="n"/>
      <c r="H4286" s="319" t="n"/>
      <c r="I4286" s="319" t="n"/>
      <c r="J4286" s="319" t="n"/>
      <c r="K4286" s="319" t="n"/>
      <c r="L4286" s="319" t="n"/>
      <c r="R4286" s="514" t="inlineStr">
        <is>
          <t>E-Banker account (Dupleix)</t>
        </is>
      </c>
      <c r="S4286" s="495">
        <f>IFERROR(INDEX('Blocks'!$I$2:$I$101,MATCH(78,'Blocks'!$A$2:$A$101,0)),"")</f>
        <v/>
      </c>
    </row>
    <row r="4287">
      <c r="B4287" s="1" t="n"/>
      <c r="C4287" s="1" t="n"/>
      <c r="D4287" s="319" t="n"/>
      <c r="E4287" s="319" t="n"/>
      <c r="F4287" s="319" t="n"/>
      <c r="G4287" s="319" t="n"/>
      <c r="H4287" s="319" t="n"/>
      <c r="I4287" s="319" t="n"/>
      <c r="J4287" s="319" t="n"/>
      <c r="K4287" s="319" t="n"/>
      <c r="L4287" s="319" t="n"/>
      <c r="R4287" s="514" t="inlineStr">
        <is>
          <t>Facility (Loan Book)</t>
        </is>
      </c>
      <c r="S4287" s="495">
        <f>IFERROR(INDEX('Blocks'!$H$2:$H$101,MATCH(78,'Blocks'!$A$2:$A$101,0)),"")</f>
        <v/>
      </c>
    </row>
    <row r="4288">
      <c r="B4288" s="1" t="n"/>
      <c r="C4288" s="10" t="inlineStr">
        <is>
          <t>Principal (MK)</t>
        </is>
      </c>
      <c r="D4288" s="11">
        <f>'[6]Loan amortisation- F&amp;K'!$D$4</f>
        <v/>
      </c>
      <c r="E4288" s="319" t="n"/>
      <c r="F4288" s="319" t="n"/>
      <c r="G4288" s="319" t="n"/>
      <c r="H4288" s="319" t="n"/>
      <c r="I4288" s="319" t="n"/>
      <c r="J4288" s="319" t="n"/>
      <c r="K4288" s="319" t="n"/>
      <c r="L4288" s="319" t="n"/>
      <c r="R4288" s="514" t="inlineStr">
        <is>
          <t>Take-on posting 31 Jul 2024</t>
        </is>
      </c>
      <c r="S4288" s="496">
        <f>IFERROR(INDEX('E-Banker master'!$N$2:$N$186,MATCH(S4286,'E-Banker master'!$A$2:$A$186,0)),"")</f>
        <v/>
      </c>
    </row>
    <row r="4289">
      <c r="B4289" s="1" t="n"/>
      <c r="C4289" s="13" t="inlineStr">
        <is>
          <t>Rate</t>
        </is>
      </c>
      <c r="D4289" s="14" t="n">
        <v>0.1</v>
      </c>
      <c r="E4289" s="257" t="n"/>
      <c r="F4289" s="319" t="n"/>
      <c r="G4289" s="319" t="n"/>
      <c r="H4289" s="319" t="n"/>
      <c r="I4289" s="319" t="n"/>
      <c r="J4289" s="319" t="n"/>
      <c r="K4289" s="319" t="n"/>
      <c r="L4289" s="319" t="n"/>
      <c r="R4289" s="514" t="inlineStr">
        <is>
          <t>E-Banker balance 31 Oct 2024</t>
        </is>
      </c>
      <c r="S4289" s="496">
        <f>IFERROR(INDEX('E-Banker master'!$P$2:$P$186,MATCH(S4286,'E-Banker master'!$A$2:$A$186,0)),"")</f>
        <v/>
      </c>
    </row>
    <row r="4290">
      <c r="B4290" s="1" t="n"/>
      <c r="C4290" s="13" t="inlineStr">
        <is>
          <t>n</t>
        </is>
      </c>
      <c r="D4290" s="16" t="n">
        <v>4</v>
      </c>
      <c r="E4290" s="1" t="n"/>
      <c r="F4290" s="319" t="n"/>
      <c r="G4290" s="319" t="n"/>
      <c r="H4290" s="319" t="n"/>
      <c r="I4290" s="319" t="n"/>
      <c r="J4290" s="319" t="n"/>
      <c r="K4290" s="1" t="n"/>
      <c r="L4290" s="1" t="n"/>
    </row>
    <row r="4291">
      <c r="B4291" s="1" t="n"/>
      <c r="C4291" s="13" t="inlineStr">
        <is>
          <t>Per</t>
        </is>
      </c>
      <c r="D4291" s="16" t="n">
        <v>12</v>
      </c>
      <c r="E4291" s="1" t="n"/>
      <c r="F4291" s="319" t="n"/>
      <c r="G4291" s="319" t="n"/>
      <c r="H4291" s="319" t="n"/>
      <c r="I4291" s="319" t="n"/>
      <c r="J4291" s="319" t="n"/>
      <c r="K4291" s="1" t="n"/>
      <c r="L4291" s="1" t="n"/>
    </row>
    <row r="4292">
      <c r="B4292" s="1" t="n"/>
      <c r="C4292" s="13" t="inlineStr">
        <is>
          <t>nPer</t>
        </is>
      </c>
      <c r="D4292" s="515">
        <f>D4290*D4291</f>
        <v/>
      </c>
      <c r="E4292" s="1" t="n"/>
      <c r="F4292" s="319" t="n"/>
      <c r="G4292" s="319" t="n"/>
      <c r="H4292" s="319" t="n"/>
      <c r="I4292" s="319" t="n"/>
      <c r="J4292" s="319" t="n"/>
      <c r="K4292" s="1" t="n"/>
      <c r="L4292" s="1" t="n"/>
    </row>
    <row r="4293">
      <c r="B4293" s="1" t="n"/>
      <c r="C4293" s="13" t="inlineStr">
        <is>
          <t>Days in a year</t>
        </is>
      </c>
      <c r="D4293" s="18" t="n">
        <v>365</v>
      </c>
      <c r="E4293" s="1" t="n"/>
      <c r="F4293" s="319" t="n"/>
      <c r="G4293" s="319" t="n"/>
      <c r="H4293" s="319" t="n"/>
      <c r="I4293" s="319" t="n"/>
      <c r="J4293" s="319" t="n"/>
      <c r="K4293" s="1" t="n"/>
      <c r="L4293" s="1" t="n"/>
    </row>
    <row r="4294">
      <c r="B4294" s="1" t="n"/>
      <c r="C4294" s="19" t="inlineStr">
        <is>
          <t>Pmt (MK)</t>
        </is>
      </c>
      <c r="D4294" s="20">
        <f>-PMT(D4289/D4291,D4292,D4288,0,0)</f>
        <v/>
      </c>
      <c r="E4294" s="319" t="n"/>
      <c r="F4294" s="319" t="n"/>
      <c r="G4294" s="319" t="n"/>
      <c r="H4294" s="319" t="n"/>
      <c r="I4294" s="319" t="n"/>
      <c r="J4294" s="319" t="n"/>
      <c r="K4294" s="1" t="n"/>
      <c r="L4294" s="1" t="n"/>
    </row>
    <row r="4295">
      <c r="B4295" s="1" t="n"/>
      <c r="C4295" s="1" t="n"/>
      <c r="D4295" s="319" t="n"/>
      <c r="E4295" s="319" t="n"/>
      <c r="F4295" s="319" t="n"/>
      <c r="G4295" s="319" t="n"/>
      <c r="H4295" s="319" t="n"/>
      <c r="I4295" s="319" t="n"/>
      <c r="J4295" s="319" t="n"/>
      <c r="K4295" s="1" t="n"/>
      <c r="L4295" s="1" t="n"/>
    </row>
    <row r="4296">
      <c r="B4296" s="1" t="n"/>
      <c r="C4296" s="21" t="inlineStr">
        <is>
          <t>Period Start</t>
        </is>
      </c>
      <c r="D4296" s="22" t="inlineStr">
        <is>
          <t>Period End</t>
        </is>
      </c>
      <c r="E4296" s="22" t="inlineStr">
        <is>
          <t>Days</t>
        </is>
      </c>
      <c r="F4296" s="294" t="inlineStr">
        <is>
          <t>Opening bal.</t>
        </is>
      </c>
      <c r="G4296" s="294" t="inlineStr">
        <is>
          <t>Pmt</t>
        </is>
      </c>
      <c r="H4296" s="294" t="inlineStr">
        <is>
          <t>Interest</t>
        </is>
      </c>
      <c r="I4296" s="294" t="inlineStr">
        <is>
          <t>Principal</t>
        </is>
      </c>
      <c r="J4296" s="294" t="inlineStr">
        <is>
          <t>Closing balance</t>
        </is>
      </c>
      <c r="K4296" s="23" t="inlineStr">
        <is>
          <t>Amount Repaid</t>
        </is>
      </c>
      <c r="L4296" s="23" t="inlineStr">
        <is>
          <t>Accumulated Arrears</t>
        </is>
      </c>
    </row>
    <row r="4297">
      <c r="B4297" s="1" t="n">
        <v>0</v>
      </c>
      <c r="C4297" s="24" t="n">
        <v>45217</v>
      </c>
      <c r="D4297" s="24" t="n">
        <v>45230</v>
      </c>
      <c r="E4297" s="318">
        <f>+D4297-C4297</f>
        <v/>
      </c>
      <c r="F4297" s="319">
        <f>D4288</f>
        <v/>
      </c>
      <c r="G4297" s="319" t="n">
        <v>419354.84</v>
      </c>
      <c r="H4297" s="319">
        <f>($D$4112/$D$4114*F4297*E4297/31)</f>
        <v/>
      </c>
      <c r="I4297" s="319">
        <f>G4297-H4297</f>
        <v/>
      </c>
      <c r="J4297" s="319">
        <f>F4297-I4297</f>
        <v/>
      </c>
    </row>
    <row r="4298">
      <c r="B4298" s="1" t="n">
        <v>1</v>
      </c>
      <c r="C4298" s="24" t="n">
        <v>45231</v>
      </c>
      <c r="D4298" s="24" t="n">
        <v>45260</v>
      </c>
      <c r="E4298" s="25" t="n">
        <v>30</v>
      </c>
      <c r="F4298" s="319">
        <f>J4297</f>
        <v/>
      </c>
      <c r="G4298" s="319" t="n">
        <v>1000000</v>
      </c>
      <c r="H4298" s="319">
        <f>($D$4289/$D$4291*$F$4297)</f>
        <v/>
      </c>
      <c r="I4298" s="319">
        <f>G4298-H4298</f>
        <v/>
      </c>
      <c r="J4298" s="319">
        <f>F4298-I4298</f>
        <v/>
      </c>
      <c r="K4298" s="516" t="n">
        <v>1000000</v>
      </c>
      <c r="L4298" s="516">
        <f>G4297+G4298-K4298</f>
        <v/>
      </c>
    </row>
    <row r="4299">
      <c r="B4299" s="1" t="n">
        <v>2</v>
      </c>
      <c r="C4299" s="24" t="n">
        <v>45261</v>
      </c>
      <c r="D4299" s="24" t="n">
        <v>45291</v>
      </c>
      <c r="E4299" s="25" t="n">
        <v>31</v>
      </c>
      <c r="F4299" s="319">
        <f>J4298</f>
        <v/>
      </c>
      <c r="G4299" s="319" t="n">
        <v>1000000</v>
      </c>
      <c r="H4299" s="319">
        <f>($D$4289/$D$4291*$F$4297)</f>
        <v/>
      </c>
      <c r="I4299" s="319">
        <f>G4299-H4299</f>
        <v/>
      </c>
      <c r="J4299" s="319">
        <f>F4299-I4299</f>
        <v/>
      </c>
      <c r="K4299" s="516" t="n">
        <v>1000000</v>
      </c>
      <c r="L4299" s="516">
        <f>L4298+G4299-K4299</f>
        <v/>
      </c>
    </row>
    <row r="4300">
      <c r="B4300" s="1">
        <f>+B4299+1</f>
        <v/>
      </c>
      <c r="C4300" s="24" t="n">
        <v>45292</v>
      </c>
      <c r="D4300" s="24" t="n">
        <v>45322</v>
      </c>
      <c r="E4300" s="25" t="n">
        <v>31</v>
      </c>
      <c r="F4300" s="319">
        <f>J4299</f>
        <v/>
      </c>
      <c r="G4300" s="319" t="n">
        <v>1000000</v>
      </c>
      <c r="H4300" s="319">
        <f>($D$4289/$D$4291*$F$4297)</f>
        <v/>
      </c>
      <c r="I4300" s="319">
        <f>G4300-H4300</f>
        <v/>
      </c>
      <c r="J4300" s="319">
        <f>F4300-I4300</f>
        <v/>
      </c>
      <c r="K4300" s="516" t="n">
        <v>1000000</v>
      </c>
      <c r="L4300" s="516">
        <f>L4299+G4300-K4300</f>
        <v/>
      </c>
    </row>
    <row r="4301">
      <c r="B4301" s="1">
        <f>+B4300+1</f>
        <v/>
      </c>
      <c r="C4301" s="24" t="n">
        <v>45323</v>
      </c>
      <c r="D4301" s="24" t="n">
        <v>45351</v>
      </c>
      <c r="E4301" s="25" t="n">
        <v>29</v>
      </c>
      <c r="F4301" s="319">
        <f>J4300</f>
        <v/>
      </c>
      <c r="G4301" s="319" t="n">
        <v>1000000</v>
      </c>
      <c r="H4301" s="319">
        <f>($D$4289/$D$4291*$F$4297)</f>
        <v/>
      </c>
      <c r="I4301" s="319">
        <f>G4301-H4301</f>
        <v/>
      </c>
      <c r="J4301" s="319">
        <f>F4301-I4301</f>
        <v/>
      </c>
      <c r="K4301" s="516" t="n">
        <v>0</v>
      </c>
      <c r="L4301" s="516">
        <f>L4300+G4301-K4301</f>
        <v/>
      </c>
    </row>
    <row r="4302">
      <c r="B4302" s="1">
        <f>+B4301+1</f>
        <v/>
      </c>
      <c r="C4302" s="24" t="n">
        <v>45352</v>
      </c>
      <c r="D4302" s="24" t="n">
        <v>45382</v>
      </c>
      <c r="E4302" s="25" t="n">
        <v>31</v>
      </c>
      <c r="F4302" s="319">
        <f>J4301</f>
        <v/>
      </c>
      <c r="G4302" s="319" t="n">
        <v>1000000</v>
      </c>
      <c r="H4302" s="319">
        <f>($D$4289/$D$4291*$F$4297)</f>
        <v/>
      </c>
      <c r="I4302" s="319">
        <f>G4302-H4302</f>
        <v/>
      </c>
      <c r="J4302" s="319">
        <f>F4302-I4302</f>
        <v/>
      </c>
      <c r="K4302" s="516" t="n"/>
      <c r="L4302" s="516">
        <f>L4301+G4302-K4302</f>
        <v/>
      </c>
    </row>
    <row r="4303">
      <c r="B4303" s="1">
        <f>+B4302+1</f>
        <v/>
      </c>
      <c r="C4303" s="24" t="n">
        <v>45383</v>
      </c>
      <c r="D4303" s="24" t="n">
        <v>45412</v>
      </c>
      <c r="E4303" s="25" t="n">
        <v>30</v>
      </c>
      <c r="F4303" s="319">
        <f>J4302</f>
        <v/>
      </c>
      <c r="G4303" s="319" t="n">
        <v>1000000</v>
      </c>
      <c r="H4303" s="319">
        <f>($D$4289/$D$4291*$F$4297)</f>
        <v/>
      </c>
      <c r="I4303" s="319">
        <f>G4303-H4303</f>
        <v/>
      </c>
      <c r="J4303" s="319">
        <f>F4303-I4303</f>
        <v/>
      </c>
      <c r="K4303" s="516">
        <f>1000000+1000000</f>
        <v/>
      </c>
      <c r="L4303" s="516">
        <f>L4302+G4303-K4303</f>
        <v/>
      </c>
    </row>
    <row r="4304">
      <c r="B4304" s="1">
        <f>+B4303+1</f>
        <v/>
      </c>
      <c r="C4304" s="24" t="n">
        <v>45413</v>
      </c>
      <c r="D4304" s="24" t="n">
        <v>45443</v>
      </c>
      <c r="E4304" s="25" t="n">
        <v>31</v>
      </c>
      <c r="F4304" s="319">
        <f>J4303</f>
        <v/>
      </c>
      <c r="G4304" s="319">
        <f>-PMT($D$4289/$D$4291,42,$F$4304,,0)</f>
        <v/>
      </c>
      <c r="H4304" s="319">
        <f>($D$4289/$D$4291*F4304)</f>
        <v/>
      </c>
      <c r="I4304" s="319">
        <f>G4304-H4304</f>
        <v/>
      </c>
      <c r="J4304" s="319">
        <f>F4304-I4304</f>
        <v/>
      </c>
      <c r="K4304" s="516" t="n">
        <v>3400000</v>
      </c>
      <c r="L4304" s="516">
        <f>L4303+G4304-K4304</f>
        <v/>
      </c>
    </row>
    <row r="4305">
      <c r="B4305" s="1">
        <f>+B4304+1</f>
        <v/>
      </c>
      <c r="C4305" s="24" t="n">
        <v>45444</v>
      </c>
      <c r="D4305" s="24" t="n">
        <v>45473</v>
      </c>
      <c r="E4305" s="25" t="n">
        <v>30</v>
      </c>
      <c r="F4305" s="319">
        <f>J4304</f>
        <v/>
      </c>
      <c r="G4305" s="319">
        <f>-PMT($D$4289/$D$4291,42,$F$4304,,0)</f>
        <v/>
      </c>
      <c r="H4305" s="319">
        <f>($D$4289/$D$4291*F4305)</f>
        <v/>
      </c>
      <c r="I4305" s="319">
        <f>G4305-H4305</f>
        <v/>
      </c>
      <c r="J4305" s="319">
        <f>F4305-I4305</f>
        <v/>
      </c>
      <c r="K4305" s="516" t="n">
        <v>3400000</v>
      </c>
      <c r="L4305" s="516">
        <f>L4304+G4305-K4305</f>
        <v/>
      </c>
      <c r="M4305" s="516" t="n"/>
    </row>
    <row r="4306">
      <c r="B4306" s="1">
        <f>+B4305+1</f>
        <v/>
      </c>
      <c r="C4306" s="24" t="n">
        <v>45474</v>
      </c>
      <c r="D4306" s="24" t="n">
        <v>45504</v>
      </c>
      <c r="E4306" s="25" t="n">
        <v>31</v>
      </c>
      <c r="F4306" s="319">
        <f>J4305</f>
        <v/>
      </c>
      <c r="G4306" s="319">
        <f>-PMT($D$4289/$D$4291,42,$F$4304,,0)</f>
        <v/>
      </c>
      <c r="H4306" s="319">
        <f>($D$4289/$D$4291*F4306)</f>
        <v/>
      </c>
      <c r="I4306" s="319">
        <f>G4306-H4306</f>
        <v/>
      </c>
      <c r="J4306" s="319">
        <f>F4306-I4306</f>
        <v/>
      </c>
      <c r="K4306" s="516" t="n">
        <v>3800000</v>
      </c>
      <c r="L4306" s="516">
        <f>L4305+G4306-K4306</f>
        <v/>
      </c>
    </row>
    <row r="4307">
      <c r="B4307" s="1">
        <f>+B4306+1</f>
        <v/>
      </c>
      <c r="C4307" s="24" t="n">
        <v>45505</v>
      </c>
      <c r="D4307" s="24" t="n">
        <v>45535</v>
      </c>
      <c r="E4307" s="25" t="n">
        <v>31</v>
      </c>
      <c r="F4307" s="319">
        <f>J4306</f>
        <v/>
      </c>
      <c r="G4307" s="319">
        <f>-PMT($D$4289/$D$4291,42,$F$4304,,0)</f>
        <v/>
      </c>
      <c r="H4307" s="319">
        <f>($D$4289/$D$4291*F4307)</f>
        <v/>
      </c>
      <c r="I4307" s="319">
        <f>G4307-H4307</f>
        <v/>
      </c>
      <c r="J4307" s="319">
        <f>F4307-I4307</f>
        <v/>
      </c>
      <c r="K4307" s="516" t="n"/>
      <c r="L4307" s="516">
        <f>L4306+G4307-K4307</f>
        <v/>
      </c>
    </row>
    <row r="4308">
      <c r="B4308" s="1">
        <f>+B4307+1</f>
        <v/>
      </c>
      <c r="C4308" s="24" t="n">
        <v>45536</v>
      </c>
      <c r="D4308" s="24" t="n">
        <v>45565</v>
      </c>
      <c r="E4308" s="25" t="n">
        <v>30</v>
      </c>
      <c r="F4308" s="319">
        <f>J4307</f>
        <v/>
      </c>
      <c r="G4308" s="319">
        <f>-PMT($D$4289/$D$4291,42,$F$4304,,0)</f>
        <v/>
      </c>
      <c r="H4308" s="319">
        <f>($D$4289/$D$4291*F4308)</f>
        <v/>
      </c>
      <c r="I4308" s="319">
        <f>G4308-H4308</f>
        <v/>
      </c>
      <c r="J4308" s="319">
        <f>F4308-I4308</f>
        <v/>
      </c>
      <c r="K4308" s="516">
        <f>3400000+3400000</f>
        <v/>
      </c>
      <c r="L4308" s="516">
        <f>L4307+G4308-K4308</f>
        <v/>
      </c>
    </row>
    <row r="4309">
      <c r="B4309" s="1">
        <f>+B4308+1</f>
        <v/>
      </c>
      <c r="C4309" s="24" t="n">
        <v>45566</v>
      </c>
      <c r="D4309" s="24" t="n">
        <v>45596</v>
      </c>
      <c r="E4309" s="25" t="n">
        <v>31</v>
      </c>
      <c r="F4309" s="319">
        <f>J4308</f>
        <v/>
      </c>
      <c r="G4309" s="319">
        <f>-PMT($D$4289/$D$4291,42,$F$4304,,0)</f>
        <v/>
      </c>
      <c r="H4309" s="319">
        <f>($D$4289/$D$4291*F4309)</f>
        <v/>
      </c>
      <c r="I4309" s="319">
        <f>G4309-H4309</f>
        <v/>
      </c>
      <c r="J4309" s="319">
        <f>F4309-I4309</f>
        <v/>
      </c>
      <c r="K4309" s="516" t="n">
        <v>3400000</v>
      </c>
      <c r="L4309" s="520">
        <f>L4308+G4309-K4309</f>
        <v/>
      </c>
    </row>
    <row r="4310">
      <c r="B4310" s="1">
        <f>+B4309+1</f>
        <v/>
      </c>
      <c r="C4310" s="24" t="n">
        <v>45597</v>
      </c>
      <c r="D4310" s="24" t="n">
        <v>45626</v>
      </c>
      <c r="E4310" s="25" t="n">
        <v>30</v>
      </c>
      <c r="F4310" s="319">
        <f>J4309</f>
        <v/>
      </c>
      <c r="G4310" s="319">
        <f>-PMT($D$4289/$D$4291,42,$F$4304,,0)</f>
        <v/>
      </c>
      <c r="H4310" s="319">
        <f>($D$4289/$D$4291*F4310)</f>
        <v/>
      </c>
      <c r="I4310" s="319">
        <f>G4310-H4310</f>
        <v/>
      </c>
      <c r="J4310" s="319">
        <f>F4310-I4310</f>
        <v/>
      </c>
      <c r="K4310" s="516" t="n"/>
      <c r="L4310" s="516" t="n"/>
    </row>
    <row r="4311">
      <c r="B4311" s="1">
        <f>+B4310+1</f>
        <v/>
      </c>
      <c r="C4311" s="24" t="n">
        <v>45627</v>
      </c>
      <c r="D4311" s="24" t="n">
        <v>45657</v>
      </c>
      <c r="E4311" s="25" t="n">
        <v>31</v>
      </c>
      <c r="F4311" s="319">
        <f>J4310</f>
        <v/>
      </c>
      <c r="G4311" s="319">
        <f>-PMT($D$4289/$D$4291,42,$F$4304,,0)</f>
        <v/>
      </c>
      <c r="H4311" s="319">
        <f>($D$4289/$D$4291*F4311)</f>
        <v/>
      </c>
      <c r="I4311" s="319">
        <f>G4311-H4311</f>
        <v/>
      </c>
      <c r="J4311" s="319">
        <f>F4311-I4311</f>
        <v/>
      </c>
      <c r="K4311" s="516" t="n"/>
      <c r="L4311" s="516" t="n"/>
    </row>
    <row r="4312">
      <c r="B4312" s="1">
        <f>+B4311+1</f>
        <v/>
      </c>
      <c r="C4312" s="24" t="n">
        <v>45658</v>
      </c>
      <c r="D4312" s="24" t="n">
        <v>45688</v>
      </c>
      <c r="E4312" s="25" t="n">
        <v>31</v>
      </c>
      <c r="F4312" s="319">
        <f>J4311</f>
        <v/>
      </c>
      <c r="G4312" s="319">
        <f>-PMT($D$4289/$D$4291,42,$F$4304,,0)</f>
        <v/>
      </c>
      <c r="H4312" s="319">
        <f>($D$4289/$D$4291*F4312)</f>
        <v/>
      </c>
      <c r="I4312" s="319">
        <f>G4312-H4312</f>
        <v/>
      </c>
      <c r="J4312" s="319">
        <f>F4312-I4312</f>
        <v/>
      </c>
      <c r="K4312" s="516" t="n"/>
      <c r="L4312" s="516" t="n"/>
    </row>
    <row r="4313">
      <c r="B4313" s="1">
        <f>+B4312+1</f>
        <v/>
      </c>
      <c r="C4313" s="24" t="n">
        <v>45689</v>
      </c>
      <c r="D4313" s="24" t="n">
        <v>45716</v>
      </c>
      <c r="E4313" s="25" t="n">
        <v>28</v>
      </c>
      <c r="F4313" s="319">
        <f>J4312</f>
        <v/>
      </c>
      <c r="G4313" s="319">
        <f>-PMT($D$4289/$D$4291,42,$F$4304,,0)</f>
        <v/>
      </c>
      <c r="H4313" s="319">
        <f>($D$4289/$D$4291*F4313)</f>
        <v/>
      </c>
      <c r="I4313" s="319">
        <f>G4313-H4313</f>
        <v/>
      </c>
      <c r="J4313" s="319">
        <f>F4313-I4313</f>
        <v/>
      </c>
      <c r="K4313" s="516" t="n"/>
      <c r="L4313" s="516" t="n"/>
    </row>
    <row r="4314">
      <c r="B4314" s="1">
        <f>+B4313+1</f>
        <v/>
      </c>
      <c r="C4314" s="24" t="n">
        <v>45717</v>
      </c>
      <c r="D4314" s="24" t="n">
        <v>45747</v>
      </c>
      <c r="E4314" s="25" t="n">
        <v>31</v>
      </c>
      <c r="F4314" s="319">
        <f>J4313</f>
        <v/>
      </c>
      <c r="G4314" s="319">
        <f>-PMT($D$4289/$D$4291,42,$F$4304,,0)</f>
        <v/>
      </c>
      <c r="H4314" s="319">
        <f>($D$4289/$D$4291*F4314)</f>
        <v/>
      </c>
      <c r="I4314" s="319">
        <f>G4314-H4314</f>
        <v/>
      </c>
      <c r="J4314" s="319">
        <f>F4314-I4314</f>
        <v/>
      </c>
      <c r="K4314" s="516" t="n"/>
      <c r="L4314" s="516" t="n"/>
    </row>
    <row r="4315">
      <c r="B4315" s="1">
        <f>+B4314+1</f>
        <v/>
      </c>
      <c r="C4315" s="24" t="n">
        <v>45748</v>
      </c>
      <c r="D4315" s="24" t="n">
        <v>45777</v>
      </c>
      <c r="E4315" s="25" t="n">
        <v>30</v>
      </c>
      <c r="F4315" s="319">
        <f>J4314</f>
        <v/>
      </c>
      <c r="G4315" s="319">
        <f>-PMT($D$4289/$D$4291,42,$F$4304,,0)</f>
        <v/>
      </c>
      <c r="H4315" s="319">
        <f>($D$4289/$D$4291*F4315)</f>
        <v/>
      </c>
      <c r="I4315" s="319">
        <f>G4315-H4315</f>
        <v/>
      </c>
      <c r="J4315" s="319">
        <f>F4315-I4315</f>
        <v/>
      </c>
      <c r="K4315" s="516" t="n"/>
      <c r="L4315" s="516" t="n"/>
    </row>
    <row r="4316">
      <c r="B4316" s="1">
        <f>+B4315+1</f>
        <v/>
      </c>
      <c r="C4316" s="24" t="n">
        <v>45778</v>
      </c>
      <c r="D4316" s="24" t="n">
        <v>45808</v>
      </c>
      <c r="E4316" s="25" t="n">
        <v>31</v>
      </c>
      <c r="F4316" s="319">
        <f>J4315</f>
        <v/>
      </c>
      <c r="G4316" s="319">
        <f>-PMT($D$4289/$D$4291,42,$F$4304,,0)</f>
        <v/>
      </c>
      <c r="H4316" s="319">
        <f>($D$4289/$D$4291*F4316)</f>
        <v/>
      </c>
      <c r="I4316" s="319">
        <f>G4316-H4316</f>
        <v/>
      </c>
      <c r="J4316" s="319">
        <f>F4316-I4316</f>
        <v/>
      </c>
      <c r="K4316" s="516" t="n"/>
      <c r="L4316" s="516" t="n"/>
    </row>
    <row r="4317">
      <c r="B4317" s="1">
        <f>+B4316+1</f>
        <v/>
      </c>
      <c r="C4317" s="24" t="n">
        <v>45809</v>
      </c>
      <c r="D4317" s="24" t="n">
        <v>45838</v>
      </c>
      <c r="E4317" s="25" t="n">
        <v>30</v>
      </c>
      <c r="F4317" s="319">
        <f>J4316</f>
        <v/>
      </c>
      <c r="G4317" s="319">
        <f>-PMT($D$4289/$D$4291,42,$F$4304,,0)</f>
        <v/>
      </c>
      <c r="H4317" s="319">
        <f>($D$4289/$D$4291*F4317)</f>
        <v/>
      </c>
      <c r="I4317" s="319">
        <f>G4317-H4317</f>
        <v/>
      </c>
      <c r="J4317" s="319">
        <f>F4317-I4317</f>
        <v/>
      </c>
      <c r="K4317" s="516" t="n"/>
      <c r="L4317" s="516" t="n"/>
    </row>
    <row r="4318">
      <c r="B4318" s="1">
        <f>+B4317+1</f>
        <v/>
      </c>
      <c r="C4318" s="24" t="n">
        <v>45839</v>
      </c>
      <c r="D4318" s="24" t="n">
        <v>45868</v>
      </c>
      <c r="E4318" s="25" t="n">
        <v>30</v>
      </c>
      <c r="F4318" s="319">
        <f>J4317</f>
        <v/>
      </c>
      <c r="G4318" s="319">
        <f>-PMT($D$4289/$D$4291,42,$F$4304,,0)</f>
        <v/>
      </c>
      <c r="H4318" s="319">
        <f>($D$4289/$D$4291*F4318)</f>
        <v/>
      </c>
      <c r="I4318" s="319">
        <f>G4318-H4318</f>
        <v/>
      </c>
      <c r="J4318" s="319">
        <f>F4318-I4318</f>
        <v/>
      </c>
      <c r="K4318" s="516" t="n"/>
      <c r="L4318" s="516" t="n"/>
    </row>
    <row r="4319">
      <c r="B4319" s="1">
        <f>+B4318+1</f>
        <v/>
      </c>
      <c r="C4319" s="24" t="n">
        <v>45870</v>
      </c>
      <c r="D4319" s="24" t="n">
        <v>45899</v>
      </c>
      <c r="E4319" s="25" t="n">
        <v>30</v>
      </c>
      <c r="F4319" s="319">
        <f>J4318</f>
        <v/>
      </c>
      <c r="G4319" s="319">
        <f>-PMT($D$4289/$D$4291,42,$F$4304,,0)</f>
        <v/>
      </c>
      <c r="H4319" s="319">
        <f>($D$4289/$D$4291*F4319)</f>
        <v/>
      </c>
      <c r="I4319" s="319">
        <f>G4319-H4319</f>
        <v/>
      </c>
      <c r="J4319" s="319">
        <f>F4319-I4319</f>
        <v/>
      </c>
      <c r="K4319" s="516" t="n"/>
      <c r="L4319" s="516" t="n"/>
    </row>
    <row r="4320">
      <c r="B4320" s="1">
        <f>+B4319+1</f>
        <v/>
      </c>
      <c r="C4320" s="24" t="n">
        <v>45901</v>
      </c>
      <c r="D4320" s="24" t="n">
        <v>45930</v>
      </c>
      <c r="E4320" s="25" t="n">
        <v>30</v>
      </c>
      <c r="F4320" s="319">
        <f>J4319</f>
        <v/>
      </c>
      <c r="G4320" s="319">
        <f>-PMT($D$4289/$D$4291,42,$F$4304,,0)</f>
        <v/>
      </c>
      <c r="H4320" s="319">
        <f>($D$4289/$D$4291*F4320)</f>
        <v/>
      </c>
      <c r="I4320" s="319">
        <f>G4320-H4320</f>
        <v/>
      </c>
      <c r="J4320" s="319">
        <f>F4320-I4320</f>
        <v/>
      </c>
    </row>
    <row r="4321">
      <c r="B4321" s="1">
        <f>+B4320+1</f>
        <v/>
      </c>
      <c r="C4321" s="24" t="n">
        <v>45931</v>
      </c>
      <c r="D4321" s="24" t="n">
        <v>45961</v>
      </c>
      <c r="E4321" s="25" t="n">
        <v>31</v>
      </c>
      <c r="F4321" s="319">
        <f>J4320</f>
        <v/>
      </c>
      <c r="G4321" s="319">
        <f>-PMT($D$4289/$D$4291,42,$F$4304,,0)</f>
        <v/>
      </c>
      <c r="H4321" s="319">
        <f>($D$4289/$D$4291*F4321)</f>
        <v/>
      </c>
      <c r="I4321" s="319">
        <f>G4321-H4321</f>
        <v/>
      </c>
      <c r="J4321" s="319">
        <f>F4321-I4321</f>
        <v/>
      </c>
    </row>
    <row r="4322">
      <c r="B4322" s="1">
        <f>+B4321+1</f>
        <v/>
      </c>
      <c r="C4322" s="24" t="n">
        <v>45962</v>
      </c>
      <c r="D4322" s="24" t="n">
        <v>45991</v>
      </c>
      <c r="E4322" s="25" t="n">
        <v>30</v>
      </c>
      <c r="F4322" s="319">
        <f>J4321</f>
        <v/>
      </c>
      <c r="G4322" s="319">
        <f>-PMT($D$4289/$D$4291,42,$F$4304,,0)</f>
        <v/>
      </c>
      <c r="H4322" s="319">
        <f>($D$4289/$D$4291*F4322)</f>
        <v/>
      </c>
      <c r="I4322" s="319">
        <f>G4322-H4322</f>
        <v/>
      </c>
      <c r="J4322" s="319">
        <f>F4322-I4322</f>
        <v/>
      </c>
    </row>
    <row r="4323">
      <c r="B4323" s="1">
        <f>+B4322+1</f>
        <v/>
      </c>
      <c r="C4323" s="24" t="n">
        <v>45992</v>
      </c>
      <c r="D4323" s="24" t="n">
        <v>46022</v>
      </c>
      <c r="E4323" s="25" t="n">
        <v>31</v>
      </c>
      <c r="F4323" s="319">
        <f>J4322</f>
        <v/>
      </c>
      <c r="G4323" s="319">
        <f>-PMT($D$4289/$D$4291,42,$F$4304,,0)</f>
        <v/>
      </c>
      <c r="H4323" s="319">
        <f>($D$4289/$D$4291*F4323)</f>
        <v/>
      </c>
      <c r="I4323" s="319">
        <f>G4323-H4323</f>
        <v/>
      </c>
      <c r="J4323" s="319">
        <f>F4323-I4323</f>
        <v/>
      </c>
    </row>
    <row r="4324">
      <c r="B4324" s="1">
        <f>+B4323+1</f>
        <v/>
      </c>
      <c r="C4324" s="24" t="n">
        <v>46023</v>
      </c>
      <c r="D4324" s="24" t="n">
        <v>46053</v>
      </c>
      <c r="E4324" s="25" t="n">
        <v>31</v>
      </c>
      <c r="F4324" s="319">
        <f>J4323</f>
        <v/>
      </c>
      <c r="G4324" s="319">
        <f>-PMT($D$4289/$D$4291,42,$F$4304,,0)</f>
        <v/>
      </c>
      <c r="H4324" s="319">
        <f>($D$4289/$D$4291*F4324)</f>
        <v/>
      </c>
      <c r="I4324" s="319">
        <f>G4324-H4324</f>
        <v/>
      </c>
      <c r="J4324" s="319">
        <f>F4324-I4324</f>
        <v/>
      </c>
    </row>
    <row r="4325">
      <c r="B4325" s="1">
        <f>+B4324+1</f>
        <v/>
      </c>
      <c r="C4325" s="24" t="n">
        <v>46054</v>
      </c>
      <c r="D4325" s="24" t="n">
        <v>46081</v>
      </c>
      <c r="E4325" s="25" t="n">
        <v>28</v>
      </c>
      <c r="F4325" s="319">
        <f>J4324</f>
        <v/>
      </c>
      <c r="G4325" s="319">
        <f>-PMT($D$4289/$D$4291,42,$F$4304,,0)</f>
        <v/>
      </c>
      <c r="H4325" s="319">
        <f>($D$4289/$D$4291*F4325)</f>
        <v/>
      </c>
      <c r="I4325" s="319">
        <f>G4325-H4325</f>
        <v/>
      </c>
      <c r="J4325" s="319">
        <f>F4325-I4325</f>
        <v/>
      </c>
    </row>
    <row r="4326">
      <c r="B4326" s="1">
        <f>+B4325+1</f>
        <v/>
      </c>
      <c r="C4326" s="24" t="n">
        <v>46082</v>
      </c>
      <c r="D4326" s="24" t="n">
        <v>46112</v>
      </c>
      <c r="E4326" s="25" t="n">
        <v>31</v>
      </c>
      <c r="F4326" s="319">
        <f>J4325</f>
        <v/>
      </c>
      <c r="G4326" s="319">
        <f>-PMT($D$4289/$D$4291,42,$F$4304,,0)</f>
        <v/>
      </c>
      <c r="H4326" s="319">
        <f>($D$4289/$D$4291*F4326)</f>
        <v/>
      </c>
      <c r="I4326" s="319">
        <f>G4326-H4326</f>
        <v/>
      </c>
      <c r="J4326" s="319">
        <f>F4326-I4326</f>
        <v/>
      </c>
    </row>
    <row r="4327">
      <c r="B4327" s="1">
        <f>+B4326+1</f>
        <v/>
      </c>
      <c r="C4327" s="24" t="n">
        <v>46113</v>
      </c>
      <c r="D4327" s="24" t="n">
        <v>46142</v>
      </c>
      <c r="E4327" s="25" t="n">
        <v>30</v>
      </c>
      <c r="F4327" s="319">
        <f>J4326</f>
        <v/>
      </c>
      <c r="G4327" s="319">
        <f>-PMT($D$4289/$D$4291,42,$F$4304,,0)</f>
        <v/>
      </c>
      <c r="H4327" s="319">
        <f>($D$4289/$D$4291*F4327)</f>
        <v/>
      </c>
      <c r="I4327" s="319">
        <f>G4327-H4327</f>
        <v/>
      </c>
      <c r="J4327" s="319">
        <f>F4327-I4327</f>
        <v/>
      </c>
    </row>
    <row r="4328">
      <c r="B4328" s="1">
        <f>+B4327+1</f>
        <v/>
      </c>
      <c r="C4328" s="24" t="n">
        <v>46143</v>
      </c>
      <c r="D4328" s="24" t="n">
        <v>46173</v>
      </c>
      <c r="E4328" s="25" t="n">
        <v>31</v>
      </c>
      <c r="F4328" s="319">
        <f>J4327</f>
        <v/>
      </c>
      <c r="G4328" s="319">
        <f>-PMT($D$4289/$D$4291,42,$F$4304,,0)</f>
        <v/>
      </c>
      <c r="H4328" s="319">
        <f>($D$4289/$D$4291*F4328)</f>
        <v/>
      </c>
      <c r="I4328" s="319">
        <f>G4328-H4328</f>
        <v/>
      </c>
      <c r="J4328" s="319">
        <f>F4328-I4328</f>
        <v/>
      </c>
    </row>
    <row r="4329">
      <c r="B4329" s="1">
        <f>+B4328+1</f>
        <v/>
      </c>
      <c r="C4329" s="24" t="n">
        <v>46174</v>
      </c>
      <c r="D4329" s="24" t="n">
        <v>46203</v>
      </c>
      <c r="E4329" s="25" t="n">
        <v>30</v>
      </c>
      <c r="F4329" s="319">
        <f>J4328</f>
        <v/>
      </c>
      <c r="G4329" s="319">
        <f>-PMT($D$4289/$D$4291,42,$F$4304,,0)</f>
        <v/>
      </c>
      <c r="H4329" s="319">
        <f>($D$4289/$D$4291*F4329)</f>
        <v/>
      </c>
      <c r="I4329" s="319">
        <f>G4329-H4329</f>
        <v/>
      </c>
      <c r="J4329" s="319">
        <f>F4329-I4329</f>
        <v/>
      </c>
    </row>
    <row r="4330">
      <c r="B4330" s="1">
        <f>+B4329+1</f>
        <v/>
      </c>
      <c r="C4330" s="24" t="n">
        <v>46204</v>
      </c>
      <c r="D4330" s="24" t="n">
        <v>46234</v>
      </c>
      <c r="E4330" s="25" t="n">
        <v>31</v>
      </c>
      <c r="F4330" s="319">
        <f>J4329</f>
        <v/>
      </c>
      <c r="G4330" s="319">
        <f>-PMT($D$4289/$D$4291,42,$F$4304,,0)</f>
        <v/>
      </c>
      <c r="H4330" s="319">
        <f>($D$4289/$D$4291*F4330)</f>
        <v/>
      </c>
      <c r="I4330" s="319">
        <f>G4330-H4330</f>
        <v/>
      </c>
      <c r="J4330" s="319">
        <f>F4330-I4330</f>
        <v/>
      </c>
    </row>
    <row r="4331">
      <c r="B4331" s="1">
        <f>+B4330+1</f>
        <v/>
      </c>
      <c r="C4331" s="24" t="n">
        <v>46235</v>
      </c>
      <c r="D4331" s="24" t="n">
        <v>46265</v>
      </c>
      <c r="E4331" s="25" t="n">
        <v>31</v>
      </c>
      <c r="F4331" s="319">
        <f>J4330</f>
        <v/>
      </c>
      <c r="G4331" s="319">
        <f>-PMT($D$4289/$D$4291,42,$F$4304,,0)</f>
        <v/>
      </c>
      <c r="H4331" s="319">
        <f>($D$4289/$D$4291*F4331)</f>
        <v/>
      </c>
      <c r="I4331" s="319">
        <f>G4331-H4331</f>
        <v/>
      </c>
      <c r="J4331" s="319">
        <f>F4331-I4331</f>
        <v/>
      </c>
    </row>
    <row r="4332">
      <c r="B4332" s="1">
        <f>+B4331+1</f>
        <v/>
      </c>
      <c r="C4332" s="24" t="n">
        <v>46266</v>
      </c>
      <c r="D4332" s="24" t="n">
        <v>46295</v>
      </c>
      <c r="E4332" s="25" t="n">
        <v>30</v>
      </c>
      <c r="F4332" s="319">
        <f>J4331</f>
        <v/>
      </c>
      <c r="G4332" s="319">
        <f>-PMT($D$4289/$D$4291,42,$F$4304,,0)</f>
        <v/>
      </c>
      <c r="H4332" s="319">
        <f>($D$4289/$D$4291*F4332)</f>
        <v/>
      </c>
      <c r="I4332" s="319">
        <f>G4332-H4332</f>
        <v/>
      </c>
      <c r="J4332" s="319">
        <f>F4332-I4332</f>
        <v/>
      </c>
    </row>
    <row r="4333">
      <c r="B4333" s="1">
        <f>+B4332+1</f>
        <v/>
      </c>
      <c r="C4333" s="24" t="n">
        <v>46296</v>
      </c>
      <c r="D4333" s="24" t="n">
        <v>46326</v>
      </c>
      <c r="E4333" s="25" t="n">
        <v>31</v>
      </c>
      <c r="F4333" s="319">
        <f>J4332</f>
        <v/>
      </c>
      <c r="G4333" s="319">
        <f>-PMT($D$4289/$D$4291,42,$F$4304,,0)</f>
        <v/>
      </c>
      <c r="H4333" s="319">
        <f>($D$4289/$D$4291*F4333)</f>
        <v/>
      </c>
      <c r="I4333" s="319">
        <f>G4333-H4333</f>
        <v/>
      </c>
      <c r="J4333" s="319">
        <f>F4333-I4333</f>
        <v/>
      </c>
    </row>
    <row r="4334">
      <c r="B4334" s="1">
        <f>+B4333+1</f>
        <v/>
      </c>
      <c r="C4334" s="24" t="n">
        <v>46327</v>
      </c>
      <c r="D4334" s="24" t="n">
        <v>46356</v>
      </c>
      <c r="E4334" s="25" t="n">
        <v>30</v>
      </c>
      <c r="F4334" s="319">
        <f>J4333</f>
        <v/>
      </c>
      <c r="G4334" s="319">
        <f>-PMT($D$4289/$D$4291,42,$F$4304,,0)</f>
        <v/>
      </c>
      <c r="H4334" s="319">
        <f>($D$4289/$D$4291*F4334)</f>
        <v/>
      </c>
      <c r="I4334" s="319">
        <f>G4334-H4334</f>
        <v/>
      </c>
      <c r="J4334" s="319">
        <f>F4334-I4334</f>
        <v/>
      </c>
    </row>
    <row r="4335">
      <c r="B4335" s="1">
        <f>+B4334+1</f>
        <v/>
      </c>
      <c r="C4335" s="24" t="n">
        <v>46357</v>
      </c>
      <c r="D4335" s="24" t="n">
        <v>46387</v>
      </c>
      <c r="E4335" s="25" t="n">
        <v>31</v>
      </c>
      <c r="F4335" s="319">
        <f>J4334</f>
        <v/>
      </c>
      <c r="G4335" s="319">
        <f>-PMT($D$4289/$D$4291,42,$F$4304,,0)</f>
        <v/>
      </c>
      <c r="H4335" s="319">
        <f>($D$4289/$D$4291*F4335)</f>
        <v/>
      </c>
      <c r="I4335" s="319">
        <f>G4335-H4335</f>
        <v/>
      </c>
      <c r="J4335" s="319">
        <f>F4335-I4335</f>
        <v/>
      </c>
    </row>
    <row r="4336">
      <c r="B4336" s="1">
        <f>+B4335+1</f>
        <v/>
      </c>
      <c r="C4336" s="24" t="n">
        <v>46388</v>
      </c>
      <c r="D4336" s="24" t="n">
        <v>46418</v>
      </c>
      <c r="E4336" s="25" t="n">
        <v>31</v>
      </c>
      <c r="F4336" s="319">
        <f>J4335</f>
        <v/>
      </c>
      <c r="G4336" s="319">
        <f>-PMT($D$4289/$D$4291,42,$F$4304,,0)</f>
        <v/>
      </c>
      <c r="H4336" s="319">
        <f>($D$4289/$D$4291*F4336)</f>
        <v/>
      </c>
      <c r="I4336" s="319">
        <f>G4336-H4336</f>
        <v/>
      </c>
      <c r="J4336" s="319">
        <f>F4336-I4336</f>
        <v/>
      </c>
    </row>
    <row r="4337">
      <c r="B4337" s="1">
        <f>+B4336+1</f>
        <v/>
      </c>
      <c r="C4337" s="24" t="n">
        <v>46419</v>
      </c>
      <c r="D4337" s="24" t="n">
        <v>46446</v>
      </c>
      <c r="E4337" s="25" t="n">
        <v>28</v>
      </c>
      <c r="F4337" s="319">
        <f>J4336</f>
        <v/>
      </c>
      <c r="G4337" s="319">
        <f>-PMT($D$4289/$D$4291,42,$F$4304,,0)</f>
        <v/>
      </c>
      <c r="H4337" s="319">
        <f>($D$4289/$D$4291*F4337)</f>
        <v/>
      </c>
      <c r="I4337" s="319">
        <f>G4337-H4337</f>
        <v/>
      </c>
      <c r="J4337" s="319">
        <f>F4337-I4337</f>
        <v/>
      </c>
    </row>
    <row r="4338">
      <c r="B4338" s="1">
        <f>+B4337+1</f>
        <v/>
      </c>
      <c r="C4338" s="24" t="n">
        <v>46447</v>
      </c>
      <c r="D4338" s="24" t="n">
        <v>46477</v>
      </c>
      <c r="E4338" s="25" t="n">
        <v>31</v>
      </c>
      <c r="F4338" s="319">
        <f>J4337</f>
        <v/>
      </c>
      <c r="G4338" s="319">
        <f>-PMT($D$4289/$D$4291,42,$F$4304,,0)</f>
        <v/>
      </c>
      <c r="H4338" s="319">
        <f>($D$4289/$D$4291*F4338)</f>
        <v/>
      </c>
      <c r="I4338" s="319">
        <f>G4338-H4338</f>
        <v/>
      </c>
      <c r="J4338" s="319">
        <f>F4338-I4338</f>
        <v/>
      </c>
    </row>
    <row r="4339">
      <c r="B4339" s="1">
        <f>+B4338+1</f>
        <v/>
      </c>
      <c r="C4339" s="24" t="n">
        <v>46478</v>
      </c>
      <c r="D4339" s="24" t="n">
        <v>46507</v>
      </c>
      <c r="E4339" s="25" t="n">
        <v>30</v>
      </c>
      <c r="F4339" s="319">
        <f>J4338</f>
        <v/>
      </c>
      <c r="G4339" s="319">
        <f>-PMT($D$4289/$D$4291,42,$F$4304,,0)</f>
        <v/>
      </c>
      <c r="H4339" s="319">
        <f>($D$4289/$D$4291*F4339)</f>
        <v/>
      </c>
      <c r="I4339" s="319">
        <f>G4339-H4339</f>
        <v/>
      </c>
      <c r="J4339" s="319">
        <f>F4339-I4339</f>
        <v/>
      </c>
    </row>
    <row r="4340">
      <c r="B4340" s="1">
        <f>+B4339+1</f>
        <v/>
      </c>
      <c r="C4340" s="24" t="n">
        <v>46508</v>
      </c>
      <c r="D4340" s="24" t="n">
        <v>46538</v>
      </c>
      <c r="E4340" s="25" t="n">
        <v>31</v>
      </c>
      <c r="F4340" s="319">
        <f>J4339</f>
        <v/>
      </c>
      <c r="G4340" s="319">
        <f>-PMT($D$4289/$D$4291,42,$F$4304,,0)</f>
        <v/>
      </c>
      <c r="H4340" s="319">
        <f>($D$4289/$D$4291*F4340)</f>
        <v/>
      </c>
      <c r="I4340" s="319">
        <f>G4340-H4340</f>
        <v/>
      </c>
      <c r="J4340" s="319">
        <f>F4340-I4340</f>
        <v/>
      </c>
    </row>
    <row r="4341">
      <c r="B4341" s="1">
        <f>+B4340+1</f>
        <v/>
      </c>
      <c r="C4341" s="24" t="n">
        <v>46539</v>
      </c>
      <c r="D4341" s="24" t="n">
        <v>46568</v>
      </c>
      <c r="E4341" s="25" t="n">
        <v>30</v>
      </c>
      <c r="F4341" s="319">
        <f>J4340</f>
        <v/>
      </c>
      <c r="G4341" s="319">
        <f>-PMT($D$4289/$D$4291,42,$F$4304,,0)</f>
        <v/>
      </c>
      <c r="H4341" s="319">
        <f>($D$4289/$D$4291*F4341)</f>
        <v/>
      </c>
      <c r="I4341" s="319">
        <f>G4341-H4341</f>
        <v/>
      </c>
      <c r="J4341" s="319">
        <f>F4341-I4341</f>
        <v/>
      </c>
    </row>
    <row r="4342">
      <c r="B4342" s="1">
        <f>+B4341+1</f>
        <v/>
      </c>
      <c r="C4342" s="24" t="n">
        <v>46569</v>
      </c>
      <c r="D4342" s="24" t="n">
        <v>46599</v>
      </c>
      <c r="E4342" s="25" t="n">
        <v>31</v>
      </c>
      <c r="F4342" s="319">
        <f>J4341</f>
        <v/>
      </c>
      <c r="G4342" s="319">
        <f>-PMT($D$4289/$D$4291,42,$F$4304,,0)</f>
        <v/>
      </c>
      <c r="H4342" s="319">
        <f>($D$4289/$D$4291*F4342)</f>
        <v/>
      </c>
      <c r="I4342" s="319">
        <f>G4342-H4342</f>
        <v/>
      </c>
      <c r="J4342" s="319">
        <f>F4342-I4342</f>
        <v/>
      </c>
    </row>
    <row r="4343">
      <c r="B4343" s="1">
        <f>+B4342+1</f>
        <v/>
      </c>
      <c r="C4343" s="24" t="n">
        <v>46600</v>
      </c>
      <c r="D4343" s="24" t="n">
        <v>46630</v>
      </c>
      <c r="E4343" s="25" t="n">
        <v>31</v>
      </c>
      <c r="F4343" s="319">
        <f>J4342</f>
        <v/>
      </c>
      <c r="G4343" s="319">
        <f>-PMT($D$4289/$D$4291,42,$F$4304,,0)</f>
        <v/>
      </c>
      <c r="H4343" s="319">
        <f>($D$4289/$D$4291*F4343)</f>
        <v/>
      </c>
      <c r="I4343" s="319">
        <f>G4343-H4343</f>
        <v/>
      </c>
      <c r="J4343" s="319">
        <f>F4343-I4343</f>
        <v/>
      </c>
    </row>
    <row r="4344">
      <c r="B4344" s="1">
        <f>+B4343+1</f>
        <v/>
      </c>
      <c r="C4344" s="24">
        <f>+D4343+1</f>
        <v/>
      </c>
      <c r="D4344" s="24">
        <f>+C4344+29</f>
        <v/>
      </c>
      <c r="E4344" s="25" t="n">
        <v>30</v>
      </c>
      <c r="F4344" s="319">
        <f>J4343</f>
        <v/>
      </c>
      <c r="G4344" s="319">
        <f>-PMT($D$4289/$D$4291,42,$F$4304,,0)</f>
        <v/>
      </c>
      <c r="H4344" s="319">
        <f>($D$4289/$D$4291*F4344)</f>
        <v/>
      </c>
      <c r="I4344" s="319">
        <f>G4344-H4344</f>
        <v/>
      </c>
      <c r="J4344" s="319">
        <f>F4344-I4344</f>
        <v/>
      </c>
    </row>
    <row r="4345">
      <c r="B4345" s="1">
        <f>+B4344+1</f>
        <v/>
      </c>
      <c r="C4345" s="24">
        <f>+D4344+1</f>
        <v/>
      </c>
      <c r="D4345" s="24">
        <f>+C4345+30</f>
        <v/>
      </c>
      <c r="E4345" s="25" t="n">
        <v>31</v>
      </c>
      <c r="F4345" s="319">
        <f>J4344</f>
        <v/>
      </c>
      <c r="G4345" s="319">
        <f>-PMT($D$4289/$D$4291,42,$F$4304,,0)</f>
        <v/>
      </c>
      <c r="H4345" s="319">
        <f>($D$4289/$D$4291*F4345)</f>
        <v/>
      </c>
      <c r="I4345" s="319">
        <f>G4345-H4345</f>
        <v/>
      </c>
      <c r="J4345" s="319">
        <f>F4345-I4345</f>
        <v/>
      </c>
    </row>
    <row r="4351">
      <c r="B4351" s="1" t="n"/>
      <c r="C4351" s="9" t="inlineStr">
        <is>
          <t>Sanwecka Tech Company</t>
        </is>
      </c>
      <c r="D4351" s="319" t="n"/>
      <c r="E4351" s="319" t="n"/>
      <c r="F4351" s="319" t="n"/>
      <c r="G4351" s="319" t="n"/>
      <c r="H4351" s="319" t="n"/>
      <c r="I4351" s="319" t="n"/>
      <c r="J4351" s="319" t="n"/>
      <c r="K4351" s="319" t="n"/>
      <c r="L4351" s="319" t="n"/>
      <c r="R4351" s="514" t="inlineStr">
        <is>
          <t>E-Banker account (Dupleix)</t>
        </is>
      </c>
      <c r="S4351" s="495">
        <f>IFERROR(INDEX('Blocks'!$I$2:$I$101,MATCH(79,'Blocks'!$A$2:$A$101,0)),"")</f>
        <v/>
      </c>
    </row>
    <row r="4352">
      <c r="B4352" s="1" t="n"/>
      <c r="C4352" s="1" t="n"/>
      <c r="D4352" s="319" t="n"/>
      <c r="E4352" s="319" t="n"/>
      <c r="F4352" s="319" t="n"/>
      <c r="G4352" s="319" t="n"/>
      <c r="H4352" s="319" t="n"/>
      <c r="I4352" s="319" t="n"/>
      <c r="J4352" s="319" t="n"/>
      <c r="K4352" s="319" t="n"/>
      <c r="L4352" s="319" t="n"/>
      <c r="R4352" s="514" t="inlineStr">
        <is>
          <t>Facility (Loan Book)</t>
        </is>
      </c>
      <c r="S4352" s="495">
        <f>IFERROR(INDEX('Blocks'!$H$2:$H$101,MATCH(79,'Blocks'!$A$2:$A$101,0)),"")</f>
        <v/>
      </c>
    </row>
    <row r="4353">
      <c r="B4353" s="1" t="n"/>
      <c r="C4353" s="10" t="inlineStr">
        <is>
          <t>Principal (MK)</t>
        </is>
      </c>
      <c r="D4353" s="11" t="n">
        <v>60000000</v>
      </c>
      <c r="E4353" s="319" t="n"/>
      <c r="F4353" s="319" t="n"/>
      <c r="G4353" s="319" t="n"/>
      <c r="H4353" s="319" t="n"/>
      <c r="I4353" s="319" t="n"/>
      <c r="J4353" s="319" t="n"/>
      <c r="K4353" s="319" t="n"/>
      <c r="L4353" s="319" t="n"/>
      <c r="R4353" s="514" t="inlineStr">
        <is>
          <t>Take-on posting 31 Jul 2024</t>
        </is>
      </c>
      <c r="S4353" s="496">
        <f>IFERROR(INDEX('E-Banker master'!$N$2:$N$186,MATCH(S4351,'E-Banker master'!$A$2:$A$186,0)),"")</f>
        <v/>
      </c>
    </row>
    <row r="4354">
      <c r="B4354" s="1" t="n"/>
      <c r="C4354" s="13" t="inlineStr">
        <is>
          <t>Rate</t>
        </is>
      </c>
      <c r="D4354" s="14" t="n">
        <v>0.1</v>
      </c>
      <c r="E4354" s="257" t="n"/>
      <c r="F4354" s="319" t="n"/>
      <c r="G4354" s="319" t="n"/>
      <c r="H4354" s="319" t="n"/>
      <c r="I4354" s="319" t="n"/>
      <c r="J4354" s="319" t="n"/>
      <c r="K4354" s="319" t="n"/>
      <c r="L4354" s="319" t="n"/>
      <c r="R4354" s="514" t="inlineStr">
        <is>
          <t>E-Banker balance 31 Oct 2024</t>
        </is>
      </c>
      <c r="S4354" s="496">
        <f>IFERROR(INDEX('E-Banker master'!$P$2:$P$186,MATCH(S4351,'E-Banker master'!$A$2:$A$186,0)),"")</f>
        <v/>
      </c>
    </row>
    <row r="4355">
      <c r="B4355" s="1" t="n"/>
      <c r="C4355" s="13" t="inlineStr">
        <is>
          <t>n</t>
        </is>
      </c>
      <c r="D4355" s="16" t="n">
        <v>3</v>
      </c>
      <c r="E4355" s="1" t="n"/>
      <c r="F4355" s="319" t="n"/>
      <c r="G4355" s="319" t="n"/>
      <c r="H4355" s="319" t="n"/>
      <c r="I4355" s="319" t="n"/>
      <c r="J4355" s="319" t="n"/>
      <c r="K4355" s="1" t="n"/>
      <c r="L4355" s="1" t="n"/>
    </row>
    <row r="4356">
      <c r="B4356" s="1" t="n"/>
      <c r="C4356" s="13" t="inlineStr">
        <is>
          <t>Per</t>
        </is>
      </c>
      <c r="D4356" s="16" t="n">
        <v>12</v>
      </c>
      <c r="E4356" s="1" t="n"/>
      <c r="F4356" s="319" t="n"/>
      <c r="G4356" s="319" t="n"/>
      <c r="H4356" s="319" t="n"/>
      <c r="I4356" s="319" t="n"/>
      <c r="J4356" s="319" t="n"/>
      <c r="K4356" s="1" t="n"/>
      <c r="L4356" s="1" t="n"/>
    </row>
    <row r="4357">
      <c r="B4357" s="1" t="n"/>
      <c r="C4357" s="13" t="inlineStr">
        <is>
          <t>nPer</t>
        </is>
      </c>
      <c r="D4357" s="515">
        <f>D4355*D4356</f>
        <v/>
      </c>
      <c r="E4357" s="1" t="n"/>
      <c r="F4357" s="319" t="n"/>
      <c r="G4357" s="319" t="n"/>
      <c r="H4357" s="319" t="n"/>
      <c r="I4357" s="319" t="n"/>
      <c r="J4357" s="319" t="n"/>
      <c r="K4357" s="1" t="n"/>
      <c r="L4357" s="1" t="n"/>
    </row>
    <row r="4358">
      <c r="B4358" s="1" t="n"/>
      <c r="C4358" s="13" t="inlineStr">
        <is>
          <t>Days in a year</t>
        </is>
      </c>
      <c r="D4358" s="18" t="n">
        <v>365</v>
      </c>
      <c r="E4358" s="1" t="n"/>
      <c r="F4358" s="319" t="n"/>
      <c r="G4358" s="319" t="n"/>
      <c r="H4358" s="319" t="n"/>
      <c r="I4358" s="319" t="n"/>
      <c r="J4358" s="319" t="n"/>
      <c r="K4358" s="1" t="n"/>
      <c r="L4358" s="1" t="n"/>
    </row>
    <row r="4359">
      <c r="B4359" s="1" t="n"/>
      <c r="C4359" s="19" t="inlineStr">
        <is>
          <t>Pmt (MK)</t>
        </is>
      </c>
      <c r="D4359" s="20">
        <f>-PMT(D4354/D4356,D4357,D4353,0,0)</f>
        <v/>
      </c>
      <c r="E4359" s="319" t="n"/>
      <c r="F4359" s="319" t="n"/>
      <c r="G4359" s="319" t="n"/>
      <c r="H4359" s="319" t="n"/>
      <c r="I4359" s="319" t="n"/>
      <c r="J4359" s="319" t="n"/>
      <c r="K4359" s="1" t="n"/>
      <c r="L4359" s="1" t="n"/>
    </row>
    <row r="4360">
      <c r="B4360" s="1" t="n"/>
      <c r="C4360" s="1" t="n"/>
      <c r="D4360" s="319" t="n"/>
      <c r="E4360" s="319" t="n"/>
      <c r="F4360" s="319" t="n"/>
      <c r="G4360" s="319" t="n"/>
      <c r="H4360" s="319" t="n"/>
      <c r="I4360" s="319" t="n"/>
      <c r="J4360" s="319" t="n"/>
      <c r="K4360" s="1" t="n"/>
      <c r="L4360" s="1" t="n"/>
    </row>
    <row r="4361">
      <c r="B4361" s="1" t="n"/>
      <c r="C4361" s="21" t="inlineStr">
        <is>
          <t>Period Start</t>
        </is>
      </c>
      <c r="D4361" s="22" t="inlineStr">
        <is>
          <t>Period End</t>
        </is>
      </c>
      <c r="E4361" s="22" t="inlineStr">
        <is>
          <t>Days</t>
        </is>
      </c>
      <c r="F4361" s="294" t="inlineStr">
        <is>
          <t>Opening bal.</t>
        </is>
      </c>
      <c r="G4361" s="294" t="inlineStr">
        <is>
          <t>Pmt</t>
        </is>
      </c>
      <c r="H4361" s="294" t="inlineStr">
        <is>
          <t>Interest</t>
        </is>
      </c>
      <c r="I4361" s="294" t="inlineStr">
        <is>
          <t>Principal</t>
        </is>
      </c>
      <c r="J4361" s="294" t="inlineStr">
        <is>
          <t>Closing balance</t>
        </is>
      </c>
      <c r="K4361" s="23" t="inlineStr">
        <is>
          <t>Amount Repaid</t>
        </is>
      </c>
      <c r="L4361" s="23" t="inlineStr">
        <is>
          <t>Accumulated Arrears</t>
        </is>
      </c>
    </row>
    <row r="4362">
      <c r="B4362" s="1" t="n">
        <v>0</v>
      </c>
      <c r="C4362" s="24" t="n">
        <v>45252</v>
      </c>
      <c r="D4362" s="24" t="n">
        <v>45260</v>
      </c>
      <c r="E4362" s="318">
        <f>+D4362-C4362</f>
        <v/>
      </c>
      <c r="F4362" s="319">
        <f>D4353</f>
        <v/>
      </c>
      <c r="G4362" s="319">
        <f>H4362</f>
        <v/>
      </c>
      <c r="H4362" s="319">
        <f>($D$4354/$D$4356*F4362*E4362/30)</f>
        <v/>
      </c>
      <c r="I4362" s="319" t="n">
        <v>0</v>
      </c>
      <c r="J4362" s="319">
        <f>F4362-I4362</f>
        <v/>
      </c>
      <c r="L4362" s="148">
        <f>G4362</f>
        <v/>
      </c>
    </row>
    <row r="4363">
      <c r="B4363" s="1" t="n">
        <v>1</v>
      </c>
      <c r="C4363" s="24" t="n">
        <v>45261</v>
      </c>
      <c r="D4363" s="24" t="n">
        <v>45291</v>
      </c>
      <c r="E4363" s="25" t="n">
        <v>30</v>
      </c>
      <c r="F4363" s="319">
        <f>J4362</f>
        <v/>
      </c>
      <c r="G4363" s="319">
        <f>H4363</f>
        <v/>
      </c>
      <c r="H4363" s="319">
        <f>($D$4354/$D$4356*$F$4363)</f>
        <v/>
      </c>
      <c r="I4363" s="319" t="n">
        <v>0</v>
      </c>
      <c r="J4363" s="319">
        <f>F4363-I4363</f>
        <v/>
      </c>
      <c r="K4363" s="516" t="n"/>
      <c r="L4363" s="148">
        <f>L4362+G4363-K4363</f>
        <v/>
      </c>
    </row>
    <row r="4364">
      <c r="B4364" s="1" t="n">
        <v>2</v>
      </c>
      <c r="C4364" s="24" t="n">
        <v>45292</v>
      </c>
      <c r="D4364" s="24" t="n">
        <v>45322</v>
      </c>
      <c r="E4364" s="25" t="n">
        <v>31</v>
      </c>
      <c r="F4364" s="319">
        <f>J4363</f>
        <v/>
      </c>
      <c r="G4364" s="319">
        <f>H4364</f>
        <v/>
      </c>
      <c r="H4364" s="319">
        <f>($D$4354/$D$4356*$F$4363)</f>
        <v/>
      </c>
      <c r="I4364" s="319">
        <f>G4364-H4364</f>
        <v/>
      </c>
      <c r="J4364" s="319">
        <f>F4364-I4364</f>
        <v/>
      </c>
      <c r="K4364" s="516" t="n"/>
      <c r="L4364" s="148">
        <f>L4363+G4364-K4364</f>
        <v/>
      </c>
    </row>
    <row r="4365">
      <c r="B4365" s="1">
        <f>+B4364+1</f>
        <v/>
      </c>
      <c r="C4365" s="24" t="n">
        <v>45323</v>
      </c>
      <c r="D4365" s="24" t="n">
        <v>45351</v>
      </c>
      <c r="E4365" s="25" t="n">
        <v>31</v>
      </c>
      <c r="F4365" s="319">
        <f>J4364</f>
        <v/>
      </c>
      <c r="G4365" s="319">
        <f>H4365</f>
        <v/>
      </c>
      <c r="H4365" s="319">
        <f>($D$4354/$D$4356*$F$4363)</f>
        <v/>
      </c>
      <c r="I4365" s="319">
        <f>G4365-H4365</f>
        <v/>
      </c>
      <c r="J4365" s="319">
        <f>F4365-I4365</f>
        <v/>
      </c>
      <c r="K4365" s="516" t="n">
        <v>2087144</v>
      </c>
      <c r="L4365" s="148">
        <f>L4364+G4365-K4365</f>
        <v/>
      </c>
    </row>
    <row r="4366">
      <c r="B4366" s="1">
        <f>+B4365+1</f>
        <v/>
      </c>
      <c r="C4366" s="24" t="n">
        <v>45352</v>
      </c>
      <c r="D4366" s="24" t="n">
        <v>45382</v>
      </c>
      <c r="E4366" s="25" t="n">
        <v>29</v>
      </c>
      <c r="F4366" s="319">
        <f>J4365</f>
        <v/>
      </c>
      <c r="G4366" s="319">
        <f>-PMT($D$4354/$D$4356,33,$F$4366,,0)</f>
        <v/>
      </c>
      <c r="H4366" s="319">
        <f>($D$4354/$D$4356*$F$4366)</f>
        <v/>
      </c>
      <c r="I4366" s="319">
        <f>G4366-H4366</f>
        <v/>
      </c>
      <c r="J4366" s="319">
        <f>F4366-I4366</f>
        <v/>
      </c>
      <c r="K4366" s="516" t="n"/>
      <c r="L4366" s="148">
        <f>L4365+G4366-K4366</f>
        <v/>
      </c>
    </row>
    <row r="4367">
      <c r="B4367" s="1">
        <f>+B4366+1</f>
        <v/>
      </c>
      <c r="C4367" s="24" t="n">
        <v>45383</v>
      </c>
      <c r="D4367" s="24" t="n">
        <v>45412</v>
      </c>
      <c r="E4367" s="25" t="n">
        <v>31</v>
      </c>
      <c r="F4367" s="319">
        <f>J4366</f>
        <v/>
      </c>
      <c r="G4367" s="319">
        <f>-PMT($D$4354/$D$4356,33,$F$4366,,0)</f>
        <v/>
      </c>
      <c r="H4367" s="319">
        <f>($D$4354/$D$4356*$F$4367)</f>
        <v/>
      </c>
      <c r="I4367" s="319">
        <f>G4367-H4367</f>
        <v/>
      </c>
      <c r="J4367" s="319">
        <f>F4367-I4367</f>
        <v/>
      </c>
      <c r="K4367" s="516" t="n">
        <v>2087144</v>
      </c>
      <c r="L4367" s="148">
        <f>L4366+G4367-K4367</f>
        <v/>
      </c>
    </row>
    <row r="4368">
      <c r="B4368" s="1">
        <f>+B4367+1</f>
        <v/>
      </c>
      <c r="C4368" s="24" t="n">
        <v>45413</v>
      </c>
      <c r="D4368" s="24" t="n">
        <v>45443</v>
      </c>
      <c r="E4368" s="25" t="n">
        <v>30</v>
      </c>
      <c r="F4368" s="319">
        <f>J4367</f>
        <v/>
      </c>
      <c r="G4368" s="319">
        <f>-PMT($D$4354/$D$4356,33,$F$4366,,0)</f>
        <v/>
      </c>
      <c r="H4368" s="319">
        <f>($D$4354/$D$4356*$F$4368)</f>
        <v/>
      </c>
      <c r="I4368" s="319">
        <f>G4368-H4368</f>
        <v/>
      </c>
      <c r="J4368" s="319">
        <f>F4368-I4368</f>
        <v/>
      </c>
      <c r="K4368" s="516">
        <f>2087145+133000</f>
        <v/>
      </c>
      <c r="L4368" s="148">
        <f>L4367+G4368-K4368</f>
        <v/>
      </c>
    </row>
    <row r="4369">
      <c r="B4369" s="1">
        <f>+B4368+1</f>
        <v/>
      </c>
      <c r="C4369" s="24" t="n">
        <v>45444</v>
      </c>
      <c r="D4369" s="24" t="n">
        <v>45473</v>
      </c>
      <c r="E4369" s="25" t="n">
        <v>31</v>
      </c>
      <c r="F4369" s="319">
        <f>J4368</f>
        <v/>
      </c>
      <c r="G4369" s="319">
        <f>-PMT($D$4354/$D$4356,33,$F$4366,,0)</f>
        <v/>
      </c>
      <c r="H4369" s="319">
        <f>($D$4354/$D$4356*$F$4369)</f>
        <v/>
      </c>
      <c r="I4369" s="319">
        <f>G4369-H4369</f>
        <v/>
      </c>
      <c r="J4369" s="319">
        <f>F4369-I4369</f>
        <v/>
      </c>
      <c r="K4369" s="516" t="n">
        <v>2100000</v>
      </c>
      <c r="L4369" s="148">
        <f>L4368+G4369-K4369</f>
        <v/>
      </c>
    </row>
    <row r="4370">
      <c r="B4370" s="1">
        <f>+B4369+1</f>
        <v/>
      </c>
      <c r="C4370" s="24" t="n">
        <v>45474</v>
      </c>
      <c r="D4370" s="24" t="n">
        <v>45504</v>
      </c>
      <c r="E4370" s="25" t="n">
        <v>30</v>
      </c>
      <c r="F4370" s="319">
        <f>J4369</f>
        <v/>
      </c>
      <c r="G4370" s="319">
        <f>-PMT($D$4354/$D$4356,33,$F$4366,,0)</f>
        <v/>
      </c>
      <c r="H4370" s="319">
        <f>($D$4354/$D$4356*$F$4370)</f>
        <v/>
      </c>
      <c r="I4370" s="319">
        <f>G4370-H4370</f>
        <v/>
      </c>
      <c r="J4370" s="319">
        <f>F4370-I4370</f>
        <v/>
      </c>
      <c r="K4370" s="516" t="n">
        <v>2087000</v>
      </c>
      <c r="L4370" s="148">
        <f>L4369+G4370-K4370</f>
        <v/>
      </c>
    </row>
    <row r="4371">
      <c r="B4371" s="1">
        <f>+B4370+1</f>
        <v/>
      </c>
      <c r="C4371" s="24" t="n">
        <v>45505</v>
      </c>
      <c r="D4371" s="24" t="n">
        <v>45535</v>
      </c>
      <c r="E4371" s="25" t="n">
        <v>31</v>
      </c>
      <c r="F4371" s="319">
        <f>J4370</f>
        <v/>
      </c>
      <c r="G4371" s="319">
        <f>-PMT($D$4354/$D$4356,33,$F$4366,,0)</f>
        <v/>
      </c>
      <c r="H4371" s="319">
        <f>($D$4354/$D$4356*$F$4371)</f>
        <v/>
      </c>
      <c r="I4371" s="319">
        <f>G4371-H4371</f>
        <v/>
      </c>
      <c r="J4371" s="319">
        <f>F4371-I4371</f>
        <v/>
      </c>
      <c r="K4371" s="516" t="n">
        <v>2087000</v>
      </c>
      <c r="L4371" s="148">
        <f>L4370+G4371-K4371</f>
        <v/>
      </c>
    </row>
    <row r="4372">
      <c r="B4372" s="1">
        <f>+B4371+1</f>
        <v/>
      </c>
      <c r="C4372" s="24" t="n">
        <v>45536</v>
      </c>
      <c r="D4372" s="24" t="n">
        <v>45565</v>
      </c>
      <c r="E4372" s="25" t="n">
        <v>31</v>
      </c>
      <c r="F4372" s="319">
        <f>J4371</f>
        <v/>
      </c>
      <c r="G4372" s="319">
        <f>-PMT($D$4354/$D$4356,33,$F$4366,,0)</f>
        <v/>
      </c>
      <c r="H4372" s="319">
        <f>($D$4354/$D$4356*$F$4372)</f>
        <v/>
      </c>
      <c r="I4372" s="319">
        <f>G4372-H4372</f>
        <v/>
      </c>
      <c r="J4372" s="319">
        <f>F4372-I4372</f>
        <v/>
      </c>
      <c r="K4372" s="516">
        <f>2600000+2287000</f>
        <v/>
      </c>
      <c r="L4372" s="148">
        <f>L4371+G4372-K4372</f>
        <v/>
      </c>
    </row>
    <row r="4373">
      <c r="B4373" s="1">
        <f>+B4372+1</f>
        <v/>
      </c>
      <c r="C4373" s="24" t="n">
        <v>45566</v>
      </c>
      <c r="D4373" s="24" t="n">
        <v>45596</v>
      </c>
      <c r="E4373" s="25" t="n">
        <v>30</v>
      </c>
      <c r="F4373" s="319">
        <f>J4372</f>
        <v/>
      </c>
      <c r="G4373" s="319">
        <f>-PMT($D$4354/$D$4356,33,$F$4366,,0)</f>
        <v/>
      </c>
      <c r="H4373" s="319">
        <f>($D$4354/$D$4356*$F$4373)</f>
        <v/>
      </c>
      <c r="I4373" s="319">
        <f>G4373-H4373</f>
        <v/>
      </c>
      <c r="J4373" s="319">
        <f>F4373-I4373</f>
        <v/>
      </c>
      <c r="K4373" s="516" t="n">
        <v>2287000</v>
      </c>
      <c r="L4373" s="352">
        <f>L4372+G4373-K4373</f>
        <v/>
      </c>
    </row>
    <row r="4374">
      <c r="B4374" s="1">
        <f>+B4373+1</f>
        <v/>
      </c>
      <c r="C4374" s="24" t="n">
        <v>45597</v>
      </c>
      <c r="D4374" s="24" t="n">
        <v>45626</v>
      </c>
      <c r="E4374" s="25" t="n">
        <v>31</v>
      </c>
      <c r="F4374" s="319">
        <f>J4373</f>
        <v/>
      </c>
      <c r="G4374" s="319">
        <f>-PMT($D$4354/$D$4356,33,$F$4366,,0)</f>
        <v/>
      </c>
      <c r="H4374" s="319">
        <f>($D$4354/$D$4356*$F$4374)</f>
        <v/>
      </c>
      <c r="I4374" s="319">
        <f>G4374-H4374</f>
        <v/>
      </c>
      <c r="J4374" s="319">
        <f>F4374-I4374</f>
        <v/>
      </c>
      <c r="K4374" s="516" t="n"/>
      <c r="L4374" s="516" t="n"/>
    </row>
    <row r="4375">
      <c r="B4375" s="1">
        <f>+B4374+1</f>
        <v/>
      </c>
      <c r="C4375" s="24" t="n">
        <v>45627</v>
      </c>
      <c r="D4375" s="24" t="n">
        <v>45657</v>
      </c>
      <c r="E4375" s="25" t="n">
        <v>30</v>
      </c>
      <c r="F4375" s="319">
        <f>J4374</f>
        <v/>
      </c>
      <c r="G4375" s="319">
        <f>-PMT($D$4354/$D$4356,33,$F$4366,,0)</f>
        <v/>
      </c>
      <c r="H4375" s="319">
        <f>($D$4354/$D$4356*$F$4375)</f>
        <v/>
      </c>
      <c r="I4375" s="319">
        <f>G4375-H4375</f>
        <v/>
      </c>
      <c r="J4375" s="319">
        <f>F4375-I4375</f>
        <v/>
      </c>
      <c r="K4375" s="516" t="n"/>
      <c r="L4375" s="516" t="n"/>
    </row>
    <row r="4376">
      <c r="B4376" s="1">
        <f>+B4375+1</f>
        <v/>
      </c>
      <c r="C4376" s="24" t="n">
        <v>45658</v>
      </c>
      <c r="D4376" s="24" t="n">
        <v>45688</v>
      </c>
      <c r="E4376" s="25" t="n">
        <v>31</v>
      </c>
      <c r="F4376" s="319">
        <f>J4375</f>
        <v/>
      </c>
      <c r="G4376" s="319">
        <f>-PMT($D$4354/$D$4356,33,$F$4366,,0)</f>
        <v/>
      </c>
      <c r="H4376" s="319">
        <f>($D$4354/$D$4356*$F$4376)</f>
        <v/>
      </c>
      <c r="I4376" s="319">
        <f>G4376-H4376</f>
        <v/>
      </c>
      <c r="J4376" s="319">
        <f>F4376-I4376</f>
        <v/>
      </c>
      <c r="K4376" s="516" t="n"/>
      <c r="L4376" s="516" t="n"/>
    </row>
    <row r="4377">
      <c r="B4377" s="1">
        <f>+B4376+1</f>
        <v/>
      </c>
      <c r="C4377" s="24" t="n">
        <v>45689</v>
      </c>
      <c r="D4377" s="24" t="n">
        <v>45716</v>
      </c>
      <c r="E4377" s="25" t="n">
        <v>31</v>
      </c>
      <c r="F4377" s="319">
        <f>J4376</f>
        <v/>
      </c>
      <c r="G4377" s="319">
        <f>-PMT($D$4354/$D$4356,33,$F$4366,,0)</f>
        <v/>
      </c>
      <c r="H4377" s="319">
        <f>($D$4354/$D$4356*$F$4377)</f>
        <v/>
      </c>
      <c r="I4377" s="319">
        <f>G4377-H4377</f>
        <v/>
      </c>
      <c r="J4377" s="319">
        <f>F4377-I4377</f>
        <v/>
      </c>
      <c r="K4377" s="516" t="n"/>
      <c r="L4377" s="516" t="n"/>
    </row>
    <row r="4378">
      <c r="B4378" s="1">
        <f>+B4377+1</f>
        <v/>
      </c>
      <c r="C4378" s="24" t="n">
        <v>45717</v>
      </c>
      <c r="D4378" s="24" t="n">
        <v>45747</v>
      </c>
      <c r="E4378" s="25" t="n">
        <v>28</v>
      </c>
      <c r="F4378" s="319">
        <f>J4377</f>
        <v/>
      </c>
      <c r="G4378" s="319">
        <f>-PMT($D$4354/$D$4356,33,$F$4366,,0)</f>
        <v/>
      </c>
      <c r="H4378" s="319">
        <f>($D$4354/$D$4356*$F$4378)</f>
        <v/>
      </c>
      <c r="I4378" s="319">
        <f>G4378-H4378</f>
        <v/>
      </c>
      <c r="J4378" s="319">
        <f>F4378-I4378</f>
        <v/>
      </c>
      <c r="K4378" s="516" t="n"/>
      <c r="L4378" s="516" t="n"/>
    </row>
    <row r="4379">
      <c r="B4379" s="1">
        <f>+B4378+1</f>
        <v/>
      </c>
      <c r="C4379" s="24" t="n">
        <v>45748</v>
      </c>
      <c r="D4379" s="24" t="n">
        <v>45777</v>
      </c>
      <c r="E4379" s="25" t="n">
        <v>31</v>
      </c>
      <c r="F4379" s="319">
        <f>J4378</f>
        <v/>
      </c>
      <c r="G4379" s="319">
        <f>-PMT($D$4354/$D$4356,33,$F$4366,,0)</f>
        <v/>
      </c>
      <c r="H4379" s="319">
        <f>($D$4354/$D$4356*$F$4379)</f>
        <v/>
      </c>
      <c r="I4379" s="319">
        <f>G4379-H4379</f>
        <v/>
      </c>
      <c r="J4379" s="319">
        <f>F4379-I4379</f>
        <v/>
      </c>
      <c r="K4379" s="516" t="n"/>
      <c r="L4379" s="516" t="n"/>
    </row>
    <row r="4380">
      <c r="B4380" s="1">
        <f>+B4379+1</f>
        <v/>
      </c>
      <c r="C4380" s="24" t="n">
        <v>45778</v>
      </c>
      <c r="D4380" s="24" t="n">
        <v>45808</v>
      </c>
      <c r="E4380" s="25" t="n">
        <v>30</v>
      </c>
      <c r="F4380" s="319">
        <f>J4379</f>
        <v/>
      </c>
      <c r="G4380" s="319">
        <f>-PMT($D$4354/$D$4356,33,$F$4366,,0)</f>
        <v/>
      </c>
      <c r="H4380" s="319">
        <f>($D$4354/$D$4356*$F$4380)</f>
        <v/>
      </c>
      <c r="I4380" s="319">
        <f>G4380-H4380</f>
        <v/>
      </c>
      <c r="J4380" s="319">
        <f>F4380-I4380</f>
        <v/>
      </c>
      <c r="K4380" s="516" t="n"/>
      <c r="L4380" s="516" t="n"/>
    </row>
    <row r="4381">
      <c r="B4381" s="1">
        <f>+B4380+1</f>
        <v/>
      </c>
      <c r="C4381" s="24" t="n">
        <v>45809</v>
      </c>
      <c r="D4381" s="24" t="n">
        <v>45838</v>
      </c>
      <c r="E4381" s="25" t="n">
        <v>31</v>
      </c>
      <c r="F4381" s="319">
        <f>J4380</f>
        <v/>
      </c>
      <c r="G4381" s="319">
        <f>-PMT($D$4354/$D$4356,33,$F$4366,,0)</f>
        <v/>
      </c>
      <c r="H4381" s="319">
        <f>($D$4354/$D$4356*$F$4381)</f>
        <v/>
      </c>
      <c r="I4381" s="319">
        <f>G4381-H4381</f>
        <v/>
      </c>
      <c r="J4381" s="319">
        <f>F4381-I4381</f>
        <v/>
      </c>
      <c r="K4381" s="516" t="n"/>
      <c r="L4381" s="516" t="n"/>
    </row>
    <row r="4382">
      <c r="B4382" s="1">
        <f>+B4381+1</f>
        <v/>
      </c>
      <c r="C4382" s="24" t="n">
        <v>45839</v>
      </c>
      <c r="D4382" s="24" t="n">
        <v>45868</v>
      </c>
      <c r="E4382" s="25" t="n">
        <v>30</v>
      </c>
      <c r="F4382" s="319">
        <f>J4381</f>
        <v/>
      </c>
      <c r="G4382" s="319">
        <f>-PMT($D$4354/$D$4356,33,$F$4366,,0)</f>
        <v/>
      </c>
      <c r="H4382" s="319">
        <f>($D$4354/$D$4356*$F$4382)</f>
        <v/>
      </c>
      <c r="I4382" s="319">
        <f>G4382-H4382</f>
        <v/>
      </c>
      <c r="J4382" s="319">
        <f>F4382-I4382</f>
        <v/>
      </c>
      <c r="K4382" s="516" t="n"/>
      <c r="L4382" s="516" t="n"/>
    </row>
    <row r="4383">
      <c r="B4383" s="1">
        <f>+B4382+1</f>
        <v/>
      </c>
      <c r="C4383" s="24" t="n">
        <v>45870</v>
      </c>
      <c r="D4383" s="24" t="n">
        <v>45899</v>
      </c>
      <c r="E4383" s="25" t="n">
        <v>30</v>
      </c>
      <c r="F4383" s="319">
        <f>J4382</f>
        <v/>
      </c>
      <c r="G4383" s="319">
        <f>-PMT($D$4354/$D$4356,33,$F$4366,,0)</f>
        <v/>
      </c>
      <c r="H4383" s="319">
        <f>($D$4354/$D$4356*$F$4383)</f>
        <v/>
      </c>
      <c r="I4383" s="319">
        <f>G4383-H4383</f>
        <v/>
      </c>
      <c r="J4383" s="319">
        <f>F4383-I4383</f>
        <v/>
      </c>
      <c r="K4383" s="516" t="n"/>
      <c r="L4383" s="516" t="n"/>
    </row>
    <row r="4384">
      <c r="B4384" s="1">
        <f>+B4383+1</f>
        <v/>
      </c>
      <c r="C4384" s="24" t="n">
        <v>45901</v>
      </c>
      <c r="D4384" s="24" t="n">
        <v>45930</v>
      </c>
      <c r="E4384" s="25" t="n">
        <v>30</v>
      </c>
      <c r="F4384" s="319">
        <f>J4383</f>
        <v/>
      </c>
      <c r="G4384" s="319">
        <f>-PMT($D$4354/$D$4356,33,$F$4366,,0)</f>
        <v/>
      </c>
      <c r="H4384" s="319">
        <f>($D$4354/$D$4356*$F$4384)</f>
        <v/>
      </c>
      <c r="I4384" s="319">
        <f>G4384-H4384</f>
        <v/>
      </c>
      <c r="J4384" s="319">
        <f>F4384-I4384</f>
        <v/>
      </c>
      <c r="K4384" s="516" t="n"/>
      <c r="L4384" s="516" t="n"/>
    </row>
    <row r="4385">
      <c r="B4385" s="1">
        <f>+B4384+1</f>
        <v/>
      </c>
      <c r="C4385" s="24" t="n">
        <v>45931</v>
      </c>
      <c r="D4385" s="24" t="n">
        <v>45961</v>
      </c>
      <c r="E4385" s="25" t="n">
        <v>30</v>
      </c>
      <c r="F4385" s="319">
        <f>J4384</f>
        <v/>
      </c>
      <c r="G4385" s="319">
        <f>-PMT($D$4354/$D$4356,33,$F$4366,,0)</f>
        <v/>
      </c>
      <c r="H4385" s="319">
        <f>($D$4354/$D$4356*$F$4385)</f>
        <v/>
      </c>
      <c r="I4385" s="319">
        <f>G4385-H4385</f>
        <v/>
      </c>
      <c r="J4385" s="319">
        <f>F4385-I4385</f>
        <v/>
      </c>
    </row>
    <row r="4386">
      <c r="B4386" s="1">
        <f>+B4385+1</f>
        <v/>
      </c>
      <c r="C4386" s="24" t="n">
        <v>45962</v>
      </c>
      <c r="D4386" s="24" t="n">
        <v>45991</v>
      </c>
      <c r="E4386" s="25" t="n">
        <v>31</v>
      </c>
      <c r="F4386" s="319">
        <f>J4385</f>
        <v/>
      </c>
      <c r="G4386" s="319">
        <f>-PMT($D$4354/$D$4356,33,$F$4366,,0)</f>
        <v/>
      </c>
      <c r="H4386" s="319">
        <f>($D$4354/$D$4356*$F$4386)</f>
        <v/>
      </c>
      <c r="I4386" s="319">
        <f>G4386-H4386</f>
        <v/>
      </c>
      <c r="J4386" s="319">
        <f>F4386-I4386</f>
        <v/>
      </c>
    </row>
    <row r="4387">
      <c r="B4387" s="1">
        <f>+B4386+1</f>
        <v/>
      </c>
      <c r="C4387" s="24" t="n">
        <v>45992</v>
      </c>
      <c r="D4387" s="24" t="n">
        <v>46022</v>
      </c>
      <c r="E4387" s="25" t="n">
        <v>30</v>
      </c>
      <c r="F4387" s="319">
        <f>J4386</f>
        <v/>
      </c>
      <c r="G4387" s="319">
        <f>-PMT($D$4354/$D$4356,33,$F$4366,,0)</f>
        <v/>
      </c>
      <c r="H4387" s="319">
        <f>($D$4354/$D$4356*$F$4387)</f>
        <v/>
      </c>
      <c r="I4387" s="319">
        <f>G4387-H4387</f>
        <v/>
      </c>
      <c r="J4387" s="319">
        <f>F4387-I4387</f>
        <v/>
      </c>
    </row>
    <row r="4388">
      <c r="B4388" s="1">
        <f>+B4387+1</f>
        <v/>
      </c>
      <c r="C4388" s="24" t="n">
        <v>46023</v>
      </c>
      <c r="D4388" s="24" t="n">
        <v>46053</v>
      </c>
      <c r="E4388" s="25" t="n">
        <v>31</v>
      </c>
      <c r="F4388" s="319">
        <f>J4387</f>
        <v/>
      </c>
      <c r="G4388" s="319">
        <f>-PMT($D$4354/$D$4356,33,$F$4366,,0)</f>
        <v/>
      </c>
      <c r="H4388" s="319">
        <f>($D$4354/$D$4356*$F$4388)</f>
        <v/>
      </c>
      <c r="I4388" s="319">
        <f>G4388-H4388</f>
        <v/>
      </c>
      <c r="J4388" s="319">
        <f>F4388-I4388</f>
        <v/>
      </c>
    </row>
    <row r="4389">
      <c r="B4389" s="1">
        <f>+B4388+1</f>
        <v/>
      </c>
      <c r="C4389" s="24" t="n">
        <v>46054</v>
      </c>
      <c r="D4389" s="24" t="n">
        <v>46081</v>
      </c>
      <c r="E4389" s="25" t="n">
        <v>31</v>
      </c>
      <c r="F4389" s="319">
        <f>J4388</f>
        <v/>
      </c>
      <c r="G4389" s="319">
        <f>-PMT($D$4354/$D$4356,33,$F$4366,,0)</f>
        <v/>
      </c>
      <c r="H4389" s="319">
        <f>($D$4354/$D$4356*$F$4389)</f>
        <v/>
      </c>
      <c r="I4389" s="319">
        <f>G4389-H4389</f>
        <v/>
      </c>
      <c r="J4389" s="319">
        <f>F4389-I4389</f>
        <v/>
      </c>
    </row>
    <row r="4390">
      <c r="B4390" s="1">
        <f>+B4389+1</f>
        <v/>
      </c>
      <c r="C4390" s="24" t="n">
        <v>46082</v>
      </c>
      <c r="D4390" s="24" t="n">
        <v>46112</v>
      </c>
      <c r="E4390" s="25" t="n">
        <v>28</v>
      </c>
      <c r="F4390" s="319">
        <f>J4389</f>
        <v/>
      </c>
      <c r="G4390" s="319">
        <f>-PMT($D$4354/$D$4356,33,$F$4366,,0)</f>
        <v/>
      </c>
      <c r="H4390" s="319">
        <f>($D$4354/$D$4356*$F$4390)</f>
        <v/>
      </c>
      <c r="I4390" s="319">
        <f>G4390-H4390</f>
        <v/>
      </c>
      <c r="J4390" s="319">
        <f>F4390-I4390</f>
        <v/>
      </c>
    </row>
    <row r="4391">
      <c r="B4391" s="1">
        <f>+B4390+1</f>
        <v/>
      </c>
      <c r="C4391" s="24" t="n">
        <v>46113</v>
      </c>
      <c r="D4391" s="24" t="n">
        <v>46142</v>
      </c>
      <c r="E4391" s="25" t="n">
        <v>31</v>
      </c>
      <c r="F4391" s="319">
        <f>J4390</f>
        <v/>
      </c>
      <c r="G4391" s="319">
        <f>-PMT($D$4354/$D$4356,33,$F$4366,,0)</f>
        <v/>
      </c>
      <c r="H4391" s="319">
        <f>($D$4354/$D$4356*$F$4391)</f>
        <v/>
      </c>
      <c r="I4391" s="319">
        <f>G4391-H4391</f>
        <v/>
      </c>
      <c r="J4391" s="319">
        <f>F4391-I4391</f>
        <v/>
      </c>
    </row>
    <row r="4392">
      <c r="B4392" s="1">
        <f>+B4391+1</f>
        <v/>
      </c>
      <c r="C4392" s="24" t="n">
        <v>46143</v>
      </c>
      <c r="D4392" s="24" t="n">
        <v>46173</v>
      </c>
      <c r="E4392" s="25" t="n">
        <v>30</v>
      </c>
      <c r="F4392" s="319">
        <f>J4391</f>
        <v/>
      </c>
      <c r="G4392" s="319">
        <f>-PMT($D$4354/$D$4356,33,$F$4366,,0)</f>
        <v/>
      </c>
      <c r="H4392" s="319">
        <f>($D$4354/$D$4356*$F$4392)</f>
        <v/>
      </c>
      <c r="I4392" s="319">
        <f>G4392-H4392</f>
        <v/>
      </c>
      <c r="J4392" s="319">
        <f>F4392-I4392</f>
        <v/>
      </c>
    </row>
    <row r="4393">
      <c r="B4393" s="1">
        <f>+B4392+1</f>
        <v/>
      </c>
      <c r="C4393" s="24" t="n">
        <v>46174</v>
      </c>
      <c r="D4393" s="24" t="n">
        <v>46203</v>
      </c>
      <c r="E4393" s="25" t="n">
        <v>31</v>
      </c>
      <c r="F4393" s="319">
        <f>J4392</f>
        <v/>
      </c>
      <c r="G4393" s="319">
        <f>-PMT($D$4354/$D$4356,33,$F$4366,,0)</f>
        <v/>
      </c>
      <c r="H4393" s="319">
        <f>($D$4354/$D$4356*$F$4393)</f>
        <v/>
      </c>
      <c r="I4393" s="319">
        <f>G4393-H4393</f>
        <v/>
      </c>
      <c r="J4393" s="319">
        <f>F4393-I4393</f>
        <v/>
      </c>
    </row>
    <row r="4394">
      <c r="B4394" s="1">
        <f>+B4393+1</f>
        <v/>
      </c>
      <c r="C4394" s="24" t="n">
        <v>46204</v>
      </c>
      <c r="D4394" s="24" t="n">
        <v>46234</v>
      </c>
      <c r="E4394" s="25" t="n">
        <v>30</v>
      </c>
      <c r="F4394" s="319">
        <f>J4393</f>
        <v/>
      </c>
      <c r="G4394" s="319">
        <f>-PMT($D$4354/$D$4356,33,$F$4366,,0)</f>
        <v/>
      </c>
      <c r="H4394" s="319">
        <f>($D$4354/$D$4356*$F$4394)</f>
        <v/>
      </c>
      <c r="I4394" s="319">
        <f>G4394-H4394</f>
        <v/>
      </c>
      <c r="J4394" s="319">
        <f>F4394-I4394</f>
        <v/>
      </c>
    </row>
    <row r="4395">
      <c r="B4395" s="1">
        <f>+B4394+1</f>
        <v/>
      </c>
      <c r="C4395" s="24" t="n">
        <v>46235</v>
      </c>
      <c r="D4395" s="24" t="n">
        <v>46265</v>
      </c>
      <c r="E4395" s="25" t="n">
        <v>31</v>
      </c>
      <c r="F4395" s="319">
        <f>J4394</f>
        <v/>
      </c>
      <c r="G4395" s="319">
        <f>-PMT($D$4354/$D$4356,33,$F$4366,,0)</f>
        <v/>
      </c>
      <c r="H4395" s="319">
        <f>($D$4354/$D$4356*$F$4395)</f>
        <v/>
      </c>
      <c r="I4395" s="319">
        <f>G4395-H4395</f>
        <v/>
      </c>
      <c r="J4395" s="319">
        <f>F4395-I4395</f>
        <v/>
      </c>
    </row>
    <row r="4396">
      <c r="B4396" s="1">
        <f>+B4395+1</f>
        <v/>
      </c>
      <c r="C4396" s="24" t="n">
        <v>46266</v>
      </c>
      <c r="D4396" s="24" t="n">
        <v>46295</v>
      </c>
      <c r="E4396" s="25" t="n">
        <v>31</v>
      </c>
      <c r="F4396" s="319">
        <f>J4395</f>
        <v/>
      </c>
      <c r="G4396" s="319">
        <f>-PMT($D$4354/$D$4356,33,$F$4366,,0)</f>
        <v/>
      </c>
      <c r="H4396" s="319">
        <f>($D$4354/$D$4356*$F$4396)</f>
        <v/>
      </c>
      <c r="I4396" s="319">
        <f>G4396-H4396</f>
        <v/>
      </c>
      <c r="J4396" s="319">
        <f>F4396-I4396</f>
        <v/>
      </c>
    </row>
    <row r="4397">
      <c r="B4397" s="1">
        <f>+B4396+1</f>
        <v/>
      </c>
      <c r="C4397" s="24" t="n">
        <v>46296</v>
      </c>
      <c r="D4397" s="24" t="n">
        <v>46326</v>
      </c>
      <c r="E4397" s="25" t="n">
        <v>30</v>
      </c>
      <c r="F4397" s="319">
        <f>J4396</f>
        <v/>
      </c>
      <c r="G4397" s="319">
        <f>-PMT($D$4354/$D$4356,33,$F$4366,,0)</f>
        <v/>
      </c>
      <c r="H4397" s="319">
        <f>($D$4354/$D$4356*$F$4397)</f>
        <v/>
      </c>
      <c r="I4397" s="319">
        <f>G4397-H4397</f>
        <v/>
      </c>
      <c r="J4397" s="319">
        <f>F4397-I4397</f>
        <v/>
      </c>
    </row>
    <row r="4398">
      <c r="B4398" s="1">
        <f>+B4397+1</f>
        <v/>
      </c>
      <c r="C4398" s="24" t="n">
        <v>46327</v>
      </c>
      <c r="D4398" s="24" t="n">
        <v>46356</v>
      </c>
      <c r="E4398" s="25" t="n">
        <v>31</v>
      </c>
      <c r="F4398" s="319">
        <f>J4397</f>
        <v/>
      </c>
      <c r="G4398" s="319">
        <f>-PMT($D$4354/$D$4356,33,$F$4366,,0)</f>
        <v/>
      </c>
      <c r="H4398" s="319">
        <f>($D$4354/$D$4356*$F$4398)</f>
        <v/>
      </c>
      <c r="I4398" s="319">
        <f>G4398-H4398</f>
        <v/>
      </c>
      <c r="J4398" s="319">
        <f>F4398-I4398</f>
        <v/>
      </c>
    </row>
    <row r="4399">
      <c r="B4399" s="1" t="n"/>
      <c r="C4399" s="24" t="n"/>
      <c r="D4399" s="24" t="n"/>
      <c r="E4399" s="25" t="n"/>
      <c r="F4399" s="319" t="n"/>
      <c r="G4399" s="319" t="n"/>
      <c r="H4399" s="319" t="n"/>
      <c r="I4399" s="319" t="n"/>
      <c r="J4399" s="319" t="n"/>
    </row>
    <row r="4400">
      <c r="B4400" s="1" t="n"/>
      <c r="C4400" s="24" t="n"/>
      <c r="D4400" s="24" t="n"/>
      <c r="E4400" s="25" t="n"/>
      <c r="F4400" s="319" t="n"/>
      <c r="G4400" s="319" t="n"/>
      <c r="H4400" s="319" t="n"/>
      <c r="I4400" s="319" t="n"/>
      <c r="J4400" s="319" t="n"/>
    </row>
    <row r="4401">
      <c r="B4401" s="1" t="n"/>
      <c r="C4401" s="24" t="n"/>
      <c r="D4401" s="24" t="n"/>
      <c r="E4401" s="25" t="n"/>
      <c r="F4401" s="319" t="n"/>
      <c r="G4401" s="319" t="n"/>
      <c r="H4401" s="319" t="n"/>
      <c r="I4401" s="319" t="n"/>
      <c r="J4401" s="319" t="n"/>
    </row>
    <row r="4402">
      <c r="B4402" s="1" t="n"/>
      <c r="C4402" s="24" t="n"/>
      <c r="D4402" s="24" t="n"/>
      <c r="E4402" s="25" t="n"/>
      <c r="F4402" s="319" t="n"/>
      <c r="G4402" s="319" t="n"/>
      <c r="H4402" s="319" t="n"/>
      <c r="I4402" s="319" t="n"/>
      <c r="J4402" s="319" t="n"/>
    </row>
    <row r="4403">
      <c r="B4403" s="1" t="n"/>
      <c r="C4403" s="24" t="n"/>
      <c r="D4403" s="24" t="n"/>
      <c r="E4403" s="25" t="n"/>
      <c r="F4403" s="319" t="n"/>
      <c r="G4403" s="319" t="n"/>
      <c r="H4403" s="319" t="n"/>
      <c r="I4403" s="319" t="n"/>
      <c r="J4403" s="319" t="n"/>
    </row>
    <row r="4404">
      <c r="B4404" s="1" t="n"/>
      <c r="C4404" s="9" t="inlineStr">
        <is>
          <t>Chuma Mkandawire T/A Chikoma Estates</t>
        </is>
      </c>
      <c r="D4404" s="319" t="n"/>
      <c r="E4404" s="319" t="n"/>
      <c r="F4404" s="319" t="n"/>
      <c r="G4404" s="319" t="n"/>
      <c r="H4404" s="319" t="n"/>
      <c r="I4404" s="319" t="n"/>
      <c r="J4404" s="319" t="n"/>
      <c r="K4404" s="319" t="n"/>
      <c r="L4404" s="319" t="n"/>
      <c r="R4404" s="514" t="inlineStr">
        <is>
          <t>E-Banker account (Dupleix)</t>
        </is>
      </c>
      <c r="S4404" s="495">
        <f>IFERROR(INDEX('Blocks'!$I$2:$I$101,MATCH(80,'Blocks'!$A$2:$A$101,0)),"")</f>
        <v/>
      </c>
    </row>
    <row r="4405">
      <c r="B4405" s="1" t="n"/>
      <c r="C4405" s="1" t="n"/>
      <c r="D4405" s="319" t="n"/>
      <c r="E4405" s="319" t="n"/>
      <c r="F4405" s="319" t="n"/>
      <c r="G4405" s="319" t="n"/>
      <c r="H4405" s="319" t="n"/>
      <c r="I4405" s="319" t="n"/>
      <c r="J4405" s="319" t="n"/>
      <c r="K4405" s="319" t="n"/>
      <c r="L4405" s="319" t="n"/>
      <c r="R4405" s="514" t="inlineStr">
        <is>
          <t>Facility (Loan Book)</t>
        </is>
      </c>
      <c r="S4405" s="495">
        <f>IFERROR(INDEX('Blocks'!$H$2:$H$101,MATCH(80,'Blocks'!$A$2:$A$101,0)),"")</f>
        <v/>
      </c>
    </row>
    <row r="4406">
      <c r="B4406" s="1" t="n"/>
      <c r="C4406" s="10" t="inlineStr">
        <is>
          <t>Principal (MK)</t>
        </is>
      </c>
      <c r="D4406" s="11" t="n">
        <v>30000000</v>
      </c>
      <c r="E4406" s="319" t="n"/>
      <c r="F4406" s="319" t="n"/>
      <c r="G4406" s="319" t="n"/>
      <c r="H4406" s="319" t="n"/>
      <c r="I4406" s="319" t="n"/>
      <c r="J4406" s="319" t="n"/>
      <c r="K4406" s="319" t="n"/>
      <c r="L4406" s="319" t="n"/>
      <c r="R4406" s="514" t="inlineStr">
        <is>
          <t>Take-on posting 31 Jul 2024</t>
        </is>
      </c>
      <c r="S4406" s="496">
        <f>IFERROR(INDEX('E-Banker master'!$N$2:$N$186,MATCH(S4404,'E-Banker master'!$A$2:$A$186,0)),"")</f>
        <v/>
      </c>
    </row>
    <row r="4407">
      <c r="B4407" s="1" t="n"/>
      <c r="C4407" s="13" t="inlineStr">
        <is>
          <t>Rate</t>
        </is>
      </c>
      <c r="D4407" s="14" t="n">
        <v>0.1</v>
      </c>
      <c r="E4407" s="257" t="n"/>
      <c r="F4407" s="248" t="n"/>
      <c r="G4407" s="319" t="n"/>
      <c r="H4407" s="319" t="n"/>
      <c r="I4407" s="319" t="n"/>
      <c r="J4407" s="319" t="n"/>
      <c r="K4407" s="319" t="n"/>
      <c r="L4407" s="319" t="n"/>
      <c r="R4407" s="514" t="inlineStr">
        <is>
          <t>E-Banker balance 31 Oct 2024</t>
        </is>
      </c>
      <c r="S4407" s="496">
        <f>IFERROR(INDEX('E-Banker master'!$P$2:$P$186,MATCH(S4404,'E-Banker master'!$A$2:$A$186,0)),"")</f>
        <v/>
      </c>
    </row>
    <row r="4408">
      <c r="B4408" s="1" t="n"/>
      <c r="C4408" s="13" t="inlineStr">
        <is>
          <t>n</t>
        </is>
      </c>
      <c r="D4408" s="16" t="n">
        <v>2</v>
      </c>
      <c r="E4408" s="1" t="n"/>
      <c r="F4408" s="290" t="n"/>
      <c r="G4408" s="319" t="n"/>
      <c r="H4408" s="319" t="n"/>
      <c r="I4408" s="319" t="n"/>
      <c r="J4408" s="319" t="n"/>
      <c r="K4408" s="1" t="n"/>
      <c r="L4408" s="1" t="n"/>
    </row>
    <row r="4409">
      <c r="B4409" s="1" t="n"/>
      <c r="C4409" s="13" t="inlineStr">
        <is>
          <t>Per</t>
        </is>
      </c>
      <c r="D4409" s="16" t="n">
        <v>12</v>
      </c>
      <c r="E4409" s="1" t="n"/>
      <c r="F4409" s="257" t="n"/>
      <c r="G4409" s="319" t="n"/>
      <c r="H4409" s="319" t="n"/>
      <c r="I4409" s="319" t="n"/>
      <c r="J4409" s="319" t="n"/>
      <c r="K4409" s="27" t="n"/>
      <c r="L4409" s="1" t="n"/>
    </row>
    <row r="4410">
      <c r="B4410" s="1" t="n"/>
      <c r="C4410" s="13" t="inlineStr">
        <is>
          <t>nPer</t>
        </is>
      </c>
      <c r="D4410" s="515" t="n">
        <v>12</v>
      </c>
      <c r="E4410" s="1" t="n"/>
      <c r="F4410" s="319" t="n"/>
      <c r="G4410" s="319" t="n"/>
      <c r="H4410" s="319" t="n"/>
      <c r="I4410" s="319" t="n"/>
      <c r="J4410" s="319" t="n"/>
      <c r="K4410" s="1" t="n"/>
      <c r="L4410" s="1" t="n"/>
    </row>
    <row r="4411">
      <c r="B4411" s="1" t="n"/>
      <c r="C4411" s="13" t="inlineStr">
        <is>
          <t>Days in a year</t>
        </is>
      </c>
      <c r="D4411" s="18" t="n">
        <v>365</v>
      </c>
      <c r="E4411" s="1" t="n"/>
      <c r="F4411" s="319" t="n"/>
      <c r="G4411" s="319" t="n"/>
      <c r="H4411" s="319" t="n"/>
      <c r="I4411" s="319" t="n"/>
      <c r="J4411" s="319" t="n"/>
      <c r="K4411" s="1" t="n"/>
      <c r="L4411" s="1" t="n"/>
    </row>
    <row r="4412">
      <c r="B4412" s="1" t="n"/>
      <c r="C4412" s="19" t="inlineStr">
        <is>
          <t>Pmt (MK)</t>
        </is>
      </c>
      <c r="D4412" s="20">
        <f>-PMT(D4407/D4409,D4410,D4406,0,0)</f>
        <v/>
      </c>
      <c r="E4412" s="319" t="n"/>
      <c r="F4412" s="319" t="n"/>
      <c r="G4412" s="319" t="n"/>
      <c r="H4412" s="319" t="n"/>
      <c r="I4412" s="319" t="n"/>
      <c r="J4412" s="319" t="n"/>
      <c r="K4412" s="1" t="n"/>
      <c r="L4412" s="1" t="n"/>
    </row>
    <row r="4413">
      <c r="B4413" s="1" t="n"/>
      <c r="C4413" s="1" t="n"/>
      <c r="D4413" s="319" t="n"/>
      <c r="E4413" s="319" t="n"/>
      <c r="F4413" s="319" t="n"/>
      <c r="G4413" s="319" t="n"/>
      <c r="H4413" s="319" t="n"/>
      <c r="I4413" s="319" t="n"/>
      <c r="J4413" s="319" t="n"/>
      <c r="K4413" s="1" t="n"/>
      <c r="L4413" s="1" t="n"/>
    </row>
    <row r="4414">
      <c r="B4414" s="1" t="n"/>
      <c r="C4414" s="21" t="inlineStr">
        <is>
          <t>Period Start</t>
        </is>
      </c>
      <c r="D4414" s="22" t="inlineStr">
        <is>
          <t>Period End</t>
        </is>
      </c>
      <c r="E4414" s="22" t="inlineStr">
        <is>
          <t>Days</t>
        </is>
      </c>
      <c r="F4414" s="294" t="inlineStr">
        <is>
          <t>Opening bal.</t>
        </is>
      </c>
      <c r="G4414" s="294" t="inlineStr">
        <is>
          <t>Pmt</t>
        </is>
      </c>
      <c r="H4414" s="294" t="inlineStr">
        <is>
          <t>Interest</t>
        </is>
      </c>
      <c r="I4414" s="294" t="inlineStr">
        <is>
          <t>Principal</t>
        </is>
      </c>
      <c r="J4414" s="294" t="inlineStr">
        <is>
          <t>Closing balance</t>
        </is>
      </c>
      <c r="K4414" s="23" t="inlineStr">
        <is>
          <t>Amount Repaid</t>
        </is>
      </c>
      <c r="L4414" s="23" t="inlineStr">
        <is>
          <t>Accumulated Arrears</t>
        </is>
      </c>
    </row>
    <row r="4415">
      <c r="B4415" s="1" t="n">
        <v>1</v>
      </c>
      <c r="C4415" s="24" t="n">
        <v>45261</v>
      </c>
      <c r="D4415" s="24" t="n">
        <v>45291</v>
      </c>
      <c r="E4415" s="25">
        <f>D4415-C4415+1</f>
        <v/>
      </c>
      <c r="F4415" s="319">
        <f>D4406</f>
        <v/>
      </c>
      <c r="G4415" s="319">
        <f>-PMT($D$4407/$D$4409,12,$F$4415,0)</f>
        <v/>
      </c>
      <c r="H4415" s="319">
        <f>(D4407/D4409*E4415*F4415/31)</f>
        <v/>
      </c>
      <c r="I4415" s="319">
        <f>G4415-H4415</f>
        <v/>
      </c>
      <c r="J4415" s="319">
        <f>F4415+G4406-I4415</f>
        <v/>
      </c>
      <c r="K4415" s="516" t="n"/>
      <c r="L4415" s="516" t="n"/>
    </row>
    <row r="4416">
      <c r="B4416" s="1" t="n">
        <v>2</v>
      </c>
      <c r="C4416" s="24" t="n">
        <v>45292</v>
      </c>
      <c r="D4416" s="24" t="n">
        <v>45322</v>
      </c>
      <c r="E4416" s="25">
        <f>D4416-C4416+1</f>
        <v/>
      </c>
      <c r="F4416" s="319">
        <f>J4415</f>
        <v/>
      </c>
      <c r="G4416" s="319">
        <f>-PMT($D$4407/$D$4409,12,$F$4415,0)</f>
        <v/>
      </c>
      <c r="H4416" s="319">
        <f>($D$3238/$D$3240*F4416)</f>
        <v/>
      </c>
      <c r="I4416" s="319">
        <f>G4416-H4416</f>
        <v/>
      </c>
      <c r="J4416" s="319">
        <f>F4416-I4416</f>
        <v/>
      </c>
      <c r="K4416" s="516" t="n"/>
      <c r="L4416" s="516" t="n"/>
    </row>
    <row r="4417">
      <c r="B4417" s="1" t="n">
        <v>3</v>
      </c>
      <c r="C4417" s="24" t="n">
        <v>45323</v>
      </c>
      <c r="D4417" s="24" t="n">
        <v>45350</v>
      </c>
      <c r="E4417" s="25">
        <f>D4417-C4417+1</f>
        <v/>
      </c>
      <c r="F4417" s="319">
        <f>J4416</f>
        <v/>
      </c>
      <c r="G4417" s="319">
        <f>-PMT($D$4407/$D$4409,12,$F$4415,0)</f>
        <v/>
      </c>
      <c r="H4417" s="319">
        <f>($D$3238/$D$3240*F4417)</f>
        <v/>
      </c>
      <c r="I4417" s="319">
        <f>G4417-H4417</f>
        <v/>
      </c>
      <c r="J4417" s="319">
        <f>F4417-I4417</f>
        <v/>
      </c>
    </row>
    <row r="4418">
      <c r="B4418" s="1" t="n">
        <v>4</v>
      </c>
      <c r="C4418" s="24" t="n">
        <v>45352</v>
      </c>
      <c r="D4418" s="24" t="n">
        <v>45382</v>
      </c>
      <c r="E4418" s="25">
        <f>D4418-C4418+1</f>
        <v/>
      </c>
      <c r="F4418" s="319">
        <f>J4417</f>
        <v/>
      </c>
      <c r="G4418" s="319">
        <f>-PMT($D$4407/$D$4409,12,$F$4415,0)</f>
        <v/>
      </c>
      <c r="H4418" s="319">
        <f>($D$3238/$D$3240*F4418)</f>
        <v/>
      </c>
      <c r="I4418" s="319">
        <f>G4418-H4418</f>
        <v/>
      </c>
      <c r="J4418" s="319">
        <f>F4418-I4418</f>
        <v/>
      </c>
      <c r="K4418" s="516" t="n"/>
      <c r="L4418" s="516" t="n"/>
    </row>
    <row r="4419">
      <c r="B4419" s="1" t="n">
        <v>5</v>
      </c>
      <c r="C4419" s="24" t="n">
        <v>45383</v>
      </c>
      <c r="D4419" s="24" t="n">
        <v>45412</v>
      </c>
      <c r="E4419" s="25">
        <f>D4419-C4419+1</f>
        <v/>
      </c>
      <c r="F4419" s="319">
        <f>J4418</f>
        <v/>
      </c>
      <c r="G4419" s="319">
        <f>-PMT($D$4407/$D$4409,12,$F$4415,0)</f>
        <v/>
      </c>
      <c r="H4419" s="319">
        <f>($D$3238/$D$3240*F4419)</f>
        <v/>
      </c>
      <c r="I4419" s="319">
        <f>G4419-H4419</f>
        <v/>
      </c>
      <c r="J4419" s="319">
        <f>F4419-I4419</f>
        <v/>
      </c>
      <c r="K4419" s="516" t="n"/>
      <c r="L4419" s="516" t="n"/>
    </row>
    <row r="4420">
      <c r="B4420" s="1" t="n">
        <v>6</v>
      </c>
      <c r="C4420" s="24" t="n">
        <v>45413</v>
      </c>
      <c r="D4420" s="24" t="n">
        <v>45443</v>
      </c>
      <c r="E4420" s="25">
        <f>D4420-C4420+1</f>
        <v/>
      </c>
      <c r="F4420" s="319">
        <f>J4419</f>
        <v/>
      </c>
      <c r="G4420" s="319">
        <f>-PMT($D$4407/$D$4409,12,$F$4415,0)</f>
        <v/>
      </c>
      <c r="H4420" s="319">
        <f>($D$3238/$D$3240*F4420)</f>
        <v/>
      </c>
      <c r="I4420" s="319">
        <f>G4420-H4420</f>
        <v/>
      </c>
      <c r="J4420" s="319">
        <f>F4420-I4420</f>
        <v/>
      </c>
      <c r="K4420" s="516" t="n"/>
      <c r="L4420" s="516" t="n"/>
    </row>
    <row r="4421">
      <c r="B4421" s="1" t="n">
        <v>7</v>
      </c>
      <c r="C4421" s="24" t="n">
        <v>45444</v>
      </c>
      <c r="D4421" s="24" t="n">
        <v>45473</v>
      </c>
      <c r="E4421" s="25">
        <f>D4421-C4421+1</f>
        <v/>
      </c>
      <c r="F4421" s="319">
        <f>J4420</f>
        <v/>
      </c>
      <c r="G4421" s="319">
        <f>-PMT($D$4407/$D$4409,12,$F$4415,0)</f>
        <v/>
      </c>
      <c r="H4421" s="319">
        <f>($D$3238/$D$3240*F4421)</f>
        <v/>
      </c>
      <c r="I4421" s="319">
        <f>G4421-H4421</f>
        <v/>
      </c>
      <c r="J4421" s="319">
        <f>F4421-I4421</f>
        <v/>
      </c>
      <c r="K4421" s="516" t="n"/>
      <c r="L4421" s="519" t="n"/>
    </row>
    <row r="4422">
      <c r="B4422" s="1" t="n">
        <v>8</v>
      </c>
      <c r="C4422" s="24" t="n">
        <v>45474</v>
      </c>
      <c r="D4422" s="24" t="n">
        <v>45504</v>
      </c>
      <c r="E4422" s="25">
        <f>D4422-C4422+1</f>
        <v/>
      </c>
      <c r="F4422" s="319">
        <f>J4421</f>
        <v/>
      </c>
      <c r="G4422" s="319">
        <f>-PMT($D$4407/$D$4409,12,$F$4415,0)</f>
        <v/>
      </c>
      <c r="H4422" s="319">
        <f>($D$3238/$D$3240*F4422)</f>
        <v/>
      </c>
      <c r="I4422" s="319">
        <f>G4422-H4422</f>
        <v/>
      </c>
      <c r="J4422" s="319">
        <f>F4422-I4422</f>
        <v/>
      </c>
      <c r="K4422" s="516" t="n"/>
      <c r="L4422" s="516" t="n"/>
    </row>
    <row r="4423">
      <c r="B4423" s="1" t="n">
        <v>9</v>
      </c>
      <c r="C4423" s="24" t="n">
        <v>45505</v>
      </c>
      <c r="D4423" s="24" t="n">
        <v>45535</v>
      </c>
      <c r="E4423" s="25">
        <f>D4423-C4423+1</f>
        <v/>
      </c>
      <c r="F4423" s="319">
        <f>J4422</f>
        <v/>
      </c>
      <c r="G4423" s="319">
        <f>-PMT($D$4407/$D$4409,12,$F$4415,0)</f>
        <v/>
      </c>
      <c r="H4423" s="319">
        <f>($D$3238/$D$3240*F4423)</f>
        <v/>
      </c>
      <c r="I4423" s="319">
        <f>G4423-H4423</f>
        <v/>
      </c>
      <c r="J4423" s="319">
        <f>F4423-I4423</f>
        <v/>
      </c>
      <c r="K4423" s="516" t="n"/>
      <c r="L4423" s="516" t="n"/>
    </row>
    <row r="4424">
      <c r="B4424" s="1" t="n">
        <v>10</v>
      </c>
      <c r="C4424" s="24" t="n">
        <v>45536</v>
      </c>
      <c r="D4424" s="24" t="n">
        <v>45565</v>
      </c>
      <c r="E4424" s="25">
        <f>D4424-C4424+1</f>
        <v/>
      </c>
      <c r="F4424" s="319">
        <f>J4423</f>
        <v/>
      </c>
      <c r="G4424" s="319">
        <f>-PMT($D$4407/$D$4409,12,$F$4415,0)</f>
        <v/>
      </c>
      <c r="H4424" s="319">
        <f>($D$3238/$D$3240*F4424)</f>
        <v/>
      </c>
      <c r="I4424" s="319">
        <f>G4424-H4424</f>
        <v/>
      </c>
      <c r="J4424" s="319">
        <f>F4424-I4424</f>
        <v/>
      </c>
      <c r="K4424" s="516" t="n"/>
      <c r="L4424" s="519" t="n"/>
    </row>
    <row r="4425">
      <c r="B4425" s="1" t="n">
        <v>11</v>
      </c>
      <c r="C4425" s="24" t="n">
        <v>45566</v>
      </c>
      <c r="D4425" s="24" t="n">
        <v>45596</v>
      </c>
      <c r="E4425" s="25">
        <f>D4425-C4425+1</f>
        <v/>
      </c>
      <c r="F4425" s="319">
        <f>J4424</f>
        <v/>
      </c>
      <c r="G4425" s="319">
        <f>-PMT($D$4407/$D$4409,12,$F$4415,0)</f>
        <v/>
      </c>
      <c r="H4425" s="319">
        <f>($D$3238/$D$3240*F4425)</f>
        <v/>
      </c>
      <c r="I4425" s="319">
        <f>G4425-H4425</f>
        <v/>
      </c>
      <c r="J4425" s="319">
        <f>F4425-I4425</f>
        <v/>
      </c>
      <c r="K4425" s="516" t="n"/>
      <c r="L4425" s="516" t="n"/>
    </row>
    <row r="4426">
      <c r="B4426" s="1" t="n">
        <v>12</v>
      </c>
      <c r="C4426" s="24" t="n">
        <v>45597</v>
      </c>
      <c r="D4426" s="24" t="n">
        <v>45626</v>
      </c>
      <c r="E4426" s="25">
        <f>D4426-C4426+1</f>
        <v/>
      </c>
      <c r="F4426" s="319">
        <f>J4425</f>
        <v/>
      </c>
      <c r="G4426" s="319">
        <f>-PMT($D$4407/$D$4409,12,$F$4415,0)</f>
        <v/>
      </c>
      <c r="H4426" s="319">
        <f>($D$3238/$D$3240*F4426)</f>
        <v/>
      </c>
      <c r="I4426" s="319">
        <f>G4426-H4426</f>
        <v/>
      </c>
      <c r="J4426" s="319">
        <f>F4426-I4426</f>
        <v/>
      </c>
      <c r="K4426" s="539" t="inlineStr">
        <is>
          <t>NEXT PAYMENT</t>
        </is>
      </c>
      <c r="L4426" s="516" t="n"/>
    </row>
    <row r="4427">
      <c r="B4427" s="1" t="n"/>
      <c r="C4427" s="24" t="n"/>
      <c r="D4427" s="24" t="n"/>
      <c r="E4427" s="25" t="n"/>
      <c r="F4427" s="319" t="n"/>
      <c r="G4427" s="319" t="n"/>
      <c r="H4427" s="319" t="n"/>
      <c r="I4427" s="319" t="n"/>
      <c r="J4427" s="319" t="n"/>
      <c r="K4427" s="516" t="n"/>
      <c r="L4427" s="516" t="n"/>
    </row>
    <row r="4428">
      <c r="B4428" s="1" t="n"/>
      <c r="C4428" s="24" t="n"/>
      <c r="D4428" s="24" t="n"/>
      <c r="E4428" s="25" t="n"/>
      <c r="F4428" s="319" t="n"/>
      <c r="G4428" s="32" t="inlineStr">
        <is>
          <t>Interest todate</t>
        </is>
      </c>
      <c r="H4428" s="290">
        <f>SUM(H4415:H4425)</f>
        <v/>
      </c>
      <c r="I4428" s="319" t="n"/>
      <c r="J4428" s="319" t="n"/>
      <c r="K4428" s="516" t="n"/>
      <c r="L4428" s="516" t="n"/>
    </row>
    <row r="4429">
      <c r="G4429" s="151" t="inlineStr">
        <is>
          <t>Principle</t>
        </is>
      </c>
      <c r="H4429" s="449">
        <f>+F4415</f>
        <v/>
      </c>
    </row>
    <row r="4430" ht="14.5" customHeight="1" thickBot="1">
      <c r="H4430" s="448">
        <f>SUM(H4428:H4429)</f>
        <v/>
      </c>
    </row>
    <row r="4432">
      <c r="B4432" s="1" t="n"/>
      <c r="C4432" s="9" t="inlineStr">
        <is>
          <t>DR PRINT</t>
        </is>
      </c>
      <c r="D4432" s="319" t="n"/>
      <c r="E4432" s="319" t="n"/>
      <c r="F4432" s="319" t="n"/>
      <c r="G4432" s="319" t="n"/>
      <c r="H4432" s="319" t="n"/>
      <c r="I4432" s="319" t="n"/>
      <c r="J4432" s="319" t="n"/>
      <c r="K4432" s="319" t="n"/>
      <c r="L4432" s="319" t="n"/>
      <c r="R4432" s="514" t="inlineStr">
        <is>
          <t>E-Banker account (Dupleix)</t>
        </is>
      </c>
      <c r="S4432" s="495">
        <f>IFERROR(INDEX('Blocks'!$I$2:$I$101,MATCH(81,'Blocks'!$A$2:$A$101,0)),"")</f>
        <v/>
      </c>
    </row>
    <row r="4433">
      <c r="B4433" s="1" t="n"/>
      <c r="C4433" s="1" t="n"/>
      <c r="D4433" s="319" t="n"/>
      <c r="E4433" s="319" t="n"/>
      <c r="F4433" s="319" t="n"/>
      <c r="G4433" s="319" t="n"/>
      <c r="H4433" s="319" t="n"/>
      <c r="I4433" s="319" t="n"/>
      <c r="J4433" s="319" t="n"/>
      <c r="K4433" s="319" t="n"/>
      <c r="L4433" s="319" t="n"/>
      <c r="R4433" s="514" t="inlineStr">
        <is>
          <t>Facility (Loan Book)</t>
        </is>
      </c>
      <c r="S4433" s="495">
        <f>IFERROR(INDEX('Blocks'!$H$2:$H$101,MATCH(81,'Blocks'!$A$2:$A$101,0)),"")</f>
        <v/>
      </c>
    </row>
    <row r="4434">
      <c r="B4434" s="1" t="n"/>
      <c r="C4434" s="10" t="inlineStr">
        <is>
          <t>Principal (MK)</t>
        </is>
      </c>
      <c r="D4434" s="11">
        <f>'[6]Loan amortisation- F&amp;K'!$D$4</f>
        <v/>
      </c>
      <c r="E4434" s="319" t="n"/>
      <c r="F4434" s="319" t="n"/>
      <c r="G4434" s="319" t="n"/>
      <c r="H4434" s="319" t="n"/>
      <c r="I4434" s="319" t="n"/>
      <c r="J4434" s="319" t="n"/>
      <c r="K4434" s="319" t="n"/>
      <c r="L4434" s="319" t="n"/>
      <c r="R4434" s="514" t="inlineStr">
        <is>
          <t>Take-on posting 31 Jul 2024</t>
        </is>
      </c>
      <c r="S4434" s="496">
        <f>IFERROR(INDEX('E-Banker master'!$N$2:$N$186,MATCH(S4432,'E-Banker master'!$A$2:$A$186,0)),"")</f>
        <v/>
      </c>
    </row>
    <row r="4435">
      <c r="B4435" s="1" t="n"/>
      <c r="C4435" s="13" t="inlineStr">
        <is>
          <t>Rate</t>
        </is>
      </c>
      <c r="D4435" s="14" t="n">
        <v>0.1</v>
      </c>
      <c r="E4435" s="257" t="n"/>
      <c r="F4435" s="319" t="n"/>
      <c r="G4435" s="319" t="n"/>
      <c r="H4435" s="319" t="n"/>
      <c r="I4435" s="319" t="n"/>
      <c r="J4435" s="319" t="n"/>
      <c r="K4435" s="319" t="n"/>
      <c r="L4435" s="319" t="n"/>
      <c r="R4435" s="514" t="inlineStr">
        <is>
          <t>E-Banker balance 31 Oct 2024</t>
        </is>
      </c>
      <c r="S4435" s="496">
        <f>IFERROR(INDEX('E-Banker master'!$P$2:$P$186,MATCH(S4432,'E-Banker master'!$A$2:$A$186,0)),"")</f>
        <v/>
      </c>
    </row>
    <row r="4436">
      <c r="B4436" s="1" t="n"/>
      <c r="C4436" s="13" t="inlineStr">
        <is>
          <t>n</t>
        </is>
      </c>
      <c r="D4436" s="16" t="n">
        <v>4</v>
      </c>
      <c r="E4436" s="1" t="n"/>
      <c r="F4436" s="319" t="n"/>
      <c r="G4436" s="319" t="n"/>
      <c r="H4436" s="319" t="n"/>
      <c r="I4436" s="319" t="n"/>
      <c r="J4436" s="319" t="n"/>
      <c r="K4436" s="1" t="n"/>
      <c r="L4436" s="1" t="n"/>
    </row>
    <row r="4437">
      <c r="B4437" s="1" t="n"/>
      <c r="C4437" s="13" t="inlineStr">
        <is>
          <t>Per</t>
        </is>
      </c>
      <c r="D4437" s="16" t="n">
        <v>12</v>
      </c>
      <c r="E4437" s="1" t="n"/>
      <c r="F4437" s="319" t="n"/>
      <c r="G4437" s="319" t="n"/>
      <c r="H4437" s="319" t="n"/>
      <c r="I4437" s="319" t="n"/>
      <c r="J4437" s="319" t="n"/>
      <c r="K4437" s="1" t="n"/>
      <c r="L4437" s="1" t="n"/>
    </row>
    <row r="4438">
      <c r="B4438" s="1" t="n"/>
      <c r="C4438" s="13" t="inlineStr">
        <is>
          <t>nPer</t>
        </is>
      </c>
      <c r="D4438" s="515">
        <f>D4436*D4437</f>
        <v/>
      </c>
      <c r="E4438" s="1" t="n"/>
      <c r="F4438" s="319" t="n"/>
      <c r="G4438" s="319" t="n"/>
      <c r="H4438" s="319" t="n"/>
      <c r="I4438" s="319" t="n"/>
      <c r="J4438" s="319" t="n"/>
      <c r="K4438" s="1" t="n"/>
      <c r="L4438" s="1" t="n"/>
    </row>
    <row r="4439">
      <c r="B4439" s="1" t="n"/>
      <c r="C4439" s="13" t="inlineStr">
        <is>
          <t>Days in a year</t>
        </is>
      </c>
      <c r="D4439" s="18" t="n">
        <v>365</v>
      </c>
      <c r="E4439" s="1" t="n"/>
      <c r="F4439" s="319" t="n"/>
      <c r="G4439" s="319" t="n"/>
      <c r="H4439" s="319" t="n"/>
      <c r="I4439" s="319" t="n"/>
      <c r="J4439" s="319" t="n"/>
      <c r="K4439" s="1" t="n"/>
      <c r="L4439" s="1" t="n"/>
    </row>
    <row r="4440">
      <c r="B4440" s="1" t="n"/>
      <c r="C4440" s="19" t="inlineStr">
        <is>
          <t>Pmt (MK)</t>
        </is>
      </c>
      <c r="D4440" s="534">
        <f>-PMT(D4435/D4437,D4438,D4434,0,0)</f>
        <v/>
      </c>
      <c r="E4440" s="319" t="n"/>
      <c r="F4440" s="319" t="n"/>
      <c r="G4440" s="319" t="n"/>
      <c r="H4440" s="319" t="n"/>
      <c r="I4440" s="319" t="n"/>
      <c r="J4440" s="319" t="n"/>
      <c r="K4440" s="1" t="n"/>
      <c r="L4440" s="1" t="n"/>
    </row>
    <row r="4441">
      <c r="B4441" s="1" t="n"/>
      <c r="C4441" s="1" t="n"/>
      <c r="D4441" s="319" t="n"/>
      <c r="E4441" s="319" t="n"/>
      <c r="F4441" s="319" t="n"/>
      <c r="G4441" s="319" t="n"/>
      <c r="H4441" s="319" t="n"/>
      <c r="I4441" s="319" t="n"/>
      <c r="J4441" s="319" t="n"/>
      <c r="K4441" s="1" t="n"/>
      <c r="L4441" s="1" t="n"/>
    </row>
    <row r="4442">
      <c r="B4442" s="1" t="n"/>
      <c r="C4442" s="21" t="inlineStr">
        <is>
          <t>Period Start</t>
        </is>
      </c>
      <c r="D4442" s="22" t="inlineStr">
        <is>
          <t>Period End</t>
        </is>
      </c>
      <c r="E4442" s="22" t="inlineStr">
        <is>
          <t>Days</t>
        </is>
      </c>
      <c r="F4442" s="294" t="inlineStr">
        <is>
          <t>Opening bal.</t>
        </is>
      </c>
      <c r="G4442" s="294" t="inlineStr">
        <is>
          <t>Pmt</t>
        </is>
      </c>
      <c r="H4442" s="294" t="inlineStr">
        <is>
          <t>Interest</t>
        </is>
      </c>
      <c r="I4442" s="294" t="inlineStr">
        <is>
          <t>Principal</t>
        </is>
      </c>
      <c r="J4442" s="294" t="inlineStr">
        <is>
          <t>Closing balance</t>
        </is>
      </c>
      <c r="K4442" s="23" t="inlineStr">
        <is>
          <t>Amount Repaid</t>
        </is>
      </c>
      <c r="L4442" s="23" t="inlineStr">
        <is>
          <t>Accumulated Arrears</t>
        </is>
      </c>
    </row>
    <row r="4443">
      <c r="B4443" s="1" t="n">
        <v>0</v>
      </c>
      <c r="C4443" s="24" t="n">
        <v>45288</v>
      </c>
      <c r="D4443" s="24" t="n">
        <v>45291</v>
      </c>
      <c r="E4443" s="318">
        <f>+D4443-C4443</f>
        <v/>
      </c>
      <c r="F4443" s="319">
        <f>D4434</f>
        <v/>
      </c>
      <c r="G4443" s="319">
        <f>+H4443</f>
        <v/>
      </c>
      <c r="H4443" s="319">
        <f>($D$4435/$D$4437*F4443*E4443/31)</f>
        <v/>
      </c>
      <c r="I4443" s="319" t="n">
        <v>0</v>
      </c>
      <c r="J4443" s="319">
        <f>F4443-I4443</f>
        <v/>
      </c>
      <c r="L4443" s="148">
        <f>G4443</f>
        <v/>
      </c>
    </row>
    <row r="4444">
      <c r="B4444" s="1" t="n">
        <v>1</v>
      </c>
      <c r="C4444" s="24">
        <f>+D4443+1</f>
        <v/>
      </c>
      <c r="D4444" s="24">
        <f>+C4444+30</f>
        <v/>
      </c>
      <c r="E4444" s="25" t="n">
        <v>31</v>
      </c>
      <c r="F4444" s="319">
        <f>J4443</f>
        <v/>
      </c>
      <c r="G4444" s="319" t="n">
        <v>1000000</v>
      </c>
      <c r="H4444" s="319">
        <f>($D$4435/$D$4437*F4444)</f>
        <v/>
      </c>
      <c r="I4444" s="319">
        <f>G4444-H4444</f>
        <v/>
      </c>
      <c r="J4444" s="319">
        <f>F4444-I4444</f>
        <v/>
      </c>
      <c r="K4444" s="516" t="n"/>
      <c r="L4444" s="516">
        <f>L4443+G4444-K4444</f>
        <v/>
      </c>
    </row>
    <row r="4445">
      <c r="B4445" s="1" t="n">
        <v>2</v>
      </c>
      <c r="C4445" s="24" t="n">
        <v>45323</v>
      </c>
      <c r="D4445" s="24" t="n">
        <v>45351</v>
      </c>
      <c r="E4445" s="25" t="n">
        <v>29</v>
      </c>
      <c r="F4445" s="319">
        <f>J4444</f>
        <v/>
      </c>
      <c r="G4445" s="319" t="n">
        <v>1000000</v>
      </c>
      <c r="H4445" s="319">
        <f>($D$4435/$D$4437*F4445)</f>
        <v/>
      </c>
      <c r="I4445" s="319">
        <f>G4445-H4445</f>
        <v/>
      </c>
      <c r="J4445" s="319">
        <f>F4445-I4445</f>
        <v/>
      </c>
      <c r="K4445" s="516" t="n">
        <v>2355745</v>
      </c>
      <c r="L4445" s="516">
        <f>L4444+G4445-K4445</f>
        <v/>
      </c>
    </row>
    <row r="4446">
      <c r="B4446" s="1">
        <f>+B4445+1</f>
        <v/>
      </c>
      <c r="C4446" s="24" t="n">
        <v>45352</v>
      </c>
      <c r="D4446" s="24" t="n">
        <v>45382</v>
      </c>
      <c r="E4446" s="25" t="n">
        <v>31</v>
      </c>
      <c r="F4446" s="319">
        <f>J4445</f>
        <v/>
      </c>
      <c r="G4446" s="319" t="n">
        <v>1000000</v>
      </c>
      <c r="H4446" s="319">
        <f>($D$4435/$D$4437*F4446)</f>
        <v/>
      </c>
      <c r="I4446" s="319">
        <f>G4446-H4446</f>
        <v/>
      </c>
      <c r="J4446" s="319">
        <f>F4446-I4446</f>
        <v/>
      </c>
      <c r="K4446" s="516">
        <f>1000000-1000000</f>
        <v/>
      </c>
      <c r="L4446" s="516">
        <f>L4445+G4446-K4446</f>
        <v/>
      </c>
    </row>
    <row r="4447">
      <c r="B4447" s="1">
        <f>+B4446+1</f>
        <v/>
      </c>
      <c r="C4447" s="24" t="n">
        <v>45383</v>
      </c>
      <c r="D4447" s="24" t="n">
        <v>45412</v>
      </c>
      <c r="E4447" s="25" t="n">
        <v>30</v>
      </c>
      <c r="F4447" s="319">
        <f>J4446</f>
        <v/>
      </c>
      <c r="G4447" s="319" t="n">
        <v>1000000</v>
      </c>
      <c r="H4447" s="319">
        <f>($D$4435/$D$4437*F4447)</f>
        <v/>
      </c>
      <c r="I4447" s="319">
        <f>G4447-H4447</f>
        <v/>
      </c>
      <c r="J4447" s="319">
        <f>F4447-I4447</f>
        <v/>
      </c>
      <c r="K4447" s="516" t="n"/>
      <c r="L4447" s="516">
        <f>L4446+G4447-K4447</f>
        <v/>
      </c>
    </row>
    <row r="4448">
      <c r="B4448" s="1">
        <f>+B4447+1</f>
        <v/>
      </c>
      <c r="C4448" s="24" t="n">
        <v>45413</v>
      </c>
      <c r="D4448" s="24" t="n">
        <v>45443</v>
      </c>
      <c r="E4448" s="25" t="n">
        <v>31</v>
      </c>
      <c r="F4448" s="319">
        <f>J4447</f>
        <v/>
      </c>
      <c r="G4448" s="319" t="n">
        <v>1000000</v>
      </c>
      <c r="H4448" s="319">
        <f>($D$4435/$D$4437*F4448)</f>
        <v/>
      </c>
      <c r="I4448" s="319">
        <f>G4448-H4448</f>
        <v/>
      </c>
      <c r="J4448" s="319">
        <f>F4448-I4448</f>
        <v/>
      </c>
      <c r="K4448" s="516" t="n"/>
      <c r="L4448" s="516">
        <f>L4447+G4448-K4448</f>
        <v/>
      </c>
    </row>
    <row r="4449">
      <c r="B4449" s="1">
        <f>+B4448+1</f>
        <v/>
      </c>
      <c r="C4449" s="24" t="n">
        <v>45444</v>
      </c>
      <c r="D4449" s="24" t="n">
        <v>45473</v>
      </c>
      <c r="E4449" s="25" t="n">
        <v>30</v>
      </c>
      <c r="F4449" s="319">
        <f>J4448</f>
        <v/>
      </c>
      <c r="G4449" s="319" t="n">
        <v>1000000</v>
      </c>
      <c r="H4449" s="319">
        <f>($D$4435/$D$4437*F4449)</f>
        <v/>
      </c>
      <c r="I4449" s="319">
        <f>G4449-H4449</f>
        <v/>
      </c>
      <c r="J4449" s="319">
        <f>F4449-I4449</f>
        <v/>
      </c>
      <c r="K4449" s="516">
        <f>2000000</f>
        <v/>
      </c>
      <c r="L4449" s="516">
        <f>L4448+G4449-K4449</f>
        <v/>
      </c>
    </row>
    <row r="4450">
      <c r="B4450" s="1">
        <f>+B4449+1</f>
        <v/>
      </c>
      <c r="C4450" s="24" t="n">
        <v>45474</v>
      </c>
      <c r="D4450" s="24" t="n">
        <v>45504</v>
      </c>
      <c r="E4450" s="25" t="n">
        <v>31</v>
      </c>
      <c r="F4450" s="319">
        <f>J4449</f>
        <v/>
      </c>
      <c r="G4450" s="319">
        <f>-PMT($D$4289/$D$4291,42,$F$4304,,0)</f>
        <v/>
      </c>
      <c r="H4450" s="319">
        <f>($D$4435/$D$4437*F4450)</f>
        <v/>
      </c>
      <c r="I4450" s="319">
        <f>G4450-H4450</f>
        <v/>
      </c>
      <c r="J4450" s="319">
        <f>F4450-I4450</f>
        <v/>
      </c>
      <c r="K4450" s="516" t="n"/>
      <c r="L4450" s="516">
        <f>L4449+G4450-K4450</f>
        <v/>
      </c>
    </row>
    <row r="4451">
      <c r="B4451" s="1">
        <f>+B4450+1</f>
        <v/>
      </c>
      <c r="C4451" s="24" t="n">
        <v>45505</v>
      </c>
      <c r="D4451" s="24" t="n">
        <v>45535</v>
      </c>
      <c r="E4451" s="25" t="n">
        <v>31</v>
      </c>
      <c r="F4451" s="319">
        <f>J4450</f>
        <v/>
      </c>
      <c r="G4451" s="319">
        <f>-PMT($D$4289/$D$4291,42,$F$4304,,0)</f>
        <v/>
      </c>
      <c r="H4451" s="319">
        <f>($D$4435/$D$4437*F4451)</f>
        <v/>
      </c>
      <c r="I4451" s="319">
        <f>G4451-H4451</f>
        <v/>
      </c>
      <c r="J4451" s="319">
        <f>F4451-I4451</f>
        <v/>
      </c>
      <c r="K4451" s="516" t="n"/>
      <c r="L4451" s="516">
        <f>L4450+G4451-K4451</f>
        <v/>
      </c>
    </row>
    <row r="4452">
      <c r="B4452" s="1">
        <f>+B4451+1</f>
        <v/>
      </c>
      <c r="C4452" s="24" t="n">
        <v>45536</v>
      </c>
      <c r="D4452" s="24" t="n">
        <v>45565</v>
      </c>
      <c r="E4452" s="25" t="n">
        <v>30</v>
      </c>
      <c r="F4452" s="319">
        <f>J4451</f>
        <v/>
      </c>
      <c r="G4452" s="319">
        <f>-PMT($D$4289/$D$4291,42,$F$4304,,0)</f>
        <v/>
      </c>
      <c r="H4452" s="319">
        <f>($D$4435/$D$4437*F4452)</f>
        <v/>
      </c>
      <c r="I4452" s="319">
        <f>G4452-H4452</f>
        <v/>
      </c>
      <c r="J4452" s="319">
        <f>F4452-I4452</f>
        <v/>
      </c>
      <c r="K4452" s="516" t="n"/>
      <c r="L4452" s="516">
        <f>L4451+G4452-K4452</f>
        <v/>
      </c>
    </row>
    <row r="4453">
      <c r="B4453" s="1">
        <f>+B4452+1</f>
        <v/>
      </c>
      <c r="C4453" s="24" t="n">
        <v>45566</v>
      </c>
      <c r="D4453" s="24" t="n">
        <v>45596</v>
      </c>
      <c r="E4453" s="25" t="n">
        <v>31</v>
      </c>
      <c r="F4453" s="319">
        <f>J4452</f>
        <v/>
      </c>
      <c r="G4453" s="319">
        <f>-PMT($D$4289/$D$4291,42,$F$4304,,0)</f>
        <v/>
      </c>
      <c r="H4453" s="319">
        <f>($D$4435/$D$4437*F4453)</f>
        <v/>
      </c>
      <c r="I4453" s="319">
        <f>G4453-H4453</f>
        <v/>
      </c>
      <c r="J4453" s="319">
        <f>F4453-I4453</f>
        <v/>
      </c>
      <c r="K4453" s="516" t="n">
        <v>5000000</v>
      </c>
      <c r="L4453" s="523">
        <f>L4452+G4453-K4453</f>
        <v/>
      </c>
    </row>
    <row r="4454">
      <c r="B4454" s="1">
        <f>+B4453+1</f>
        <v/>
      </c>
      <c r="C4454" s="24" t="n">
        <v>45597</v>
      </c>
      <c r="D4454" s="24" t="n">
        <v>45626</v>
      </c>
      <c r="E4454" s="25" t="n">
        <v>30</v>
      </c>
      <c r="F4454" s="319">
        <f>J4453</f>
        <v/>
      </c>
      <c r="G4454" s="319">
        <f>-PMT($D$4289/$D$4291,42,$F$4304,,0)</f>
        <v/>
      </c>
      <c r="H4454" s="319">
        <f>($D$4435/$D$4437*F4454)</f>
        <v/>
      </c>
      <c r="I4454" s="319">
        <f>G4454-H4454</f>
        <v/>
      </c>
      <c r="J4454" s="319">
        <f>F4454-I4454</f>
        <v/>
      </c>
      <c r="K4454" s="516" t="n"/>
      <c r="L4454" s="516" t="n"/>
    </row>
    <row r="4455">
      <c r="B4455" s="1">
        <f>+B4454+1</f>
        <v/>
      </c>
      <c r="C4455" s="24" t="n">
        <v>45627</v>
      </c>
      <c r="D4455" s="24" t="n">
        <v>45657</v>
      </c>
      <c r="E4455" s="25" t="n">
        <v>31</v>
      </c>
      <c r="F4455" s="319">
        <f>J4454</f>
        <v/>
      </c>
      <c r="G4455" s="319">
        <f>-PMT($D$4289/$D$4291,42,$F$4304,,0)</f>
        <v/>
      </c>
      <c r="H4455" s="319">
        <f>($D$4435/$D$4437*F4455)</f>
        <v/>
      </c>
      <c r="I4455" s="319">
        <f>G4455-H4455</f>
        <v/>
      </c>
      <c r="J4455" s="319">
        <f>F4455-I4455</f>
        <v/>
      </c>
      <c r="K4455" s="516" t="n"/>
      <c r="L4455" s="516" t="n"/>
    </row>
    <row r="4456">
      <c r="B4456" s="1">
        <f>+B4455+1</f>
        <v/>
      </c>
      <c r="C4456" s="24" t="n">
        <v>45658</v>
      </c>
      <c r="D4456" s="24" t="n">
        <v>45688</v>
      </c>
      <c r="E4456" s="25" t="n">
        <v>31</v>
      </c>
      <c r="F4456" s="319">
        <f>J4455</f>
        <v/>
      </c>
      <c r="G4456" s="319">
        <f>-PMT($D$4289/$D$4291,42,$F$4304,,0)</f>
        <v/>
      </c>
      <c r="H4456" s="319">
        <f>($D$4435/$D$4437*F4456)</f>
        <v/>
      </c>
      <c r="I4456" s="319">
        <f>G4456-H4456</f>
        <v/>
      </c>
      <c r="J4456" s="319">
        <f>F4456-I4456</f>
        <v/>
      </c>
      <c r="K4456" s="516" t="n"/>
      <c r="L4456" s="516" t="n"/>
    </row>
    <row r="4457">
      <c r="B4457" s="1">
        <f>+B4456+1</f>
        <v/>
      </c>
      <c r="C4457" s="24" t="n">
        <v>45689</v>
      </c>
      <c r="D4457" s="24" t="n">
        <v>45716</v>
      </c>
      <c r="E4457" s="25" t="n">
        <v>28</v>
      </c>
      <c r="F4457" s="319">
        <f>J4456</f>
        <v/>
      </c>
      <c r="G4457" s="319">
        <f>-PMT($D$4289/$D$4291,42,$F$4304,,0)</f>
        <v/>
      </c>
      <c r="H4457" s="319">
        <f>($D$4435/$D$4437*F4457)</f>
        <v/>
      </c>
      <c r="I4457" s="319">
        <f>G4457-H4457</f>
        <v/>
      </c>
      <c r="J4457" s="319">
        <f>F4457-I4457</f>
        <v/>
      </c>
      <c r="K4457" s="516" t="n"/>
      <c r="L4457" s="516" t="n"/>
    </row>
    <row r="4458">
      <c r="B4458" s="1">
        <f>+B4457+1</f>
        <v/>
      </c>
      <c r="C4458" s="24" t="n">
        <v>45717</v>
      </c>
      <c r="D4458" s="24" t="n">
        <v>45747</v>
      </c>
      <c r="E4458" s="25" t="n">
        <v>31</v>
      </c>
      <c r="F4458" s="319">
        <f>J4457</f>
        <v/>
      </c>
      <c r="G4458" s="319">
        <f>-PMT($D$4289/$D$4291,42,$F$4304,,0)</f>
        <v/>
      </c>
      <c r="H4458" s="319">
        <f>($D$4435/$D$4437*F4458)</f>
        <v/>
      </c>
      <c r="I4458" s="319">
        <f>G4458-H4458</f>
        <v/>
      </c>
      <c r="J4458" s="319">
        <f>F4458-I4458</f>
        <v/>
      </c>
      <c r="K4458" s="516" t="n"/>
      <c r="L4458" s="516" t="n"/>
    </row>
    <row r="4459">
      <c r="B4459" s="1">
        <f>+B4458+1</f>
        <v/>
      </c>
      <c r="C4459" s="24" t="n">
        <v>45748</v>
      </c>
      <c r="D4459" s="24" t="n">
        <v>45777</v>
      </c>
      <c r="E4459" s="25" t="n">
        <v>30</v>
      </c>
      <c r="F4459" s="319">
        <f>J4458</f>
        <v/>
      </c>
      <c r="G4459" s="319">
        <f>-PMT($D$4289/$D$4291,42,$F$4304,,0)</f>
        <v/>
      </c>
      <c r="H4459" s="319">
        <f>($D$4435/$D$4437*F4459)</f>
        <v/>
      </c>
      <c r="I4459" s="319">
        <f>G4459-H4459</f>
        <v/>
      </c>
      <c r="J4459" s="319">
        <f>F4459-I4459</f>
        <v/>
      </c>
      <c r="K4459" s="516" t="n"/>
      <c r="L4459" s="516" t="n"/>
    </row>
    <row r="4460">
      <c r="B4460" s="1">
        <f>+B4459+1</f>
        <v/>
      </c>
      <c r="C4460" s="24" t="n">
        <v>45778</v>
      </c>
      <c r="D4460" s="24" t="n">
        <v>45808</v>
      </c>
      <c r="E4460" s="25" t="n">
        <v>31</v>
      </c>
      <c r="F4460" s="319">
        <f>J4459</f>
        <v/>
      </c>
      <c r="G4460" s="319">
        <f>-PMT($D$4289/$D$4291,42,$F$4304,,0)</f>
        <v/>
      </c>
      <c r="H4460" s="319">
        <f>($D$4435/$D$4437*F4460)</f>
        <v/>
      </c>
      <c r="I4460" s="319">
        <f>G4460-H4460</f>
        <v/>
      </c>
      <c r="J4460" s="319">
        <f>F4460-I4460</f>
        <v/>
      </c>
      <c r="K4460" s="516" t="n"/>
      <c r="L4460" s="516" t="n"/>
    </row>
    <row r="4461">
      <c r="B4461" s="1">
        <f>+B4460+1</f>
        <v/>
      </c>
      <c r="C4461" s="24" t="n">
        <v>45809</v>
      </c>
      <c r="D4461" s="24" t="n">
        <v>45838</v>
      </c>
      <c r="E4461" s="25" t="n">
        <v>30</v>
      </c>
      <c r="F4461" s="319">
        <f>J4460</f>
        <v/>
      </c>
      <c r="G4461" s="319">
        <f>-PMT($D$4289/$D$4291,42,$F$4304,,0)</f>
        <v/>
      </c>
      <c r="H4461" s="319">
        <f>($D$4435/$D$4437*F4461)</f>
        <v/>
      </c>
      <c r="I4461" s="319">
        <f>G4461-H4461</f>
        <v/>
      </c>
      <c r="J4461" s="319">
        <f>F4461-I4461</f>
        <v/>
      </c>
      <c r="K4461" s="516" t="n"/>
      <c r="L4461" s="516" t="n"/>
    </row>
    <row r="4462">
      <c r="B4462" s="1">
        <f>+B4461+1</f>
        <v/>
      </c>
      <c r="C4462" s="24" t="n">
        <v>45839</v>
      </c>
      <c r="D4462" s="24" t="n">
        <v>45868</v>
      </c>
      <c r="E4462" s="25" t="n">
        <v>30</v>
      </c>
      <c r="F4462" s="319">
        <f>J4461</f>
        <v/>
      </c>
      <c r="G4462" s="319">
        <f>-PMT($D$4289/$D$4291,42,$F$4304,,0)</f>
        <v/>
      </c>
      <c r="H4462" s="319">
        <f>($D$4435/$D$4437*F4462)</f>
        <v/>
      </c>
      <c r="I4462" s="319">
        <f>G4462-H4462</f>
        <v/>
      </c>
      <c r="J4462" s="319">
        <f>F4462-I4462</f>
        <v/>
      </c>
      <c r="K4462" s="516" t="n"/>
      <c r="L4462" s="516" t="n"/>
    </row>
    <row r="4463">
      <c r="B4463" s="1">
        <f>+B4462+1</f>
        <v/>
      </c>
      <c r="C4463" s="24" t="n">
        <v>45870</v>
      </c>
      <c r="D4463" s="24" t="n">
        <v>45899</v>
      </c>
      <c r="E4463" s="25" t="n">
        <v>30</v>
      </c>
      <c r="F4463" s="319">
        <f>J4462</f>
        <v/>
      </c>
      <c r="G4463" s="319">
        <f>-PMT($D$4289/$D$4291,42,$F$4304,,0)</f>
        <v/>
      </c>
      <c r="H4463" s="319">
        <f>($D$4435/$D$4437*F4463)</f>
        <v/>
      </c>
      <c r="I4463" s="319">
        <f>G4463-H4463</f>
        <v/>
      </c>
      <c r="J4463" s="319">
        <f>F4463-I4463</f>
        <v/>
      </c>
      <c r="K4463" s="516" t="n"/>
      <c r="L4463" s="516" t="n"/>
    </row>
    <row r="4464">
      <c r="B4464" s="1">
        <f>+B4463+1</f>
        <v/>
      </c>
      <c r="C4464" s="24" t="n">
        <v>45901</v>
      </c>
      <c r="D4464" s="24" t="n">
        <v>45930</v>
      </c>
      <c r="E4464" s="25" t="n">
        <v>30</v>
      </c>
      <c r="F4464" s="319">
        <f>J4463</f>
        <v/>
      </c>
      <c r="G4464" s="319">
        <f>-PMT($D$4289/$D$4291,42,$F$4304,,0)</f>
        <v/>
      </c>
      <c r="H4464" s="319">
        <f>($D$4435/$D$4437*F4464)</f>
        <v/>
      </c>
      <c r="I4464" s="319">
        <f>G4464-H4464</f>
        <v/>
      </c>
      <c r="J4464" s="319">
        <f>F4464-I4464</f>
        <v/>
      </c>
      <c r="K4464" s="516" t="n"/>
      <c r="L4464" s="516" t="n"/>
    </row>
    <row r="4465">
      <c r="B4465" s="1">
        <f>+B4464+1</f>
        <v/>
      </c>
      <c r="C4465" s="24" t="n">
        <v>45931</v>
      </c>
      <c r="D4465" s="24" t="n">
        <v>45961</v>
      </c>
      <c r="E4465" s="25" t="n">
        <v>31</v>
      </c>
      <c r="F4465" s="319">
        <f>J4464</f>
        <v/>
      </c>
      <c r="G4465" s="319">
        <f>-PMT($D$4289/$D$4291,42,$F$4304,,0)</f>
        <v/>
      </c>
      <c r="H4465" s="319">
        <f>($D$4435/$D$4437*F4465)</f>
        <v/>
      </c>
      <c r="I4465" s="319">
        <f>G4465-H4465</f>
        <v/>
      </c>
      <c r="J4465" s="319">
        <f>F4465-I4465</f>
        <v/>
      </c>
      <c r="K4465" s="516" t="n"/>
      <c r="L4465" s="516" t="n"/>
    </row>
    <row r="4466">
      <c r="B4466" s="1">
        <f>+B4465+1</f>
        <v/>
      </c>
      <c r="C4466" s="24" t="n">
        <v>45962</v>
      </c>
      <c r="D4466" s="24" t="n">
        <v>45991</v>
      </c>
      <c r="E4466" s="25" t="n">
        <v>30</v>
      </c>
      <c r="F4466" s="319">
        <f>J4465</f>
        <v/>
      </c>
      <c r="G4466" s="319">
        <f>-PMT($D$4289/$D$4291,42,$F$4304,,0)</f>
        <v/>
      </c>
      <c r="H4466" s="319">
        <f>($D$4435/$D$4437*F4466)</f>
        <v/>
      </c>
      <c r="I4466" s="319">
        <f>G4466-H4466</f>
        <v/>
      </c>
      <c r="J4466" s="319">
        <f>F4466-I4466</f>
        <v/>
      </c>
    </row>
    <row r="4467">
      <c r="B4467" s="1">
        <f>+B4466+1</f>
        <v/>
      </c>
      <c r="C4467" s="24" t="n">
        <v>45992</v>
      </c>
      <c r="D4467" s="24" t="n">
        <v>46022</v>
      </c>
      <c r="E4467" s="25" t="n">
        <v>31</v>
      </c>
      <c r="F4467" s="319">
        <f>J4466</f>
        <v/>
      </c>
      <c r="G4467" s="319">
        <f>-PMT($D$4289/$D$4291,42,$F$4304,,0)</f>
        <v/>
      </c>
      <c r="H4467" s="319">
        <f>($D$4435/$D$4437*F4467)</f>
        <v/>
      </c>
      <c r="I4467" s="319">
        <f>G4467-H4467</f>
        <v/>
      </c>
      <c r="J4467" s="319">
        <f>F4467-I4467</f>
        <v/>
      </c>
    </row>
    <row r="4468">
      <c r="B4468" s="1">
        <f>+B4467+1</f>
        <v/>
      </c>
      <c r="C4468" s="24" t="n">
        <v>46023</v>
      </c>
      <c r="D4468" s="24" t="n">
        <v>46053</v>
      </c>
      <c r="E4468" s="25" t="n">
        <v>31</v>
      </c>
      <c r="F4468" s="319">
        <f>J4467</f>
        <v/>
      </c>
      <c r="G4468" s="319">
        <f>-PMT($D$4289/$D$4291,42,$F$4304,,0)</f>
        <v/>
      </c>
      <c r="H4468" s="319">
        <f>($D$4435/$D$4437*F4468)</f>
        <v/>
      </c>
      <c r="I4468" s="319">
        <f>G4468-H4468</f>
        <v/>
      </c>
      <c r="J4468" s="319">
        <f>F4468-I4468</f>
        <v/>
      </c>
    </row>
    <row r="4469">
      <c r="B4469" s="1">
        <f>+B4468+1</f>
        <v/>
      </c>
      <c r="C4469" s="24" t="n">
        <v>46054</v>
      </c>
      <c r="D4469" s="24" t="n">
        <v>46081</v>
      </c>
      <c r="E4469" s="25" t="n">
        <v>28</v>
      </c>
      <c r="F4469" s="319">
        <f>J4468</f>
        <v/>
      </c>
      <c r="G4469" s="319">
        <f>-PMT($D$4289/$D$4291,42,$F$4304,,0)</f>
        <v/>
      </c>
      <c r="H4469" s="319">
        <f>($D$4435/$D$4437*F4469)</f>
        <v/>
      </c>
      <c r="I4469" s="319">
        <f>G4469-H4469</f>
        <v/>
      </c>
      <c r="J4469" s="319">
        <f>F4469-I4469</f>
        <v/>
      </c>
    </row>
    <row r="4470">
      <c r="B4470" s="1">
        <f>+B4469+1</f>
        <v/>
      </c>
      <c r="C4470" s="24" t="n">
        <v>46082</v>
      </c>
      <c r="D4470" s="24" t="n">
        <v>46112</v>
      </c>
      <c r="E4470" s="25" t="n">
        <v>31</v>
      </c>
      <c r="F4470" s="319">
        <f>J4469</f>
        <v/>
      </c>
      <c r="G4470" s="319">
        <f>-PMT($D$4289/$D$4291,42,$F$4304,,0)</f>
        <v/>
      </c>
      <c r="H4470" s="319">
        <f>($D$4435/$D$4437*F4470)</f>
        <v/>
      </c>
      <c r="I4470" s="319">
        <f>G4470-H4470</f>
        <v/>
      </c>
      <c r="J4470" s="319">
        <f>F4470-I4470</f>
        <v/>
      </c>
    </row>
    <row r="4471">
      <c r="B4471" s="1">
        <f>+B4470+1</f>
        <v/>
      </c>
      <c r="C4471" s="24" t="n">
        <v>46113</v>
      </c>
      <c r="D4471" s="24" t="n">
        <v>46142</v>
      </c>
      <c r="E4471" s="25" t="n">
        <v>30</v>
      </c>
      <c r="F4471" s="319">
        <f>J4470</f>
        <v/>
      </c>
      <c r="G4471" s="319">
        <f>-PMT($D$4289/$D$4291,42,$F$4304,,0)</f>
        <v/>
      </c>
      <c r="H4471" s="319">
        <f>($D$4435/$D$4437*F4471)</f>
        <v/>
      </c>
      <c r="I4471" s="319">
        <f>G4471-H4471</f>
        <v/>
      </c>
      <c r="J4471" s="319">
        <f>F4471-I4471</f>
        <v/>
      </c>
    </row>
    <row r="4472">
      <c r="B4472" s="1">
        <f>+B4471+1</f>
        <v/>
      </c>
      <c r="C4472" s="24" t="n">
        <v>46143</v>
      </c>
      <c r="D4472" s="24" t="n">
        <v>46173</v>
      </c>
      <c r="E4472" s="25" t="n">
        <v>31</v>
      </c>
      <c r="F4472" s="319">
        <f>J4471</f>
        <v/>
      </c>
      <c r="G4472" s="319">
        <f>-PMT($D$4289/$D$4291,42,$F$4304,,0)</f>
        <v/>
      </c>
      <c r="H4472" s="319">
        <f>($D$4435/$D$4437*F4472)</f>
        <v/>
      </c>
      <c r="I4472" s="319">
        <f>G4472-H4472</f>
        <v/>
      </c>
      <c r="J4472" s="319">
        <f>F4472-I4472</f>
        <v/>
      </c>
    </row>
    <row r="4473">
      <c r="B4473" s="1">
        <f>+B4472+1</f>
        <v/>
      </c>
      <c r="C4473" s="24" t="n">
        <v>46174</v>
      </c>
      <c r="D4473" s="24" t="n">
        <v>46203</v>
      </c>
      <c r="E4473" s="25" t="n">
        <v>30</v>
      </c>
      <c r="F4473" s="319">
        <f>J4472</f>
        <v/>
      </c>
      <c r="G4473" s="319">
        <f>-PMT($D$4289/$D$4291,42,$F$4304,,0)</f>
        <v/>
      </c>
      <c r="H4473" s="319">
        <f>($D$4435/$D$4437*F4473)</f>
        <v/>
      </c>
      <c r="I4473" s="319">
        <f>G4473-H4473</f>
        <v/>
      </c>
      <c r="J4473" s="319">
        <f>F4473-I4473</f>
        <v/>
      </c>
    </row>
    <row r="4474">
      <c r="B4474" s="1">
        <f>+B4473+1</f>
        <v/>
      </c>
      <c r="C4474" s="24" t="n">
        <v>46204</v>
      </c>
      <c r="D4474" s="24" t="n">
        <v>46234</v>
      </c>
      <c r="E4474" s="25" t="n">
        <v>31</v>
      </c>
      <c r="F4474" s="319">
        <f>J4473</f>
        <v/>
      </c>
      <c r="G4474" s="319">
        <f>-PMT($D$4289/$D$4291,42,$F$4304,,0)</f>
        <v/>
      </c>
      <c r="H4474" s="319">
        <f>($D$4435/$D$4437*F4474)</f>
        <v/>
      </c>
      <c r="I4474" s="319">
        <f>G4474-H4474</f>
        <v/>
      </c>
      <c r="J4474" s="319">
        <f>F4474-I4474</f>
        <v/>
      </c>
    </row>
    <row r="4475">
      <c r="B4475" s="1">
        <f>+B4474+1</f>
        <v/>
      </c>
      <c r="C4475" s="24" t="n">
        <v>46235</v>
      </c>
      <c r="D4475" s="24" t="n">
        <v>46265</v>
      </c>
      <c r="E4475" s="25" t="n">
        <v>31</v>
      </c>
      <c r="F4475" s="319">
        <f>J4474</f>
        <v/>
      </c>
      <c r="G4475" s="319">
        <f>-PMT($D$4289/$D$4291,42,$F$4304,,0)</f>
        <v/>
      </c>
      <c r="H4475" s="319">
        <f>($D$4435/$D$4437*F4475)</f>
        <v/>
      </c>
      <c r="I4475" s="319">
        <f>G4475-H4475</f>
        <v/>
      </c>
      <c r="J4475" s="319">
        <f>F4475-I4475</f>
        <v/>
      </c>
    </row>
    <row r="4476">
      <c r="B4476" s="1">
        <f>+B4475+1</f>
        <v/>
      </c>
      <c r="C4476" s="24" t="n">
        <v>46266</v>
      </c>
      <c r="D4476" s="24" t="n">
        <v>46295</v>
      </c>
      <c r="E4476" s="25" t="n">
        <v>30</v>
      </c>
      <c r="F4476" s="319">
        <f>J4475</f>
        <v/>
      </c>
      <c r="G4476" s="319">
        <f>-PMT($D$4289/$D$4291,42,$F$4304,,0)</f>
        <v/>
      </c>
      <c r="H4476" s="319">
        <f>($D$4435/$D$4437*F4476)</f>
        <v/>
      </c>
      <c r="I4476" s="319">
        <f>G4476-H4476</f>
        <v/>
      </c>
      <c r="J4476" s="319">
        <f>F4476-I4476</f>
        <v/>
      </c>
    </row>
    <row r="4477">
      <c r="B4477" s="1">
        <f>+B4476+1</f>
        <v/>
      </c>
      <c r="C4477" s="24" t="n">
        <v>46296</v>
      </c>
      <c r="D4477" s="24" t="n">
        <v>46326</v>
      </c>
      <c r="E4477" s="25" t="n">
        <v>31</v>
      </c>
      <c r="F4477" s="319">
        <f>J4476</f>
        <v/>
      </c>
      <c r="G4477" s="319">
        <f>-PMT($D$4289/$D$4291,42,$F$4304,,0)</f>
        <v/>
      </c>
      <c r="H4477" s="319">
        <f>($D$4435/$D$4437*F4477)</f>
        <v/>
      </c>
      <c r="I4477" s="319">
        <f>G4477-H4477</f>
        <v/>
      </c>
      <c r="J4477" s="319">
        <f>F4477-I4477</f>
        <v/>
      </c>
    </row>
    <row r="4478">
      <c r="B4478" s="1">
        <f>+B4477+1</f>
        <v/>
      </c>
      <c r="C4478" s="24" t="n">
        <v>46327</v>
      </c>
      <c r="D4478" s="24" t="n">
        <v>46356</v>
      </c>
      <c r="E4478" s="25" t="n">
        <v>30</v>
      </c>
      <c r="F4478" s="319">
        <f>J4477</f>
        <v/>
      </c>
      <c r="G4478" s="319">
        <f>-PMT($D$4289/$D$4291,42,$F$4304,,0)</f>
        <v/>
      </c>
      <c r="H4478" s="319">
        <f>($D$4435/$D$4437*F4478)</f>
        <v/>
      </c>
      <c r="I4478" s="319">
        <f>G4478-H4478</f>
        <v/>
      </c>
      <c r="J4478" s="319">
        <f>F4478-I4478</f>
        <v/>
      </c>
    </row>
    <row r="4479">
      <c r="B4479" s="1">
        <f>+B4478+1</f>
        <v/>
      </c>
      <c r="C4479" s="24" t="n">
        <v>46357</v>
      </c>
      <c r="D4479" s="24" t="n">
        <v>46387</v>
      </c>
      <c r="E4479" s="25" t="n">
        <v>31</v>
      </c>
      <c r="F4479" s="319">
        <f>J4478</f>
        <v/>
      </c>
      <c r="G4479" s="319">
        <f>-PMT($D$4289/$D$4291,42,$F$4304,,0)</f>
        <v/>
      </c>
      <c r="H4479" s="319">
        <f>($D$4435/$D$4437*F4479)</f>
        <v/>
      </c>
      <c r="I4479" s="319">
        <f>G4479-H4479</f>
        <v/>
      </c>
      <c r="J4479" s="319">
        <f>F4479-I4479</f>
        <v/>
      </c>
    </row>
    <row r="4480">
      <c r="B4480" s="1">
        <f>+B4479+1</f>
        <v/>
      </c>
      <c r="C4480" s="24" t="n">
        <v>46388</v>
      </c>
      <c r="D4480" s="24" t="n">
        <v>46418</v>
      </c>
      <c r="E4480" s="25" t="n">
        <v>31</v>
      </c>
      <c r="F4480" s="319">
        <f>J4479</f>
        <v/>
      </c>
      <c r="G4480" s="319">
        <f>-PMT($D$4289/$D$4291,42,$F$4304,,0)</f>
        <v/>
      </c>
      <c r="H4480" s="319">
        <f>($D$4435/$D$4437*F4480)</f>
        <v/>
      </c>
      <c r="I4480" s="319">
        <f>G4480-H4480</f>
        <v/>
      </c>
      <c r="J4480" s="319">
        <f>F4480-I4480</f>
        <v/>
      </c>
    </row>
    <row r="4481">
      <c r="B4481" s="1">
        <f>+B4480+1</f>
        <v/>
      </c>
      <c r="C4481" s="24" t="n">
        <v>46419</v>
      </c>
      <c r="D4481" s="24" t="n">
        <v>46446</v>
      </c>
      <c r="E4481" s="25" t="n">
        <v>28</v>
      </c>
      <c r="F4481" s="319">
        <f>J4480</f>
        <v/>
      </c>
      <c r="G4481" s="319">
        <f>-PMT($D$4289/$D$4291,42,$F$4304,,0)</f>
        <v/>
      </c>
      <c r="H4481" s="319">
        <f>($D$4435/$D$4437*F4481)</f>
        <v/>
      </c>
      <c r="I4481" s="319">
        <f>G4481-H4481</f>
        <v/>
      </c>
      <c r="J4481" s="319">
        <f>F4481-I4481</f>
        <v/>
      </c>
    </row>
    <row r="4482">
      <c r="B4482" s="1">
        <f>+B4481+1</f>
        <v/>
      </c>
      <c r="C4482" s="24" t="n">
        <v>46447</v>
      </c>
      <c r="D4482" s="24" t="n">
        <v>46477</v>
      </c>
      <c r="E4482" s="25" t="n">
        <v>31</v>
      </c>
      <c r="F4482" s="319">
        <f>J4481</f>
        <v/>
      </c>
      <c r="G4482" s="319">
        <f>-PMT($D$4289/$D$4291,42,$F$4304,,0)</f>
        <v/>
      </c>
      <c r="H4482" s="319">
        <f>($D$4435/$D$4437*F4482)</f>
        <v/>
      </c>
      <c r="I4482" s="319">
        <f>G4482-H4482</f>
        <v/>
      </c>
      <c r="J4482" s="319">
        <f>F4482-I4482</f>
        <v/>
      </c>
    </row>
    <row r="4483">
      <c r="B4483" s="1">
        <f>+B4482+1</f>
        <v/>
      </c>
      <c r="C4483" s="24" t="n">
        <v>46478</v>
      </c>
      <c r="D4483" s="24" t="n">
        <v>46507</v>
      </c>
      <c r="E4483" s="25" t="n">
        <v>30</v>
      </c>
      <c r="F4483" s="319">
        <f>J4482</f>
        <v/>
      </c>
      <c r="G4483" s="319">
        <f>-PMT($D$4289/$D$4291,42,$F$4304,,0)</f>
        <v/>
      </c>
      <c r="H4483" s="319">
        <f>($D$4435/$D$4437*F4483)</f>
        <v/>
      </c>
      <c r="I4483" s="319">
        <f>G4483-H4483</f>
        <v/>
      </c>
      <c r="J4483" s="319">
        <f>F4483-I4483</f>
        <v/>
      </c>
    </row>
    <row r="4484">
      <c r="B4484" s="1">
        <f>+B4483+1</f>
        <v/>
      </c>
      <c r="C4484" s="24" t="n">
        <v>46508</v>
      </c>
      <c r="D4484" s="24" t="n">
        <v>46538</v>
      </c>
      <c r="E4484" s="25" t="n">
        <v>31</v>
      </c>
      <c r="F4484" s="319">
        <f>J4483</f>
        <v/>
      </c>
      <c r="G4484" s="319">
        <f>-PMT($D$4289/$D$4291,42,$F$4304,,0)</f>
        <v/>
      </c>
      <c r="H4484" s="319">
        <f>($D$4435/$D$4437*F4484)</f>
        <v/>
      </c>
      <c r="I4484" s="319">
        <f>G4484-H4484</f>
        <v/>
      </c>
      <c r="J4484" s="319">
        <f>F4484-I4484</f>
        <v/>
      </c>
    </row>
    <row r="4485">
      <c r="B4485" s="1">
        <f>+B4484+1</f>
        <v/>
      </c>
      <c r="C4485" s="24" t="n">
        <v>46539</v>
      </c>
      <c r="D4485" s="24" t="n">
        <v>46568</v>
      </c>
      <c r="E4485" s="25" t="n">
        <v>30</v>
      </c>
      <c r="F4485" s="319">
        <f>J4484</f>
        <v/>
      </c>
      <c r="G4485" s="319">
        <f>-PMT($D$4289/$D$4291,42,$F$4304,,0)</f>
        <v/>
      </c>
      <c r="H4485" s="319">
        <f>($D$4435/$D$4437*F4485)</f>
        <v/>
      </c>
      <c r="I4485" s="319">
        <f>G4485-H4485</f>
        <v/>
      </c>
      <c r="J4485" s="319">
        <f>F4485-I4485</f>
        <v/>
      </c>
    </row>
    <row r="4486">
      <c r="B4486" s="1">
        <f>+B4485+1</f>
        <v/>
      </c>
      <c r="C4486" s="24" t="n">
        <v>46569</v>
      </c>
      <c r="D4486" s="24" t="n">
        <v>46599</v>
      </c>
      <c r="E4486" s="25" t="n">
        <v>31</v>
      </c>
      <c r="F4486" s="319">
        <f>J4485</f>
        <v/>
      </c>
      <c r="G4486" s="319">
        <f>-PMT($D$4289/$D$4291,42,$F$4304,,0)</f>
        <v/>
      </c>
      <c r="H4486" s="319">
        <f>($D$4435/$D$4437*F4486)</f>
        <v/>
      </c>
      <c r="I4486" s="319">
        <f>G4486-H4486</f>
        <v/>
      </c>
      <c r="J4486" s="319">
        <f>F4486-I4486</f>
        <v/>
      </c>
    </row>
    <row r="4487">
      <c r="B4487" s="1">
        <f>+B4486+1</f>
        <v/>
      </c>
      <c r="C4487" s="24" t="n">
        <v>46600</v>
      </c>
      <c r="D4487" s="24" t="n">
        <v>46630</v>
      </c>
      <c r="E4487" s="25" t="n">
        <v>31</v>
      </c>
      <c r="F4487" s="319">
        <f>J4486</f>
        <v/>
      </c>
      <c r="G4487" s="319">
        <f>-PMT($D$4289/$D$4291,42,$F$4304,,0)</f>
        <v/>
      </c>
      <c r="H4487" s="319">
        <f>($D$4435/$D$4437*F4487)</f>
        <v/>
      </c>
      <c r="I4487" s="319">
        <f>G4487-H4487</f>
        <v/>
      </c>
      <c r="J4487" s="319">
        <f>F4487-I4487</f>
        <v/>
      </c>
    </row>
    <row r="4488">
      <c r="B4488" s="1">
        <f>+B4487+1</f>
        <v/>
      </c>
      <c r="C4488" s="24">
        <f>+D4487+1</f>
        <v/>
      </c>
      <c r="D4488" s="24">
        <f>+C4488+29</f>
        <v/>
      </c>
      <c r="E4488" s="25" t="n">
        <v>30</v>
      </c>
      <c r="F4488" s="319">
        <f>J4487</f>
        <v/>
      </c>
      <c r="G4488" s="319">
        <f>-PMT($D$4289/$D$4291,42,$F$4304,,0)</f>
        <v/>
      </c>
      <c r="H4488" s="319">
        <f>($D$4435/$D$4437*F4488)</f>
        <v/>
      </c>
      <c r="I4488" s="319">
        <f>G4488-H4488</f>
        <v/>
      </c>
      <c r="J4488" s="319">
        <f>F4488-I4488</f>
        <v/>
      </c>
    </row>
    <row r="4489">
      <c r="B4489" s="1">
        <f>+B4488+1</f>
        <v/>
      </c>
      <c r="C4489" s="24">
        <f>+D4488+1</f>
        <v/>
      </c>
      <c r="D4489" s="24">
        <f>+C4489+30</f>
        <v/>
      </c>
      <c r="E4489" s="25" t="n">
        <v>31</v>
      </c>
      <c r="F4489" s="319">
        <f>J4488</f>
        <v/>
      </c>
      <c r="G4489" s="319">
        <f>-PMT($D$4289/$D$4291,42,$F$4304,,0)</f>
        <v/>
      </c>
      <c r="H4489" s="319">
        <f>($D$4435/$D$4437*F4489)</f>
        <v/>
      </c>
      <c r="I4489" s="319">
        <f>G4489-H4489</f>
        <v/>
      </c>
      <c r="J4489" s="319">
        <f>F4489-I4489</f>
        <v/>
      </c>
    </row>
    <row r="4490">
      <c r="B4490" s="1">
        <f>+B4489+1</f>
        <v/>
      </c>
      <c r="C4490" s="24">
        <f>+D4489+1</f>
        <v/>
      </c>
      <c r="D4490" s="24">
        <f>+C4490+29</f>
        <v/>
      </c>
      <c r="E4490" s="25" t="n">
        <v>30</v>
      </c>
      <c r="F4490" s="319">
        <f>J4489</f>
        <v/>
      </c>
      <c r="G4490" s="319">
        <f>-PMT($D$4289/$D$4291,42,$F$4304,,0)</f>
        <v/>
      </c>
      <c r="H4490" s="319">
        <f>($D$4435/$D$4437*F4490)</f>
        <v/>
      </c>
      <c r="I4490" s="319">
        <f>G4490-H4490</f>
        <v/>
      </c>
      <c r="J4490" s="319">
        <f>F4490-I4490</f>
        <v/>
      </c>
    </row>
    <row r="4491">
      <c r="B4491" s="1">
        <f>+B4490+1</f>
        <v/>
      </c>
      <c r="C4491" s="24">
        <f>+D4490+1</f>
        <v/>
      </c>
      <c r="D4491" s="24">
        <f>+C4491+30</f>
        <v/>
      </c>
      <c r="E4491" s="25" t="n">
        <v>31</v>
      </c>
      <c r="F4491" s="319">
        <f>J4490</f>
        <v/>
      </c>
      <c r="G4491" s="319">
        <f>-PMT($D$4289/$D$4291,42,$F$4304,,0)</f>
        <v/>
      </c>
      <c r="H4491" s="319">
        <f>($D$4435/$D$4437*F4491)</f>
        <v/>
      </c>
      <c r="I4491" s="319">
        <f>G4491-H4491</f>
        <v/>
      </c>
      <c r="J4491" s="319">
        <f>F4491-I4491</f>
        <v/>
      </c>
    </row>
    <row r="4498">
      <c r="B4498" s="1" t="n"/>
      <c r="C4498" s="9" t="inlineStr">
        <is>
          <t>Ziweto Zathanzi Veternary shop</t>
        </is>
      </c>
      <c r="D4498" s="319" t="n"/>
      <c r="E4498" s="319" t="n"/>
      <c r="F4498" s="319" t="n"/>
      <c r="G4498" s="319" t="n"/>
      <c r="H4498" s="319" t="n"/>
      <c r="I4498" s="319" t="n"/>
      <c r="J4498" s="319" t="n"/>
      <c r="K4498" s="319" t="n"/>
      <c r="L4498" s="319" t="n"/>
      <c r="R4498" s="514" t="inlineStr">
        <is>
          <t>E-Banker account (Dupleix)</t>
        </is>
      </c>
      <c r="S4498" s="495">
        <f>IFERROR(INDEX('Blocks'!$I$2:$I$101,MATCH(82,'Blocks'!$A$2:$A$101,0)),"")</f>
        <v/>
      </c>
    </row>
    <row r="4499">
      <c r="B4499" s="1" t="n"/>
      <c r="C4499" s="1" t="n"/>
      <c r="D4499" s="319" t="n"/>
      <c r="E4499" s="319" t="n"/>
      <c r="F4499" s="319" t="n"/>
      <c r="G4499" s="319" t="n"/>
      <c r="H4499" s="319" t="n"/>
      <c r="I4499" s="319" t="n"/>
      <c r="J4499" s="319" t="n"/>
      <c r="K4499" s="319" t="n"/>
      <c r="L4499" s="319" t="n"/>
      <c r="R4499" s="514" t="inlineStr">
        <is>
          <t>Facility (Loan Book)</t>
        </is>
      </c>
      <c r="S4499" s="495">
        <f>IFERROR(INDEX('Blocks'!$H$2:$H$101,MATCH(82,'Blocks'!$A$2:$A$101,0)),"")</f>
        <v/>
      </c>
    </row>
    <row r="4500">
      <c r="B4500" s="1" t="n"/>
      <c r="C4500" s="10" t="inlineStr">
        <is>
          <t>Principal (MK)</t>
        </is>
      </c>
      <c r="D4500" s="11" t="n">
        <v>10000000</v>
      </c>
      <c r="E4500" s="319" t="n"/>
      <c r="F4500" s="319" t="n"/>
      <c r="G4500" s="319" t="n"/>
      <c r="H4500" s="319" t="n"/>
      <c r="I4500" s="319" t="n"/>
      <c r="J4500" s="319" t="n"/>
      <c r="K4500" s="319" t="n"/>
      <c r="L4500" s="319" t="n"/>
      <c r="R4500" s="514" t="inlineStr">
        <is>
          <t>Take-on posting 31 Jul 2024</t>
        </is>
      </c>
      <c r="S4500" s="496">
        <f>IFERROR(INDEX('E-Banker master'!$N$2:$N$186,MATCH(S4498,'E-Banker master'!$A$2:$A$186,0)),"")</f>
        <v/>
      </c>
    </row>
    <row r="4501">
      <c r="B4501" s="1" t="n"/>
      <c r="C4501" s="13" t="inlineStr">
        <is>
          <t>Rate</t>
        </is>
      </c>
      <c r="D4501" s="14" t="n">
        <v>0.1</v>
      </c>
      <c r="E4501" s="257" t="n"/>
      <c r="F4501" s="319" t="n"/>
      <c r="G4501" s="319" t="n"/>
      <c r="H4501" s="319" t="n"/>
      <c r="I4501" s="319" t="n"/>
      <c r="J4501" s="319" t="n"/>
      <c r="K4501" s="319" t="n"/>
      <c r="L4501" s="319" t="n"/>
      <c r="R4501" s="514" t="inlineStr">
        <is>
          <t>E-Banker balance 31 Oct 2024</t>
        </is>
      </c>
      <c r="S4501" s="496">
        <f>IFERROR(INDEX('E-Banker master'!$P$2:$P$186,MATCH(S4498,'E-Banker master'!$A$2:$A$186,0)),"")</f>
        <v/>
      </c>
    </row>
    <row r="4502">
      <c r="B4502" s="1" t="n"/>
      <c r="C4502" s="13" t="inlineStr">
        <is>
          <t>n</t>
        </is>
      </c>
      <c r="D4502" s="16" t="n">
        <v>4</v>
      </c>
      <c r="E4502" s="1" t="n"/>
      <c r="F4502" s="319" t="n"/>
      <c r="G4502" s="319" t="n"/>
      <c r="H4502" s="319" t="n"/>
      <c r="I4502" s="319" t="n"/>
      <c r="J4502" s="319" t="n"/>
      <c r="K4502" s="1" t="n"/>
      <c r="L4502" s="1" t="n"/>
    </row>
    <row r="4503">
      <c r="B4503" s="1" t="n"/>
      <c r="C4503" s="13" t="inlineStr">
        <is>
          <t>Per</t>
        </is>
      </c>
      <c r="D4503" s="16" t="n">
        <v>12</v>
      </c>
      <c r="E4503" s="1" t="n"/>
      <c r="F4503" s="319" t="n"/>
      <c r="G4503" s="319" t="n"/>
      <c r="H4503" s="319" t="n"/>
      <c r="I4503" s="319" t="n"/>
      <c r="J4503" s="319" t="n"/>
      <c r="K4503" s="1" t="n"/>
      <c r="L4503" s="1" t="n"/>
    </row>
    <row r="4504">
      <c r="B4504" s="1" t="n"/>
      <c r="C4504" s="13" t="inlineStr">
        <is>
          <t>nPer</t>
        </is>
      </c>
      <c r="D4504" s="515" t="n">
        <v>24</v>
      </c>
      <c r="E4504" s="1" t="n"/>
      <c r="F4504" s="319" t="n"/>
      <c r="G4504" s="319" t="n"/>
      <c r="H4504" s="319" t="n"/>
      <c r="I4504" s="319" t="n"/>
      <c r="J4504" s="319" t="n"/>
      <c r="K4504" s="1" t="n"/>
      <c r="L4504" s="1" t="n"/>
    </row>
    <row r="4505">
      <c r="B4505" s="1" t="n"/>
      <c r="C4505" s="13" t="inlineStr">
        <is>
          <t>Days in a year</t>
        </is>
      </c>
      <c r="D4505" s="18" t="n">
        <v>365</v>
      </c>
      <c r="E4505" s="1" t="n"/>
      <c r="F4505" s="319" t="n"/>
      <c r="G4505" s="319" t="n"/>
      <c r="H4505" s="319" t="n"/>
      <c r="I4505" s="319" t="n"/>
      <c r="J4505" s="319" t="n"/>
      <c r="K4505" s="1" t="n"/>
      <c r="L4505" s="1" t="n"/>
    </row>
    <row r="4506">
      <c r="B4506" s="1" t="n"/>
      <c r="C4506" s="19" t="inlineStr">
        <is>
          <t>Pmt (MK)</t>
        </is>
      </c>
      <c r="D4506" s="534">
        <f>-PMT(D4501/D4503,D4504,D4500,0,0)</f>
        <v/>
      </c>
      <c r="E4506" s="319" t="n"/>
      <c r="F4506" s="319" t="n"/>
      <c r="G4506" s="319" t="n"/>
      <c r="H4506" s="319" t="n"/>
      <c r="I4506" s="319" t="n"/>
      <c r="J4506" s="319" t="n"/>
      <c r="K4506" s="1" t="n"/>
      <c r="L4506" s="1" t="n"/>
    </row>
    <row r="4507">
      <c r="B4507" s="1" t="n"/>
      <c r="C4507" s="1" t="n"/>
      <c r="D4507" s="319" t="n"/>
      <c r="E4507" s="319" t="n"/>
      <c r="F4507" s="319" t="n"/>
      <c r="G4507" s="319" t="n"/>
      <c r="H4507" s="319" t="n"/>
      <c r="I4507" s="319" t="n"/>
      <c r="J4507" s="319" t="n"/>
      <c r="K4507" s="1" t="n"/>
      <c r="L4507" s="1" t="n"/>
    </row>
    <row r="4508">
      <c r="B4508" s="1" t="n"/>
      <c r="C4508" s="21" t="inlineStr">
        <is>
          <t>Period Start</t>
        </is>
      </c>
      <c r="D4508" s="22" t="inlineStr">
        <is>
          <t>Period End</t>
        </is>
      </c>
      <c r="E4508" s="22" t="inlineStr">
        <is>
          <t>Days</t>
        </is>
      </c>
      <c r="F4508" s="294" t="inlineStr">
        <is>
          <t>Opening bal.</t>
        </is>
      </c>
      <c r="G4508" s="294" t="inlineStr">
        <is>
          <t>Pmt</t>
        </is>
      </c>
      <c r="H4508" s="294" t="inlineStr">
        <is>
          <t>Interest</t>
        </is>
      </c>
      <c r="I4508" s="294" t="inlineStr">
        <is>
          <t>Principal</t>
        </is>
      </c>
      <c r="J4508" s="294" t="inlineStr">
        <is>
          <t>Closing balance</t>
        </is>
      </c>
      <c r="K4508" s="23" t="inlineStr">
        <is>
          <t>Amount Repaid</t>
        </is>
      </c>
      <c r="L4508" s="23" t="inlineStr">
        <is>
          <t>Accumulated Arrears</t>
        </is>
      </c>
    </row>
    <row r="4509">
      <c r="B4509" s="1" t="n">
        <v>0</v>
      </c>
      <c r="C4509" s="24" t="n">
        <v>45273</v>
      </c>
      <c r="D4509" s="24" t="n">
        <v>45291</v>
      </c>
      <c r="E4509" s="318">
        <f>+D4509-C4509</f>
        <v/>
      </c>
      <c r="F4509" s="319">
        <f>D4500</f>
        <v/>
      </c>
      <c r="G4509" s="319" t="n">
        <v>48387.09677419355</v>
      </c>
      <c r="H4509" s="319">
        <f>($D$4501/$D$4503*F4509*E4509/31)</f>
        <v/>
      </c>
      <c r="I4509" s="319" t="n">
        <v>0</v>
      </c>
      <c r="J4509" s="319">
        <f>F4509-I4509</f>
        <v/>
      </c>
    </row>
    <row r="4510">
      <c r="B4510" s="1" t="n">
        <v>1</v>
      </c>
      <c r="C4510" s="24">
        <f>+D4509+1</f>
        <v/>
      </c>
      <c r="D4510" s="24">
        <f>+C4510+30</f>
        <v/>
      </c>
      <c r="E4510" s="25" t="n">
        <v>31</v>
      </c>
      <c r="F4510" s="319">
        <f>J4509</f>
        <v/>
      </c>
      <c r="G4510" s="319" t="n">
        <v>83333.33333333333</v>
      </c>
      <c r="H4510" s="319">
        <f>($D$4501/$D$4503*F4510)</f>
        <v/>
      </c>
      <c r="I4510" s="319" t="n"/>
      <c r="J4510" s="319">
        <f>F4510-I4510</f>
        <v/>
      </c>
      <c r="K4510" s="516" t="n"/>
      <c r="L4510" s="516" t="n"/>
    </row>
    <row r="4511">
      <c r="B4511" s="1" t="n">
        <v>2</v>
      </c>
      <c r="C4511" s="24" t="n">
        <v>45323</v>
      </c>
      <c r="D4511" s="24" t="n">
        <v>45351</v>
      </c>
      <c r="E4511" s="25" t="n">
        <v>29</v>
      </c>
      <c r="F4511" s="319">
        <f>J4510</f>
        <v/>
      </c>
      <c r="G4511" s="319" t="n">
        <v>83333.33333333333</v>
      </c>
      <c r="H4511" s="319">
        <f>($D$4501/$D$4503*F4511)</f>
        <v/>
      </c>
      <c r="I4511" s="319" t="n"/>
      <c r="J4511" s="319">
        <f>F4511-I4511</f>
        <v/>
      </c>
      <c r="K4511" s="516" t="n"/>
      <c r="L4511" s="516" t="n"/>
    </row>
    <row r="4512">
      <c r="B4512" s="1">
        <f>+B4511+1</f>
        <v/>
      </c>
      <c r="C4512" s="24" t="n">
        <v>45352</v>
      </c>
      <c r="D4512" s="24" t="n">
        <v>45382</v>
      </c>
      <c r="E4512" s="25" t="n">
        <v>31</v>
      </c>
      <c r="F4512" s="319">
        <f>J4511</f>
        <v/>
      </c>
      <c r="G4512" s="319" t="n">
        <v>83333.33333333333</v>
      </c>
      <c r="H4512" s="319">
        <f>($D$4501/$D$4503*F4512)</f>
        <v/>
      </c>
      <c r="I4512" s="319" t="n"/>
      <c r="J4512" s="319">
        <f>F4512-I4512</f>
        <v/>
      </c>
      <c r="K4512" s="516" t="n">
        <v>1070000</v>
      </c>
      <c r="L4512" s="319">
        <f>L4511+SUM(G4509:G4512)-K4512</f>
        <v/>
      </c>
    </row>
    <row r="4513">
      <c r="B4513" s="1">
        <f>+B4512+1</f>
        <v/>
      </c>
      <c r="C4513" s="24" t="n">
        <v>45383</v>
      </c>
      <c r="D4513" s="24" t="n">
        <v>45412</v>
      </c>
      <c r="E4513" s="25" t="n">
        <v>30</v>
      </c>
      <c r="F4513" s="319">
        <f>J4512</f>
        <v/>
      </c>
      <c r="G4513" s="319">
        <f>-PMT($D$4289/$D$4291,21,$F$4512,,0)</f>
        <v/>
      </c>
      <c r="H4513" s="319">
        <f>($D$4501/$D$4503*F4513)</f>
        <v/>
      </c>
      <c r="I4513" s="319">
        <f>G4513-H4513</f>
        <v/>
      </c>
      <c r="J4513" s="319">
        <f>F4513-I4513</f>
        <v/>
      </c>
      <c r="K4513" s="516" t="n"/>
      <c r="L4513" s="319">
        <f>L4512+G4513-K4513</f>
        <v/>
      </c>
    </row>
    <row r="4514">
      <c r="B4514" s="1">
        <f>+B4513+1</f>
        <v/>
      </c>
      <c r="C4514" s="24" t="n">
        <v>45413</v>
      </c>
      <c r="D4514" s="24" t="n">
        <v>45443</v>
      </c>
      <c r="E4514" s="25" t="n">
        <v>31</v>
      </c>
      <c r="F4514" s="319">
        <f>J4513</f>
        <v/>
      </c>
      <c r="G4514" s="319">
        <f>-PMT($D$4289/$D$4291,21,$F$4512,,0)</f>
        <v/>
      </c>
      <c r="H4514" s="319">
        <f>($D$4501/$D$4503*F4514)</f>
        <v/>
      </c>
      <c r="I4514" s="319">
        <f>G4514-H4514</f>
        <v/>
      </c>
      <c r="J4514" s="319">
        <f>F4514-I4514</f>
        <v/>
      </c>
      <c r="K4514" s="516" t="n"/>
      <c r="L4514" s="319">
        <f>L4513+G4514-K4514</f>
        <v/>
      </c>
    </row>
    <row r="4515">
      <c r="B4515" s="1">
        <f>+B4514+1</f>
        <v/>
      </c>
      <c r="C4515" s="24" t="n">
        <v>45444</v>
      </c>
      <c r="D4515" s="24" t="n">
        <v>45473</v>
      </c>
      <c r="E4515" s="25" t="n">
        <v>30</v>
      </c>
      <c r="F4515" s="319">
        <f>J4514</f>
        <v/>
      </c>
      <c r="G4515" s="319">
        <f>-PMT($D$4289/$D$4291,21,$F$4512,,0)</f>
        <v/>
      </c>
      <c r="H4515" s="319">
        <f>($D$4501/$D$4503*F4515)</f>
        <v/>
      </c>
      <c r="I4515" s="319">
        <f>G4515-H4515</f>
        <v/>
      </c>
      <c r="J4515" s="319">
        <f>F4515-I4515</f>
        <v/>
      </c>
      <c r="K4515" s="516" t="n">
        <v>535000</v>
      </c>
      <c r="L4515" s="319">
        <f>L4514+G4515-K4515</f>
        <v/>
      </c>
    </row>
    <row r="4516">
      <c r="B4516" s="1">
        <f>+B4515+1</f>
        <v/>
      </c>
      <c r="C4516" s="24" t="n">
        <v>45474</v>
      </c>
      <c r="D4516" s="24" t="n">
        <v>45504</v>
      </c>
      <c r="E4516" s="25" t="n">
        <v>31</v>
      </c>
      <c r="F4516" s="319">
        <f>J4515</f>
        <v/>
      </c>
      <c r="G4516" s="319">
        <f>-PMT($D$4289/$D$4291,21,$F$4512,,0)</f>
        <v/>
      </c>
      <c r="H4516" s="319">
        <f>($D$4501/$D$4503*F4516)</f>
        <v/>
      </c>
      <c r="I4516" s="319">
        <f>G4516-H4516</f>
        <v/>
      </c>
      <c r="J4516" s="319">
        <f>F4516-I4516</f>
        <v/>
      </c>
      <c r="K4516" s="516" t="n"/>
      <c r="L4516" s="319">
        <f>L4515+G4516-K4516</f>
        <v/>
      </c>
    </row>
    <row r="4517">
      <c r="B4517" s="1">
        <f>+B4516+1</f>
        <v/>
      </c>
      <c r="C4517" s="24" t="n">
        <v>45505</v>
      </c>
      <c r="D4517" s="24" t="n">
        <v>45535</v>
      </c>
      <c r="E4517" s="25" t="n">
        <v>31</v>
      </c>
      <c r="F4517" s="319">
        <f>J4516</f>
        <v/>
      </c>
      <c r="G4517" s="319">
        <f>-PMT($D$4289/$D$4291,21,$F$4512,,0)</f>
        <v/>
      </c>
      <c r="H4517" s="319">
        <f>($D$4501/$D$4503*F4517)</f>
        <v/>
      </c>
      <c r="I4517" s="319">
        <f>G4517-H4517</f>
        <v/>
      </c>
      <c r="J4517" s="319">
        <f>F4517-I4517</f>
        <v/>
      </c>
      <c r="K4517" s="516">
        <f>200000+500000</f>
        <v/>
      </c>
      <c r="L4517" s="319">
        <f>L4516+G4517-K4517</f>
        <v/>
      </c>
    </row>
    <row r="4518">
      <c r="B4518" s="1">
        <f>+B4517+1</f>
        <v/>
      </c>
      <c r="C4518" s="24" t="n">
        <v>45536</v>
      </c>
      <c r="D4518" s="24" t="n">
        <v>45565</v>
      </c>
      <c r="E4518" s="25" t="n">
        <v>30</v>
      </c>
      <c r="F4518" s="319">
        <f>J4517</f>
        <v/>
      </c>
      <c r="G4518" s="319">
        <f>-PMT($D$4289/$D$4291,21,$F$4512,,0)</f>
        <v/>
      </c>
      <c r="H4518" s="319">
        <f>($D$4501/$D$4503*F4518)</f>
        <v/>
      </c>
      <c r="I4518" s="319">
        <f>G4518-H4518</f>
        <v/>
      </c>
      <c r="J4518" s="319">
        <f>F4518-I4518</f>
        <v/>
      </c>
      <c r="K4518" s="516" t="n"/>
      <c r="L4518" s="319">
        <f>L4517+G4518-K4518</f>
        <v/>
      </c>
    </row>
    <row r="4519">
      <c r="B4519" s="1">
        <f>+B4518+1</f>
        <v/>
      </c>
      <c r="C4519" s="24" t="n">
        <v>45566</v>
      </c>
      <c r="D4519" s="24" t="n">
        <v>45596</v>
      </c>
      <c r="E4519" s="25" t="n">
        <v>31</v>
      </c>
      <c r="F4519" s="319">
        <f>J4518</f>
        <v/>
      </c>
      <c r="G4519" s="319">
        <f>-PMT($D$4289/$D$4291,21,$F$4512,,0)</f>
        <v/>
      </c>
      <c r="H4519" s="319">
        <f>($D$4501/$D$4503*F4519)</f>
        <v/>
      </c>
      <c r="I4519" s="319">
        <f>G4519-H4519</f>
        <v/>
      </c>
      <c r="J4519" s="319">
        <f>F4519-I4519</f>
        <v/>
      </c>
      <c r="K4519" s="516" t="n">
        <v>600000</v>
      </c>
      <c r="L4519" s="317">
        <f>L4518+G4519-K4519</f>
        <v/>
      </c>
    </row>
    <row r="4520">
      <c r="B4520" s="1">
        <f>+B4519+1</f>
        <v/>
      </c>
      <c r="C4520" s="24" t="n">
        <v>45597</v>
      </c>
      <c r="D4520" s="24" t="n">
        <v>45626</v>
      </c>
      <c r="E4520" s="25" t="n">
        <v>30</v>
      </c>
      <c r="F4520" s="319">
        <f>J4519</f>
        <v/>
      </c>
      <c r="G4520" s="319">
        <f>-PMT($D$4289/$D$4291,21,$F$4512,,0)</f>
        <v/>
      </c>
      <c r="H4520" s="319">
        <f>($D$4501/$D$4503*F4520)</f>
        <v/>
      </c>
      <c r="I4520" s="319">
        <f>G4520-H4520</f>
        <v/>
      </c>
      <c r="J4520" s="319">
        <f>F4520-I4520</f>
        <v/>
      </c>
      <c r="K4520" s="516" t="n"/>
      <c r="L4520" s="516" t="n"/>
    </row>
    <row r="4521">
      <c r="B4521" s="1">
        <f>+B4520+1</f>
        <v/>
      </c>
      <c r="C4521" s="24" t="n">
        <v>45627</v>
      </c>
      <c r="D4521" s="24" t="n">
        <v>45657</v>
      </c>
      <c r="E4521" s="25" t="n">
        <v>31</v>
      </c>
      <c r="F4521" s="319">
        <f>J4520</f>
        <v/>
      </c>
      <c r="G4521" s="319">
        <f>-PMT($D$4289/$D$4291,21,$F$4512,,0)</f>
        <v/>
      </c>
      <c r="H4521" s="319">
        <f>($D$4501/$D$4503*F4521)</f>
        <v/>
      </c>
      <c r="I4521" s="319">
        <f>G4521-H4521</f>
        <v/>
      </c>
      <c r="J4521" s="319">
        <f>F4521-I4521</f>
        <v/>
      </c>
      <c r="K4521" s="516" t="n"/>
      <c r="L4521" s="516" t="n"/>
    </row>
    <row r="4522">
      <c r="B4522" s="1">
        <f>+B4521+1</f>
        <v/>
      </c>
      <c r="C4522" s="24" t="n">
        <v>45658</v>
      </c>
      <c r="D4522" s="24" t="n">
        <v>45688</v>
      </c>
      <c r="E4522" s="25" t="n">
        <v>31</v>
      </c>
      <c r="F4522" s="319">
        <f>J4521</f>
        <v/>
      </c>
      <c r="G4522" s="319">
        <f>-PMT($D$4289/$D$4291,21,$F$4512,,0)</f>
        <v/>
      </c>
      <c r="H4522" s="319">
        <f>($D$4501/$D$4503*F4522)</f>
        <v/>
      </c>
      <c r="I4522" s="319">
        <f>G4522-H4522</f>
        <v/>
      </c>
      <c r="J4522" s="319">
        <f>F4522-I4522</f>
        <v/>
      </c>
      <c r="K4522" s="516" t="n"/>
      <c r="L4522" s="516" t="n"/>
    </row>
    <row r="4523">
      <c r="B4523" s="1">
        <f>+B4522+1</f>
        <v/>
      </c>
      <c r="C4523" s="24" t="n">
        <v>45689</v>
      </c>
      <c r="D4523" s="24" t="n">
        <v>45716</v>
      </c>
      <c r="E4523" s="25" t="n">
        <v>28</v>
      </c>
      <c r="F4523" s="319">
        <f>J4522</f>
        <v/>
      </c>
      <c r="G4523" s="319">
        <f>-PMT($D$4289/$D$4291,21,$F$4512,,0)</f>
        <v/>
      </c>
      <c r="H4523" s="319">
        <f>($D$4501/$D$4503*F4523)</f>
        <v/>
      </c>
      <c r="I4523" s="319">
        <f>G4523-H4523</f>
        <v/>
      </c>
      <c r="J4523" s="319">
        <f>F4523-I4523</f>
        <v/>
      </c>
      <c r="K4523" s="516" t="n"/>
      <c r="L4523" s="516" t="n"/>
    </row>
    <row r="4524">
      <c r="B4524" s="1">
        <f>+B4523+1</f>
        <v/>
      </c>
      <c r="C4524" s="24" t="n">
        <v>45717</v>
      </c>
      <c r="D4524" s="24" t="n">
        <v>45747</v>
      </c>
      <c r="E4524" s="25" t="n">
        <v>31</v>
      </c>
      <c r="F4524" s="319">
        <f>J4523</f>
        <v/>
      </c>
      <c r="G4524" s="319">
        <f>-PMT($D$4289/$D$4291,21,$F$4512,,0)</f>
        <v/>
      </c>
      <c r="H4524" s="319">
        <f>($D$4501/$D$4503*F4524)</f>
        <v/>
      </c>
      <c r="I4524" s="319">
        <f>G4524-H4524</f>
        <v/>
      </c>
      <c r="J4524" s="319">
        <f>F4524-I4524</f>
        <v/>
      </c>
      <c r="K4524" s="516" t="n"/>
      <c r="L4524" s="516" t="n"/>
    </row>
    <row r="4525">
      <c r="B4525" s="1">
        <f>+B4524+1</f>
        <v/>
      </c>
      <c r="C4525" s="24" t="n">
        <v>45748</v>
      </c>
      <c r="D4525" s="24" t="n">
        <v>45777</v>
      </c>
      <c r="E4525" s="25" t="n">
        <v>30</v>
      </c>
      <c r="F4525" s="319">
        <f>J4524</f>
        <v/>
      </c>
      <c r="G4525" s="319">
        <f>-PMT($D$4289/$D$4291,21,$F$4512,,0)</f>
        <v/>
      </c>
      <c r="H4525" s="319">
        <f>($D$4501/$D$4503*F4525)</f>
        <v/>
      </c>
      <c r="I4525" s="319">
        <f>G4525-H4525</f>
        <v/>
      </c>
      <c r="J4525" s="319">
        <f>F4525-I4525</f>
        <v/>
      </c>
      <c r="K4525" s="516" t="n"/>
      <c r="L4525" s="516" t="n"/>
    </row>
    <row r="4526">
      <c r="B4526" s="1">
        <f>+B4525+1</f>
        <v/>
      </c>
      <c r="C4526" s="24" t="n">
        <v>45778</v>
      </c>
      <c r="D4526" s="24" t="n">
        <v>45808</v>
      </c>
      <c r="E4526" s="25" t="n">
        <v>31</v>
      </c>
      <c r="F4526" s="319">
        <f>J4525</f>
        <v/>
      </c>
      <c r="G4526" s="319">
        <f>-PMT($D$4289/$D$4291,21,$F$4512,,0)</f>
        <v/>
      </c>
      <c r="H4526" s="319">
        <f>($D$4501/$D$4503*F4526)</f>
        <v/>
      </c>
      <c r="I4526" s="319">
        <f>G4526-H4526</f>
        <v/>
      </c>
      <c r="J4526" s="319">
        <f>F4526-I4526</f>
        <v/>
      </c>
      <c r="K4526" s="516" t="n"/>
      <c r="L4526" s="516" t="n"/>
    </row>
    <row r="4527">
      <c r="B4527" s="1">
        <f>+B4526+1</f>
        <v/>
      </c>
      <c r="C4527" s="24" t="n">
        <v>45809</v>
      </c>
      <c r="D4527" s="24" t="n">
        <v>45838</v>
      </c>
      <c r="E4527" s="25" t="n">
        <v>30</v>
      </c>
      <c r="F4527" s="319">
        <f>J4526</f>
        <v/>
      </c>
      <c r="G4527" s="319">
        <f>-PMT($D$4289/$D$4291,21,$F$4512,,0)</f>
        <v/>
      </c>
      <c r="H4527" s="319">
        <f>($D$4501/$D$4503*F4527)</f>
        <v/>
      </c>
      <c r="I4527" s="319">
        <f>G4527-H4527</f>
        <v/>
      </c>
      <c r="J4527" s="319">
        <f>F4527-I4527</f>
        <v/>
      </c>
      <c r="K4527" s="516" t="n"/>
      <c r="L4527" s="516" t="n"/>
    </row>
    <row r="4528">
      <c r="B4528" s="1">
        <f>+B4527+1</f>
        <v/>
      </c>
      <c r="C4528" s="24" t="n">
        <v>45839</v>
      </c>
      <c r="D4528" s="24" t="n">
        <v>45868</v>
      </c>
      <c r="E4528" s="25" t="n">
        <v>30</v>
      </c>
      <c r="F4528" s="319">
        <f>J4527</f>
        <v/>
      </c>
      <c r="G4528" s="319">
        <f>-PMT($D$4289/$D$4291,21,$F$4512,,0)</f>
        <v/>
      </c>
      <c r="H4528" s="319">
        <f>($D$4501/$D$4503*F4528)</f>
        <v/>
      </c>
      <c r="I4528" s="319">
        <f>G4528-H4528</f>
        <v/>
      </c>
      <c r="J4528" s="319">
        <f>F4528-I4528</f>
        <v/>
      </c>
      <c r="K4528" s="516" t="n"/>
      <c r="L4528" s="516" t="n"/>
    </row>
    <row r="4529">
      <c r="B4529" s="1">
        <f>+B4528+1</f>
        <v/>
      </c>
      <c r="C4529" s="24" t="n">
        <v>45870</v>
      </c>
      <c r="D4529" s="24" t="n">
        <v>45899</v>
      </c>
      <c r="E4529" s="25" t="n">
        <v>30</v>
      </c>
      <c r="F4529" s="319">
        <f>J4528</f>
        <v/>
      </c>
      <c r="G4529" s="319">
        <f>-PMT($D$4289/$D$4291,21,$F$4512,,0)</f>
        <v/>
      </c>
      <c r="H4529" s="319">
        <f>($D$4501/$D$4503*F4529)</f>
        <v/>
      </c>
      <c r="I4529" s="319">
        <f>G4529-H4529</f>
        <v/>
      </c>
      <c r="J4529" s="319">
        <f>F4529-I4529</f>
        <v/>
      </c>
      <c r="K4529" s="516" t="n"/>
      <c r="L4529" s="516" t="n"/>
    </row>
    <row r="4530">
      <c r="B4530" s="1">
        <f>+B4529+1</f>
        <v/>
      </c>
      <c r="C4530" s="24" t="n">
        <v>45901</v>
      </c>
      <c r="D4530" s="24" t="n">
        <v>45930</v>
      </c>
      <c r="E4530" s="25" t="n">
        <v>30</v>
      </c>
      <c r="F4530" s="319">
        <f>J4529</f>
        <v/>
      </c>
      <c r="G4530" s="319">
        <f>-PMT($D$4289/$D$4291,21,$F$4512,,0)</f>
        <v/>
      </c>
      <c r="H4530" s="319">
        <f>($D$4501/$D$4503*F4530)</f>
        <v/>
      </c>
      <c r="I4530" s="319">
        <f>G4530-H4530</f>
        <v/>
      </c>
      <c r="J4530" s="319">
        <f>F4530-I4530</f>
        <v/>
      </c>
      <c r="K4530" s="516" t="n"/>
      <c r="L4530" s="516" t="n"/>
    </row>
    <row r="4531">
      <c r="B4531" s="1">
        <f>+B4530+1</f>
        <v/>
      </c>
      <c r="C4531" s="24" t="n">
        <v>45931</v>
      </c>
      <c r="D4531" s="24" t="n">
        <v>45961</v>
      </c>
      <c r="E4531" s="25" t="n">
        <v>31</v>
      </c>
      <c r="F4531" s="319">
        <f>J4530</f>
        <v/>
      </c>
      <c r="G4531" s="319">
        <f>-PMT($D$4289/$D$4291,21,$F$4512,,0)</f>
        <v/>
      </c>
      <c r="H4531" s="319">
        <f>($D$4501/$D$4503*F4531)</f>
        <v/>
      </c>
      <c r="I4531" s="319">
        <f>G4531-H4531</f>
        <v/>
      </c>
      <c r="J4531" s="319">
        <f>F4531-I4531</f>
        <v/>
      </c>
      <c r="K4531" s="516" t="n"/>
      <c r="L4531" s="516" t="n"/>
    </row>
    <row r="4532">
      <c r="B4532" s="1">
        <f>+B4531+1</f>
        <v/>
      </c>
      <c r="C4532" s="24" t="n">
        <v>45962</v>
      </c>
      <c r="D4532" s="24" t="n">
        <v>45991</v>
      </c>
      <c r="E4532" s="25" t="n">
        <v>30</v>
      </c>
      <c r="F4532" s="319">
        <f>J4531</f>
        <v/>
      </c>
      <c r="G4532" s="319">
        <f>-PMT($D$4289/$D$4291,21,$F$4512,,0)</f>
        <v/>
      </c>
      <c r="H4532" s="319">
        <f>($D$4501/$D$4503*F4532)</f>
        <v/>
      </c>
      <c r="I4532" s="319">
        <f>G4532-H4532</f>
        <v/>
      </c>
      <c r="J4532" s="319">
        <f>F4532-I4532</f>
        <v/>
      </c>
    </row>
    <row r="4533">
      <c r="B4533" s="1">
        <f>+B4532+1</f>
        <v/>
      </c>
      <c r="C4533" s="24" t="n">
        <v>45992</v>
      </c>
      <c r="D4533" s="24" t="n">
        <v>46022</v>
      </c>
      <c r="E4533" s="25" t="n">
        <v>31</v>
      </c>
      <c r="F4533" s="319">
        <f>J4532</f>
        <v/>
      </c>
      <c r="G4533" s="319">
        <f>-PMT($D$4289/$D$4291,21,$F$4512,,0)</f>
        <v/>
      </c>
      <c r="H4533" s="319">
        <f>($D$4501/$D$4503*F4533)</f>
        <v/>
      </c>
      <c r="I4533" s="319">
        <f>G4533-H4533</f>
        <v/>
      </c>
      <c r="J4533" s="319">
        <f>F4533-I4533</f>
        <v/>
      </c>
    </row>
    <row r="4539">
      <c r="B4539" s="1" t="n"/>
      <c r="C4539" s="9" t="inlineStr">
        <is>
          <t xml:space="preserve">MMC Limited </t>
        </is>
      </c>
      <c r="D4539" s="319" t="n"/>
      <c r="E4539" s="319" t="n"/>
      <c r="F4539" s="319" t="n"/>
      <c r="G4539" s="319" t="n"/>
      <c r="H4539" s="319" t="n"/>
      <c r="I4539" s="319" t="n"/>
      <c r="J4539" s="319" t="n"/>
      <c r="K4539" s="319" t="n"/>
      <c r="L4539" s="319" t="n"/>
      <c r="R4539" s="514" t="inlineStr">
        <is>
          <t>E-Banker account (Dupleix)</t>
        </is>
      </c>
      <c r="S4539" s="495">
        <f>IFERROR(INDEX('Blocks'!$I$2:$I$101,MATCH(83,'Blocks'!$A$2:$A$101,0)),"")</f>
        <v/>
      </c>
    </row>
    <row r="4540">
      <c r="B4540" s="1" t="n"/>
      <c r="C4540" s="1" t="n"/>
      <c r="D4540" s="319" t="n"/>
      <c r="E4540" s="319" t="n"/>
      <c r="F4540" s="319" t="n"/>
      <c r="G4540" s="319" t="n"/>
      <c r="H4540" s="319" t="n"/>
      <c r="I4540" s="319" t="n"/>
      <c r="J4540" s="319" t="n"/>
      <c r="K4540" s="319" t="n"/>
      <c r="L4540" s="319" t="n"/>
      <c r="R4540" s="514" t="inlineStr">
        <is>
          <t>Facility (Loan Book)</t>
        </is>
      </c>
      <c r="S4540" s="495">
        <f>IFERROR(INDEX('Blocks'!$H$2:$H$101,MATCH(83,'Blocks'!$A$2:$A$101,0)),"")</f>
        <v/>
      </c>
    </row>
    <row r="4541">
      <c r="B4541" s="1" t="n"/>
      <c r="C4541" s="10" t="inlineStr">
        <is>
          <t>Principal (MK)</t>
        </is>
      </c>
      <c r="D4541" s="11" t="n">
        <v>144500000</v>
      </c>
      <c r="E4541" s="319" t="n"/>
      <c r="F4541" s="319" t="n"/>
      <c r="G4541" s="319" t="n"/>
      <c r="H4541" s="319" t="n"/>
      <c r="I4541" s="319" t="n"/>
      <c r="J4541" s="319" t="n"/>
      <c r="K4541" s="319" t="n"/>
      <c r="L4541" s="319" t="n"/>
      <c r="R4541" s="514" t="inlineStr">
        <is>
          <t>Take-on posting 31 Jul 2024</t>
        </is>
      </c>
      <c r="S4541" s="496">
        <f>IFERROR(INDEX('E-Banker master'!$N$2:$N$186,MATCH(S4539,'E-Banker master'!$A$2:$A$186,0)),"")</f>
        <v/>
      </c>
    </row>
    <row r="4542">
      <c r="B4542" s="1" t="n"/>
      <c r="C4542" s="13" t="inlineStr">
        <is>
          <t>Rate</t>
        </is>
      </c>
      <c r="D4542" s="14" t="n">
        <v>0.1</v>
      </c>
      <c r="E4542" s="257" t="n"/>
      <c r="F4542" s="319" t="n"/>
      <c r="G4542" s="319" t="n"/>
      <c r="H4542" s="319" t="n"/>
      <c r="I4542" s="319" t="n"/>
      <c r="J4542" s="319" t="n"/>
      <c r="K4542" s="319" t="n"/>
      <c r="L4542" s="319" t="n"/>
      <c r="R4542" s="514" t="inlineStr">
        <is>
          <t>E-Banker balance 31 Oct 2024</t>
        </is>
      </c>
      <c r="S4542" s="496">
        <f>IFERROR(INDEX('E-Banker master'!$P$2:$P$186,MATCH(S4539,'E-Banker master'!$A$2:$A$186,0)),"")</f>
        <v/>
      </c>
    </row>
    <row r="4543">
      <c r="B4543" s="1" t="n"/>
      <c r="C4543" s="13" t="inlineStr">
        <is>
          <t>n</t>
        </is>
      </c>
      <c r="D4543" s="16" t="n">
        <v>3</v>
      </c>
      <c r="E4543" s="1" t="n"/>
      <c r="F4543" s="319" t="n"/>
      <c r="G4543" s="319" t="n"/>
      <c r="H4543" s="319" t="n"/>
      <c r="I4543" s="319" t="n"/>
      <c r="J4543" s="319" t="n"/>
      <c r="K4543" s="1" t="n"/>
      <c r="L4543" s="1" t="n"/>
    </row>
    <row r="4544">
      <c r="B4544" s="1" t="n"/>
      <c r="C4544" s="13" t="inlineStr">
        <is>
          <t>Per</t>
        </is>
      </c>
      <c r="D4544" s="16" t="n">
        <v>12</v>
      </c>
      <c r="E4544" s="1" t="n"/>
      <c r="F4544" s="319" t="n"/>
      <c r="G4544" s="319" t="n"/>
      <c r="H4544" s="319" t="n"/>
      <c r="I4544" s="319" t="n"/>
      <c r="J4544" s="319" t="n"/>
      <c r="K4544" s="1" t="n"/>
      <c r="L4544" s="1" t="n"/>
    </row>
    <row r="4545">
      <c r="B4545" s="1" t="n"/>
      <c r="C4545" s="13" t="inlineStr">
        <is>
          <t>nPer</t>
        </is>
      </c>
      <c r="D4545" s="515" t="n">
        <v>36</v>
      </c>
      <c r="E4545" s="1" t="n"/>
      <c r="F4545" s="319" t="n"/>
      <c r="G4545" s="319" t="n"/>
      <c r="H4545" s="319" t="n"/>
      <c r="I4545" s="319" t="n"/>
      <c r="J4545" s="319" t="n"/>
      <c r="K4545" s="1" t="n"/>
      <c r="L4545" s="1" t="n"/>
    </row>
    <row r="4546">
      <c r="B4546" s="1" t="n"/>
      <c r="C4546" s="13" t="inlineStr">
        <is>
          <t>Days in a year</t>
        </is>
      </c>
      <c r="D4546" s="18" t="n">
        <v>365</v>
      </c>
      <c r="E4546" s="1" t="n"/>
      <c r="F4546" s="319" t="n"/>
      <c r="G4546" s="319" t="n"/>
      <c r="H4546" s="319" t="n"/>
      <c r="I4546" s="319" t="n"/>
      <c r="J4546" s="319" t="n"/>
      <c r="K4546" s="1" t="n"/>
      <c r="L4546" s="1" t="n"/>
    </row>
    <row r="4547">
      <c r="B4547" s="1" t="n"/>
      <c r="C4547" s="19" t="inlineStr">
        <is>
          <t>Pmt (MK)</t>
        </is>
      </c>
      <c r="D4547" s="534">
        <f>-PMT(D4542/D4544,D4545,D4541,0,0)</f>
        <v/>
      </c>
      <c r="E4547" s="319" t="n"/>
      <c r="F4547" s="319" t="n"/>
      <c r="G4547" s="319" t="n"/>
      <c r="H4547" s="319" t="n"/>
      <c r="I4547" s="319" t="n"/>
      <c r="J4547" s="319" t="n"/>
      <c r="K4547" s="1" t="n"/>
      <c r="L4547" s="1" t="n"/>
    </row>
    <row r="4548">
      <c r="B4548" s="1" t="n"/>
      <c r="C4548" s="1" t="n"/>
      <c r="D4548" s="319" t="n"/>
      <c r="E4548" s="319" t="n"/>
      <c r="F4548" s="319" t="n"/>
      <c r="G4548" s="319" t="n"/>
      <c r="H4548" s="319" t="n"/>
      <c r="I4548" s="319" t="n"/>
      <c r="J4548" s="319" t="n"/>
      <c r="K4548" s="1" t="n"/>
      <c r="L4548" s="1" t="n"/>
    </row>
    <row r="4549">
      <c r="B4549" s="1" t="n"/>
      <c r="C4549" s="21" t="inlineStr">
        <is>
          <t>Period Start</t>
        </is>
      </c>
      <c r="D4549" s="22" t="inlineStr">
        <is>
          <t>Period End</t>
        </is>
      </c>
      <c r="E4549" s="22" t="inlineStr">
        <is>
          <t>Days</t>
        </is>
      </c>
      <c r="F4549" s="294" t="inlineStr">
        <is>
          <t>Opening bal.</t>
        </is>
      </c>
      <c r="G4549" s="294" t="inlineStr">
        <is>
          <t>Pmt</t>
        </is>
      </c>
      <c r="H4549" s="294" t="inlineStr">
        <is>
          <t>Interest</t>
        </is>
      </c>
      <c r="I4549" s="294" t="inlineStr">
        <is>
          <t>Principal</t>
        </is>
      </c>
      <c r="J4549" s="294" t="inlineStr">
        <is>
          <t>Closing balance</t>
        </is>
      </c>
      <c r="K4549" s="23" t="inlineStr">
        <is>
          <t>Amount Repaid</t>
        </is>
      </c>
      <c r="L4549" s="23" t="inlineStr">
        <is>
          <t>Accumulated Arrears</t>
        </is>
      </c>
    </row>
    <row r="4550">
      <c r="B4550" s="1" t="n">
        <v>0</v>
      </c>
      <c r="C4550" s="24" t="n">
        <v>45317</v>
      </c>
      <c r="D4550" s="24" t="n">
        <v>45322</v>
      </c>
      <c r="E4550" s="318">
        <f>+D4550-C4550</f>
        <v/>
      </c>
      <c r="F4550" s="319">
        <f>D4541</f>
        <v/>
      </c>
      <c r="G4550" s="319" t="n"/>
      <c r="H4550" s="319">
        <f>($D$4542/$D$4544*F4550*E4550/31)</f>
        <v/>
      </c>
      <c r="I4550" s="319">
        <f>G4550-H4550</f>
        <v/>
      </c>
      <c r="J4550" s="319">
        <f>F4550-I4550</f>
        <v/>
      </c>
      <c r="L4550" s="148">
        <f>G4550</f>
        <v/>
      </c>
    </row>
    <row r="4551">
      <c r="B4551" s="1" t="n">
        <v>1</v>
      </c>
      <c r="C4551" s="24" t="n">
        <v>45323</v>
      </c>
      <c r="D4551" s="24" t="n">
        <v>45351</v>
      </c>
      <c r="E4551" s="25" t="n">
        <v>29</v>
      </c>
      <c r="F4551" s="319">
        <f>J4550</f>
        <v/>
      </c>
      <c r="G4551" s="319" t="n"/>
      <c r="H4551" s="319">
        <f>($D$4542/$D$4544*F4551)</f>
        <v/>
      </c>
      <c r="I4551" s="319">
        <f>G4551-H4551</f>
        <v/>
      </c>
      <c r="J4551" s="319">
        <f>F4551-I4551</f>
        <v/>
      </c>
      <c r="K4551" s="516" t="n"/>
      <c r="L4551" s="516">
        <f>L4550+G4551-K4551</f>
        <v/>
      </c>
    </row>
    <row r="4552">
      <c r="B4552" s="1" t="n">
        <v>2</v>
      </c>
      <c r="C4552" s="24" t="n">
        <v>45352</v>
      </c>
      <c r="D4552" s="24" t="n">
        <v>45382</v>
      </c>
      <c r="E4552" s="25" t="n">
        <v>31</v>
      </c>
      <c r="F4552" s="319">
        <f>J4551</f>
        <v/>
      </c>
      <c r="G4552" s="319" t="n"/>
      <c r="H4552" s="319">
        <f>($D$4542/$D$4544*F4552)</f>
        <v/>
      </c>
      <c r="I4552" s="319">
        <f>G4552-H4552</f>
        <v/>
      </c>
      <c r="J4552" s="319">
        <f>F4552-I4552</f>
        <v/>
      </c>
      <c r="K4552" s="516" t="n"/>
      <c r="L4552" s="516" t="n"/>
    </row>
    <row r="4553">
      <c r="B4553" s="1">
        <f>+B4552+1</f>
        <v/>
      </c>
      <c r="C4553" s="24" t="n">
        <v>45383</v>
      </c>
      <c r="D4553" s="24" t="n">
        <v>45412</v>
      </c>
      <c r="E4553" s="25" t="n">
        <v>30</v>
      </c>
      <c r="F4553" s="319">
        <f>J4552</f>
        <v/>
      </c>
      <c r="G4553" s="319" t="n"/>
      <c r="H4553" s="319">
        <f>($D$4542/$D$4544*F4553)</f>
        <v/>
      </c>
      <c r="I4553" s="319">
        <f>G4553-H4553</f>
        <v/>
      </c>
      <c r="J4553" s="319">
        <f>F4553-I4553</f>
        <v/>
      </c>
      <c r="K4553" s="516" t="n"/>
      <c r="L4553" s="516" t="n"/>
    </row>
    <row r="4554">
      <c r="B4554" s="1">
        <f>+B4553+1</f>
        <v/>
      </c>
      <c r="C4554" s="24" t="n">
        <v>45413</v>
      </c>
      <c r="D4554" s="24" t="n">
        <v>45443</v>
      </c>
      <c r="E4554" s="25" t="n">
        <v>31</v>
      </c>
      <c r="F4554" s="319">
        <f>J4553</f>
        <v/>
      </c>
      <c r="G4554" s="319" t="n"/>
      <c r="H4554" s="319">
        <f>($D$4542/$D$4544*F4554)</f>
        <v/>
      </c>
      <c r="I4554" s="319">
        <f>G4554-H4554</f>
        <v/>
      </c>
      <c r="J4554" s="319">
        <f>F4554-I4554</f>
        <v/>
      </c>
      <c r="K4554" s="516" t="n"/>
      <c r="L4554" s="519" t="n"/>
    </row>
    <row r="4555">
      <c r="B4555" s="1">
        <f>+B4554+1</f>
        <v/>
      </c>
      <c r="C4555" s="24" t="n">
        <v>45444</v>
      </c>
      <c r="D4555" s="24" t="n">
        <v>45473</v>
      </c>
      <c r="E4555" s="25" t="n">
        <v>30</v>
      </c>
      <c r="F4555" s="319">
        <f>J4554</f>
        <v/>
      </c>
      <c r="G4555" s="319" t="n"/>
      <c r="H4555" s="319">
        <f>($D$4542/$D$4544*F4555)</f>
        <v/>
      </c>
      <c r="I4555" s="319">
        <f>G4555-H4555</f>
        <v/>
      </c>
      <c r="J4555" s="319">
        <f>F4555-I4555</f>
        <v/>
      </c>
      <c r="K4555" s="516" t="n"/>
      <c r="L4555" s="516" t="n"/>
    </row>
    <row r="4556">
      <c r="B4556" s="1">
        <f>+B4555+1</f>
        <v/>
      </c>
      <c r="C4556" s="24" t="n">
        <v>45474</v>
      </c>
      <c r="D4556" s="24" t="n">
        <v>45504</v>
      </c>
      <c r="E4556" s="25" t="n">
        <v>31</v>
      </c>
      <c r="F4556" s="319">
        <f>J4555</f>
        <v/>
      </c>
      <c r="G4556" s="319" t="n"/>
      <c r="H4556" s="319">
        <f>($D$4542/$D$4544*F4556)</f>
        <v/>
      </c>
      <c r="I4556" s="319">
        <f>G4556-H4556</f>
        <v/>
      </c>
      <c r="J4556" s="319">
        <f>F4556-I4556</f>
        <v/>
      </c>
      <c r="K4556" s="516" t="n"/>
      <c r="L4556" s="516" t="n"/>
    </row>
    <row r="4557">
      <c r="B4557" s="1">
        <f>+B4556+1</f>
        <v/>
      </c>
      <c r="C4557" s="24" t="n">
        <v>45505</v>
      </c>
      <c r="D4557" s="24" t="n">
        <v>45535</v>
      </c>
      <c r="E4557" s="25" t="n">
        <v>31</v>
      </c>
      <c r="F4557" s="319">
        <f>J4556</f>
        <v/>
      </c>
      <c r="G4557" s="319" t="n"/>
      <c r="H4557" s="319">
        <f>($D$4542/$D$4544*F4557)</f>
        <v/>
      </c>
      <c r="I4557" s="319">
        <f>G4557-H4557</f>
        <v/>
      </c>
      <c r="J4557" s="319">
        <f>F4557-I4557</f>
        <v/>
      </c>
      <c r="K4557" s="516" t="n"/>
      <c r="L4557" s="519" t="n"/>
    </row>
    <row r="4558">
      <c r="B4558" s="1">
        <f>+B4557+1</f>
        <v/>
      </c>
      <c r="C4558" s="24" t="n">
        <v>45536</v>
      </c>
      <c r="D4558" s="24" t="n">
        <v>45565</v>
      </c>
      <c r="E4558" s="25" t="n">
        <v>30</v>
      </c>
      <c r="F4558" s="319">
        <f>J4557</f>
        <v/>
      </c>
      <c r="G4558" s="319" t="n"/>
      <c r="H4558" s="319">
        <f>($D$4542/$D$4544*F4558)</f>
        <v/>
      </c>
      <c r="I4558" s="319">
        <f>G4558-H4558</f>
        <v/>
      </c>
      <c r="J4558" s="319">
        <f>F4558-I4558</f>
        <v/>
      </c>
      <c r="K4558" s="516" t="n"/>
      <c r="L4558" s="516" t="n"/>
    </row>
    <row r="4559">
      <c r="B4559" s="1">
        <f>+B4558+1</f>
        <v/>
      </c>
      <c r="C4559" s="24" t="n">
        <v>45566</v>
      </c>
      <c r="D4559" s="24" t="n">
        <v>45596</v>
      </c>
      <c r="E4559" s="25" t="n">
        <v>31</v>
      </c>
      <c r="F4559" s="319">
        <f>J4558</f>
        <v/>
      </c>
      <c r="G4559" s="319" t="n"/>
      <c r="H4559" s="319">
        <f>($D$4542/$D$4544*F4559)</f>
        <v/>
      </c>
      <c r="I4559" s="319">
        <f>G4559-H4559</f>
        <v/>
      </c>
      <c r="J4559" s="319">
        <f>F4559-I4559</f>
        <v/>
      </c>
      <c r="K4559" s="516" t="n"/>
      <c r="L4559" s="516" t="n"/>
    </row>
    <row r="4560">
      <c r="B4560" s="1">
        <f>+B4559+1</f>
        <v/>
      </c>
      <c r="C4560" s="24" t="n">
        <v>45597</v>
      </c>
      <c r="D4560" s="24" t="n">
        <v>45626</v>
      </c>
      <c r="E4560" s="25" t="n">
        <v>30</v>
      </c>
      <c r="F4560" s="319">
        <f>J4559</f>
        <v/>
      </c>
      <c r="G4560" s="319" t="n"/>
      <c r="H4560" s="319">
        <f>($D$4542/$D$4544*F4560)</f>
        <v/>
      </c>
      <c r="I4560" s="319">
        <f>G4560-H4560</f>
        <v/>
      </c>
      <c r="J4560" s="319">
        <f>F4560-I4560</f>
        <v/>
      </c>
      <c r="K4560" s="516" t="n"/>
      <c r="L4560" s="516" t="n"/>
    </row>
    <row r="4561">
      <c r="B4561" s="1">
        <f>+B4560+1</f>
        <v/>
      </c>
      <c r="C4561" s="24" t="n">
        <v>45627</v>
      </c>
      <c r="D4561" s="24" t="n">
        <v>45657</v>
      </c>
      <c r="E4561" s="25" t="n">
        <v>31</v>
      </c>
      <c r="F4561" s="319">
        <f>J4560</f>
        <v/>
      </c>
      <c r="G4561" s="319" t="n"/>
      <c r="H4561" s="319">
        <f>($D$4542/$D$4544*F4561)</f>
        <v/>
      </c>
      <c r="I4561" s="319">
        <f>G4561-H4561</f>
        <v/>
      </c>
      <c r="J4561" s="319">
        <f>F4561-I4561</f>
        <v/>
      </c>
      <c r="K4561" s="516" t="n"/>
      <c r="L4561" s="516" t="n"/>
    </row>
    <row r="4562">
      <c r="B4562" s="1">
        <f>+B4561+1</f>
        <v/>
      </c>
      <c r="C4562" s="24" t="n">
        <v>45658</v>
      </c>
      <c r="D4562" s="24" t="n">
        <v>45688</v>
      </c>
      <c r="E4562" s="25" t="n">
        <v>31</v>
      </c>
      <c r="F4562" s="319">
        <f>J4561</f>
        <v/>
      </c>
      <c r="G4562" s="319" t="n"/>
      <c r="H4562" s="319">
        <f>($D$4542/$D$4544*F4562)</f>
        <v/>
      </c>
      <c r="I4562" s="319">
        <f>G4562-H4562</f>
        <v/>
      </c>
      <c r="J4562" s="319">
        <f>F4562-I4562</f>
        <v/>
      </c>
      <c r="K4562" s="516" t="n"/>
      <c r="L4562" s="516" t="n"/>
    </row>
    <row r="4563">
      <c r="B4563" s="1">
        <f>+B4562+1</f>
        <v/>
      </c>
      <c r="C4563" s="24" t="n">
        <v>45689</v>
      </c>
      <c r="D4563" s="24" t="n">
        <v>45716</v>
      </c>
      <c r="E4563" s="25" t="n">
        <v>28</v>
      </c>
      <c r="F4563" s="319">
        <f>J4562</f>
        <v/>
      </c>
      <c r="G4563" s="319" t="n"/>
      <c r="H4563" s="319">
        <f>($D$4542/$D$4544*F4563)</f>
        <v/>
      </c>
      <c r="I4563" s="319">
        <f>G4563-H4563</f>
        <v/>
      </c>
      <c r="J4563" s="319">
        <f>F4563-I4563</f>
        <v/>
      </c>
      <c r="K4563" s="516" t="n"/>
      <c r="L4563" s="516" t="n"/>
    </row>
    <row r="4564">
      <c r="B4564" s="1">
        <f>+B4563+1</f>
        <v/>
      </c>
      <c r="C4564" s="24" t="n">
        <v>45717</v>
      </c>
      <c r="D4564" s="24" t="n">
        <v>45747</v>
      </c>
      <c r="E4564" s="25" t="n">
        <v>31</v>
      </c>
      <c r="F4564" s="319">
        <f>J4563</f>
        <v/>
      </c>
      <c r="G4564" s="319" t="n"/>
      <c r="H4564" s="319">
        <f>($D$4542/$D$4544*F4564)</f>
        <v/>
      </c>
      <c r="I4564" s="319">
        <f>G4564-H4564</f>
        <v/>
      </c>
      <c r="J4564" s="319">
        <f>F4564-I4564</f>
        <v/>
      </c>
      <c r="K4564" s="516" t="n"/>
      <c r="L4564" s="516" t="n"/>
    </row>
    <row r="4565">
      <c r="B4565" s="1">
        <f>+B4564+1</f>
        <v/>
      </c>
      <c r="C4565" s="24" t="n">
        <v>45748</v>
      </c>
      <c r="D4565" s="24" t="n">
        <v>45777</v>
      </c>
      <c r="E4565" s="25" t="n">
        <v>30</v>
      </c>
      <c r="F4565" s="319">
        <f>J4564</f>
        <v/>
      </c>
      <c r="G4565" s="319" t="n"/>
      <c r="H4565" s="319">
        <f>($D$4542/$D$4544*F4565)</f>
        <v/>
      </c>
      <c r="I4565" s="319">
        <f>G4565-H4565</f>
        <v/>
      </c>
      <c r="J4565" s="319">
        <f>F4565-I4565</f>
        <v/>
      </c>
      <c r="K4565" s="516" t="n"/>
      <c r="L4565" s="516" t="n"/>
    </row>
    <row r="4566">
      <c r="B4566" s="1">
        <f>+B4565+1</f>
        <v/>
      </c>
      <c r="C4566" s="24" t="n">
        <v>45778</v>
      </c>
      <c r="D4566" s="24" t="n">
        <v>45808</v>
      </c>
      <c r="E4566" s="25" t="n">
        <v>31</v>
      </c>
      <c r="F4566" s="319">
        <f>J4565</f>
        <v/>
      </c>
      <c r="G4566" s="319" t="n"/>
      <c r="H4566" s="319">
        <f>($D$4542/$D$4544*F4566)</f>
        <v/>
      </c>
      <c r="I4566" s="319">
        <f>G4566-H4566</f>
        <v/>
      </c>
      <c r="J4566" s="319">
        <f>F4566-I4566</f>
        <v/>
      </c>
      <c r="K4566" s="516" t="n"/>
      <c r="L4566" s="516" t="n"/>
    </row>
    <row r="4567">
      <c r="B4567" s="1">
        <f>+B4566+1</f>
        <v/>
      </c>
      <c r="C4567" s="24" t="n">
        <v>45809</v>
      </c>
      <c r="D4567" s="24" t="n">
        <v>45838</v>
      </c>
      <c r="E4567" s="25" t="n">
        <v>30</v>
      </c>
      <c r="F4567" s="319">
        <f>J4566</f>
        <v/>
      </c>
      <c r="G4567" s="319" t="n"/>
      <c r="H4567" s="319">
        <f>($D$4542/$D$4544*F4567)</f>
        <v/>
      </c>
      <c r="I4567" s="319">
        <f>G4567-H4567</f>
        <v/>
      </c>
      <c r="J4567" s="319">
        <f>F4567-I4567</f>
        <v/>
      </c>
      <c r="K4567" s="516" t="n"/>
      <c r="L4567" s="516" t="n"/>
    </row>
    <row r="4568">
      <c r="B4568" s="1">
        <f>+B4567+1</f>
        <v/>
      </c>
      <c r="C4568" s="24" t="n">
        <v>45839</v>
      </c>
      <c r="D4568" s="24" t="n">
        <v>45868</v>
      </c>
      <c r="E4568" s="25" t="n">
        <v>30</v>
      </c>
      <c r="F4568" s="319">
        <f>J4567</f>
        <v/>
      </c>
      <c r="G4568" s="319" t="n"/>
      <c r="H4568" s="319">
        <f>($D$4542/$D$4544*F4568)</f>
        <v/>
      </c>
      <c r="I4568" s="319">
        <f>G4568-H4568</f>
        <v/>
      </c>
      <c r="J4568" s="319">
        <f>F4568-I4568</f>
        <v/>
      </c>
      <c r="K4568" s="516" t="n"/>
      <c r="L4568" s="516" t="n"/>
    </row>
    <row r="4569">
      <c r="B4569" s="1">
        <f>+B4568+1</f>
        <v/>
      </c>
      <c r="C4569" s="24" t="n">
        <v>45870</v>
      </c>
      <c r="D4569" s="24" t="n">
        <v>45899</v>
      </c>
      <c r="E4569" s="25" t="n">
        <v>30</v>
      </c>
      <c r="F4569" s="319">
        <f>J4568</f>
        <v/>
      </c>
      <c r="G4569" s="319">
        <f>-PMT($D$4542/$D$4544,18,$F$4569,,0)</f>
        <v/>
      </c>
      <c r="H4569" s="319">
        <f>($D$4542/$D$4544*F4569)</f>
        <v/>
      </c>
      <c r="I4569" s="319">
        <f>G4569-H4569</f>
        <v/>
      </c>
      <c r="J4569" s="319">
        <f>F4569-I4569</f>
        <v/>
      </c>
      <c r="K4569" s="516" t="n"/>
      <c r="L4569" s="516" t="n"/>
    </row>
    <row r="4570">
      <c r="B4570" s="1">
        <f>+B4569+1</f>
        <v/>
      </c>
      <c r="C4570" s="24" t="n">
        <v>45901</v>
      </c>
      <c r="D4570" s="24" t="n">
        <v>45930</v>
      </c>
      <c r="E4570" s="25" t="n">
        <v>30</v>
      </c>
      <c r="F4570" s="319">
        <f>J4569</f>
        <v/>
      </c>
      <c r="G4570" s="319">
        <f>-PMT($D$4542/$D$4544,18,$F$4569,,0)</f>
        <v/>
      </c>
      <c r="H4570" s="319">
        <f>($D$4542/$D$4544*F4570)</f>
        <v/>
      </c>
      <c r="I4570" s="319">
        <f>G4570-H4570</f>
        <v/>
      </c>
      <c r="J4570" s="319">
        <f>F4570-I4570</f>
        <v/>
      </c>
      <c r="K4570" s="516" t="n"/>
      <c r="L4570" s="516" t="n"/>
    </row>
    <row r="4571">
      <c r="B4571" s="1">
        <f>+B4570+1</f>
        <v/>
      </c>
      <c r="C4571" s="24" t="n">
        <v>45931</v>
      </c>
      <c r="D4571" s="24" t="n">
        <v>45961</v>
      </c>
      <c r="E4571" s="25" t="n">
        <v>31</v>
      </c>
      <c r="F4571" s="319">
        <f>J4570</f>
        <v/>
      </c>
      <c r="G4571" s="319">
        <f>-PMT($D$4542/$D$4544,18,$F$4569,,0)</f>
        <v/>
      </c>
      <c r="H4571" s="319">
        <f>($D$4542/$D$4544*F4571)</f>
        <v/>
      </c>
      <c r="I4571" s="319">
        <f>G4571-H4571</f>
        <v/>
      </c>
      <c r="J4571" s="319">
        <f>F4571-I4571</f>
        <v/>
      </c>
      <c r="K4571" s="516" t="n"/>
      <c r="L4571" s="516" t="n"/>
    </row>
    <row r="4572">
      <c r="B4572" s="1">
        <f>+B4571+1</f>
        <v/>
      </c>
      <c r="C4572" s="24" t="n">
        <v>45962</v>
      </c>
      <c r="D4572" s="24" t="n">
        <v>45991</v>
      </c>
      <c r="E4572" s="25" t="n">
        <v>30</v>
      </c>
      <c r="F4572" s="319">
        <f>J4571</f>
        <v/>
      </c>
      <c r="G4572" s="319">
        <f>-PMT($D$4542/$D$4544,18,$F$4569,,0)</f>
        <v/>
      </c>
      <c r="H4572" s="319">
        <f>($D$4542/$D$4544*F4572)</f>
        <v/>
      </c>
      <c r="I4572" s="319">
        <f>G4572-H4572</f>
        <v/>
      </c>
      <c r="J4572" s="319">
        <f>F4572-I4572</f>
        <v/>
      </c>
      <c r="K4572" s="516" t="n"/>
      <c r="L4572" s="516" t="n"/>
    </row>
    <row r="4573">
      <c r="B4573" s="1">
        <f>+B4572+1</f>
        <v/>
      </c>
      <c r="C4573" s="24" t="n">
        <v>45992</v>
      </c>
      <c r="D4573" s="24" t="n">
        <v>46022</v>
      </c>
      <c r="E4573" s="25" t="n">
        <v>31</v>
      </c>
      <c r="F4573" s="319">
        <f>J4572</f>
        <v/>
      </c>
      <c r="G4573" s="319">
        <f>-PMT($D$4542/$D$4544,18,$F$4569,,0)</f>
        <v/>
      </c>
      <c r="H4573" s="319">
        <f>($D$4542/$D$4544*F4573)</f>
        <v/>
      </c>
      <c r="I4573" s="319">
        <f>G4573-H4573</f>
        <v/>
      </c>
      <c r="J4573" s="319">
        <f>F4573-I4573</f>
        <v/>
      </c>
    </row>
    <row r="4574">
      <c r="B4574" s="1">
        <f>+B4573+1</f>
        <v/>
      </c>
      <c r="C4574" s="24" t="n">
        <v>46023</v>
      </c>
      <c r="D4574" s="24" t="n">
        <v>46053</v>
      </c>
      <c r="E4574" s="25" t="n">
        <v>31</v>
      </c>
      <c r="F4574" s="319">
        <f>J4573</f>
        <v/>
      </c>
      <c r="G4574" s="319">
        <f>-PMT($D$4542/$D$4544,18,$F$4569,,0)</f>
        <v/>
      </c>
      <c r="H4574" s="319">
        <f>($D$4542/$D$4544*F4574)</f>
        <v/>
      </c>
      <c r="I4574" s="319">
        <f>G4574-H4574</f>
        <v/>
      </c>
      <c r="J4574" s="319">
        <f>F4574-I4574</f>
        <v/>
      </c>
    </row>
    <row r="4575">
      <c r="B4575" s="1">
        <f>+B4574+1</f>
        <v/>
      </c>
      <c r="C4575" s="24" t="n">
        <v>46054</v>
      </c>
      <c r="D4575" s="24" t="n">
        <v>46081</v>
      </c>
      <c r="E4575" s="25" t="n">
        <v>28</v>
      </c>
      <c r="F4575" s="319">
        <f>J4574</f>
        <v/>
      </c>
      <c r="G4575" s="319">
        <f>-PMT($D$4542/$D$4544,18,$F$4569,,0)</f>
        <v/>
      </c>
      <c r="H4575" s="319">
        <f>($D$4542/$D$4544*F4575)</f>
        <v/>
      </c>
      <c r="I4575" s="319">
        <f>G4575-H4575</f>
        <v/>
      </c>
      <c r="J4575" s="319">
        <f>F4575-I4575</f>
        <v/>
      </c>
    </row>
    <row r="4576">
      <c r="B4576" s="1">
        <f>+B4575+1</f>
        <v/>
      </c>
      <c r="C4576" s="24" t="n">
        <v>46082</v>
      </c>
      <c r="D4576" s="24" t="n">
        <v>46112</v>
      </c>
      <c r="E4576" s="25" t="n">
        <v>31</v>
      </c>
      <c r="F4576" s="319">
        <f>J4575</f>
        <v/>
      </c>
      <c r="G4576" s="319">
        <f>-PMT($D$4542/$D$4544,18,$F$4569,,0)</f>
        <v/>
      </c>
      <c r="H4576" s="319">
        <f>($D$4542/$D$4544*F4576)</f>
        <v/>
      </c>
      <c r="I4576" s="319">
        <f>G4576-H4576</f>
        <v/>
      </c>
      <c r="J4576" s="319">
        <f>F4576-I4576</f>
        <v/>
      </c>
    </row>
    <row r="4577">
      <c r="B4577" s="1">
        <f>+B4576+1</f>
        <v/>
      </c>
      <c r="C4577" s="24" t="n">
        <v>46113</v>
      </c>
      <c r="D4577" s="24" t="n">
        <v>46142</v>
      </c>
      <c r="E4577" s="25" t="n">
        <v>30</v>
      </c>
      <c r="F4577" s="319">
        <f>J4576</f>
        <v/>
      </c>
      <c r="G4577" s="319">
        <f>-PMT($D$4542/$D$4544,18,$F$4569,,0)</f>
        <v/>
      </c>
      <c r="H4577" s="319">
        <f>($D$4542/$D$4544*F4577)</f>
        <v/>
      </c>
      <c r="I4577" s="319">
        <f>G4577-H4577</f>
        <v/>
      </c>
      <c r="J4577" s="319">
        <f>F4577-I4577</f>
        <v/>
      </c>
    </row>
    <row r="4578">
      <c r="B4578" s="1">
        <f>+B4577+1</f>
        <v/>
      </c>
      <c r="C4578" s="24" t="n">
        <v>46143</v>
      </c>
      <c r="D4578" s="24" t="n">
        <v>46173</v>
      </c>
      <c r="E4578" s="25" t="n">
        <v>31</v>
      </c>
      <c r="F4578" s="319">
        <f>J4577</f>
        <v/>
      </c>
      <c r="G4578" s="319">
        <f>-PMT($D$4542/$D$4544,18,$F$4569,,0)</f>
        <v/>
      </c>
      <c r="H4578" s="319">
        <f>($D$4542/$D$4544*F4578)</f>
        <v/>
      </c>
      <c r="I4578" s="319">
        <f>G4578-H4578</f>
        <v/>
      </c>
      <c r="J4578" s="319">
        <f>F4578-I4578</f>
        <v/>
      </c>
    </row>
    <row r="4579">
      <c r="B4579" s="1">
        <f>+B4578+1</f>
        <v/>
      </c>
      <c r="C4579" s="24" t="n">
        <v>46174</v>
      </c>
      <c r="D4579" s="24" t="n">
        <v>46203</v>
      </c>
      <c r="E4579" s="25" t="n">
        <v>30</v>
      </c>
      <c r="F4579" s="319">
        <f>J4578</f>
        <v/>
      </c>
      <c r="G4579" s="319">
        <f>-PMT($D$4542/$D$4544,18,$F$4569,,0)</f>
        <v/>
      </c>
      <c r="H4579" s="319">
        <f>($D$4542/$D$4544*F4579)</f>
        <v/>
      </c>
      <c r="I4579" s="319">
        <f>G4579-H4579</f>
        <v/>
      </c>
      <c r="J4579" s="319">
        <f>F4579-I4579</f>
        <v/>
      </c>
    </row>
    <row r="4580">
      <c r="B4580" s="1">
        <f>+B4579+1</f>
        <v/>
      </c>
      <c r="C4580" s="24" t="n">
        <v>46204</v>
      </c>
      <c r="D4580" s="24" t="n">
        <v>46234</v>
      </c>
      <c r="E4580" s="25" t="n">
        <v>31</v>
      </c>
      <c r="F4580" s="319">
        <f>J4579</f>
        <v/>
      </c>
      <c r="G4580" s="319">
        <f>-PMT($D$4542/$D$4544,18,$F$4569,,0)</f>
        <v/>
      </c>
      <c r="H4580" s="319">
        <f>($D$4542/$D$4544*F4580)</f>
        <v/>
      </c>
      <c r="I4580" s="319">
        <f>G4580-H4580</f>
        <v/>
      </c>
      <c r="J4580" s="319">
        <f>F4580-I4580</f>
        <v/>
      </c>
    </row>
    <row r="4581">
      <c r="B4581" s="1">
        <f>+B4580+1</f>
        <v/>
      </c>
      <c r="C4581" s="24" t="n">
        <v>46235</v>
      </c>
      <c r="D4581" s="24" t="n">
        <v>46265</v>
      </c>
      <c r="E4581" s="25" t="n">
        <v>31</v>
      </c>
      <c r="F4581" s="319">
        <f>J4580</f>
        <v/>
      </c>
      <c r="G4581" s="319">
        <f>-PMT($D$4542/$D$4544,18,$F$4569,,0)</f>
        <v/>
      </c>
      <c r="H4581" s="319">
        <f>($D$4542/$D$4544*F4581)</f>
        <v/>
      </c>
      <c r="I4581" s="319">
        <f>G4581-H4581</f>
        <v/>
      </c>
      <c r="J4581" s="319">
        <f>F4581-I4581</f>
        <v/>
      </c>
    </row>
    <row r="4582">
      <c r="B4582" s="1">
        <f>+B4581+1</f>
        <v/>
      </c>
      <c r="C4582" s="24" t="n">
        <v>46266</v>
      </c>
      <c r="D4582" s="24" t="n">
        <v>46295</v>
      </c>
      <c r="E4582" s="25" t="n">
        <v>30</v>
      </c>
      <c r="F4582" s="319">
        <f>J4581</f>
        <v/>
      </c>
      <c r="G4582" s="319">
        <f>-PMT($D$4542/$D$4544,18,$F$4569,,0)</f>
        <v/>
      </c>
      <c r="H4582" s="319">
        <f>($D$4542/$D$4544*F4582)</f>
        <v/>
      </c>
      <c r="I4582" s="319">
        <f>G4582-H4582</f>
        <v/>
      </c>
      <c r="J4582" s="319">
        <f>F4582-I4582</f>
        <v/>
      </c>
    </row>
    <row r="4583">
      <c r="B4583" s="1">
        <f>+B4582+1</f>
        <v/>
      </c>
      <c r="C4583" s="24" t="n">
        <v>46296</v>
      </c>
      <c r="D4583" s="24" t="n">
        <v>46326</v>
      </c>
      <c r="E4583" s="25" t="n">
        <v>31</v>
      </c>
      <c r="F4583" s="319">
        <f>J4582</f>
        <v/>
      </c>
      <c r="G4583" s="319">
        <f>-PMT($D$4542/$D$4544,18,$F$4569,,0)</f>
        <v/>
      </c>
      <c r="H4583" s="319">
        <f>($D$4542/$D$4544*F4583)</f>
        <v/>
      </c>
      <c r="I4583" s="319">
        <f>G4583-H4583</f>
        <v/>
      </c>
      <c r="J4583" s="319">
        <f>F4583-I4583</f>
        <v/>
      </c>
    </row>
    <row r="4584">
      <c r="B4584" s="1">
        <f>+B4583+1</f>
        <v/>
      </c>
      <c r="C4584" s="24" t="n">
        <v>46327</v>
      </c>
      <c r="D4584" s="24" t="n">
        <v>46356</v>
      </c>
      <c r="E4584" s="25" t="n">
        <v>30</v>
      </c>
      <c r="F4584" s="319">
        <f>J4583</f>
        <v/>
      </c>
      <c r="G4584" s="319">
        <f>-PMT($D$4542/$D$4544,18,$F$4569,,0)</f>
        <v/>
      </c>
      <c r="H4584" s="319">
        <f>($D$4542/$D$4544*F4584)</f>
        <v/>
      </c>
      <c r="I4584" s="319">
        <f>G4584-H4584</f>
        <v/>
      </c>
      <c r="J4584" s="319">
        <f>F4584-I4584</f>
        <v/>
      </c>
    </row>
    <row r="4585">
      <c r="B4585" s="1">
        <f>+B4584+1</f>
        <v/>
      </c>
      <c r="C4585" s="24" t="n">
        <v>46357</v>
      </c>
      <c r="D4585" s="24" t="n">
        <v>46387</v>
      </c>
      <c r="E4585" s="25" t="n">
        <v>31</v>
      </c>
      <c r="F4585" s="319">
        <f>J4584</f>
        <v/>
      </c>
      <c r="G4585" s="319">
        <f>-PMT($D$4542/$D$4544,18,$F$4569,,0)</f>
        <v/>
      </c>
      <c r="H4585" s="319">
        <f>($D$4542/$D$4544*F4585)</f>
        <v/>
      </c>
      <c r="I4585" s="319">
        <f>G4585-H4585</f>
        <v/>
      </c>
      <c r="J4585" s="319">
        <f>F4585-I4585</f>
        <v/>
      </c>
    </row>
    <row r="4586">
      <c r="B4586" s="1">
        <f>+B4585+1</f>
        <v/>
      </c>
      <c r="C4586" s="24" t="n">
        <v>46388</v>
      </c>
      <c r="D4586" s="24" t="n">
        <v>46418</v>
      </c>
      <c r="E4586" s="25" t="n">
        <v>31</v>
      </c>
      <c r="F4586" s="319">
        <f>J4585</f>
        <v/>
      </c>
      <c r="G4586" s="319">
        <f>-PMT($D$4542/$D$4544,18,$F$4569,,0)</f>
        <v/>
      </c>
      <c r="H4586" s="319">
        <f>($D$4542/$D$4544*F4586)</f>
        <v/>
      </c>
      <c r="I4586" s="319">
        <f>G4586-H4586</f>
        <v/>
      </c>
      <c r="J4586" s="319">
        <f>F4586-I4586</f>
        <v/>
      </c>
    </row>
    <row r="4591">
      <c r="B4591" s="1" t="n"/>
      <c r="C4591" s="9" t="inlineStr">
        <is>
          <t>Chambaika Milling Company</t>
        </is>
      </c>
      <c r="D4591" s="319" t="n"/>
      <c r="E4591" s="319" t="n"/>
      <c r="F4591" s="319" t="n"/>
      <c r="G4591" s="319" t="n"/>
      <c r="H4591" s="319" t="n"/>
      <c r="I4591" s="319" t="n"/>
      <c r="J4591" s="319" t="n"/>
      <c r="K4591" s="319" t="n"/>
      <c r="L4591" s="319" t="n"/>
      <c r="R4591" s="514" t="inlineStr">
        <is>
          <t>E-Banker account (Dupleix)</t>
        </is>
      </c>
      <c r="S4591" s="495">
        <f>IFERROR(INDEX('Blocks'!$I$2:$I$101,MATCH(84,'Blocks'!$A$2:$A$101,0)),"")</f>
        <v/>
      </c>
    </row>
    <row r="4592">
      <c r="B4592" s="1" t="n"/>
      <c r="C4592" s="1" t="n"/>
      <c r="D4592" s="319" t="n"/>
      <c r="E4592" s="319" t="n"/>
      <c r="F4592" s="319" t="n"/>
      <c r="G4592" s="319" t="n"/>
      <c r="H4592" s="319" t="n"/>
      <c r="I4592" s="319" t="n"/>
      <c r="J4592" s="319" t="n"/>
      <c r="K4592" s="319" t="n"/>
      <c r="L4592" s="319" t="n"/>
      <c r="R4592" s="514" t="inlineStr">
        <is>
          <t>Facility (Loan Book)</t>
        </is>
      </c>
      <c r="S4592" s="495">
        <f>IFERROR(INDEX('Blocks'!$H$2:$H$101,MATCH(84,'Blocks'!$A$2:$A$101,0)),"")</f>
        <v/>
      </c>
    </row>
    <row r="4593">
      <c r="B4593" s="1" t="n"/>
      <c r="C4593" s="10" t="inlineStr">
        <is>
          <t>Principal (MK)</t>
        </is>
      </c>
      <c r="D4593" s="11" t="n">
        <v>350660000</v>
      </c>
      <c r="E4593" s="319" t="n"/>
      <c r="F4593" s="319" t="n"/>
      <c r="G4593" s="319" t="n"/>
      <c r="H4593" s="319" t="n"/>
      <c r="I4593" s="319" t="n"/>
      <c r="J4593" s="319" t="n"/>
      <c r="K4593" s="319" t="n"/>
      <c r="L4593" s="319" t="n"/>
      <c r="R4593" s="514" t="inlineStr">
        <is>
          <t>Take-on posting 31 Jul 2024</t>
        </is>
      </c>
      <c r="S4593" s="496">
        <f>IFERROR(INDEX('E-Banker master'!$N$2:$N$186,MATCH(S4591,'E-Banker master'!$A$2:$A$186,0)),"")</f>
        <v/>
      </c>
    </row>
    <row r="4594">
      <c r="B4594" s="1" t="n"/>
      <c r="C4594" s="13" t="inlineStr">
        <is>
          <t>Rate</t>
        </is>
      </c>
      <c r="D4594" s="14" t="n">
        <v>0.1</v>
      </c>
      <c r="E4594" s="257" t="n"/>
      <c r="F4594" s="319" t="n"/>
      <c r="G4594" s="319" t="n"/>
      <c r="H4594" s="319" t="n"/>
      <c r="I4594" s="319" t="n"/>
      <c r="J4594" s="319" t="n"/>
      <c r="K4594" s="319" t="n"/>
      <c r="L4594" s="319" t="n"/>
      <c r="R4594" s="514" t="inlineStr">
        <is>
          <t>E-Banker balance 31 Oct 2024</t>
        </is>
      </c>
      <c r="S4594" s="496">
        <f>IFERROR(INDEX('E-Banker master'!$P$2:$P$186,MATCH(S4591,'E-Banker master'!$A$2:$A$186,0)),"")</f>
        <v/>
      </c>
    </row>
    <row r="4595">
      <c r="B4595" s="1" t="n"/>
      <c r="C4595" s="13" t="inlineStr">
        <is>
          <t>n</t>
        </is>
      </c>
      <c r="D4595" s="16" t="n">
        <v>5</v>
      </c>
      <c r="E4595" s="1" t="n"/>
      <c r="F4595" s="319" t="n"/>
      <c r="G4595" s="319" t="n"/>
      <c r="H4595" s="319" t="n"/>
      <c r="I4595" s="319" t="n"/>
      <c r="J4595" s="319" t="n"/>
      <c r="K4595" s="1" t="n"/>
      <c r="L4595" s="1" t="n"/>
    </row>
    <row r="4596">
      <c r="B4596" s="1" t="n"/>
      <c r="C4596" s="13" t="inlineStr">
        <is>
          <t>Per</t>
        </is>
      </c>
      <c r="D4596" s="16" t="n">
        <v>12</v>
      </c>
      <c r="E4596" s="1" t="n"/>
      <c r="F4596" s="319" t="n"/>
      <c r="G4596" s="319" t="n"/>
      <c r="H4596" s="319" t="n"/>
      <c r="I4596" s="319" t="n"/>
      <c r="J4596" s="319" t="n"/>
      <c r="K4596" s="1" t="n"/>
      <c r="L4596" s="1" t="n"/>
    </row>
    <row r="4597">
      <c r="B4597" s="1" t="n"/>
      <c r="C4597" s="13" t="inlineStr">
        <is>
          <t>nPer</t>
        </is>
      </c>
      <c r="D4597" s="515">
        <f>+D4596*D4595</f>
        <v/>
      </c>
      <c r="E4597" s="1" t="n"/>
      <c r="F4597" s="319" t="n"/>
      <c r="G4597" s="319" t="n"/>
      <c r="H4597" s="319" t="n"/>
      <c r="I4597" s="319" t="n"/>
      <c r="J4597" s="319" t="n"/>
      <c r="K4597" s="1" t="n"/>
      <c r="L4597" s="1" t="n"/>
    </row>
    <row r="4598">
      <c r="B4598" s="1" t="n"/>
      <c r="C4598" s="13" t="inlineStr">
        <is>
          <t>Days in a year</t>
        </is>
      </c>
      <c r="D4598" s="18" t="n">
        <v>365</v>
      </c>
      <c r="E4598" s="1" t="n"/>
      <c r="F4598" s="319" t="n"/>
      <c r="G4598" s="319" t="n"/>
      <c r="H4598" s="319" t="n"/>
      <c r="I4598" s="319" t="n"/>
      <c r="J4598" s="319" t="n"/>
      <c r="K4598" s="1" t="n"/>
      <c r="L4598" s="1" t="n"/>
    </row>
    <row r="4599">
      <c r="B4599" s="1" t="n"/>
      <c r="C4599" s="19" t="inlineStr">
        <is>
          <t>Pmt (MK)</t>
        </is>
      </c>
      <c r="D4599" s="534">
        <f>-PMT(D4594/D4596,D4597,D4593,0,0)</f>
        <v/>
      </c>
      <c r="E4599" s="319" t="n"/>
      <c r="F4599" s="319" t="n"/>
      <c r="G4599" s="319" t="n"/>
      <c r="H4599" s="319" t="n"/>
      <c r="I4599" s="319" t="n"/>
      <c r="J4599" s="319" t="n"/>
      <c r="K4599" s="1" t="n"/>
      <c r="L4599" s="1" t="n"/>
    </row>
    <row r="4600">
      <c r="B4600" s="1" t="n"/>
      <c r="C4600" s="1" t="n"/>
      <c r="D4600" s="319" t="n"/>
      <c r="E4600" s="319" t="n"/>
      <c r="F4600" s="319" t="n"/>
      <c r="G4600" s="319" t="n"/>
      <c r="H4600" s="319" t="n"/>
      <c r="I4600" s="319" t="n"/>
      <c r="J4600" s="319" t="n"/>
      <c r="K4600" s="1" t="n"/>
      <c r="L4600" s="1" t="n"/>
    </row>
    <row r="4601">
      <c r="B4601" s="1" t="n"/>
      <c r="C4601" s="21" t="inlineStr">
        <is>
          <t>Period Start</t>
        </is>
      </c>
      <c r="D4601" s="22" t="inlineStr">
        <is>
          <t>Period End</t>
        </is>
      </c>
      <c r="E4601" s="22" t="inlineStr">
        <is>
          <t>Days</t>
        </is>
      </c>
      <c r="F4601" s="294" t="inlineStr">
        <is>
          <t>Opening bal.</t>
        </is>
      </c>
      <c r="G4601" s="294" t="inlineStr">
        <is>
          <t>Pmt</t>
        </is>
      </c>
      <c r="H4601" s="294" t="inlineStr">
        <is>
          <t>Interest</t>
        </is>
      </c>
      <c r="I4601" s="294" t="inlineStr">
        <is>
          <t>Principal</t>
        </is>
      </c>
      <c r="J4601" s="294" t="inlineStr">
        <is>
          <t>Closing balance</t>
        </is>
      </c>
      <c r="K4601" s="23" t="inlineStr">
        <is>
          <t>Amount Repaid</t>
        </is>
      </c>
      <c r="L4601" s="23" t="inlineStr">
        <is>
          <t>Accumulated Arrears</t>
        </is>
      </c>
    </row>
    <row r="4602">
      <c r="B4602" s="1" t="n">
        <v>0</v>
      </c>
      <c r="C4602" s="24" t="n">
        <v>45323</v>
      </c>
      <c r="D4602" s="24" t="n">
        <v>45351</v>
      </c>
      <c r="E4602" s="25" t="n">
        <v>29</v>
      </c>
      <c r="F4602" s="319">
        <f>D4593</f>
        <v/>
      </c>
      <c r="G4602" s="319" t="n"/>
      <c r="H4602" s="319">
        <f>($D$4594/$D$4596*F4602)</f>
        <v/>
      </c>
      <c r="I4602" s="319">
        <f>G4602-H4602</f>
        <v/>
      </c>
      <c r="J4602" s="319">
        <f>F4602-I4602</f>
        <v/>
      </c>
      <c r="L4602" s="148">
        <f>G4602</f>
        <v/>
      </c>
    </row>
    <row r="4603">
      <c r="B4603" s="1" t="n">
        <v>1</v>
      </c>
      <c r="C4603" s="24" t="n">
        <v>45352</v>
      </c>
      <c r="D4603" s="24" t="n">
        <v>45382</v>
      </c>
      <c r="E4603" s="25" t="n">
        <v>31</v>
      </c>
      <c r="F4603" s="319">
        <f>J4602</f>
        <v/>
      </c>
      <c r="G4603" s="319" t="n"/>
      <c r="H4603" s="319">
        <f>($D$4594/$D$4596*F4603)</f>
        <v/>
      </c>
      <c r="I4603" s="319">
        <f>G4603-H4603</f>
        <v/>
      </c>
      <c r="J4603" s="319">
        <f>F4603-I4603</f>
        <v/>
      </c>
      <c r="K4603" s="516" t="n"/>
      <c r="L4603" s="516">
        <f>L4602+G4603-K4603</f>
        <v/>
      </c>
    </row>
    <row r="4604">
      <c r="B4604" s="1" t="n">
        <v>2</v>
      </c>
      <c r="C4604" s="24" t="n">
        <v>45383</v>
      </c>
      <c r="D4604" s="24" t="n">
        <v>45412</v>
      </c>
      <c r="E4604" s="25" t="n">
        <v>30</v>
      </c>
      <c r="F4604" s="319">
        <f>J4603</f>
        <v/>
      </c>
      <c r="G4604" s="319" t="n"/>
      <c r="H4604" s="319">
        <f>($D$4594/$D$4596*F4604)</f>
        <v/>
      </c>
      <c r="I4604" s="319">
        <f>G4604-H4604</f>
        <v/>
      </c>
      <c r="J4604" s="319">
        <f>F4604-I4604</f>
        <v/>
      </c>
      <c r="K4604" s="516" t="n"/>
      <c r="L4604" s="516" t="n"/>
    </row>
    <row r="4605">
      <c r="B4605" s="1">
        <f>+B4604+1</f>
        <v/>
      </c>
      <c r="C4605" s="24" t="n">
        <v>45413</v>
      </c>
      <c r="D4605" s="24" t="n">
        <v>45443</v>
      </c>
      <c r="E4605" s="25" t="n">
        <v>31</v>
      </c>
      <c r="F4605" s="319">
        <f>J4604</f>
        <v/>
      </c>
      <c r="G4605" s="319" t="n"/>
      <c r="H4605" s="319">
        <f>($D$4594/$D$4596*F4605)</f>
        <v/>
      </c>
      <c r="I4605" s="319">
        <f>G4605-H4605</f>
        <v/>
      </c>
      <c r="J4605" s="319">
        <f>F4605-I4605</f>
        <v/>
      </c>
      <c r="K4605" s="516" t="n"/>
      <c r="L4605" s="516" t="n"/>
    </row>
    <row r="4606">
      <c r="B4606" s="1">
        <f>+B4605+1</f>
        <v/>
      </c>
      <c r="C4606" s="24" t="n">
        <v>45444</v>
      </c>
      <c r="D4606" s="24" t="n">
        <v>45473</v>
      </c>
      <c r="E4606" s="25" t="n">
        <v>30</v>
      </c>
      <c r="F4606" s="319">
        <f>J4605</f>
        <v/>
      </c>
      <c r="G4606" s="319" t="n"/>
      <c r="H4606" s="319">
        <f>($D$4594/$D$4596*F4606)</f>
        <v/>
      </c>
      <c r="I4606" s="319">
        <f>G4606-H4606</f>
        <v/>
      </c>
      <c r="J4606" s="319">
        <f>F4606-I4606</f>
        <v/>
      </c>
      <c r="K4606" s="516" t="n"/>
      <c r="L4606" s="519" t="n"/>
    </row>
    <row r="4607">
      <c r="B4607" s="1">
        <f>+B4606+1</f>
        <v/>
      </c>
      <c r="C4607" s="24" t="n">
        <v>45474</v>
      </c>
      <c r="D4607" s="24" t="n">
        <v>45504</v>
      </c>
      <c r="E4607" s="25" t="n">
        <v>31</v>
      </c>
      <c r="F4607" s="319">
        <f>J4606</f>
        <v/>
      </c>
      <c r="G4607" s="319" t="n"/>
      <c r="H4607" s="319">
        <f>($D$4594/$D$4596*F4607)</f>
        <v/>
      </c>
      <c r="I4607" s="319">
        <f>G4607-H4607</f>
        <v/>
      </c>
      <c r="J4607" s="319">
        <f>F4607-I4607</f>
        <v/>
      </c>
      <c r="K4607" s="516" t="n"/>
      <c r="L4607" s="516" t="n"/>
    </row>
    <row r="4608">
      <c r="B4608" s="1">
        <f>+B4607+1</f>
        <v/>
      </c>
      <c r="C4608" s="24" t="n">
        <v>45505</v>
      </c>
      <c r="D4608" s="24" t="n">
        <v>45535</v>
      </c>
      <c r="E4608" s="25" t="n">
        <v>31</v>
      </c>
      <c r="F4608" s="319">
        <f>J4607</f>
        <v/>
      </c>
      <c r="G4608" s="319" t="n"/>
      <c r="H4608" s="319">
        <f>($D$4594/$D$4596*F4608)</f>
        <v/>
      </c>
      <c r="I4608" s="319">
        <f>G4608-H4608</f>
        <v/>
      </c>
      <c r="J4608" s="319">
        <f>F4608-I4608</f>
        <v/>
      </c>
      <c r="K4608" s="516" t="n"/>
      <c r="L4608" s="516" t="n"/>
    </row>
    <row r="4609">
      <c r="B4609" s="1">
        <f>+B4608+1</f>
        <v/>
      </c>
      <c r="C4609" s="24" t="n">
        <v>45536</v>
      </c>
      <c r="D4609" s="24" t="n">
        <v>45565</v>
      </c>
      <c r="E4609" s="25" t="n">
        <v>30</v>
      </c>
      <c r="F4609" s="319">
        <f>J4608</f>
        <v/>
      </c>
      <c r="G4609" s="319" t="n"/>
      <c r="H4609" s="319">
        <f>($D$4594/$D$4596*F4609)</f>
        <v/>
      </c>
      <c r="I4609" s="319">
        <f>G4609-H4609</f>
        <v/>
      </c>
      <c r="J4609" s="319">
        <f>F4609-I4609</f>
        <v/>
      </c>
      <c r="K4609" s="516" t="n"/>
      <c r="L4609" s="519" t="n"/>
    </row>
    <row r="4610">
      <c r="B4610" s="1">
        <f>+B4609+1</f>
        <v/>
      </c>
      <c r="C4610" s="24" t="n">
        <v>45566</v>
      </c>
      <c r="D4610" s="24" t="n">
        <v>45596</v>
      </c>
      <c r="E4610" s="25" t="n">
        <v>31</v>
      </c>
      <c r="F4610" s="319">
        <f>J4609</f>
        <v/>
      </c>
      <c r="G4610" s="319" t="n"/>
      <c r="H4610" s="319">
        <f>($D$4594/$D$4596*F4610)</f>
        <v/>
      </c>
      <c r="I4610" s="319">
        <f>G4610-H4610</f>
        <v/>
      </c>
      <c r="J4610" s="319">
        <f>F4610-I4610</f>
        <v/>
      </c>
      <c r="K4610" s="516" t="n"/>
      <c r="L4610" s="516" t="n"/>
    </row>
    <row r="4611">
      <c r="B4611" s="1">
        <f>+B4610+1</f>
        <v/>
      </c>
      <c r="C4611" s="24" t="n">
        <v>45597</v>
      </c>
      <c r="D4611" s="24" t="n">
        <v>45626</v>
      </c>
      <c r="E4611" s="25" t="n">
        <v>30</v>
      </c>
      <c r="F4611" s="319">
        <f>J4610</f>
        <v/>
      </c>
      <c r="G4611" s="319" t="n"/>
      <c r="H4611" s="319">
        <f>($D$4594/$D$4596*F4611)</f>
        <v/>
      </c>
      <c r="I4611" s="319">
        <f>G4611-H4611</f>
        <v/>
      </c>
      <c r="J4611" s="319">
        <f>F4611-I4611</f>
        <v/>
      </c>
      <c r="K4611" s="516" t="n"/>
      <c r="L4611" s="516" t="n"/>
    </row>
    <row r="4612">
      <c r="B4612" s="1">
        <f>+B4611+1</f>
        <v/>
      </c>
      <c r="C4612" s="24" t="n">
        <v>45627</v>
      </c>
      <c r="D4612" s="24" t="n">
        <v>45657</v>
      </c>
      <c r="E4612" s="25" t="n">
        <v>31</v>
      </c>
      <c r="F4612" s="319">
        <f>J4611</f>
        <v/>
      </c>
      <c r="G4612" s="319" t="n"/>
      <c r="H4612" s="319">
        <f>($D$4594/$D$4596*F4612)</f>
        <v/>
      </c>
      <c r="I4612" s="319">
        <f>G4612-H4612</f>
        <v/>
      </c>
      <c r="J4612" s="319">
        <f>F4612-I4612</f>
        <v/>
      </c>
      <c r="K4612" s="516" t="n"/>
      <c r="L4612" s="516" t="n"/>
    </row>
    <row r="4613">
      <c r="B4613" s="1">
        <f>+B4612+1</f>
        <v/>
      </c>
      <c r="C4613" s="24" t="n">
        <v>45658</v>
      </c>
      <c r="D4613" s="24" t="n">
        <v>45688</v>
      </c>
      <c r="E4613" s="25" t="n">
        <v>31</v>
      </c>
      <c r="F4613" s="319">
        <f>J4612</f>
        <v/>
      </c>
      <c r="G4613" s="319">
        <f>-PMT($D$4594/$D$4596,49,$F$4613,,0)</f>
        <v/>
      </c>
      <c r="H4613" s="319">
        <f>($D$4594/$D$4596*F4613)</f>
        <v/>
      </c>
      <c r="I4613" s="319">
        <f>G4613-H4613</f>
        <v/>
      </c>
      <c r="J4613" s="319">
        <f>F4613-I4613</f>
        <v/>
      </c>
      <c r="K4613" s="516" t="n"/>
      <c r="L4613" s="516" t="n"/>
    </row>
    <row r="4614">
      <c r="B4614" s="1">
        <f>+B4613+1</f>
        <v/>
      </c>
      <c r="C4614" s="24" t="n">
        <v>45689</v>
      </c>
      <c r="D4614" s="24" t="n">
        <v>45716</v>
      </c>
      <c r="E4614" s="25" t="n">
        <v>28</v>
      </c>
      <c r="F4614" s="319">
        <f>J4613</f>
        <v/>
      </c>
      <c r="G4614" s="319">
        <f>-PMT($D$4594/$D$4596,49,$F$4613,,0)</f>
        <v/>
      </c>
      <c r="H4614" s="319">
        <f>($D$4594/$D$4596*F4614)</f>
        <v/>
      </c>
      <c r="I4614" s="319">
        <f>G4614-H4614</f>
        <v/>
      </c>
      <c r="J4614" s="319">
        <f>F4614-I4614</f>
        <v/>
      </c>
      <c r="K4614" s="516" t="n"/>
      <c r="L4614" s="516" t="n"/>
    </row>
    <row r="4615">
      <c r="B4615" s="1">
        <f>+B4614+1</f>
        <v/>
      </c>
      <c r="C4615" s="24" t="n">
        <v>45717</v>
      </c>
      <c r="D4615" s="24" t="n">
        <v>45747</v>
      </c>
      <c r="E4615" s="25" t="n">
        <v>31</v>
      </c>
      <c r="F4615" s="319">
        <f>J4614</f>
        <v/>
      </c>
      <c r="G4615" s="319">
        <f>-PMT($D$4594/$D$4596,49,$F$4613,,0)</f>
        <v/>
      </c>
      <c r="H4615" s="319">
        <f>($D$4594/$D$4596*F4615)</f>
        <v/>
      </c>
      <c r="I4615" s="319">
        <f>G4615-H4615</f>
        <v/>
      </c>
      <c r="J4615" s="319">
        <f>F4615-I4615</f>
        <v/>
      </c>
      <c r="K4615" s="516" t="n"/>
      <c r="L4615" s="516" t="n"/>
    </row>
    <row r="4616">
      <c r="B4616" s="1">
        <f>+B4615+1</f>
        <v/>
      </c>
      <c r="C4616" s="24" t="n">
        <v>45748</v>
      </c>
      <c r="D4616" s="24" t="n">
        <v>45777</v>
      </c>
      <c r="E4616" s="25" t="n">
        <v>30</v>
      </c>
      <c r="F4616" s="319">
        <f>J4615</f>
        <v/>
      </c>
      <c r="G4616" s="319">
        <f>-PMT($D$4594/$D$4596,49,$F$4613,,0)</f>
        <v/>
      </c>
      <c r="H4616" s="319">
        <f>($D$4594/$D$4596*F4616)</f>
        <v/>
      </c>
      <c r="I4616" s="319">
        <f>G4616-H4616</f>
        <v/>
      </c>
      <c r="J4616" s="319">
        <f>F4616-I4616</f>
        <v/>
      </c>
      <c r="K4616" s="516" t="n"/>
      <c r="L4616" s="516" t="n"/>
    </row>
    <row r="4617">
      <c r="B4617" s="1">
        <f>+B4616+1</f>
        <v/>
      </c>
      <c r="C4617" s="24" t="n">
        <v>45778</v>
      </c>
      <c r="D4617" s="24" t="n">
        <v>45808</v>
      </c>
      <c r="E4617" s="25" t="n">
        <v>31</v>
      </c>
      <c r="F4617" s="319">
        <f>J4616</f>
        <v/>
      </c>
      <c r="G4617" s="319">
        <f>-PMT($D$4594/$D$4596,49,$F$4613,,0)</f>
        <v/>
      </c>
      <c r="H4617" s="319">
        <f>($D$4594/$D$4596*F4617)</f>
        <v/>
      </c>
      <c r="I4617" s="319">
        <f>G4617-H4617</f>
        <v/>
      </c>
      <c r="J4617" s="319">
        <f>F4617-I4617</f>
        <v/>
      </c>
      <c r="K4617" s="516" t="n"/>
      <c r="L4617" s="516" t="n"/>
    </row>
    <row r="4618">
      <c r="B4618" s="1">
        <f>+B4617+1</f>
        <v/>
      </c>
      <c r="C4618" s="24" t="n">
        <v>45809</v>
      </c>
      <c r="D4618" s="24" t="n">
        <v>45838</v>
      </c>
      <c r="E4618" s="25" t="n">
        <v>30</v>
      </c>
      <c r="F4618" s="319">
        <f>J4617</f>
        <v/>
      </c>
      <c r="G4618" s="319">
        <f>-PMT($D$4594/$D$4596,49,$F$4613,,0)</f>
        <v/>
      </c>
      <c r="H4618" s="319">
        <f>($D$4594/$D$4596*F4618)</f>
        <v/>
      </c>
      <c r="I4618" s="319">
        <f>G4618-H4618</f>
        <v/>
      </c>
      <c r="J4618" s="319">
        <f>F4618-I4618</f>
        <v/>
      </c>
      <c r="K4618" s="516" t="n"/>
      <c r="L4618" s="516" t="n"/>
    </row>
    <row r="4619">
      <c r="B4619" s="1">
        <f>+B4618+1</f>
        <v/>
      </c>
      <c r="C4619" s="24" t="n">
        <v>45839</v>
      </c>
      <c r="D4619" s="24" t="n">
        <v>45868</v>
      </c>
      <c r="E4619" s="25" t="n">
        <v>30</v>
      </c>
      <c r="F4619" s="319">
        <f>J4618</f>
        <v/>
      </c>
      <c r="G4619" s="319">
        <f>-PMT($D$4594/$D$4596,49,$F$4613,,0)</f>
        <v/>
      </c>
      <c r="H4619" s="319">
        <f>($D$4594/$D$4596*F4619)</f>
        <v/>
      </c>
      <c r="I4619" s="319">
        <f>G4619-H4619</f>
        <v/>
      </c>
      <c r="J4619" s="319">
        <f>F4619-I4619</f>
        <v/>
      </c>
      <c r="K4619" s="516" t="n"/>
      <c r="L4619" s="516" t="n"/>
    </row>
    <row r="4620">
      <c r="B4620" s="1">
        <f>+B4619+1</f>
        <v/>
      </c>
      <c r="C4620" s="24" t="n">
        <v>45870</v>
      </c>
      <c r="D4620" s="24" t="n">
        <v>45899</v>
      </c>
      <c r="E4620" s="25" t="n">
        <v>30</v>
      </c>
      <c r="F4620" s="319">
        <f>J4619</f>
        <v/>
      </c>
      <c r="G4620" s="319">
        <f>-PMT($D$4594/$D$4596,49,$F$4613,,0)</f>
        <v/>
      </c>
      <c r="H4620" s="319">
        <f>($D$4594/$D$4596*F4620)</f>
        <v/>
      </c>
      <c r="I4620" s="319">
        <f>G4620-H4620</f>
        <v/>
      </c>
      <c r="J4620" s="319">
        <f>F4620-I4620</f>
        <v/>
      </c>
      <c r="K4620" s="516" t="n"/>
      <c r="L4620" s="516" t="n"/>
    </row>
    <row r="4621">
      <c r="B4621" s="1">
        <f>+B4620+1</f>
        <v/>
      </c>
      <c r="C4621" s="24" t="n">
        <v>45901</v>
      </c>
      <c r="D4621" s="24" t="n">
        <v>45930</v>
      </c>
      <c r="E4621" s="25" t="n">
        <v>30</v>
      </c>
      <c r="F4621" s="319">
        <f>J4620</f>
        <v/>
      </c>
      <c r="G4621" s="319">
        <f>-PMT($D$4594/$D$4596,49,$F$4613,,0)</f>
        <v/>
      </c>
      <c r="H4621" s="319">
        <f>($D$4594/$D$4596*F4621)</f>
        <v/>
      </c>
      <c r="I4621" s="319">
        <f>G4621-H4621</f>
        <v/>
      </c>
      <c r="J4621" s="319">
        <f>F4621-I4621</f>
        <v/>
      </c>
      <c r="K4621" s="516" t="n"/>
      <c r="L4621" s="516" t="n"/>
    </row>
    <row r="4622">
      <c r="B4622" s="1">
        <f>+B4621+1</f>
        <v/>
      </c>
      <c r="C4622" s="24" t="n">
        <v>45931</v>
      </c>
      <c r="D4622" s="24" t="n">
        <v>45961</v>
      </c>
      <c r="E4622" s="25" t="n">
        <v>31</v>
      </c>
      <c r="F4622" s="319">
        <f>J4621</f>
        <v/>
      </c>
      <c r="G4622" s="319">
        <f>-PMT($D$4594/$D$4596,49,$F$4613,,0)</f>
        <v/>
      </c>
      <c r="H4622" s="319">
        <f>($D$4594/$D$4596*F4622)</f>
        <v/>
      </c>
      <c r="I4622" s="319">
        <f>G4622-H4622</f>
        <v/>
      </c>
      <c r="J4622" s="319">
        <f>F4622-I4622</f>
        <v/>
      </c>
      <c r="K4622" s="516" t="n"/>
      <c r="L4622" s="516" t="n"/>
    </row>
    <row r="4623">
      <c r="B4623" s="1">
        <f>+B4622+1</f>
        <v/>
      </c>
      <c r="C4623" s="24" t="n">
        <v>45962</v>
      </c>
      <c r="D4623" s="24" t="n">
        <v>45991</v>
      </c>
      <c r="E4623" s="25" t="n">
        <v>30</v>
      </c>
      <c r="F4623" s="319">
        <f>J4622</f>
        <v/>
      </c>
      <c r="G4623" s="319">
        <f>-PMT($D$4594/$D$4596,49,$F$4613,,0)</f>
        <v/>
      </c>
      <c r="H4623" s="319">
        <f>($D$4594/$D$4596*F4623)</f>
        <v/>
      </c>
      <c r="I4623" s="319">
        <f>G4623-H4623</f>
        <v/>
      </c>
      <c r="J4623" s="319">
        <f>F4623-I4623</f>
        <v/>
      </c>
      <c r="K4623" s="516" t="n"/>
      <c r="L4623" s="516" t="n"/>
    </row>
    <row r="4624">
      <c r="B4624" s="1">
        <f>+B4623+1</f>
        <v/>
      </c>
      <c r="C4624" s="24" t="n">
        <v>45992</v>
      </c>
      <c r="D4624" s="24" t="n">
        <v>46022</v>
      </c>
      <c r="E4624" s="25" t="n">
        <v>31</v>
      </c>
      <c r="F4624" s="319">
        <f>J4623</f>
        <v/>
      </c>
      <c r="G4624" s="319">
        <f>-PMT($D$4594/$D$4596,49,$F$4613,,0)</f>
        <v/>
      </c>
      <c r="H4624" s="319">
        <f>($D$4594/$D$4596*F4624)</f>
        <v/>
      </c>
      <c r="I4624" s="319">
        <f>G4624-H4624</f>
        <v/>
      </c>
      <c r="J4624" s="319">
        <f>F4624-I4624</f>
        <v/>
      </c>
      <c r="K4624" s="516" t="n"/>
      <c r="L4624" s="516" t="n"/>
    </row>
    <row r="4625">
      <c r="B4625" s="1">
        <f>+B4624+1</f>
        <v/>
      </c>
      <c r="C4625" s="24" t="n">
        <v>46023</v>
      </c>
      <c r="D4625" s="24" t="n">
        <v>46053</v>
      </c>
      <c r="E4625" s="25" t="n">
        <v>31</v>
      </c>
      <c r="F4625" s="319">
        <f>J4624</f>
        <v/>
      </c>
      <c r="G4625" s="319">
        <f>-PMT($D$4594/$D$4596,49,$F$4613,,0)</f>
        <v/>
      </c>
      <c r="H4625" s="319">
        <f>($D$4594/$D$4596*F4625)</f>
        <v/>
      </c>
      <c r="I4625" s="319">
        <f>G4625-H4625</f>
        <v/>
      </c>
      <c r="J4625" s="319">
        <f>F4625-I4625</f>
        <v/>
      </c>
    </row>
    <row r="4626">
      <c r="B4626" s="1">
        <f>+B4625+1</f>
        <v/>
      </c>
      <c r="C4626" s="24" t="n">
        <v>46054</v>
      </c>
      <c r="D4626" s="24" t="n">
        <v>46081</v>
      </c>
      <c r="E4626" s="25" t="n">
        <v>28</v>
      </c>
      <c r="F4626" s="319">
        <f>J4625</f>
        <v/>
      </c>
      <c r="G4626" s="319">
        <f>-PMT($D$4594/$D$4596,49,$F$4613,,0)</f>
        <v/>
      </c>
      <c r="H4626" s="319">
        <f>($D$4594/$D$4596*F4626)</f>
        <v/>
      </c>
      <c r="I4626" s="319">
        <f>G4626-H4626</f>
        <v/>
      </c>
      <c r="J4626" s="319">
        <f>F4626-I4626</f>
        <v/>
      </c>
    </row>
    <row r="4627">
      <c r="B4627" s="1">
        <f>+B4626+1</f>
        <v/>
      </c>
      <c r="C4627" s="24" t="n">
        <v>46082</v>
      </c>
      <c r="D4627" s="24" t="n">
        <v>46112</v>
      </c>
      <c r="E4627" s="25" t="n">
        <v>31</v>
      </c>
      <c r="F4627" s="319">
        <f>J4626</f>
        <v/>
      </c>
      <c r="G4627" s="319">
        <f>-PMT($D$4594/$D$4596,49,$F$4613,,0)</f>
        <v/>
      </c>
      <c r="H4627" s="319">
        <f>($D$4594/$D$4596*F4627)</f>
        <v/>
      </c>
      <c r="I4627" s="319">
        <f>G4627-H4627</f>
        <v/>
      </c>
      <c r="J4627" s="319">
        <f>F4627-I4627</f>
        <v/>
      </c>
    </row>
    <row r="4628">
      <c r="B4628" s="1">
        <f>+B4627+1</f>
        <v/>
      </c>
      <c r="C4628" s="24" t="n">
        <v>46113</v>
      </c>
      <c r="D4628" s="24" t="n">
        <v>46142</v>
      </c>
      <c r="E4628" s="25" t="n">
        <v>30</v>
      </c>
      <c r="F4628" s="319">
        <f>J4627</f>
        <v/>
      </c>
      <c r="G4628" s="319">
        <f>-PMT($D$4594/$D$4596,49,$F$4613,,0)</f>
        <v/>
      </c>
      <c r="H4628" s="319">
        <f>($D$4594/$D$4596*F4628)</f>
        <v/>
      </c>
      <c r="I4628" s="319">
        <f>G4628-H4628</f>
        <v/>
      </c>
      <c r="J4628" s="319">
        <f>F4628-I4628</f>
        <v/>
      </c>
    </row>
    <row r="4629">
      <c r="B4629" s="1">
        <f>+B4628+1</f>
        <v/>
      </c>
      <c r="C4629" s="24" t="n">
        <v>46143</v>
      </c>
      <c r="D4629" s="24" t="n">
        <v>46173</v>
      </c>
      <c r="E4629" s="25" t="n">
        <v>31</v>
      </c>
      <c r="F4629" s="319">
        <f>J4628</f>
        <v/>
      </c>
      <c r="G4629" s="319">
        <f>-PMT($D$4594/$D$4596,49,$F$4613,,0)</f>
        <v/>
      </c>
      <c r="H4629" s="319">
        <f>($D$4594/$D$4596*F4629)</f>
        <v/>
      </c>
      <c r="I4629" s="319">
        <f>G4629-H4629</f>
        <v/>
      </c>
      <c r="J4629" s="319">
        <f>F4629-I4629</f>
        <v/>
      </c>
    </row>
    <row r="4630">
      <c r="B4630" s="1">
        <f>+B4629+1</f>
        <v/>
      </c>
      <c r="C4630" s="24" t="n">
        <v>46174</v>
      </c>
      <c r="D4630" s="24" t="n">
        <v>46203</v>
      </c>
      <c r="E4630" s="25" t="n">
        <v>30</v>
      </c>
      <c r="F4630" s="319">
        <f>J4629</f>
        <v/>
      </c>
      <c r="G4630" s="319">
        <f>-PMT($D$4594/$D$4596,49,$F$4613,,0)</f>
        <v/>
      </c>
      <c r="H4630" s="319">
        <f>($D$4594/$D$4596*F4630)</f>
        <v/>
      </c>
      <c r="I4630" s="319">
        <f>G4630-H4630</f>
        <v/>
      </c>
      <c r="J4630" s="319">
        <f>F4630-I4630</f>
        <v/>
      </c>
    </row>
    <row r="4631">
      <c r="B4631" s="1">
        <f>+B4630+1</f>
        <v/>
      </c>
      <c r="C4631" s="24" t="n">
        <v>46204</v>
      </c>
      <c r="D4631" s="24" t="n">
        <v>46234</v>
      </c>
      <c r="E4631" s="25" t="n">
        <v>31</v>
      </c>
      <c r="F4631" s="319">
        <f>J4630</f>
        <v/>
      </c>
      <c r="G4631" s="319">
        <f>-PMT($D$4594/$D$4596,49,$F$4613,,0)</f>
        <v/>
      </c>
      <c r="H4631" s="319">
        <f>($D$4594/$D$4596*F4631)</f>
        <v/>
      </c>
      <c r="I4631" s="319">
        <f>G4631-H4631</f>
        <v/>
      </c>
      <c r="J4631" s="319">
        <f>F4631-I4631</f>
        <v/>
      </c>
    </row>
    <row r="4632">
      <c r="B4632" s="1">
        <f>+B4631+1</f>
        <v/>
      </c>
      <c r="C4632" s="24" t="n">
        <v>46235</v>
      </c>
      <c r="D4632" s="24" t="n">
        <v>46265</v>
      </c>
      <c r="E4632" s="25" t="n">
        <v>31</v>
      </c>
      <c r="F4632" s="319">
        <f>J4631</f>
        <v/>
      </c>
      <c r="G4632" s="319">
        <f>-PMT($D$4594/$D$4596,49,$F$4613,,0)</f>
        <v/>
      </c>
      <c r="H4632" s="319">
        <f>($D$4594/$D$4596*F4632)</f>
        <v/>
      </c>
      <c r="I4632" s="319">
        <f>G4632-H4632</f>
        <v/>
      </c>
      <c r="J4632" s="319">
        <f>F4632-I4632</f>
        <v/>
      </c>
    </row>
    <row r="4633">
      <c r="B4633" s="1">
        <f>+B4632+1</f>
        <v/>
      </c>
      <c r="C4633" s="24" t="n">
        <v>46266</v>
      </c>
      <c r="D4633" s="24" t="n">
        <v>46295</v>
      </c>
      <c r="E4633" s="25" t="n">
        <v>30</v>
      </c>
      <c r="F4633" s="319">
        <f>J4632</f>
        <v/>
      </c>
      <c r="G4633" s="319">
        <f>-PMT($D$4594/$D$4596,49,$F$4613,,0)</f>
        <v/>
      </c>
      <c r="H4633" s="319">
        <f>($D$4594/$D$4596*F4633)</f>
        <v/>
      </c>
      <c r="I4633" s="319">
        <f>G4633-H4633</f>
        <v/>
      </c>
      <c r="J4633" s="319">
        <f>F4633-I4633</f>
        <v/>
      </c>
    </row>
    <row r="4634">
      <c r="B4634" s="1">
        <f>+B4633+1</f>
        <v/>
      </c>
      <c r="C4634" s="24" t="n">
        <v>46296</v>
      </c>
      <c r="D4634" s="24" t="n">
        <v>46326</v>
      </c>
      <c r="E4634" s="25" t="n">
        <v>31</v>
      </c>
      <c r="F4634" s="319">
        <f>J4633</f>
        <v/>
      </c>
      <c r="G4634" s="319">
        <f>-PMT($D$4594/$D$4596,49,$F$4613,,0)</f>
        <v/>
      </c>
      <c r="H4634" s="319">
        <f>($D$4594/$D$4596*F4634)</f>
        <v/>
      </c>
      <c r="I4634" s="319">
        <f>G4634-H4634</f>
        <v/>
      </c>
      <c r="J4634" s="319">
        <f>F4634-I4634</f>
        <v/>
      </c>
    </row>
    <row r="4635">
      <c r="B4635" s="1">
        <f>+B4634+1</f>
        <v/>
      </c>
      <c r="C4635" s="24" t="n">
        <v>46327</v>
      </c>
      <c r="D4635" s="24" t="n">
        <v>46356</v>
      </c>
      <c r="E4635" s="25" t="n">
        <v>30</v>
      </c>
      <c r="F4635" s="319">
        <f>J4634</f>
        <v/>
      </c>
      <c r="G4635" s="319">
        <f>-PMT($D$4594/$D$4596,49,$F$4613,,0)</f>
        <v/>
      </c>
      <c r="H4635" s="319">
        <f>($D$4594/$D$4596*F4635)</f>
        <v/>
      </c>
      <c r="I4635" s="319">
        <f>G4635-H4635</f>
        <v/>
      </c>
      <c r="J4635" s="319">
        <f>F4635-I4635</f>
        <v/>
      </c>
    </row>
    <row r="4636">
      <c r="B4636" s="1">
        <f>+B4635+1</f>
        <v/>
      </c>
      <c r="C4636" s="24" t="n">
        <v>46357</v>
      </c>
      <c r="D4636" s="24" t="n">
        <v>46387</v>
      </c>
      <c r="E4636" s="25" t="n">
        <v>31</v>
      </c>
      <c r="F4636" s="319">
        <f>J4635</f>
        <v/>
      </c>
      <c r="G4636" s="319">
        <f>-PMT($D$4594/$D$4596,49,$F$4613,,0)</f>
        <v/>
      </c>
      <c r="H4636" s="319">
        <f>($D$4594/$D$4596*F4636)</f>
        <v/>
      </c>
      <c r="I4636" s="319">
        <f>G4636-H4636</f>
        <v/>
      </c>
      <c r="J4636" s="319">
        <f>F4636-I4636</f>
        <v/>
      </c>
    </row>
    <row r="4637">
      <c r="B4637" s="1">
        <f>+B4636+1</f>
        <v/>
      </c>
      <c r="C4637" s="24" t="n">
        <v>46388</v>
      </c>
      <c r="D4637" s="24" t="n">
        <v>46418</v>
      </c>
      <c r="E4637" s="25" t="n">
        <v>31</v>
      </c>
      <c r="F4637" s="319">
        <f>J4636</f>
        <v/>
      </c>
      <c r="G4637" s="319">
        <f>-PMT($D$4594/$D$4596,49,$F$4613,,0)</f>
        <v/>
      </c>
      <c r="H4637" s="319">
        <f>($D$4594/$D$4596*F4637)</f>
        <v/>
      </c>
      <c r="I4637" s="319">
        <f>G4637-H4637</f>
        <v/>
      </c>
      <c r="J4637" s="319">
        <f>F4637-I4637</f>
        <v/>
      </c>
    </row>
    <row r="4638">
      <c r="B4638" s="1">
        <f>+B4637+1</f>
        <v/>
      </c>
      <c r="C4638" s="24" t="n">
        <v>46419</v>
      </c>
      <c r="D4638" s="24" t="n">
        <v>46446</v>
      </c>
      <c r="E4638" s="25">
        <f>D4638-C4638+1</f>
        <v/>
      </c>
      <c r="F4638" s="319">
        <f>J4637</f>
        <v/>
      </c>
      <c r="G4638" s="319">
        <f>-PMT($D$4594/$D$4596,49,$F$4613,,0)</f>
        <v/>
      </c>
      <c r="H4638" s="319">
        <f>($D$4594/$D$4596*F4638)</f>
        <v/>
      </c>
      <c r="I4638" s="319">
        <f>G4638-H4638</f>
        <v/>
      </c>
      <c r="J4638" s="319">
        <f>F4638-I4638</f>
        <v/>
      </c>
    </row>
    <row r="4639">
      <c r="B4639" s="1">
        <f>+B4638+1</f>
        <v/>
      </c>
      <c r="C4639" s="24" t="n">
        <v>46447</v>
      </c>
      <c r="D4639" s="24" t="n">
        <v>46477</v>
      </c>
      <c r="E4639" s="25">
        <f>D4639-C4639+1</f>
        <v/>
      </c>
      <c r="F4639" s="319">
        <f>J4638</f>
        <v/>
      </c>
      <c r="G4639" s="319">
        <f>-PMT($D$4594/$D$4596,49,$F$4613,,0)</f>
        <v/>
      </c>
      <c r="H4639" s="319">
        <f>($D$4594/$D$4596*F4639)</f>
        <v/>
      </c>
      <c r="I4639" s="319">
        <f>G4639-H4639</f>
        <v/>
      </c>
      <c r="J4639" s="319">
        <f>F4639-I4639</f>
        <v/>
      </c>
    </row>
    <row r="4640">
      <c r="B4640" s="1">
        <f>+B4639+1</f>
        <v/>
      </c>
      <c r="C4640" s="24" t="n">
        <v>46478</v>
      </c>
      <c r="D4640" s="24" t="n">
        <v>46507</v>
      </c>
      <c r="E4640" s="25">
        <f>D4640-C4640+1</f>
        <v/>
      </c>
      <c r="F4640" s="319">
        <f>J4639</f>
        <v/>
      </c>
      <c r="G4640" s="319">
        <f>-PMT($D$4594/$D$4596,49,$F$4613,,0)</f>
        <v/>
      </c>
      <c r="H4640" s="319">
        <f>($D$4594/$D$4596*F4640)</f>
        <v/>
      </c>
      <c r="I4640" s="319">
        <f>G4640-H4640</f>
        <v/>
      </c>
      <c r="J4640" s="319">
        <f>F4640-I4640</f>
        <v/>
      </c>
    </row>
    <row r="4641">
      <c r="B4641" s="1">
        <f>+B4640+1</f>
        <v/>
      </c>
      <c r="C4641" s="24" t="n">
        <v>46508</v>
      </c>
      <c r="D4641" s="24" t="n">
        <v>46538</v>
      </c>
      <c r="E4641" s="25">
        <f>D4641-C4641+1</f>
        <v/>
      </c>
      <c r="F4641" s="319">
        <f>J4640</f>
        <v/>
      </c>
      <c r="G4641" s="319">
        <f>-PMT($D$4594/$D$4596,49,$F$4613,,0)</f>
        <v/>
      </c>
      <c r="H4641" s="319">
        <f>($D$4594/$D$4596*F4641)</f>
        <v/>
      </c>
      <c r="I4641" s="319">
        <f>G4641-H4641</f>
        <v/>
      </c>
      <c r="J4641" s="319">
        <f>F4641-I4641</f>
        <v/>
      </c>
    </row>
    <row r="4642">
      <c r="B4642" s="1">
        <f>+B4641+1</f>
        <v/>
      </c>
      <c r="C4642" s="24" t="n">
        <v>46539</v>
      </c>
      <c r="D4642" s="24" t="n">
        <v>46568</v>
      </c>
      <c r="E4642" s="25">
        <f>D4642-C4642+1</f>
        <v/>
      </c>
      <c r="F4642" s="319">
        <f>J4641</f>
        <v/>
      </c>
      <c r="G4642" s="319">
        <f>-PMT($D$4594/$D$4596,49,$F$4613,,0)</f>
        <v/>
      </c>
      <c r="H4642" s="319">
        <f>($D$4594/$D$4596*F4642)</f>
        <v/>
      </c>
      <c r="I4642" s="319">
        <f>G4642-H4642</f>
        <v/>
      </c>
      <c r="J4642" s="319">
        <f>F4642-I4642</f>
        <v/>
      </c>
    </row>
    <row r="4643">
      <c r="B4643" s="1">
        <f>+B4642+1</f>
        <v/>
      </c>
      <c r="C4643" s="24" t="n">
        <v>46569</v>
      </c>
      <c r="D4643" s="24" t="n">
        <v>46599</v>
      </c>
      <c r="E4643" s="25">
        <f>D4643-C4643+1</f>
        <v/>
      </c>
      <c r="F4643" s="319">
        <f>J4642</f>
        <v/>
      </c>
      <c r="G4643" s="319">
        <f>-PMT($D$4594/$D$4596,49,$F$4613,,0)</f>
        <v/>
      </c>
      <c r="H4643" s="319">
        <f>($D$4594/$D$4596*F4643)</f>
        <v/>
      </c>
      <c r="I4643" s="319">
        <f>G4643-H4643</f>
        <v/>
      </c>
      <c r="J4643" s="319">
        <f>F4643-I4643</f>
        <v/>
      </c>
    </row>
    <row r="4644">
      <c r="B4644" s="1">
        <f>+B4643+1</f>
        <v/>
      </c>
      <c r="C4644" s="24" t="n">
        <v>46600</v>
      </c>
      <c r="D4644" s="24" t="n">
        <v>46630</v>
      </c>
      <c r="E4644" s="25">
        <f>D4644-C4644+1</f>
        <v/>
      </c>
      <c r="F4644" s="319">
        <f>J4643</f>
        <v/>
      </c>
      <c r="G4644" s="319">
        <f>-PMT($D$4594/$D$4596,49,$F$4613,,0)</f>
        <v/>
      </c>
      <c r="H4644" s="319">
        <f>($D$4594/$D$4596*F4644)</f>
        <v/>
      </c>
      <c r="I4644" s="319">
        <f>G4644-H4644</f>
        <v/>
      </c>
      <c r="J4644" s="319">
        <f>F4644-I4644</f>
        <v/>
      </c>
    </row>
    <row r="4645">
      <c r="B4645" s="1">
        <f>+B4644+1</f>
        <v/>
      </c>
      <c r="C4645" s="24" t="n">
        <v>46631</v>
      </c>
      <c r="D4645" s="24" t="n">
        <v>46660</v>
      </c>
      <c r="E4645" s="25">
        <f>D4645-C4645+1</f>
        <v/>
      </c>
      <c r="F4645" s="319">
        <f>J4644</f>
        <v/>
      </c>
      <c r="G4645" s="319">
        <f>-PMT($D$4594/$D$4596,49,$F$4613,,0)</f>
        <v/>
      </c>
      <c r="H4645" s="319">
        <f>($D$4594/$D$4596*F4645)</f>
        <v/>
      </c>
      <c r="I4645" s="319">
        <f>G4645-H4645</f>
        <v/>
      </c>
      <c r="J4645" s="319">
        <f>F4645-I4645</f>
        <v/>
      </c>
    </row>
    <row r="4646">
      <c r="B4646" s="1">
        <f>+B4645+1</f>
        <v/>
      </c>
      <c r="C4646" s="24" t="n">
        <v>46661</v>
      </c>
      <c r="D4646" s="24" t="n">
        <v>46691</v>
      </c>
      <c r="E4646" s="25">
        <f>D4646-C4646+1</f>
        <v/>
      </c>
      <c r="F4646" s="319">
        <f>J4645</f>
        <v/>
      </c>
      <c r="G4646" s="319">
        <f>-PMT($D$4594/$D$4596,49,$F$4613,,0)</f>
        <v/>
      </c>
      <c r="H4646" s="319">
        <f>($D$4594/$D$4596*F4646)</f>
        <v/>
      </c>
      <c r="I4646" s="319">
        <f>G4646-H4646</f>
        <v/>
      </c>
      <c r="J4646" s="319">
        <f>F4646-I4646</f>
        <v/>
      </c>
    </row>
    <row r="4647">
      <c r="B4647" s="1">
        <f>+B4646+1</f>
        <v/>
      </c>
      <c r="C4647" s="24" t="n">
        <v>46692</v>
      </c>
      <c r="D4647" s="24" t="n">
        <v>46721</v>
      </c>
      <c r="E4647" s="25">
        <f>D4647-C4647+1</f>
        <v/>
      </c>
      <c r="F4647" s="319">
        <f>J4646</f>
        <v/>
      </c>
      <c r="G4647" s="319">
        <f>-PMT($D$4594/$D$4596,49,$F$4613,,0)</f>
        <v/>
      </c>
      <c r="H4647" s="319">
        <f>($D$4594/$D$4596*F4647)</f>
        <v/>
      </c>
      <c r="I4647" s="319">
        <f>G4647-H4647</f>
        <v/>
      </c>
      <c r="J4647" s="319">
        <f>F4647-I4647</f>
        <v/>
      </c>
    </row>
    <row r="4648">
      <c r="B4648" s="1">
        <f>+B4647+1</f>
        <v/>
      </c>
      <c r="C4648" s="24" t="n">
        <v>46722</v>
      </c>
      <c r="D4648" s="24" t="n">
        <v>46752</v>
      </c>
      <c r="E4648" s="25">
        <f>D4648-C4648+1</f>
        <v/>
      </c>
      <c r="F4648" s="319">
        <f>J4647</f>
        <v/>
      </c>
      <c r="G4648" s="319">
        <f>-PMT($D$4594/$D$4596,49,$F$4613,,0)</f>
        <v/>
      </c>
      <c r="H4648" s="319">
        <f>($D$4594/$D$4596*F4648)</f>
        <v/>
      </c>
      <c r="I4648" s="319">
        <f>G4648-H4648</f>
        <v/>
      </c>
      <c r="J4648" s="319">
        <f>F4648-I4648</f>
        <v/>
      </c>
    </row>
    <row r="4649">
      <c r="B4649" s="1">
        <f>+B4648+1</f>
        <v/>
      </c>
      <c r="C4649" s="24" t="n">
        <v>46753</v>
      </c>
      <c r="D4649" s="24" t="n">
        <v>46783</v>
      </c>
      <c r="E4649" s="25">
        <f>D4649-C4649+1</f>
        <v/>
      </c>
      <c r="F4649" s="319">
        <f>J4648</f>
        <v/>
      </c>
      <c r="G4649" s="319">
        <f>-PMT($D$4594/$D$4596,49,$F$4613,,0)</f>
        <v/>
      </c>
      <c r="H4649" s="319">
        <f>($D$4594/$D$4596*F4649)</f>
        <v/>
      </c>
      <c r="I4649" s="319">
        <f>G4649-H4649</f>
        <v/>
      </c>
      <c r="J4649" s="319">
        <f>F4649-I4649</f>
        <v/>
      </c>
    </row>
    <row r="4650">
      <c r="B4650" s="1">
        <f>+B4649+1</f>
        <v/>
      </c>
      <c r="C4650" s="24" t="n">
        <v>46784</v>
      </c>
      <c r="D4650" s="24" t="n">
        <v>46812</v>
      </c>
      <c r="E4650" s="25">
        <f>D4650-C4650+1</f>
        <v/>
      </c>
      <c r="F4650" s="319">
        <f>J4649</f>
        <v/>
      </c>
      <c r="G4650" s="319">
        <f>-PMT($D$4594/$D$4596,49,$F$4613,,0)</f>
        <v/>
      </c>
      <c r="H4650" s="319">
        <f>($D$4594/$D$4596*F4650)</f>
        <v/>
      </c>
      <c r="I4650" s="319">
        <f>G4650-H4650</f>
        <v/>
      </c>
      <c r="J4650" s="319">
        <f>F4650-I4650</f>
        <v/>
      </c>
    </row>
    <row r="4651">
      <c r="B4651" s="1">
        <f>+B4650+1</f>
        <v/>
      </c>
      <c r="C4651" s="24" t="n">
        <v>46813</v>
      </c>
      <c r="D4651" s="24" t="n">
        <v>46843</v>
      </c>
      <c r="E4651" s="25">
        <f>D4651-C4651+1</f>
        <v/>
      </c>
      <c r="F4651" s="319">
        <f>J4650</f>
        <v/>
      </c>
      <c r="G4651" s="319">
        <f>-PMT($D$4594/$D$4596,49,$F$4613,,0)</f>
        <v/>
      </c>
      <c r="H4651" s="319">
        <f>($D$4594/$D$4596*F4651)</f>
        <v/>
      </c>
      <c r="I4651" s="319">
        <f>G4651-H4651</f>
        <v/>
      </c>
      <c r="J4651" s="319">
        <f>F4651-I4651</f>
        <v/>
      </c>
    </row>
    <row r="4652">
      <c r="B4652" s="1">
        <f>+B4651+1</f>
        <v/>
      </c>
      <c r="C4652" s="24" t="n">
        <v>46844</v>
      </c>
      <c r="D4652" s="24" t="n">
        <v>46873</v>
      </c>
      <c r="E4652" s="25">
        <f>D4652-C4652+1</f>
        <v/>
      </c>
      <c r="F4652" s="319">
        <f>J4651</f>
        <v/>
      </c>
      <c r="G4652" s="319">
        <f>-PMT($D$4594/$D$4596,49,$F$4613,,0)</f>
        <v/>
      </c>
      <c r="H4652" s="319">
        <f>($D$4594/$D$4596*F4652)</f>
        <v/>
      </c>
      <c r="I4652" s="319">
        <f>G4652-H4652</f>
        <v/>
      </c>
      <c r="J4652" s="319">
        <f>F4652-I4652</f>
        <v/>
      </c>
    </row>
    <row r="4653">
      <c r="B4653" s="1">
        <f>+B4652+1</f>
        <v/>
      </c>
      <c r="C4653" s="24" t="n">
        <v>46874</v>
      </c>
      <c r="D4653" s="24" t="n">
        <v>46904</v>
      </c>
      <c r="E4653" s="25">
        <f>D4653-C4653+1</f>
        <v/>
      </c>
      <c r="F4653" s="319">
        <f>J4652</f>
        <v/>
      </c>
      <c r="G4653" s="319">
        <f>-PMT($D$4594/$D$4596,49,$F$4613,,0)</f>
        <v/>
      </c>
      <c r="H4653" s="319">
        <f>($D$4594/$D$4596*F4653)</f>
        <v/>
      </c>
      <c r="I4653" s="319">
        <f>G4653-H4653</f>
        <v/>
      </c>
      <c r="J4653" s="319">
        <f>F4653-I4653</f>
        <v/>
      </c>
    </row>
    <row r="4654">
      <c r="B4654" s="1">
        <f>+B4653+1</f>
        <v/>
      </c>
      <c r="C4654" s="24" t="n">
        <v>46905</v>
      </c>
      <c r="D4654" s="24" t="n">
        <v>46934</v>
      </c>
      <c r="E4654" s="25">
        <f>D4654-C4654+1</f>
        <v/>
      </c>
      <c r="F4654" s="319">
        <f>J4653</f>
        <v/>
      </c>
      <c r="G4654" s="319">
        <f>-PMT($D$4594/$D$4596,49,$F$4613,,0)</f>
        <v/>
      </c>
      <c r="H4654" s="319">
        <f>($D$4594/$D$4596*F4654)</f>
        <v/>
      </c>
      <c r="I4654" s="319">
        <f>G4654-H4654</f>
        <v/>
      </c>
      <c r="J4654" s="319">
        <f>F4654-I4654</f>
        <v/>
      </c>
    </row>
    <row r="4655">
      <c r="B4655" s="1">
        <f>+B4654+1</f>
        <v/>
      </c>
      <c r="C4655" s="24" t="n">
        <v>46935</v>
      </c>
      <c r="D4655" s="24" t="n">
        <v>46965</v>
      </c>
      <c r="E4655" s="25">
        <f>D4655-C4655+1</f>
        <v/>
      </c>
      <c r="F4655" s="319">
        <f>J4654</f>
        <v/>
      </c>
      <c r="G4655" s="319">
        <f>-PMT($D$4594/$D$4596,49,$F$4613,,0)</f>
        <v/>
      </c>
      <c r="H4655" s="319">
        <f>($D$4594/$D$4596*F4655)</f>
        <v/>
      </c>
      <c r="I4655" s="319">
        <f>G4655-H4655</f>
        <v/>
      </c>
      <c r="J4655" s="319">
        <f>F4655-I4655</f>
        <v/>
      </c>
    </row>
    <row r="4656">
      <c r="B4656" s="1">
        <f>+B4655+1</f>
        <v/>
      </c>
      <c r="C4656" s="24" t="n">
        <v>46966</v>
      </c>
      <c r="D4656" s="24" t="n">
        <v>46996</v>
      </c>
      <c r="E4656" s="25">
        <f>D4656-C4656+1</f>
        <v/>
      </c>
      <c r="F4656" s="319">
        <f>J4655</f>
        <v/>
      </c>
      <c r="G4656" s="319">
        <f>-PMT($D$4594/$D$4596,49,$F$4613,,0)</f>
        <v/>
      </c>
      <c r="H4656" s="319">
        <f>($D$4594/$D$4596*F4656)</f>
        <v/>
      </c>
      <c r="I4656" s="319">
        <f>G4656-H4656</f>
        <v/>
      </c>
      <c r="J4656" s="319">
        <f>F4656-I4656</f>
        <v/>
      </c>
    </row>
    <row r="4657">
      <c r="B4657" s="1">
        <f>+B4656+1</f>
        <v/>
      </c>
      <c r="C4657" s="24" t="n">
        <v>46997</v>
      </c>
      <c r="D4657" s="24" t="n">
        <v>47026</v>
      </c>
      <c r="E4657" s="25">
        <f>D4657-C4657+1</f>
        <v/>
      </c>
      <c r="F4657" s="319">
        <f>J4656</f>
        <v/>
      </c>
      <c r="G4657" s="319">
        <f>-PMT($D$4594/$D$4596,49,$F$4613,,0)</f>
        <v/>
      </c>
      <c r="H4657" s="319">
        <f>($D$4594/$D$4596*F4657)</f>
        <v/>
      </c>
      <c r="I4657" s="319">
        <f>G4657-H4657</f>
        <v/>
      </c>
      <c r="J4657" s="319">
        <f>F4657-I4657</f>
        <v/>
      </c>
    </row>
    <row r="4658">
      <c r="B4658" s="1">
        <f>+B4657+1</f>
        <v/>
      </c>
      <c r="C4658" s="24" t="n">
        <v>47027</v>
      </c>
      <c r="D4658" s="24" t="n">
        <v>47057</v>
      </c>
      <c r="E4658" s="25">
        <f>D4658-C4658+1</f>
        <v/>
      </c>
      <c r="F4658" s="319">
        <f>J4657</f>
        <v/>
      </c>
      <c r="G4658" s="319">
        <f>-PMT($D$4594/$D$4596,49,$F$4613,,0)</f>
        <v/>
      </c>
      <c r="H4658" s="319">
        <f>($D$4594/$D$4596*F4658)</f>
        <v/>
      </c>
      <c r="I4658" s="319">
        <f>G4658-H4658</f>
        <v/>
      </c>
      <c r="J4658" s="319">
        <f>F4658-I4658</f>
        <v/>
      </c>
    </row>
    <row r="4659">
      <c r="B4659" s="1">
        <f>+B4658+1</f>
        <v/>
      </c>
      <c r="C4659" s="24" t="n">
        <v>47058</v>
      </c>
      <c r="D4659" s="24" t="n">
        <v>47087</v>
      </c>
      <c r="E4659" s="25">
        <f>D4659-C4659+1</f>
        <v/>
      </c>
      <c r="F4659" s="319">
        <f>J4658</f>
        <v/>
      </c>
      <c r="G4659" s="319">
        <f>-PMT($D$4594/$D$4596,49,$F$4613,,0)</f>
        <v/>
      </c>
      <c r="H4659" s="319">
        <f>($D$4594/$D$4596*F4659)</f>
        <v/>
      </c>
      <c r="I4659" s="319">
        <f>G4659-H4659</f>
        <v/>
      </c>
      <c r="J4659" s="319">
        <f>F4659-I4659</f>
        <v/>
      </c>
    </row>
    <row r="4660">
      <c r="B4660" s="1">
        <f>+B4659+1</f>
        <v/>
      </c>
      <c r="C4660" s="24" t="n">
        <v>47088</v>
      </c>
      <c r="D4660" s="24" t="n">
        <v>47118</v>
      </c>
      <c r="E4660" s="25">
        <f>D4660-C4660+1</f>
        <v/>
      </c>
      <c r="F4660" s="319">
        <f>J4659</f>
        <v/>
      </c>
      <c r="G4660" s="319">
        <f>-PMT($D$4594/$D$4596,49,$F$4613,,0)</f>
        <v/>
      </c>
      <c r="H4660" s="319">
        <f>($D$4594/$D$4596*F4660)</f>
        <v/>
      </c>
      <c r="I4660" s="319">
        <f>G4660-H4660</f>
        <v/>
      </c>
      <c r="J4660" s="319">
        <f>F4660-I4660</f>
        <v/>
      </c>
    </row>
    <row r="4661">
      <c r="B4661" s="1">
        <f>+B4660+1</f>
        <v/>
      </c>
      <c r="C4661" s="337">
        <f>+D4660+1</f>
        <v/>
      </c>
      <c r="D4661" s="337">
        <f>+C4661+30</f>
        <v/>
      </c>
      <c r="E4661" s="338" t="n">
        <v>31</v>
      </c>
      <c r="F4661" s="319">
        <f>J4660</f>
        <v/>
      </c>
      <c r="G4661" s="319">
        <f>-PMT($D$4594/$D$4596,49,$F$4613,,0)</f>
        <v/>
      </c>
      <c r="H4661" s="319">
        <f>($D$4594/$D$4596*F4661)</f>
        <v/>
      </c>
      <c r="I4661" s="319">
        <f>G4661-H4661</f>
        <v/>
      </c>
      <c r="J4661" s="319">
        <f>F4661-I4661</f>
        <v/>
      </c>
    </row>
    <row r="4662">
      <c r="B4662" s="1">
        <f>+B4661+1</f>
        <v/>
      </c>
    </row>
    <row r="4663">
      <c r="B4663" s="1" t="n"/>
    </row>
    <row r="4664">
      <c r="B4664" s="1" t="n"/>
    </row>
    <row r="4665">
      <c r="B4665" s="1" t="n"/>
    </row>
    <row r="4666">
      <c r="B4666" s="1" t="n"/>
    </row>
    <row r="4667">
      <c r="B4667" s="1" t="n"/>
      <c r="C4667" s="9" t="inlineStr">
        <is>
          <t>Kings Foundation School</t>
        </is>
      </c>
      <c r="D4667" s="319" t="n"/>
      <c r="E4667" s="319" t="n"/>
      <c r="F4667" s="319" t="n"/>
      <c r="G4667" s="319" t="n"/>
      <c r="H4667" s="319" t="n"/>
      <c r="I4667" s="319" t="n"/>
      <c r="J4667" s="319" t="n"/>
      <c r="R4667" s="514" t="inlineStr">
        <is>
          <t>E-Banker account (Dupleix)</t>
        </is>
      </c>
      <c r="S4667" s="495">
        <f>IFERROR(INDEX('Blocks'!$I$2:$I$101,MATCH(85,'Blocks'!$A$2:$A$101,0)),"")</f>
        <v/>
      </c>
    </row>
    <row r="4668">
      <c r="B4668" s="1" t="n"/>
      <c r="C4668" s="1" t="n"/>
      <c r="D4668" s="319" t="n"/>
      <c r="E4668" s="319" t="n"/>
      <c r="F4668" s="319" t="n"/>
      <c r="G4668" s="319" t="n"/>
      <c r="H4668" s="319" t="n"/>
      <c r="I4668" s="319" t="n"/>
      <c r="J4668" s="319" t="n"/>
      <c r="R4668" s="514" t="inlineStr">
        <is>
          <t>Facility (Loan Book)</t>
        </is>
      </c>
      <c r="S4668" s="495">
        <f>IFERROR(INDEX('Blocks'!$H$2:$H$101,MATCH(85,'Blocks'!$A$2:$A$101,0)),"")</f>
        <v/>
      </c>
    </row>
    <row r="4669">
      <c r="B4669" s="1" t="n"/>
      <c r="C4669" s="10" t="inlineStr">
        <is>
          <t>Principal (MK)</t>
        </is>
      </c>
      <c r="D4669" s="11" t="n">
        <v>200000000</v>
      </c>
      <c r="E4669" s="319" t="n"/>
      <c r="F4669" s="319" t="n"/>
      <c r="G4669" s="319" t="n"/>
      <c r="H4669" s="319" t="n"/>
      <c r="I4669" s="319" t="n"/>
      <c r="J4669" s="319" t="n"/>
      <c r="R4669" s="514" t="inlineStr">
        <is>
          <t>Take-on posting 31 Jul 2024</t>
        </is>
      </c>
      <c r="S4669" s="496">
        <f>IFERROR(INDEX('E-Banker master'!$N$2:$N$186,MATCH(S4667,'E-Banker master'!$A$2:$A$186,0)),"")</f>
        <v/>
      </c>
    </row>
    <row r="4670">
      <c r="B4670" s="1" t="n"/>
      <c r="C4670" s="13" t="inlineStr">
        <is>
          <t>Rate</t>
        </is>
      </c>
      <c r="D4670" s="14" t="n">
        <v>0.1</v>
      </c>
      <c r="E4670" s="257" t="n"/>
      <c r="F4670" s="319" t="n"/>
      <c r="G4670" s="319" t="n"/>
      <c r="H4670" s="319" t="n"/>
      <c r="I4670" s="319" t="n"/>
      <c r="J4670" s="319" t="n"/>
      <c r="R4670" s="514" t="inlineStr">
        <is>
          <t>E-Banker balance 31 Oct 2024</t>
        </is>
      </c>
      <c r="S4670" s="496">
        <f>IFERROR(INDEX('E-Banker master'!$P$2:$P$186,MATCH(S4667,'E-Banker master'!$A$2:$A$186,0)),"")</f>
        <v/>
      </c>
    </row>
    <row r="4671">
      <c r="B4671" s="1" t="n"/>
      <c r="C4671" s="13" t="inlineStr">
        <is>
          <t>n</t>
        </is>
      </c>
      <c r="D4671" s="16" t="n">
        <v>4</v>
      </c>
      <c r="E4671" s="1" t="n"/>
      <c r="F4671" s="319" t="n"/>
      <c r="G4671" s="319" t="n"/>
      <c r="H4671" s="319" t="n"/>
      <c r="I4671" s="319" t="n"/>
      <c r="J4671" s="319" t="n"/>
    </row>
    <row r="4672">
      <c r="B4672" s="1" t="n"/>
      <c r="C4672" s="13" t="inlineStr">
        <is>
          <t>Per</t>
        </is>
      </c>
      <c r="D4672" s="16" t="n">
        <v>12</v>
      </c>
      <c r="E4672" s="1" t="n"/>
      <c r="F4672" s="319" t="n"/>
      <c r="G4672" s="319" t="n"/>
      <c r="H4672" s="319" t="n"/>
      <c r="I4672" s="319" t="n"/>
      <c r="J4672" s="319" t="n"/>
    </row>
    <row r="4673">
      <c r="B4673" s="1" t="n"/>
      <c r="C4673" s="13" t="inlineStr">
        <is>
          <t>nPer</t>
        </is>
      </c>
      <c r="D4673" s="515">
        <f>+D4672*D4671</f>
        <v/>
      </c>
      <c r="E4673" s="1" t="n"/>
      <c r="F4673" s="319" t="n"/>
      <c r="G4673" s="319" t="n"/>
      <c r="H4673" s="319" t="n"/>
      <c r="I4673" s="319" t="n"/>
      <c r="J4673" s="319" t="n"/>
    </row>
    <row r="4674">
      <c r="B4674" s="1" t="n"/>
      <c r="C4674" s="13" t="inlineStr">
        <is>
          <t>Days in a year</t>
        </is>
      </c>
      <c r="D4674" s="18" t="n">
        <v>365</v>
      </c>
      <c r="E4674" s="1" t="n"/>
      <c r="F4674" s="319" t="n"/>
      <c r="G4674" s="319" t="n"/>
      <c r="H4674" s="319" t="n"/>
      <c r="I4674" s="319" t="n"/>
      <c r="J4674" s="319" t="n"/>
    </row>
    <row r="4675">
      <c r="B4675" s="1" t="n"/>
      <c r="C4675" s="19" t="inlineStr">
        <is>
          <t>Pmt (MK)</t>
        </is>
      </c>
      <c r="D4675" s="534">
        <f>-PMT(D4670/D4672,D4673,D4669,0,0)</f>
        <v/>
      </c>
      <c r="E4675" s="319" t="n"/>
      <c r="F4675" s="319" t="n"/>
      <c r="G4675" s="319" t="n"/>
      <c r="H4675" s="319" t="n"/>
      <c r="I4675" s="319" t="n"/>
      <c r="J4675" s="319" t="n"/>
    </row>
    <row r="4676">
      <c r="B4676" s="1" t="n"/>
      <c r="C4676" s="1" t="n"/>
      <c r="D4676" s="319" t="n"/>
      <c r="E4676" s="319" t="n"/>
      <c r="F4676" s="319" t="n"/>
      <c r="G4676" s="319" t="n"/>
      <c r="H4676" s="319" t="n"/>
      <c r="I4676" s="319" t="n"/>
      <c r="J4676" s="319" t="n"/>
    </row>
    <row r="4677">
      <c r="B4677" s="1" t="n"/>
      <c r="C4677" s="21" t="inlineStr">
        <is>
          <t>Period Start</t>
        </is>
      </c>
      <c r="D4677" s="22" t="inlineStr">
        <is>
          <t>Period End</t>
        </is>
      </c>
      <c r="E4677" s="22" t="inlineStr">
        <is>
          <t>Days</t>
        </is>
      </c>
      <c r="F4677" s="294" t="inlineStr">
        <is>
          <t>Opening bal.</t>
        </is>
      </c>
      <c r="G4677" s="294" t="inlineStr">
        <is>
          <t>Pmt</t>
        </is>
      </c>
      <c r="H4677" s="294" t="inlineStr">
        <is>
          <t>Interest</t>
        </is>
      </c>
      <c r="I4677" s="294" t="inlineStr">
        <is>
          <t>Principal</t>
        </is>
      </c>
      <c r="J4677" s="294" t="inlineStr">
        <is>
          <t>Closing balance</t>
        </is>
      </c>
      <c r="K4677" s="23" t="inlineStr">
        <is>
          <t>Amount Repaid</t>
        </is>
      </c>
      <c r="L4677" s="23" t="inlineStr">
        <is>
          <t>Accumulated Arrears</t>
        </is>
      </c>
    </row>
    <row r="4678">
      <c r="B4678" s="1" t="n">
        <v>0</v>
      </c>
      <c r="C4678" s="24" t="n">
        <v>45323</v>
      </c>
      <c r="D4678" s="24" t="n">
        <v>45351</v>
      </c>
      <c r="E4678" s="25" t="n">
        <v>29</v>
      </c>
      <c r="F4678" s="319">
        <f>D4669</f>
        <v/>
      </c>
      <c r="G4678" s="319">
        <f>+H4678</f>
        <v/>
      </c>
      <c r="H4678" s="319">
        <f>($D$4670/$D$4672*F4678)</f>
        <v/>
      </c>
      <c r="I4678" s="319">
        <f>G4678-H4678</f>
        <v/>
      </c>
      <c r="J4678" s="319">
        <f>F4678-I4678</f>
        <v/>
      </c>
      <c r="L4678" s="148">
        <f>+G4678</f>
        <v/>
      </c>
    </row>
    <row r="4679">
      <c r="B4679" s="1" t="n">
        <v>1</v>
      </c>
      <c r="C4679" s="24" t="n">
        <v>45352</v>
      </c>
      <c r="D4679" s="24" t="n">
        <v>45382</v>
      </c>
      <c r="E4679" s="25" t="n">
        <v>31</v>
      </c>
      <c r="F4679" s="319">
        <f>J4678</f>
        <v/>
      </c>
      <c r="G4679" s="319">
        <f>+H4679</f>
        <v/>
      </c>
      <c r="H4679" s="319">
        <f>($D$4670/$D$4672*F4679)</f>
        <v/>
      </c>
      <c r="I4679" s="319">
        <f>G4679-H4679</f>
        <v/>
      </c>
      <c r="J4679" s="319">
        <f>F4679-I4679</f>
        <v/>
      </c>
      <c r="K4679" s="237" t="n">
        <v>3340000</v>
      </c>
      <c r="L4679" s="148">
        <f>+L4678+G4679-K4679</f>
        <v/>
      </c>
    </row>
    <row r="4680">
      <c r="B4680" s="1" t="n">
        <v>2</v>
      </c>
      <c r="C4680" s="24" t="n">
        <v>45383</v>
      </c>
      <c r="D4680" s="24" t="n">
        <v>45412</v>
      </c>
      <c r="E4680" s="25" t="n">
        <v>30</v>
      </c>
      <c r="F4680" s="319">
        <f>J4679</f>
        <v/>
      </c>
      <c r="G4680" s="319">
        <f>+H4680</f>
        <v/>
      </c>
      <c r="H4680" s="319">
        <f>($D$4670/$D$4672*F4680)</f>
        <v/>
      </c>
      <c r="I4680" s="319">
        <f>G4680-H4680</f>
        <v/>
      </c>
      <c r="J4680" s="319">
        <f>F4680-I4680</f>
        <v/>
      </c>
      <c r="K4680" s="237" t="n">
        <v>1666667</v>
      </c>
      <c r="L4680" s="148">
        <f>+L4679+G4680-K4680</f>
        <v/>
      </c>
    </row>
    <row r="4681">
      <c r="B4681" s="1">
        <f>+B4680+1</f>
        <v/>
      </c>
      <c r="C4681" s="24" t="n">
        <v>45413</v>
      </c>
      <c r="D4681" s="24" t="n">
        <v>45443</v>
      </c>
      <c r="E4681" s="25" t="n">
        <v>31</v>
      </c>
      <c r="F4681" s="319">
        <f>J4680</f>
        <v/>
      </c>
      <c r="G4681" s="319">
        <f>+H4681</f>
        <v/>
      </c>
      <c r="H4681" s="319">
        <f>($D$4670/$D$4672*F4681)</f>
        <v/>
      </c>
      <c r="I4681" s="319">
        <f>G4681-H4681</f>
        <v/>
      </c>
      <c r="J4681" s="319">
        <f>F4681-I4681</f>
        <v/>
      </c>
      <c r="K4681" s="237" t="n">
        <v>1666667</v>
      </c>
      <c r="L4681" s="148">
        <f>+L4680+G4681-K4681</f>
        <v/>
      </c>
    </row>
    <row r="4682">
      <c r="B4682" s="1">
        <f>+B4681+1</f>
        <v/>
      </c>
      <c r="C4682" s="24" t="n">
        <v>45444</v>
      </c>
      <c r="D4682" s="24" t="n">
        <v>45473</v>
      </c>
      <c r="E4682" s="25" t="n">
        <v>30</v>
      </c>
      <c r="F4682" s="319">
        <f>J4681</f>
        <v/>
      </c>
      <c r="G4682" s="319">
        <f>+H4682</f>
        <v/>
      </c>
      <c r="H4682" s="319">
        <f>($D$4670/$D$4672*F4682)</f>
        <v/>
      </c>
      <c r="I4682" s="319">
        <f>G4682-H4682</f>
        <v/>
      </c>
      <c r="J4682" s="319">
        <f>F4682-I4682</f>
        <v/>
      </c>
      <c r="L4682" s="148">
        <f>+L4681+G4682-K4682</f>
        <v/>
      </c>
    </row>
    <row r="4683">
      <c r="B4683" s="1">
        <f>+B4682+1</f>
        <v/>
      </c>
      <c r="C4683" s="24" t="n">
        <v>45474</v>
      </c>
      <c r="D4683" s="24" t="n">
        <v>45504</v>
      </c>
      <c r="E4683" s="25" t="n">
        <v>31</v>
      </c>
      <c r="F4683" s="319">
        <f>J4682</f>
        <v/>
      </c>
      <c r="G4683" s="319">
        <f>+H4683</f>
        <v/>
      </c>
      <c r="H4683" s="319">
        <f>($D$4670/$D$4672*F4683)</f>
        <v/>
      </c>
      <c r="I4683" s="319">
        <f>G4683-H4683</f>
        <v/>
      </c>
      <c r="J4683" s="319">
        <f>F4683-I4683</f>
        <v/>
      </c>
      <c r="K4683" s="237" t="n">
        <v>1666667</v>
      </c>
      <c r="L4683" s="148">
        <f>+L4682+G4683-K4683</f>
        <v/>
      </c>
    </row>
    <row r="4684">
      <c r="B4684" s="1">
        <f>+B4683+1</f>
        <v/>
      </c>
      <c r="C4684" s="24" t="n">
        <v>45505</v>
      </c>
      <c r="D4684" s="24" t="n">
        <v>45535</v>
      </c>
      <c r="E4684" s="25" t="n">
        <v>31</v>
      </c>
      <c r="F4684" s="319">
        <f>J4683</f>
        <v/>
      </c>
      <c r="G4684" s="319">
        <f>-PMT($D$4670/$D$4672,42,$F$4684,,0)</f>
        <v/>
      </c>
      <c r="H4684" s="319">
        <f>($D$4670/$D$4672*F4684)</f>
        <v/>
      </c>
      <c r="I4684" s="319">
        <f>G4684-H4684</f>
        <v/>
      </c>
      <c r="J4684" s="319">
        <f>F4684-I4684</f>
        <v/>
      </c>
      <c r="L4684" s="148">
        <f>+L4683+G4684-K4684</f>
        <v/>
      </c>
    </row>
    <row r="4685">
      <c r="B4685" s="1">
        <f>+B4684+1</f>
        <v/>
      </c>
      <c r="C4685" s="24" t="n">
        <v>45536</v>
      </c>
      <c r="D4685" s="24" t="n">
        <v>45565</v>
      </c>
      <c r="E4685" s="25" t="n">
        <v>30</v>
      </c>
      <c r="F4685" s="319">
        <f>J4684</f>
        <v/>
      </c>
      <c r="G4685" s="319">
        <f>-PMT($D$4670/$D$4672,42,$F$4684,,0)</f>
        <v/>
      </c>
      <c r="H4685" s="319">
        <f>($D$4670/$D$4672*F4685)</f>
        <v/>
      </c>
      <c r="I4685" s="319">
        <f>G4685-H4685</f>
        <v/>
      </c>
      <c r="J4685" s="319">
        <f>F4685-I4685</f>
        <v/>
      </c>
      <c r="K4685" s="237">
        <f>3500000+3823000</f>
        <v/>
      </c>
      <c r="L4685" s="148">
        <f>+L4684+G4685-K4685</f>
        <v/>
      </c>
    </row>
    <row r="4686">
      <c r="B4686" s="1">
        <f>+B4685+1</f>
        <v/>
      </c>
      <c r="C4686" s="24" t="n">
        <v>45566</v>
      </c>
      <c r="D4686" s="24" t="n">
        <v>45596</v>
      </c>
      <c r="E4686" s="25" t="n">
        <v>31</v>
      </c>
      <c r="F4686" s="319">
        <f>J4685</f>
        <v/>
      </c>
      <c r="G4686" s="319">
        <f>-PMT($D$4670/$D$4672,42,$F$4684,,0)</f>
        <v/>
      </c>
      <c r="H4686" s="319">
        <f>($D$4670/$D$4672*F4686)</f>
        <v/>
      </c>
      <c r="I4686" s="319">
        <f>G4686-H4686</f>
        <v/>
      </c>
      <c r="J4686" s="319">
        <f>F4686-I4686</f>
        <v/>
      </c>
      <c r="L4686" s="352">
        <f>+L4685+G4686-K4686</f>
        <v/>
      </c>
    </row>
    <row r="4687">
      <c r="B4687" s="1">
        <f>+B4686+1</f>
        <v/>
      </c>
      <c r="C4687" s="24" t="n">
        <v>45597</v>
      </c>
      <c r="D4687" s="24" t="n">
        <v>45626</v>
      </c>
      <c r="E4687" s="25" t="n">
        <v>30</v>
      </c>
      <c r="F4687" s="319">
        <f>J4686</f>
        <v/>
      </c>
      <c r="G4687" s="319">
        <f>-PMT($D$4670/$D$4672,42,$F$4684,,0)</f>
        <v/>
      </c>
      <c r="H4687" s="319">
        <f>($D$4670/$D$4672*F4687)</f>
        <v/>
      </c>
      <c r="I4687" s="319">
        <f>G4687-H4687</f>
        <v/>
      </c>
      <c r="J4687" s="319">
        <f>F4687-I4687</f>
        <v/>
      </c>
    </row>
    <row r="4688">
      <c r="B4688" s="1">
        <f>+B4687+1</f>
        <v/>
      </c>
      <c r="C4688" s="24" t="n">
        <v>45627</v>
      </c>
      <c r="D4688" s="24" t="n">
        <v>45657</v>
      </c>
      <c r="E4688" s="25" t="n">
        <v>31</v>
      </c>
      <c r="F4688" s="319">
        <f>J4687</f>
        <v/>
      </c>
      <c r="G4688" s="319">
        <f>-PMT($D$4670/$D$4672,42,$F$4684,,0)</f>
        <v/>
      </c>
      <c r="H4688" s="319">
        <f>($D$4670/$D$4672*F4688)</f>
        <v/>
      </c>
      <c r="I4688" s="319">
        <f>G4688-H4688</f>
        <v/>
      </c>
      <c r="J4688" s="319">
        <f>F4688-I4688</f>
        <v/>
      </c>
    </row>
    <row r="4689">
      <c r="B4689" s="1">
        <f>+B4688+1</f>
        <v/>
      </c>
      <c r="C4689" s="24" t="n">
        <v>45658</v>
      </c>
      <c r="D4689" s="24" t="n">
        <v>45688</v>
      </c>
      <c r="E4689" s="25" t="n">
        <v>31</v>
      </c>
      <c r="F4689" s="319">
        <f>J4688</f>
        <v/>
      </c>
      <c r="G4689" s="319">
        <f>-PMT($D$4670/$D$4672,42,$F$4684,,0)</f>
        <v/>
      </c>
      <c r="H4689" s="319">
        <f>($D$4670/$D$4672*F4689)</f>
        <v/>
      </c>
      <c r="I4689" s="319">
        <f>G4689-H4689</f>
        <v/>
      </c>
      <c r="J4689" s="319">
        <f>F4689-I4689</f>
        <v/>
      </c>
    </row>
    <row r="4690">
      <c r="B4690" s="1">
        <f>+B4689+1</f>
        <v/>
      </c>
      <c r="C4690" s="24" t="n">
        <v>45689</v>
      </c>
      <c r="D4690" s="24" t="n">
        <v>45716</v>
      </c>
      <c r="E4690" s="25" t="n">
        <v>28</v>
      </c>
      <c r="F4690" s="319">
        <f>J4689</f>
        <v/>
      </c>
      <c r="G4690" s="319">
        <f>-PMT($D$4670/$D$4672,42,$F$4684,,0)</f>
        <v/>
      </c>
      <c r="H4690" s="319">
        <f>($D$4670/$D$4672*F4690)</f>
        <v/>
      </c>
      <c r="I4690" s="319">
        <f>G4690-H4690</f>
        <v/>
      </c>
      <c r="J4690" s="319">
        <f>F4690-I4690</f>
        <v/>
      </c>
    </row>
    <row r="4691">
      <c r="B4691" s="1">
        <f>+B4690+1</f>
        <v/>
      </c>
      <c r="C4691" s="24" t="n">
        <v>45717</v>
      </c>
      <c r="D4691" s="24" t="n">
        <v>45747</v>
      </c>
      <c r="E4691" s="25" t="n">
        <v>31</v>
      </c>
      <c r="F4691" s="319">
        <f>J4690</f>
        <v/>
      </c>
      <c r="G4691" s="319">
        <f>-PMT($D$4670/$D$4672,42,$F$4684,,0)</f>
        <v/>
      </c>
      <c r="H4691" s="319">
        <f>($D$4670/$D$4672*F4691)</f>
        <v/>
      </c>
      <c r="I4691" s="319">
        <f>G4691-H4691</f>
        <v/>
      </c>
      <c r="J4691" s="319">
        <f>F4691-I4691</f>
        <v/>
      </c>
    </row>
    <row r="4692">
      <c r="B4692" s="1">
        <f>+B4691+1</f>
        <v/>
      </c>
      <c r="C4692" s="24" t="n">
        <v>45748</v>
      </c>
      <c r="D4692" s="24" t="n">
        <v>45777</v>
      </c>
      <c r="E4692" s="25" t="n">
        <v>30</v>
      </c>
      <c r="F4692" s="319">
        <f>J4691</f>
        <v/>
      </c>
      <c r="G4692" s="319">
        <f>-PMT($D$4670/$D$4672,42,$F$4684,,0)</f>
        <v/>
      </c>
      <c r="H4692" s="319">
        <f>($D$4670/$D$4672*F4692)</f>
        <v/>
      </c>
      <c r="I4692" s="319">
        <f>G4692-H4692</f>
        <v/>
      </c>
      <c r="J4692" s="319">
        <f>F4692-I4692</f>
        <v/>
      </c>
    </row>
    <row r="4693">
      <c r="B4693" s="1">
        <f>+B4692+1</f>
        <v/>
      </c>
      <c r="C4693" s="24" t="n">
        <v>45778</v>
      </c>
      <c r="D4693" s="24" t="n">
        <v>45808</v>
      </c>
      <c r="E4693" s="25" t="n">
        <v>31</v>
      </c>
      <c r="F4693" s="319">
        <f>J4692</f>
        <v/>
      </c>
      <c r="G4693" s="319">
        <f>-PMT($D$4670/$D$4672,42,$F$4684,,0)</f>
        <v/>
      </c>
      <c r="H4693" s="319">
        <f>($D$4670/$D$4672*F4693)</f>
        <v/>
      </c>
      <c r="I4693" s="319">
        <f>G4693-H4693</f>
        <v/>
      </c>
      <c r="J4693" s="319">
        <f>F4693-I4693</f>
        <v/>
      </c>
    </row>
    <row r="4694">
      <c r="B4694" s="1">
        <f>+B4693+1</f>
        <v/>
      </c>
      <c r="C4694" s="24" t="n">
        <v>45809</v>
      </c>
      <c r="D4694" s="24" t="n">
        <v>45838</v>
      </c>
      <c r="E4694" s="25" t="n">
        <v>30</v>
      </c>
      <c r="F4694" s="319">
        <f>J4693</f>
        <v/>
      </c>
      <c r="G4694" s="319">
        <f>-PMT($D$4670/$D$4672,42,$F$4684,,0)</f>
        <v/>
      </c>
      <c r="H4694" s="319">
        <f>($D$4670/$D$4672*F4694)</f>
        <v/>
      </c>
      <c r="I4694" s="319">
        <f>G4694-H4694</f>
        <v/>
      </c>
      <c r="J4694" s="319">
        <f>F4694-I4694</f>
        <v/>
      </c>
    </row>
    <row r="4695">
      <c r="B4695" s="1">
        <f>+B4694+1</f>
        <v/>
      </c>
      <c r="C4695" s="24" t="n">
        <v>45839</v>
      </c>
      <c r="D4695" s="24" t="n">
        <v>45868</v>
      </c>
      <c r="E4695" s="25" t="n">
        <v>30</v>
      </c>
      <c r="F4695" s="319">
        <f>J4694</f>
        <v/>
      </c>
      <c r="G4695" s="319">
        <f>-PMT($D$4670/$D$4672,42,$F$4684,,0)</f>
        <v/>
      </c>
      <c r="H4695" s="319">
        <f>($D$4670/$D$4672*F4695)</f>
        <v/>
      </c>
      <c r="I4695" s="319">
        <f>G4695-H4695</f>
        <v/>
      </c>
      <c r="J4695" s="319">
        <f>F4695-I4695</f>
        <v/>
      </c>
    </row>
    <row r="4696">
      <c r="B4696" s="1">
        <f>+B4695+1</f>
        <v/>
      </c>
      <c r="C4696" s="24" t="n">
        <v>45870</v>
      </c>
      <c r="D4696" s="24" t="n">
        <v>45899</v>
      </c>
      <c r="E4696" s="25" t="n">
        <v>30</v>
      </c>
      <c r="F4696" s="319">
        <f>J4695</f>
        <v/>
      </c>
      <c r="G4696" s="319">
        <f>-PMT($D$4670/$D$4672,42,$F$4684,,0)</f>
        <v/>
      </c>
      <c r="H4696" s="319">
        <f>($D$4670/$D$4672*F4696)</f>
        <v/>
      </c>
      <c r="I4696" s="319">
        <f>G4696-H4696</f>
        <v/>
      </c>
      <c r="J4696" s="319">
        <f>F4696-I4696</f>
        <v/>
      </c>
    </row>
    <row r="4697">
      <c r="B4697" s="1">
        <f>+B4696+1</f>
        <v/>
      </c>
      <c r="C4697" s="24" t="n">
        <v>45901</v>
      </c>
      <c r="D4697" s="24" t="n">
        <v>45930</v>
      </c>
      <c r="E4697" s="25" t="n">
        <v>30</v>
      </c>
      <c r="F4697" s="319">
        <f>J4696</f>
        <v/>
      </c>
      <c r="G4697" s="319">
        <f>-PMT($D$4670/$D$4672,42,$F$4684,,0)</f>
        <v/>
      </c>
      <c r="H4697" s="319">
        <f>($D$4670/$D$4672*F4697)</f>
        <v/>
      </c>
      <c r="I4697" s="319">
        <f>G4697-H4697</f>
        <v/>
      </c>
      <c r="J4697" s="319">
        <f>F4697-I4697</f>
        <v/>
      </c>
    </row>
    <row r="4698">
      <c r="B4698" s="1">
        <f>+B4697+1</f>
        <v/>
      </c>
      <c r="C4698" s="24" t="n">
        <v>45931</v>
      </c>
      <c r="D4698" s="24" t="n">
        <v>45961</v>
      </c>
      <c r="E4698" s="25" t="n">
        <v>31</v>
      </c>
      <c r="F4698" s="319">
        <f>J4697</f>
        <v/>
      </c>
      <c r="G4698" s="319">
        <f>-PMT($D$4670/$D$4672,42,$F$4684,,0)</f>
        <v/>
      </c>
      <c r="H4698" s="319">
        <f>($D$4670/$D$4672*F4698)</f>
        <v/>
      </c>
      <c r="I4698" s="319">
        <f>G4698-H4698</f>
        <v/>
      </c>
      <c r="J4698" s="319">
        <f>F4698-I4698</f>
        <v/>
      </c>
    </row>
    <row r="4699">
      <c r="B4699" s="1">
        <f>+B4698+1</f>
        <v/>
      </c>
      <c r="C4699" s="24" t="n">
        <v>45962</v>
      </c>
      <c r="D4699" s="24" t="n">
        <v>45991</v>
      </c>
      <c r="E4699" s="25" t="n">
        <v>30</v>
      </c>
      <c r="F4699" s="319">
        <f>J4698</f>
        <v/>
      </c>
      <c r="G4699" s="319">
        <f>-PMT($D$4670/$D$4672,42,$F$4684,,0)</f>
        <v/>
      </c>
      <c r="H4699" s="319">
        <f>($D$4670/$D$4672*F4699)</f>
        <v/>
      </c>
      <c r="I4699" s="319">
        <f>G4699-H4699</f>
        <v/>
      </c>
      <c r="J4699" s="319">
        <f>F4699-I4699</f>
        <v/>
      </c>
    </row>
    <row r="4700">
      <c r="B4700" s="1">
        <f>+B4699+1</f>
        <v/>
      </c>
      <c r="C4700" s="24" t="n">
        <v>45992</v>
      </c>
      <c r="D4700" s="24" t="n">
        <v>46022</v>
      </c>
      <c r="E4700" s="25" t="n">
        <v>31</v>
      </c>
      <c r="F4700" s="319">
        <f>J4699</f>
        <v/>
      </c>
      <c r="G4700" s="319">
        <f>-PMT($D$4670/$D$4672,42,$F$4684,,0)</f>
        <v/>
      </c>
      <c r="H4700" s="319">
        <f>($D$4670/$D$4672*F4700)</f>
        <v/>
      </c>
      <c r="I4700" s="319">
        <f>G4700-H4700</f>
        <v/>
      </c>
      <c r="J4700" s="319">
        <f>F4700-I4700</f>
        <v/>
      </c>
    </row>
    <row r="4701">
      <c r="B4701" s="1">
        <f>+B4700+1</f>
        <v/>
      </c>
      <c r="C4701" s="24" t="n">
        <v>46023</v>
      </c>
      <c r="D4701" s="24" t="n">
        <v>46053</v>
      </c>
      <c r="E4701" s="25" t="n">
        <v>31</v>
      </c>
      <c r="F4701" s="319">
        <f>J4700</f>
        <v/>
      </c>
      <c r="G4701" s="319">
        <f>-PMT($D$4670/$D$4672,42,$F$4684,,0)</f>
        <v/>
      </c>
      <c r="H4701" s="319">
        <f>($D$4670/$D$4672*F4701)</f>
        <v/>
      </c>
      <c r="I4701" s="319">
        <f>G4701-H4701</f>
        <v/>
      </c>
      <c r="J4701" s="319">
        <f>F4701-I4701</f>
        <v/>
      </c>
    </row>
    <row r="4702">
      <c r="B4702" s="1">
        <f>+B4701+1</f>
        <v/>
      </c>
      <c r="C4702" s="24" t="n">
        <v>46054</v>
      </c>
      <c r="D4702" s="24" t="n">
        <v>46081</v>
      </c>
      <c r="E4702" s="25" t="n">
        <v>28</v>
      </c>
      <c r="F4702" s="319">
        <f>J4701</f>
        <v/>
      </c>
      <c r="G4702" s="319">
        <f>-PMT($D$4670/$D$4672,42,$F$4684,,0)</f>
        <v/>
      </c>
      <c r="H4702" s="319">
        <f>($D$4670/$D$4672*F4702)</f>
        <v/>
      </c>
      <c r="I4702" s="319">
        <f>G4702-H4702</f>
        <v/>
      </c>
      <c r="J4702" s="319">
        <f>F4702-I4702</f>
        <v/>
      </c>
    </row>
    <row r="4703">
      <c r="B4703" s="1">
        <f>+B4702+1</f>
        <v/>
      </c>
      <c r="C4703" s="24" t="n">
        <v>46082</v>
      </c>
      <c r="D4703" s="24" t="n">
        <v>46112</v>
      </c>
      <c r="E4703" s="25" t="n">
        <v>31</v>
      </c>
      <c r="F4703" s="319">
        <f>J4702</f>
        <v/>
      </c>
      <c r="G4703" s="319">
        <f>-PMT($D$4670/$D$4672,42,$F$4684,,0)</f>
        <v/>
      </c>
      <c r="H4703" s="319">
        <f>($D$4670/$D$4672*F4703)</f>
        <v/>
      </c>
      <c r="I4703" s="319">
        <f>G4703-H4703</f>
        <v/>
      </c>
      <c r="J4703" s="319">
        <f>F4703-I4703</f>
        <v/>
      </c>
    </row>
    <row r="4704">
      <c r="B4704" s="1">
        <f>+B4703+1</f>
        <v/>
      </c>
      <c r="C4704" s="24" t="n">
        <v>46113</v>
      </c>
      <c r="D4704" s="24" t="n">
        <v>46142</v>
      </c>
      <c r="E4704" s="25" t="n">
        <v>30</v>
      </c>
      <c r="F4704" s="319">
        <f>J4703</f>
        <v/>
      </c>
      <c r="G4704" s="319">
        <f>-PMT($D$4670/$D$4672,42,$F$4684,,0)</f>
        <v/>
      </c>
      <c r="H4704" s="319">
        <f>($D$4670/$D$4672*F4704)</f>
        <v/>
      </c>
      <c r="I4704" s="319">
        <f>G4704-H4704</f>
        <v/>
      </c>
      <c r="J4704" s="319">
        <f>F4704-I4704</f>
        <v/>
      </c>
    </row>
    <row r="4705">
      <c r="B4705" s="1">
        <f>+B4704+1</f>
        <v/>
      </c>
      <c r="C4705" s="24" t="n">
        <v>46143</v>
      </c>
      <c r="D4705" s="24" t="n">
        <v>46173</v>
      </c>
      <c r="E4705" s="25" t="n">
        <v>31</v>
      </c>
      <c r="F4705" s="319">
        <f>J4704</f>
        <v/>
      </c>
      <c r="G4705" s="319">
        <f>-PMT($D$4670/$D$4672,42,$F$4684,,0)</f>
        <v/>
      </c>
      <c r="H4705" s="319">
        <f>($D$4670/$D$4672*F4705)</f>
        <v/>
      </c>
      <c r="I4705" s="319">
        <f>G4705-H4705</f>
        <v/>
      </c>
      <c r="J4705" s="319">
        <f>F4705-I4705</f>
        <v/>
      </c>
    </row>
    <row r="4706">
      <c r="B4706" s="1">
        <f>+B4705+1</f>
        <v/>
      </c>
      <c r="C4706" s="24" t="n">
        <v>46174</v>
      </c>
      <c r="D4706" s="24" t="n">
        <v>46203</v>
      </c>
      <c r="E4706" s="25" t="n">
        <v>30</v>
      </c>
      <c r="F4706" s="319">
        <f>J4705</f>
        <v/>
      </c>
      <c r="G4706" s="319">
        <f>-PMT($D$4670/$D$4672,42,$F$4684,,0)</f>
        <v/>
      </c>
      <c r="H4706" s="319">
        <f>($D$4670/$D$4672*F4706)</f>
        <v/>
      </c>
      <c r="I4706" s="319">
        <f>G4706-H4706</f>
        <v/>
      </c>
      <c r="J4706" s="319">
        <f>F4706-I4706</f>
        <v/>
      </c>
    </row>
    <row r="4707">
      <c r="B4707" s="1">
        <f>+B4706+1</f>
        <v/>
      </c>
      <c r="C4707" s="24" t="n">
        <v>46204</v>
      </c>
      <c r="D4707" s="24" t="n">
        <v>46234</v>
      </c>
      <c r="E4707" s="25" t="n">
        <v>31</v>
      </c>
      <c r="F4707" s="319">
        <f>J4706</f>
        <v/>
      </c>
      <c r="G4707" s="319">
        <f>-PMT($D$4670/$D$4672,42,$F$4684,,0)</f>
        <v/>
      </c>
      <c r="H4707" s="319">
        <f>($D$4670/$D$4672*F4707)</f>
        <v/>
      </c>
      <c r="I4707" s="319">
        <f>G4707-H4707</f>
        <v/>
      </c>
      <c r="J4707" s="319">
        <f>F4707-I4707</f>
        <v/>
      </c>
    </row>
    <row r="4708">
      <c r="B4708" s="1">
        <f>+B4707+1</f>
        <v/>
      </c>
      <c r="C4708" s="24" t="n">
        <v>46235</v>
      </c>
      <c r="D4708" s="24" t="n">
        <v>46265</v>
      </c>
      <c r="E4708" s="25" t="n">
        <v>31</v>
      </c>
      <c r="F4708" s="319">
        <f>J4707</f>
        <v/>
      </c>
      <c r="G4708" s="319">
        <f>-PMT($D$4670/$D$4672,42,$F$4684,,0)</f>
        <v/>
      </c>
      <c r="H4708" s="319">
        <f>($D$4670/$D$4672*F4708)</f>
        <v/>
      </c>
      <c r="I4708" s="319">
        <f>G4708-H4708</f>
        <v/>
      </c>
      <c r="J4708" s="319">
        <f>F4708-I4708</f>
        <v/>
      </c>
    </row>
    <row r="4709">
      <c r="B4709" s="1">
        <f>+B4708+1</f>
        <v/>
      </c>
      <c r="C4709" s="24" t="n">
        <v>46266</v>
      </c>
      <c r="D4709" s="24" t="n">
        <v>46295</v>
      </c>
      <c r="E4709" s="25" t="n">
        <v>30</v>
      </c>
      <c r="F4709" s="319">
        <f>J4708</f>
        <v/>
      </c>
      <c r="G4709" s="319">
        <f>-PMT($D$4670/$D$4672,42,$F$4684,,0)</f>
        <v/>
      </c>
      <c r="H4709" s="319">
        <f>($D$4670/$D$4672*F4709)</f>
        <v/>
      </c>
      <c r="I4709" s="319">
        <f>G4709-H4709</f>
        <v/>
      </c>
      <c r="J4709" s="319">
        <f>F4709-I4709</f>
        <v/>
      </c>
    </row>
    <row r="4710">
      <c r="B4710" s="1">
        <f>+B4709+1</f>
        <v/>
      </c>
      <c r="C4710" s="24" t="n">
        <v>46296</v>
      </c>
      <c r="D4710" s="24" t="n">
        <v>46326</v>
      </c>
      <c r="E4710" s="25" t="n">
        <v>31</v>
      </c>
      <c r="F4710" s="319">
        <f>J4709</f>
        <v/>
      </c>
      <c r="G4710" s="319">
        <f>-PMT($D$4670/$D$4672,42,$F$4684,,0)</f>
        <v/>
      </c>
      <c r="H4710" s="319">
        <f>($D$4670/$D$4672*F4710)</f>
        <v/>
      </c>
      <c r="I4710" s="319">
        <f>G4710-H4710</f>
        <v/>
      </c>
      <c r="J4710" s="319">
        <f>F4710-I4710</f>
        <v/>
      </c>
    </row>
    <row r="4711">
      <c r="B4711" s="1">
        <f>+B4710+1</f>
        <v/>
      </c>
      <c r="C4711" s="24" t="n">
        <v>46327</v>
      </c>
      <c r="D4711" s="24" t="n">
        <v>46356</v>
      </c>
      <c r="E4711" s="25" t="n">
        <v>30</v>
      </c>
      <c r="F4711" s="319">
        <f>J4710</f>
        <v/>
      </c>
      <c r="G4711" s="319">
        <f>-PMT($D$4670/$D$4672,42,$F$4684,,0)</f>
        <v/>
      </c>
      <c r="H4711" s="319">
        <f>($D$4670/$D$4672*F4711)</f>
        <v/>
      </c>
      <c r="I4711" s="319">
        <f>G4711-H4711</f>
        <v/>
      </c>
      <c r="J4711" s="319">
        <f>F4711-I4711</f>
        <v/>
      </c>
    </row>
    <row r="4712">
      <c r="B4712" s="1">
        <f>+B4711+1</f>
        <v/>
      </c>
      <c r="C4712" s="24" t="n">
        <v>46357</v>
      </c>
      <c r="D4712" s="24" t="n">
        <v>46387</v>
      </c>
      <c r="E4712" s="25" t="n">
        <v>31</v>
      </c>
      <c r="F4712" s="319">
        <f>J4711</f>
        <v/>
      </c>
      <c r="G4712" s="319">
        <f>-PMT($D$4670/$D$4672,42,$F$4684,,0)</f>
        <v/>
      </c>
      <c r="H4712" s="319">
        <f>($D$4670/$D$4672*F4712)</f>
        <v/>
      </c>
      <c r="I4712" s="319">
        <f>G4712-H4712</f>
        <v/>
      </c>
      <c r="J4712" s="319">
        <f>F4712-I4712</f>
        <v/>
      </c>
    </row>
    <row r="4713">
      <c r="B4713" s="1">
        <f>+B4712+1</f>
        <v/>
      </c>
      <c r="C4713" s="24" t="n">
        <v>46388</v>
      </c>
      <c r="D4713" s="24" t="n">
        <v>46418</v>
      </c>
      <c r="E4713" s="25" t="n">
        <v>31</v>
      </c>
      <c r="F4713" s="319">
        <f>J4712</f>
        <v/>
      </c>
      <c r="G4713" s="319">
        <f>-PMT($D$4670/$D$4672,42,$F$4684,,0)</f>
        <v/>
      </c>
      <c r="H4713" s="319">
        <f>($D$4670/$D$4672*F4713)</f>
        <v/>
      </c>
      <c r="I4713" s="319">
        <f>G4713-H4713</f>
        <v/>
      </c>
      <c r="J4713" s="319">
        <f>F4713-I4713</f>
        <v/>
      </c>
    </row>
    <row r="4714">
      <c r="B4714" s="1">
        <f>+B4713+1</f>
        <v/>
      </c>
      <c r="C4714" s="24" t="n">
        <v>46419</v>
      </c>
      <c r="D4714" s="24" t="n">
        <v>46446</v>
      </c>
      <c r="E4714" s="25">
        <f>D4714-C4714+1</f>
        <v/>
      </c>
      <c r="F4714" s="319">
        <f>J4713</f>
        <v/>
      </c>
      <c r="G4714" s="319">
        <f>-PMT($D$4670/$D$4672,42,$F$4684,,0)</f>
        <v/>
      </c>
      <c r="H4714" s="319">
        <f>($D$4670/$D$4672*F4714)</f>
        <v/>
      </c>
      <c r="I4714" s="319">
        <f>G4714-H4714</f>
        <v/>
      </c>
      <c r="J4714" s="319">
        <f>F4714-I4714</f>
        <v/>
      </c>
    </row>
    <row r="4715">
      <c r="B4715" s="1">
        <f>+B4714+1</f>
        <v/>
      </c>
      <c r="C4715" s="24" t="n">
        <v>46447</v>
      </c>
      <c r="D4715" s="24" t="n">
        <v>46477</v>
      </c>
      <c r="E4715" s="25">
        <f>D4715-C4715+1</f>
        <v/>
      </c>
      <c r="F4715" s="319">
        <f>J4714</f>
        <v/>
      </c>
      <c r="G4715" s="319">
        <f>-PMT($D$4670/$D$4672,42,$F$4684,,0)</f>
        <v/>
      </c>
      <c r="H4715" s="319">
        <f>($D$4670/$D$4672*F4715)</f>
        <v/>
      </c>
      <c r="I4715" s="319">
        <f>G4715-H4715</f>
        <v/>
      </c>
      <c r="J4715" s="319">
        <f>F4715-I4715</f>
        <v/>
      </c>
    </row>
    <row r="4716">
      <c r="B4716" s="1">
        <f>+B4715+1</f>
        <v/>
      </c>
      <c r="C4716" s="24" t="n">
        <v>46478</v>
      </c>
      <c r="D4716" s="24" t="n">
        <v>46507</v>
      </c>
      <c r="E4716" s="25">
        <f>D4716-C4716+1</f>
        <v/>
      </c>
      <c r="F4716" s="319">
        <f>J4715</f>
        <v/>
      </c>
      <c r="G4716" s="319">
        <f>-PMT($D$4670/$D$4672,42,$F$4684,,0)</f>
        <v/>
      </c>
      <c r="H4716" s="319">
        <f>($D$4670/$D$4672*F4716)</f>
        <v/>
      </c>
      <c r="I4716" s="319">
        <f>G4716-H4716</f>
        <v/>
      </c>
      <c r="J4716" s="319">
        <f>F4716-I4716</f>
        <v/>
      </c>
    </row>
    <row r="4717">
      <c r="B4717" s="1">
        <f>+B4716+1</f>
        <v/>
      </c>
      <c r="C4717" s="24" t="n">
        <v>46508</v>
      </c>
      <c r="D4717" s="24" t="n">
        <v>46538</v>
      </c>
      <c r="E4717" s="25">
        <f>D4717-C4717+1</f>
        <v/>
      </c>
      <c r="F4717" s="319">
        <f>J4716</f>
        <v/>
      </c>
      <c r="G4717" s="319">
        <f>-PMT($D$4670/$D$4672,42,$F$4684,,0)</f>
        <v/>
      </c>
      <c r="H4717" s="319">
        <f>($D$4670/$D$4672*F4717)</f>
        <v/>
      </c>
      <c r="I4717" s="319">
        <f>G4717-H4717</f>
        <v/>
      </c>
      <c r="J4717" s="319">
        <f>F4717-I4717</f>
        <v/>
      </c>
    </row>
    <row r="4718">
      <c r="B4718" s="1">
        <f>+B4717+1</f>
        <v/>
      </c>
      <c r="C4718" s="24" t="n">
        <v>46539</v>
      </c>
      <c r="D4718" s="24" t="n">
        <v>46568</v>
      </c>
      <c r="E4718" s="25">
        <f>D4718-C4718+1</f>
        <v/>
      </c>
      <c r="F4718" s="319">
        <f>J4717</f>
        <v/>
      </c>
      <c r="G4718" s="319">
        <f>-PMT($D$4670/$D$4672,42,$F$4684,,0)</f>
        <v/>
      </c>
      <c r="H4718" s="319">
        <f>($D$4670/$D$4672*F4718)</f>
        <v/>
      </c>
      <c r="I4718" s="319">
        <f>G4718-H4718</f>
        <v/>
      </c>
      <c r="J4718" s="319">
        <f>F4718-I4718</f>
        <v/>
      </c>
    </row>
    <row r="4719">
      <c r="B4719" s="1">
        <f>+B4718+1</f>
        <v/>
      </c>
      <c r="C4719" s="24" t="n">
        <v>46569</v>
      </c>
      <c r="D4719" s="24" t="n">
        <v>46599</v>
      </c>
      <c r="E4719" s="25">
        <f>D4719-C4719+1</f>
        <v/>
      </c>
      <c r="F4719" s="319">
        <f>J4718</f>
        <v/>
      </c>
      <c r="G4719" s="319">
        <f>-PMT($D$4670/$D$4672,42,$F$4684,,0)</f>
        <v/>
      </c>
      <c r="H4719" s="319">
        <f>($D$4670/$D$4672*F4719)</f>
        <v/>
      </c>
      <c r="I4719" s="319">
        <f>G4719-H4719</f>
        <v/>
      </c>
      <c r="J4719" s="319">
        <f>F4719-I4719</f>
        <v/>
      </c>
    </row>
    <row r="4720">
      <c r="B4720" s="1">
        <f>+B4719+1</f>
        <v/>
      </c>
      <c r="C4720" s="24" t="n">
        <v>46600</v>
      </c>
      <c r="D4720" s="24" t="n">
        <v>46630</v>
      </c>
      <c r="E4720" s="25">
        <f>D4720-C4720+1</f>
        <v/>
      </c>
      <c r="F4720" s="319">
        <f>J4719</f>
        <v/>
      </c>
      <c r="G4720" s="319">
        <f>-PMT($D$4670/$D$4672,42,$F$4684,,0)</f>
        <v/>
      </c>
      <c r="H4720" s="319">
        <f>($D$4670/$D$4672*F4720)</f>
        <v/>
      </c>
      <c r="I4720" s="319">
        <f>G4720-H4720</f>
        <v/>
      </c>
      <c r="J4720" s="319">
        <f>F4720-I4720</f>
        <v/>
      </c>
    </row>
    <row r="4721">
      <c r="B4721" s="1">
        <f>+B4720+1</f>
        <v/>
      </c>
      <c r="C4721" s="24" t="n">
        <v>46631</v>
      </c>
      <c r="D4721" s="24" t="n">
        <v>46660</v>
      </c>
      <c r="E4721" s="25">
        <f>D4721-C4721+1</f>
        <v/>
      </c>
      <c r="F4721" s="319">
        <f>J4720</f>
        <v/>
      </c>
      <c r="G4721" s="319">
        <f>-PMT($D$4670/$D$4672,42,$F$4684,,0)</f>
        <v/>
      </c>
      <c r="H4721" s="319">
        <f>($D$4670/$D$4672*F4721)</f>
        <v/>
      </c>
      <c r="I4721" s="319">
        <f>G4721-H4721</f>
        <v/>
      </c>
      <c r="J4721" s="319">
        <f>F4721-I4721</f>
        <v/>
      </c>
    </row>
    <row r="4722">
      <c r="B4722" s="1">
        <f>+B4721+1</f>
        <v/>
      </c>
      <c r="C4722" s="24" t="n">
        <v>46661</v>
      </c>
      <c r="D4722" s="24" t="n">
        <v>46691</v>
      </c>
      <c r="E4722" s="25">
        <f>D4722-C4722+1</f>
        <v/>
      </c>
      <c r="F4722" s="319">
        <f>J4721</f>
        <v/>
      </c>
      <c r="G4722" s="319">
        <f>-PMT($D$4670/$D$4672,42,$F$4684,,0)</f>
        <v/>
      </c>
      <c r="H4722" s="319">
        <f>($D$4670/$D$4672*F4722)</f>
        <v/>
      </c>
      <c r="I4722" s="319">
        <f>G4722-H4722</f>
        <v/>
      </c>
      <c r="J4722" s="319">
        <f>F4722-I4722</f>
        <v/>
      </c>
    </row>
    <row r="4723">
      <c r="B4723" s="1">
        <f>+B4722+1</f>
        <v/>
      </c>
      <c r="C4723" s="24" t="n">
        <v>46692</v>
      </c>
      <c r="D4723" s="24" t="n">
        <v>46721</v>
      </c>
      <c r="E4723" s="25">
        <f>D4723-C4723+1</f>
        <v/>
      </c>
      <c r="F4723" s="319">
        <f>J4722</f>
        <v/>
      </c>
      <c r="G4723" s="319">
        <f>-PMT($D$4670/$D$4672,42,$F$4684,,0)</f>
        <v/>
      </c>
      <c r="H4723" s="319">
        <f>($D$4670/$D$4672*F4723)</f>
        <v/>
      </c>
      <c r="I4723" s="319">
        <f>G4723-H4723</f>
        <v/>
      </c>
      <c r="J4723" s="319">
        <f>F4723-I4723</f>
        <v/>
      </c>
    </row>
    <row r="4724">
      <c r="B4724" s="1">
        <f>+B4723+1</f>
        <v/>
      </c>
      <c r="C4724" s="24" t="n">
        <v>46722</v>
      </c>
      <c r="D4724" s="24" t="n">
        <v>46752</v>
      </c>
      <c r="E4724" s="25">
        <f>D4724-C4724+1</f>
        <v/>
      </c>
      <c r="F4724" s="319">
        <f>J4723</f>
        <v/>
      </c>
      <c r="G4724" s="319">
        <f>-PMT($D$4670/$D$4672,42,$F$4684,,0)</f>
        <v/>
      </c>
      <c r="H4724" s="319">
        <f>($D$4670/$D$4672*F4724)</f>
        <v/>
      </c>
      <c r="I4724" s="319">
        <f>G4724-H4724</f>
        <v/>
      </c>
      <c r="J4724" s="319">
        <f>F4724-I4724</f>
        <v/>
      </c>
    </row>
    <row r="4725">
      <c r="B4725" s="1">
        <f>+B4724+1</f>
        <v/>
      </c>
      <c r="C4725" s="24" t="n">
        <v>46753</v>
      </c>
      <c r="D4725" s="24" t="n">
        <v>46783</v>
      </c>
      <c r="E4725" s="25">
        <f>D4725-C4725+1</f>
        <v/>
      </c>
      <c r="F4725" s="319">
        <f>J4724</f>
        <v/>
      </c>
      <c r="G4725" s="319">
        <f>-PMT($D$4670/$D$4672,42,$F$4684,,0)</f>
        <v/>
      </c>
      <c r="H4725" s="319">
        <f>($D$4670/$D$4672*F4725)</f>
        <v/>
      </c>
      <c r="I4725" s="319">
        <f>G4725-H4725</f>
        <v/>
      </c>
      <c r="J4725" s="319">
        <f>F4725-I4725</f>
        <v/>
      </c>
    </row>
    <row r="4726">
      <c r="B4726" s="1" t="n"/>
      <c r="C4726" s="24" t="n"/>
      <c r="D4726" s="24" t="n"/>
      <c r="E4726" s="25" t="n"/>
      <c r="F4726" s="319" t="n"/>
      <c r="G4726" s="319" t="n"/>
      <c r="H4726" s="319" t="n"/>
      <c r="I4726" s="319" t="n"/>
      <c r="J4726" s="319" t="n"/>
    </row>
    <row r="4727">
      <c r="B4727" s="1" t="n"/>
      <c r="C4727" s="24" t="n"/>
      <c r="D4727" s="24" t="n"/>
      <c r="E4727" s="25" t="n"/>
      <c r="F4727" s="319" t="n"/>
      <c r="G4727" s="319" t="n"/>
      <c r="H4727" s="319" t="n"/>
      <c r="I4727" s="319" t="n"/>
      <c r="J4727" s="319" t="n"/>
    </row>
    <row r="4728">
      <c r="B4728" s="1" t="n"/>
      <c r="C4728" s="24" t="n"/>
      <c r="D4728" s="24" t="n"/>
      <c r="E4728" s="25" t="n"/>
      <c r="F4728" s="319" t="n"/>
      <c r="G4728" s="319" t="n"/>
      <c r="H4728" s="319" t="n"/>
      <c r="I4728" s="319" t="n"/>
      <c r="J4728" s="319" t="n"/>
    </row>
    <row r="4729">
      <c r="B4729" s="1" t="n"/>
      <c r="C4729" s="24" t="n"/>
      <c r="D4729" s="24" t="n"/>
      <c r="E4729" s="25" t="n"/>
      <c r="F4729" s="319" t="n"/>
      <c r="G4729" s="319" t="n"/>
      <c r="H4729" s="319" t="n"/>
      <c r="I4729" s="319" t="n"/>
      <c r="J4729" s="319" t="n"/>
    </row>
    <row r="4730">
      <c r="B4730" s="1" t="n"/>
      <c r="C4730" s="24" t="n"/>
      <c r="D4730" s="24" t="n"/>
      <c r="E4730" s="25" t="n"/>
      <c r="F4730" s="319" t="n"/>
      <c r="G4730" s="319" t="n"/>
      <c r="H4730" s="319" t="n"/>
      <c r="I4730" s="319" t="n"/>
      <c r="J4730" s="319" t="n"/>
    </row>
    <row r="4731">
      <c r="B4731" s="1" t="n"/>
      <c r="C4731" s="9" t="inlineStr">
        <is>
          <t>Malasha Briquettes Limited</t>
        </is>
      </c>
      <c r="D4731" s="319" t="n"/>
      <c r="E4731" s="319" t="n"/>
      <c r="F4731" s="319" t="n"/>
      <c r="G4731" s="319" t="n"/>
      <c r="H4731" s="319" t="n"/>
      <c r="I4731" s="319" t="n"/>
      <c r="J4731" s="319" t="n"/>
      <c r="R4731" s="514" t="inlineStr">
        <is>
          <t>E-Banker account (Dupleix)</t>
        </is>
      </c>
      <c r="S4731" s="495">
        <f>IFERROR(INDEX('Blocks'!$I$2:$I$101,MATCH(86,'Blocks'!$A$2:$A$101,0)),"")</f>
        <v/>
      </c>
    </row>
    <row r="4732">
      <c r="B4732" s="1" t="n"/>
      <c r="C4732" s="1" t="n"/>
      <c r="D4732" s="319" t="n"/>
      <c r="E4732" s="319" t="n"/>
      <c r="F4732" s="319" t="n"/>
      <c r="G4732" s="319" t="n"/>
      <c r="H4732" s="319" t="n"/>
      <c r="I4732" s="319" t="n"/>
      <c r="J4732" s="319" t="n"/>
      <c r="R4732" s="514" t="inlineStr">
        <is>
          <t>Facility (Loan Book)</t>
        </is>
      </c>
      <c r="S4732" s="495">
        <f>IFERROR(INDEX('Blocks'!$H$2:$H$101,MATCH(86,'Blocks'!$A$2:$A$101,0)),"")</f>
        <v/>
      </c>
    </row>
    <row r="4733">
      <c r="B4733" s="1" t="n"/>
      <c r="C4733" s="10" t="inlineStr">
        <is>
          <t>Principal (MK)</t>
        </is>
      </c>
      <c r="D4733" s="11" t="n">
        <v>17000000</v>
      </c>
      <c r="E4733" s="319" t="n"/>
      <c r="F4733" s="319" t="n"/>
      <c r="G4733" s="319" t="n"/>
      <c r="H4733" s="319" t="n"/>
      <c r="I4733" s="319" t="n"/>
      <c r="J4733" s="319" t="n"/>
      <c r="R4733" s="514" t="inlineStr">
        <is>
          <t>Take-on posting 31 Jul 2024</t>
        </is>
      </c>
      <c r="S4733" s="496">
        <f>IFERROR(INDEX('E-Banker master'!$N$2:$N$186,MATCH(S4731,'E-Banker master'!$A$2:$A$186,0)),"")</f>
        <v/>
      </c>
    </row>
    <row r="4734">
      <c r="B4734" s="1" t="n"/>
      <c r="C4734" s="13" t="inlineStr">
        <is>
          <t>Rate</t>
        </is>
      </c>
      <c r="D4734" s="14" t="n">
        <v>0.1</v>
      </c>
      <c r="E4734" s="257" t="n"/>
      <c r="F4734" s="319" t="n"/>
      <c r="G4734" s="319" t="n"/>
      <c r="H4734" s="319" t="n"/>
      <c r="I4734" s="319" t="n"/>
      <c r="J4734" s="319" t="n"/>
      <c r="R4734" s="514" t="inlineStr">
        <is>
          <t>E-Banker balance 31 Oct 2024</t>
        </is>
      </c>
      <c r="S4734" s="496">
        <f>IFERROR(INDEX('E-Banker master'!$P$2:$P$186,MATCH(S4731,'E-Banker master'!$A$2:$A$186,0)),"")</f>
        <v/>
      </c>
    </row>
    <row r="4735">
      <c r="B4735" s="1" t="n"/>
      <c r="C4735" s="13" t="inlineStr">
        <is>
          <t>n</t>
        </is>
      </c>
      <c r="D4735" s="16" t="n">
        <v>2</v>
      </c>
      <c r="E4735" s="1" t="n"/>
      <c r="F4735" s="319" t="n"/>
      <c r="G4735" s="319" t="n"/>
      <c r="H4735" s="319" t="n"/>
      <c r="I4735" s="319" t="n"/>
      <c r="J4735" s="319" t="n"/>
    </row>
    <row r="4736">
      <c r="B4736" s="1" t="n"/>
      <c r="C4736" s="13" t="inlineStr">
        <is>
          <t>Per</t>
        </is>
      </c>
      <c r="D4736" s="16" t="n">
        <v>12</v>
      </c>
      <c r="E4736" s="1" t="n"/>
      <c r="F4736" s="319" t="n"/>
      <c r="G4736" s="319" t="n"/>
      <c r="H4736" s="319" t="n"/>
      <c r="I4736" s="319" t="n"/>
      <c r="J4736" s="319" t="n"/>
    </row>
    <row r="4737">
      <c r="B4737" s="1" t="n"/>
      <c r="C4737" s="13" t="inlineStr">
        <is>
          <t>nPer</t>
        </is>
      </c>
      <c r="D4737" s="515">
        <f>+D4736*D4735</f>
        <v/>
      </c>
      <c r="E4737" s="1" t="n"/>
      <c r="F4737" s="319" t="n"/>
      <c r="G4737" s="319" t="n"/>
      <c r="H4737" s="319" t="n"/>
      <c r="I4737" s="319" t="n"/>
      <c r="J4737" s="319" t="n"/>
    </row>
    <row r="4738">
      <c r="B4738" s="1" t="n"/>
      <c r="C4738" s="13" t="inlineStr">
        <is>
          <t>Days in a year</t>
        </is>
      </c>
      <c r="D4738" s="18" t="n">
        <v>365</v>
      </c>
      <c r="E4738" s="1" t="n"/>
      <c r="F4738" s="319" t="n"/>
      <c r="G4738" s="319" t="n"/>
      <c r="H4738" s="319" t="n"/>
      <c r="I4738" s="319" t="n"/>
      <c r="J4738" s="319" t="n"/>
    </row>
    <row r="4739">
      <c r="B4739" s="1" t="n"/>
      <c r="C4739" s="19" t="inlineStr">
        <is>
          <t>Pmt (MK)</t>
        </is>
      </c>
      <c r="D4739" s="534">
        <f>-PMT(D4734/D4736,D4737,D4733,0,0)</f>
        <v/>
      </c>
      <c r="E4739" s="319" t="n"/>
      <c r="F4739" s="319" t="n"/>
      <c r="G4739" s="319" t="n"/>
      <c r="H4739" s="319" t="n"/>
      <c r="I4739" s="319" t="n"/>
      <c r="J4739" s="319" t="n"/>
    </row>
    <row r="4740">
      <c r="B4740" s="1" t="n"/>
      <c r="C4740" s="1" t="n"/>
      <c r="D4740" s="319" t="n"/>
      <c r="E4740" s="319" t="n"/>
      <c r="F4740" s="319" t="n"/>
      <c r="G4740" s="319" t="n"/>
      <c r="H4740" s="319" t="n"/>
      <c r="I4740" s="319" t="n"/>
      <c r="J4740" s="319" t="n"/>
    </row>
    <row r="4741">
      <c r="B4741" s="1" t="n"/>
      <c r="C4741" s="21" t="inlineStr">
        <is>
          <t>Period Start</t>
        </is>
      </c>
      <c r="D4741" s="22" t="inlineStr">
        <is>
          <t>Period End</t>
        </is>
      </c>
      <c r="E4741" s="22" t="inlineStr">
        <is>
          <t>Days</t>
        </is>
      </c>
      <c r="F4741" s="294" t="inlineStr">
        <is>
          <t>Opening bal.</t>
        </is>
      </c>
      <c r="G4741" s="294" t="inlineStr">
        <is>
          <t>Pmt</t>
        </is>
      </c>
      <c r="H4741" s="294" t="inlineStr">
        <is>
          <t>Interest</t>
        </is>
      </c>
      <c r="I4741" s="294" t="inlineStr">
        <is>
          <t>Principal</t>
        </is>
      </c>
      <c r="J4741" s="294" t="inlineStr">
        <is>
          <t>Closing balance</t>
        </is>
      </c>
      <c r="K4741" s="23" t="inlineStr">
        <is>
          <t>Amount Repaid</t>
        </is>
      </c>
      <c r="L4741" s="23" t="inlineStr">
        <is>
          <t>Accumulated Arrears</t>
        </is>
      </c>
    </row>
    <row r="4742">
      <c r="B4742" s="1" t="n">
        <v>0</v>
      </c>
      <c r="C4742" s="24" t="n">
        <v>45323</v>
      </c>
      <c r="D4742" s="24" t="n">
        <v>45351</v>
      </c>
      <c r="E4742" s="25" t="n">
        <v>29</v>
      </c>
      <c r="F4742" s="319">
        <f>D4733</f>
        <v/>
      </c>
      <c r="G4742" s="319" t="n"/>
      <c r="H4742" s="319">
        <f>($D$4734/$D$4736*F4742)</f>
        <v/>
      </c>
      <c r="I4742" s="319">
        <f>G4742-H4742</f>
        <v/>
      </c>
      <c r="J4742" s="319">
        <f>F4742-I4742</f>
        <v/>
      </c>
    </row>
    <row r="4743">
      <c r="B4743" s="1" t="n">
        <v>1</v>
      </c>
      <c r="C4743" s="24" t="n">
        <v>45352</v>
      </c>
      <c r="D4743" s="24" t="n">
        <v>45382</v>
      </c>
      <c r="E4743" s="25" t="n">
        <v>31</v>
      </c>
      <c r="F4743" s="319">
        <f>J4742</f>
        <v/>
      </c>
      <c r="G4743" s="522" t="n"/>
      <c r="H4743" s="319">
        <f>($D$4734/$D$4736*F4743)</f>
        <v/>
      </c>
      <c r="I4743" s="319">
        <f>G4743-H4743</f>
        <v/>
      </c>
      <c r="J4743" s="319">
        <f>F4743-I4743</f>
        <v/>
      </c>
    </row>
    <row r="4744">
      <c r="B4744" s="1" t="n">
        <v>2</v>
      </c>
      <c r="C4744" s="24" t="n">
        <v>45383</v>
      </c>
      <c r="D4744" s="24" t="n">
        <v>45412</v>
      </c>
      <c r="E4744" s="25" t="n">
        <v>30</v>
      </c>
      <c r="F4744" s="319">
        <f>J4743</f>
        <v/>
      </c>
      <c r="G4744" s="319" t="n"/>
      <c r="H4744" s="319">
        <f>($D$4734/$D$4736*F4744)</f>
        <v/>
      </c>
      <c r="I4744" s="319">
        <f>G4744-H4744</f>
        <v/>
      </c>
      <c r="J4744" s="319">
        <f>F4744-I4744</f>
        <v/>
      </c>
    </row>
    <row r="4745">
      <c r="B4745" s="1">
        <f>+B4744+1</f>
        <v/>
      </c>
      <c r="C4745" s="24" t="n">
        <v>45413</v>
      </c>
      <c r="D4745" s="24" t="n">
        <v>45443</v>
      </c>
      <c r="E4745" s="25" t="n">
        <v>31</v>
      </c>
      <c r="F4745" s="319">
        <f>J4744</f>
        <v/>
      </c>
      <c r="G4745" s="319">
        <f>-PMT($D$4734/$D$4736,21,$F$4745,,0)</f>
        <v/>
      </c>
      <c r="H4745" s="319">
        <f>($D$4734/$D$4736*F4745)</f>
        <v/>
      </c>
      <c r="I4745" s="319">
        <f>G4745-H4745</f>
        <v/>
      </c>
      <c r="J4745" s="319">
        <f>F4745-I4745</f>
        <v/>
      </c>
      <c r="L4745" s="148">
        <f>+G4745-K4745+L4744</f>
        <v/>
      </c>
    </row>
    <row r="4746">
      <c r="B4746" s="1">
        <f>+B4745+1</f>
        <v/>
      </c>
      <c r="C4746" s="24" t="n">
        <v>45444</v>
      </c>
      <c r="D4746" s="24" t="n">
        <v>45473</v>
      </c>
      <c r="E4746" s="25" t="n">
        <v>30</v>
      </c>
      <c r="F4746" s="319">
        <f>J4745</f>
        <v/>
      </c>
      <c r="G4746" s="319">
        <f>-PMT($D$4734/$D$4736,21,$F$4745,,0)</f>
        <v/>
      </c>
      <c r="H4746" s="319">
        <f>($D$4734/$D$4736*F4746)</f>
        <v/>
      </c>
      <c r="I4746" s="319">
        <f>G4746-H4746</f>
        <v/>
      </c>
      <c r="J4746" s="319">
        <f>F4746-I4746</f>
        <v/>
      </c>
      <c r="K4746" s="7" t="n">
        <v>908111.46</v>
      </c>
      <c r="L4746" s="148">
        <f>+G4746-K4746+L4745</f>
        <v/>
      </c>
    </row>
    <row r="4747">
      <c r="B4747" s="1">
        <f>+B4746+1</f>
        <v/>
      </c>
      <c r="C4747" s="24" t="n">
        <v>45474</v>
      </c>
      <c r="D4747" s="24" t="n">
        <v>45504</v>
      </c>
      <c r="E4747" s="25" t="n">
        <v>31</v>
      </c>
      <c r="F4747" s="319">
        <f>J4746</f>
        <v/>
      </c>
      <c r="G4747" s="319">
        <f>-PMT($D$4734/$D$4736,21,$F$4745,,0)</f>
        <v/>
      </c>
      <c r="H4747" s="319">
        <f>($D$4734/$D$4736*F4747)</f>
        <v/>
      </c>
      <c r="I4747" s="319">
        <f>G4747-H4747</f>
        <v/>
      </c>
      <c r="J4747" s="319">
        <f>F4747-I4747</f>
        <v/>
      </c>
      <c r="K4747" s="7" t="n">
        <v>908111.46</v>
      </c>
      <c r="L4747" s="148">
        <f>+G4747-K4747+L4746</f>
        <v/>
      </c>
    </row>
    <row r="4748">
      <c r="B4748" s="1">
        <f>+B4747+1</f>
        <v/>
      </c>
      <c r="C4748" s="24" t="n">
        <v>45505</v>
      </c>
      <c r="D4748" s="24" t="n">
        <v>45535</v>
      </c>
      <c r="E4748" s="25" t="n">
        <v>31</v>
      </c>
      <c r="F4748" s="319">
        <f>J4747</f>
        <v/>
      </c>
      <c r="G4748" s="319">
        <f>-PMT($D$4734/$D$4736,21,$F$4745,,0)</f>
        <v/>
      </c>
      <c r="H4748" s="319">
        <f>($D$4734/$D$4736*F4748)</f>
        <v/>
      </c>
      <c r="I4748" s="319">
        <f>G4748-H4748</f>
        <v/>
      </c>
      <c r="J4748" s="319">
        <f>F4748-I4748</f>
        <v/>
      </c>
      <c r="K4748" s="433">
        <f>908111.46+908111.46</f>
        <v/>
      </c>
      <c r="L4748" s="148">
        <f>+G4748-K4748+L4747</f>
        <v/>
      </c>
    </row>
    <row r="4749">
      <c r="B4749" s="1">
        <f>+B4748+1</f>
        <v/>
      </c>
      <c r="C4749" s="24" t="n">
        <v>45536</v>
      </c>
      <c r="D4749" s="24" t="n">
        <v>45565</v>
      </c>
      <c r="E4749" s="25" t="n">
        <v>30</v>
      </c>
      <c r="F4749" s="319">
        <f>J4748</f>
        <v/>
      </c>
      <c r="G4749" s="319">
        <f>-PMT($D$4734/$D$4736,21,$F$4745,,0)</f>
        <v/>
      </c>
      <c r="H4749" s="319">
        <f>($D$4734/$D$4736*F4749)</f>
        <v/>
      </c>
      <c r="I4749" s="319">
        <f>G4749-H4749</f>
        <v/>
      </c>
      <c r="J4749" s="319">
        <f>F4749-I4749</f>
        <v/>
      </c>
      <c r="L4749" s="148">
        <f>+G4749-K4749+L4748</f>
        <v/>
      </c>
    </row>
    <row r="4750">
      <c r="B4750" s="1">
        <f>+B4749+1</f>
        <v/>
      </c>
      <c r="C4750" s="24" t="n">
        <v>45566</v>
      </c>
      <c r="D4750" s="24" t="n">
        <v>45596</v>
      </c>
      <c r="E4750" s="25" t="n">
        <v>31</v>
      </c>
      <c r="F4750" s="319">
        <f>J4749</f>
        <v/>
      </c>
      <c r="G4750" s="319">
        <f>-PMT($D$4734/$D$4736,21,$F$4745,,0)</f>
        <v/>
      </c>
      <c r="H4750" s="319">
        <f>($D$4734/$D$4736*F4750)</f>
        <v/>
      </c>
      <c r="I4750" s="319">
        <f>G4750-H4750</f>
        <v/>
      </c>
      <c r="J4750" s="319">
        <f>F4750-I4750</f>
        <v/>
      </c>
      <c r="K4750" s="433">
        <f>908111.46+908111.46</f>
        <v/>
      </c>
      <c r="L4750" s="389">
        <f>+G4750-K4750+L4749</f>
        <v/>
      </c>
    </row>
    <row r="4751">
      <c r="B4751" s="1">
        <f>+B4750+1</f>
        <v/>
      </c>
      <c r="C4751" s="24" t="n">
        <v>45597</v>
      </c>
      <c r="D4751" s="24" t="n">
        <v>45626</v>
      </c>
      <c r="E4751" s="25" t="n">
        <v>30</v>
      </c>
      <c r="F4751" s="319">
        <f>J4750</f>
        <v/>
      </c>
      <c r="G4751" s="319">
        <f>-PMT($D$4734/$D$4736,21,$F$4745,,0)</f>
        <v/>
      </c>
      <c r="H4751" s="319">
        <f>($D$4734/$D$4736*F4751)</f>
        <v/>
      </c>
      <c r="I4751" s="319">
        <f>G4751-H4751</f>
        <v/>
      </c>
      <c r="J4751" s="319">
        <f>F4751-I4751</f>
        <v/>
      </c>
      <c r="K4751" s="433" t="n"/>
    </row>
    <row r="4752">
      <c r="B4752" s="1">
        <f>+B4751+1</f>
        <v/>
      </c>
      <c r="C4752" s="24" t="n">
        <v>45627</v>
      </c>
      <c r="D4752" s="24" t="n">
        <v>45657</v>
      </c>
      <c r="E4752" s="25" t="n">
        <v>31</v>
      </c>
      <c r="F4752" s="319">
        <f>J4751</f>
        <v/>
      </c>
      <c r="G4752" s="319">
        <f>-PMT($D$4734/$D$4736,21,$F$4745,,0)</f>
        <v/>
      </c>
      <c r="H4752" s="319">
        <f>($D$4734/$D$4736*F4752)</f>
        <v/>
      </c>
      <c r="I4752" s="319">
        <f>G4752-H4752</f>
        <v/>
      </c>
      <c r="J4752" s="319">
        <f>F4752-I4752</f>
        <v/>
      </c>
    </row>
    <row r="4753">
      <c r="B4753" s="1">
        <f>+B4752+1</f>
        <v/>
      </c>
      <c r="C4753" s="24" t="n">
        <v>45658</v>
      </c>
      <c r="D4753" s="24" t="n">
        <v>45688</v>
      </c>
      <c r="E4753" s="25" t="n">
        <v>31</v>
      </c>
      <c r="F4753" s="319">
        <f>J4752</f>
        <v/>
      </c>
      <c r="G4753" s="319">
        <f>-PMT($D$4734/$D$4736,21,$F$4745,,0)</f>
        <v/>
      </c>
      <c r="H4753" s="319">
        <f>($D$4734/$D$4736*F4753)</f>
        <v/>
      </c>
      <c r="I4753" s="319">
        <f>G4753-H4753</f>
        <v/>
      </c>
      <c r="J4753" s="319">
        <f>F4753-I4753</f>
        <v/>
      </c>
    </row>
    <row r="4754">
      <c r="B4754" s="1">
        <f>+B4753+1</f>
        <v/>
      </c>
      <c r="C4754" s="24" t="n">
        <v>45689</v>
      </c>
      <c r="D4754" s="24" t="n">
        <v>45716</v>
      </c>
      <c r="E4754" s="25" t="n">
        <v>28</v>
      </c>
      <c r="F4754" s="319">
        <f>J4753</f>
        <v/>
      </c>
      <c r="G4754" s="319">
        <f>-PMT($D$4734/$D$4736,21,$F$4745,,0)</f>
        <v/>
      </c>
      <c r="H4754" s="319">
        <f>($D$4734/$D$4736*F4754)</f>
        <v/>
      </c>
      <c r="I4754" s="319">
        <f>G4754-H4754</f>
        <v/>
      </c>
      <c r="J4754" s="319">
        <f>F4754-I4754</f>
        <v/>
      </c>
    </row>
    <row r="4755">
      <c r="B4755" s="1">
        <f>+B4754+1</f>
        <v/>
      </c>
      <c r="C4755" s="24" t="n">
        <v>45717</v>
      </c>
      <c r="D4755" s="24" t="n">
        <v>45747</v>
      </c>
      <c r="E4755" s="25" t="n">
        <v>31</v>
      </c>
      <c r="F4755" s="319">
        <f>J4754</f>
        <v/>
      </c>
      <c r="G4755" s="319">
        <f>-PMT($D$4734/$D$4736,21,$F$4745,,0)</f>
        <v/>
      </c>
      <c r="H4755" s="319">
        <f>($D$4734/$D$4736*F4755)</f>
        <v/>
      </c>
      <c r="I4755" s="319">
        <f>G4755-H4755</f>
        <v/>
      </c>
      <c r="J4755" s="319">
        <f>F4755-I4755</f>
        <v/>
      </c>
    </row>
    <row r="4756">
      <c r="B4756" s="1">
        <f>+B4755+1</f>
        <v/>
      </c>
      <c r="C4756" s="24" t="n">
        <v>45748</v>
      </c>
      <c r="D4756" s="24" t="n">
        <v>45777</v>
      </c>
      <c r="E4756" s="25" t="n">
        <v>30</v>
      </c>
      <c r="F4756" s="319">
        <f>J4755</f>
        <v/>
      </c>
      <c r="G4756" s="319">
        <f>-PMT($D$4734/$D$4736,21,$F$4745,,0)</f>
        <v/>
      </c>
      <c r="H4756" s="319">
        <f>($D$4734/$D$4736*F4756)</f>
        <v/>
      </c>
      <c r="I4756" s="319">
        <f>G4756-H4756</f>
        <v/>
      </c>
      <c r="J4756" s="319">
        <f>F4756-I4756</f>
        <v/>
      </c>
    </row>
    <row r="4757">
      <c r="B4757" s="1">
        <f>+B4756+1</f>
        <v/>
      </c>
      <c r="C4757" s="24" t="n">
        <v>45778</v>
      </c>
      <c r="D4757" s="24" t="n">
        <v>45808</v>
      </c>
      <c r="E4757" s="25" t="n">
        <v>31</v>
      </c>
      <c r="F4757" s="319">
        <f>J4756</f>
        <v/>
      </c>
      <c r="G4757" s="319">
        <f>-PMT($D$4734/$D$4736,21,$F$4745,,0)</f>
        <v/>
      </c>
      <c r="H4757" s="319">
        <f>($D$4734/$D$4736*F4757)</f>
        <v/>
      </c>
      <c r="I4757" s="319">
        <f>G4757-H4757</f>
        <v/>
      </c>
      <c r="J4757" s="319">
        <f>F4757-I4757</f>
        <v/>
      </c>
    </row>
    <row r="4758">
      <c r="B4758" s="1">
        <f>+B4757+1</f>
        <v/>
      </c>
      <c r="C4758" s="24" t="n">
        <v>45809</v>
      </c>
      <c r="D4758" s="24" t="n">
        <v>45838</v>
      </c>
      <c r="E4758" s="25" t="n">
        <v>30</v>
      </c>
      <c r="F4758" s="319">
        <f>J4757</f>
        <v/>
      </c>
      <c r="G4758" s="319">
        <f>-PMT($D$4734/$D$4736,21,$F$4745,,0)</f>
        <v/>
      </c>
      <c r="H4758" s="319">
        <f>($D$4734/$D$4736*F4758)</f>
        <v/>
      </c>
      <c r="I4758" s="319">
        <f>G4758-H4758</f>
        <v/>
      </c>
      <c r="J4758" s="319">
        <f>F4758-I4758</f>
        <v/>
      </c>
    </row>
    <row r="4759">
      <c r="B4759" s="1">
        <f>+B4758+1</f>
        <v/>
      </c>
      <c r="C4759" s="24" t="n">
        <v>45839</v>
      </c>
      <c r="D4759" s="24" t="n">
        <v>45868</v>
      </c>
      <c r="E4759" s="25" t="n">
        <v>30</v>
      </c>
      <c r="F4759" s="319">
        <f>J4758</f>
        <v/>
      </c>
      <c r="G4759" s="319">
        <f>-PMT($D$4734/$D$4736,21,$F$4745,,0)</f>
        <v/>
      </c>
      <c r="H4759" s="319">
        <f>($D$4734/$D$4736*F4759)</f>
        <v/>
      </c>
      <c r="I4759" s="319">
        <f>G4759-H4759</f>
        <v/>
      </c>
      <c r="J4759" s="319">
        <f>F4759-I4759</f>
        <v/>
      </c>
    </row>
    <row r="4760">
      <c r="B4760" s="1">
        <f>+B4759+1</f>
        <v/>
      </c>
      <c r="C4760" s="24" t="n">
        <v>45870</v>
      </c>
      <c r="D4760" s="24" t="n">
        <v>45899</v>
      </c>
      <c r="E4760" s="25" t="n">
        <v>30</v>
      </c>
      <c r="F4760" s="319">
        <f>J4759</f>
        <v/>
      </c>
      <c r="G4760" s="319">
        <f>-PMT($D$4734/$D$4736,21,$F$4745,,0)</f>
        <v/>
      </c>
      <c r="H4760" s="319">
        <f>($D$4734/$D$4736*F4760)</f>
        <v/>
      </c>
      <c r="I4760" s="319">
        <f>G4760-H4760</f>
        <v/>
      </c>
      <c r="J4760" s="319">
        <f>F4760-I4760</f>
        <v/>
      </c>
    </row>
    <row r="4761">
      <c r="B4761" s="1">
        <f>+B4760+1</f>
        <v/>
      </c>
      <c r="C4761" s="24" t="n">
        <v>45901</v>
      </c>
      <c r="D4761" s="24" t="n">
        <v>45930</v>
      </c>
      <c r="E4761" s="25" t="n">
        <v>30</v>
      </c>
      <c r="F4761" s="319">
        <f>J4760</f>
        <v/>
      </c>
      <c r="G4761" s="319">
        <f>-PMT($D$4734/$D$4736,21,$F$4745,,0)</f>
        <v/>
      </c>
      <c r="H4761" s="319">
        <f>($D$4734/$D$4736*F4761)</f>
        <v/>
      </c>
      <c r="I4761" s="319">
        <f>G4761-H4761</f>
        <v/>
      </c>
      <c r="J4761" s="319">
        <f>F4761-I4761</f>
        <v/>
      </c>
    </row>
    <row r="4762">
      <c r="B4762" s="1">
        <f>+B4761+1</f>
        <v/>
      </c>
      <c r="C4762" s="24" t="n">
        <v>45931</v>
      </c>
      <c r="D4762" s="24" t="n">
        <v>45961</v>
      </c>
      <c r="E4762" s="25" t="n">
        <v>31</v>
      </c>
      <c r="F4762" s="319">
        <f>J4761</f>
        <v/>
      </c>
      <c r="G4762" s="319">
        <f>-PMT($D$4734/$D$4736,21,$F$4745,,0)</f>
        <v/>
      </c>
      <c r="H4762" s="319">
        <f>($D$4734/$D$4736*F4762)</f>
        <v/>
      </c>
      <c r="I4762" s="319">
        <f>G4762-H4762</f>
        <v/>
      </c>
      <c r="J4762" s="319">
        <f>F4762-I4762</f>
        <v/>
      </c>
    </row>
    <row r="4763">
      <c r="B4763" s="1">
        <f>+B4762+1</f>
        <v/>
      </c>
      <c r="C4763" s="24" t="n">
        <v>45962</v>
      </c>
      <c r="D4763" s="24" t="n">
        <v>45991</v>
      </c>
      <c r="E4763" s="25" t="n">
        <v>30</v>
      </c>
      <c r="F4763" s="319">
        <f>J4762</f>
        <v/>
      </c>
      <c r="G4763" s="319">
        <f>-PMT($D$4734/$D$4736,21,$F$4745,,0)</f>
        <v/>
      </c>
      <c r="H4763" s="319">
        <f>($D$4734/$D$4736*F4763)</f>
        <v/>
      </c>
      <c r="I4763" s="319">
        <f>G4763-H4763</f>
        <v/>
      </c>
      <c r="J4763" s="319">
        <f>F4763-I4763</f>
        <v/>
      </c>
    </row>
    <row r="4764">
      <c r="B4764" s="1">
        <f>+B4763+1</f>
        <v/>
      </c>
      <c r="C4764" s="24" t="n">
        <v>45992</v>
      </c>
      <c r="D4764" s="24" t="n">
        <v>46022</v>
      </c>
      <c r="E4764" s="25" t="n">
        <v>31</v>
      </c>
      <c r="F4764" s="319">
        <f>J4763</f>
        <v/>
      </c>
      <c r="G4764" s="319">
        <f>-PMT($D$4734/$D$4736,21,$F$4745,,0)</f>
        <v/>
      </c>
      <c r="H4764" s="319">
        <f>($D$4734/$D$4736*F4764)</f>
        <v/>
      </c>
      <c r="I4764" s="319">
        <f>G4764-H4764</f>
        <v/>
      </c>
      <c r="J4764" s="319">
        <f>F4764-I4764</f>
        <v/>
      </c>
    </row>
    <row r="4765">
      <c r="B4765" s="1">
        <f>+B4764+1</f>
        <v/>
      </c>
      <c r="C4765" s="24" t="n">
        <v>46023</v>
      </c>
      <c r="D4765" s="24" t="n">
        <v>46053</v>
      </c>
      <c r="E4765" s="25" t="n">
        <v>31</v>
      </c>
      <c r="F4765" s="319">
        <f>J4764</f>
        <v/>
      </c>
      <c r="G4765" s="319">
        <f>-PMT($D$4734/$D$4736,21,$F$4745,,0)</f>
        <v/>
      </c>
      <c r="H4765" s="319">
        <f>($D$4734/$D$4736*F4765)</f>
        <v/>
      </c>
      <c r="I4765" s="319">
        <f>G4765-H4765</f>
        <v/>
      </c>
      <c r="J4765" s="319">
        <f>F4765-I4765</f>
        <v/>
      </c>
    </row>
    <row r="4766">
      <c r="B4766" s="1" t="n"/>
      <c r="C4766" s="24" t="n"/>
      <c r="D4766" s="24" t="n"/>
      <c r="E4766" s="25" t="n"/>
      <c r="F4766" s="319" t="n"/>
      <c r="G4766" s="319" t="n"/>
      <c r="H4766" s="319" t="n"/>
      <c r="I4766" s="319" t="n"/>
      <c r="J4766" s="319" t="n"/>
    </row>
    <row r="4767">
      <c r="B4767" s="1" t="n"/>
      <c r="C4767" s="24" t="n"/>
      <c r="D4767" s="24" t="n"/>
      <c r="E4767" s="25" t="n"/>
      <c r="F4767" s="319" t="n"/>
      <c r="G4767" s="522" t="n"/>
      <c r="H4767" s="319" t="n"/>
      <c r="I4767" s="319" t="n"/>
      <c r="J4767" s="319" t="n"/>
    </row>
    <row r="4768">
      <c r="B4768" s="1" t="n"/>
      <c r="C4768" s="24" t="n"/>
      <c r="D4768" s="24" t="n"/>
      <c r="E4768" s="25" t="n"/>
      <c r="F4768" s="319" t="n"/>
      <c r="G4768" s="522" t="n"/>
      <c r="H4768" s="319" t="n"/>
      <c r="I4768" s="319" t="n"/>
      <c r="J4768" s="319" t="n"/>
    </row>
    <row r="4769">
      <c r="B4769" s="1" t="n"/>
      <c r="C4769" s="9" t="inlineStr">
        <is>
          <t>Lehome Investment Limited</t>
        </is>
      </c>
      <c r="D4769" s="319" t="n"/>
      <c r="E4769" s="319" t="n"/>
      <c r="F4769" s="319" t="n"/>
      <c r="G4769" s="319" t="n"/>
      <c r="H4769" s="319" t="n"/>
      <c r="I4769" s="319" t="n"/>
      <c r="J4769" s="319" t="n"/>
      <c r="R4769" s="514" t="inlineStr">
        <is>
          <t>E-Banker account (Dupleix)</t>
        </is>
      </c>
      <c r="S4769" s="495">
        <f>IFERROR(INDEX('Blocks'!$I$2:$I$101,MATCH(87,'Blocks'!$A$2:$A$101,0)),"")</f>
        <v/>
      </c>
    </row>
    <row r="4770">
      <c r="B4770" s="1" t="n"/>
      <c r="C4770" s="1" t="n"/>
      <c r="D4770" s="319" t="n"/>
      <c r="E4770" s="319" t="n"/>
      <c r="F4770" s="319" t="n"/>
      <c r="G4770" s="319" t="n"/>
      <c r="H4770" s="319" t="n"/>
      <c r="I4770" s="319" t="n"/>
      <c r="J4770" s="319" t="n"/>
      <c r="R4770" s="514" t="inlineStr">
        <is>
          <t>Facility (Loan Book)</t>
        </is>
      </c>
      <c r="S4770" s="495">
        <f>IFERROR(INDEX('Blocks'!$H$2:$H$101,MATCH(87,'Blocks'!$A$2:$A$101,0)),"")</f>
        <v/>
      </c>
    </row>
    <row r="4771">
      <c r="B4771" s="1" t="n"/>
      <c r="C4771" s="10" t="inlineStr">
        <is>
          <t>Principal (MK)</t>
        </is>
      </c>
      <c r="D4771" s="11" t="n">
        <v>150000000</v>
      </c>
      <c r="E4771" s="319" t="n"/>
      <c r="F4771" s="319" t="n"/>
      <c r="G4771" s="319" t="n"/>
      <c r="H4771" s="319" t="n"/>
      <c r="I4771" s="319" t="n"/>
      <c r="J4771" s="319" t="n"/>
      <c r="R4771" s="514" t="inlineStr">
        <is>
          <t>Take-on posting 31 Jul 2024</t>
        </is>
      </c>
      <c r="S4771" s="496">
        <f>IFERROR(INDEX('E-Banker master'!$N$2:$N$186,MATCH(S4769,'E-Banker master'!$A$2:$A$186,0)),"")</f>
        <v/>
      </c>
    </row>
    <row r="4772">
      <c r="B4772" s="1" t="n"/>
      <c r="C4772" s="13" t="inlineStr">
        <is>
          <t>Rate</t>
        </is>
      </c>
      <c r="D4772" s="14" t="n">
        <v>0.1</v>
      </c>
      <c r="E4772" s="257" t="n"/>
      <c r="F4772" s="319" t="n"/>
      <c r="G4772" s="319" t="n"/>
      <c r="H4772" s="319" t="n"/>
      <c r="I4772" s="319" t="n"/>
      <c r="J4772" s="319" t="n"/>
      <c r="R4772" s="514" t="inlineStr">
        <is>
          <t>E-Banker balance 31 Oct 2024</t>
        </is>
      </c>
      <c r="S4772" s="496">
        <f>IFERROR(INDEX('E-Banker master'!$P$2:$P$186,MATCH(S4769,'E-Banker master'!$A$2:$A$186,0)),"")</f>
        <v/>
      </c>
    </row>
    <row r="4773">
      <c r="B4773" s="1" t="n"/>
      <c r="C4773" s="13" t="inlineStr">
        <is>
          <t>n</t>
        </is>
      </c>
      <c r="D4773" s="16" t="n">
        <v>4</v>
      </c>
      <c r="E4773" s="1" t="n"/>
      <c r="F4773" s="319" t="n"/>
      <c r="G4773" s="319" t="n"/>
      <c r="H4773" s="319" t="n"/>
      <c r="I4773" s="319" t="n"/>
      <c r="J4773" s="319" t="n"/>
    </row>
    <row r="4774">
      <c r="B4774" s="1" t="n"/>
      <c r="C4774" s="13" t="inlineStr">
        <is>
          <t>Per</t>
        </is>
      </c>
      <c r="D4774" s="16" t="n">
        <v>12</v>
      </c>
      <c r="E4774" s="1" t="n"/>
      <c r="F4774" s="319" t="n"/>
      <c r="G4774" s="319" t="n"/>
      <c r="H4774" s="319" t="n"/>
      <c r="I4774" s="319" t="n"/>
      <c r="J4774" s="319" t="n"/>
    </row>
    <row r="4775">
      <c r="B4775" s="1" t="n"/>
      <c r="C4775" s="13" t="inlineStr">
        <is>
          <t>nPer</t>
        </is>
      </c>
      <c r="D4775" s="515">
        <f>+D4774*D4773</f>
        <v/>
      </c>
      <c r="E4775" s="1" t="n"/>
      <c r="F4775" s="319" t="n"/>
      <c r="G4775" s="319" t="n"/>
      <c r="H4775" s="319" t="n"/>
      <c r="I4775" s="319" t="n"/>
      <c r="J4775" s="319" t="n"/>
    </row>
    <row r="4776">
      <c r="B4776" s="1" t="n"/>
      <c r="C4776" s="13" t="inlineStr">
        <is>
          <t>Days in a year</t>
        </is>
      </c>
      <c r="D4776" s="18" t="n">
        <v>365</v>
      </c>
      <c r="E4776" s="1" t="n"/>
      <c r="F4776" s="319" t="n"/>
      <c r="G4776" s="319" t="n"/>
      <c r="H4776" s="319" t="n"/>
      <c r="I4776" s="319" t="n"/>
      <c r="J4776" s="319" t="n"/>
    </row>
    <row r="4777">
      <c r="B4777" s="1" t="n"/>
      <c r="C4777" s="19" t="inlineStr">
        <is>
          <t>Pmt (MK)</t>
        </is>
      </c>
      <c r="D4777" s="534">
        <f>-PMT(D4772/D4774,D4775,D4771,0,0)</f>
        <v/>
      </c>
      <c r="E4777" s="319" t="n"/>
      <c r="F4777" s="319" t="n"/>
      <c r="G4777" s="319" t="n"/>
      <c r="H4777" s="319" t="n"/>
      <c r="I4777" s="319" t="n"/>
      <c r="J4777" s="319" t="n"/>
    </row>
    <row r="4778">
      <c r="B4778" s="1" t="n"/>
      <c r="C4778" s="1" t="n"/>
      <c r="D4778" s="319" t="n"/>
      <c r="E4778" s="319" t="n"/>
      <c r="F4778" s="319" t="n"/>
      <c r="G4778" s="319" t="n"/>
      <c r="H4778" s="319" t="n"/>
      <c r="I4778" s="319" t="n"/>
      <c r="J4778" s="319" t="n"/>
    </row>
    <row r="4779">
      <c r="B4779" s="1" t="n"/>
      <c r="C4779" s="21" t="inlineStr">
        <is>
          <t>Period Start</t>
        </is>
      </c>
      <c r="D4779" s="22" t="inlineStr">
        <is>
          <t>Period End</t>
        </is>
      </c>
      <c r="E4779" s="22" t="inlineStr">
        <is>
          <t>Days</t>
        </is>
      </c>
      <c r="F4779" s="294" t="inlineStr">
        <is>
          <t>Opening bal.</t>
        </is>
      </c>
      <c r="G4779" s="294" t="inlineStr">
        <is>
          <t>Pmt</t>
        </is>
      </c>
      <c r="H4779" s="294" t="inlineStr">
        <is>
          <t>Interest</t>
        </is>
      </c>
      <c r="I4779" s="294" t="inlineStr">
        <is>
          <t>Principal</t>
        </is>
      </c>
      <c r="J4779" s="294" t="inlineStr">
        <is>
          <t>Closing balance</t>
        </is>
      </c>
      <c r="K4779" s="23" t="inlineStr">
        <is>
          <t>Amount Repaid</t>
        </is>
      </c>
      <c r="L4779" s="23" t="inlineStr">
        <is>
          <t>Accumulated Arrears</t>
        </is>
      </c>
    </row>
    <row r="4780">
      <c r="B4780" s="1" t="n">
        <v>0</v>
      </c>
      <c r="C4780" s="24" t="n">
        <v>45342</v>
      </c>
      <c r="D4780" s="24" t="n">
        <v>45351</v>
      </c>
      <c r="E4780" s="339" t="n">
        <v>9</v>
      </c>
      <c r="F4780" s="319">
        <f>D4771</f>
        <v/>
      </c>
      <c r="G4780" s="319" t="n"/>
      <c r="H4780" s="319">
        <f>($D$4772/$D$4774*F4780*E4780/31)</f>
        <v/>
      </c>
      <c r="I4780" s="319">
        <f>G4780-H4780</f>
        <v/>
      </c>
      <c r="J4780" s="319">
        <f>F4780-I4780</f>
        <v/>
      </c>
    </row>
    <row r="4781">
      <c r="B4781" s="1" t="n">
        <v>1</v>
      </c>
      <c r="C4781" s="24" t="n">
        <v>45352</v>
      </c>
      <c r="D4781" s="24" t="n">
        <v>45382</v>
      </c>
      <c r="E4781" s="25" t="n">
        <v>31</v>
      </c>
      <c r="F4781" s="319">
        <f>J4780</f>
        <v/>
      </c>
      <c r="G4781" s="319" t="n"/>
      <c r="H4781" s="319">
        <f>($D$4772/$D$4774*F4781)</f>
        <v/>
      </c>
      <c r="I4781" s="319">
        <f>G4781-H4781</f>
        <v/>
      </c>
      <c r="J4781" s="319">
        <f>F4781-I4781</f>
        <v/>
      </c>
    </row>
    <row r="4782">
      <c r="B4782" s="1" t="n">
        <v>2</v>
      </c>
      <c r="C4782" s="24" t="n">
        <v>45383</v>
      </c>
      <c r="D4782" s="24" t="n">
        <v>45412</v>
      </c>
      <c r="E4782" s="25" t="n">
        <v>30</v>
      </c>
      <c r="F4782" s="319">
        <f>J4781</f>
        <v/>
      </c>
      <c r="G4782" s="319" t="n"/>
      <c r="H4782" s="319">
        <f>($D$4772/$D$4774*F4782)</f>
        <v/>
      </c>
      <c r="I4782" s="319">
        <f>G4782-H4782</f>
        <v/>
      </c>
      <c r="J4782" s="319">
        <f>F4782-I4782</f>
        <v/>
      </c>
    </row>
    <row r="4783">
      <c r="B4783" s="1">
        <f>+B4782+1</f>
        <v/>
      </c>
      <c r="C4783" s="24" t="n">
        <v>45413</v>
      </c>
      <c r="D4783" s="24" t="n">
        <v>45443</v>
      </c>
      <c r="E4783" s="25" t="n">
        <v>31</v>
      </c>
      <c r="F4783" s="319">
        <f>J4782</f>
        <v/>
      </c>
      <c r="G4783" s="319" t="n"/>
      <c r="H4783" s="319">
        <f>($D$4772/$D$4774*F4783)</f>
        <v/>
      </c>
      <c r="I4783" s="319">
        <f>G4783-H4783</f>
        <v/>
      </c>
      <c r="J4783" s="319">
        <f>F4783-I4783</f>
        <v/>
      </c>
      <c r="L4783" s="148">
        <f>+G4783-K4783+L4782</f>
        <v/>
      </c>
    </row>
    <row r="4784">
      <c r="B4784" s="1">
        <f>+B4783+1</f>
        <v/>
      </c>
      <c r="C4784" s="24" t="n">
        <v>45444</v>
      </c>
      <c r="D4784" s="24" t="n">
        <v>45473</v>
      </c>
      <c r="E4784" s="25" t="n">
        <v>30</v>
      </c>
      <c r="F4784" s="319">
        <f>J4783</f>
        <v/>
      </c>
      <c r="G4784" s="319" t="n"/>
      <c r="H4784" s="319">
        <f>($D$4772/$D$4774*F4784)</f>
        <v/>
      </c>
      <c r="I4784" s="319">
        <f>G4784-H4784</f>
        <v/>
      </c>
      <c r="J4784" s="319">
        <f>F4784-I4784</f>
        <v/>
      </c>
    </row>
    <row r="4785">
      <c r="B4785" s="1">
        <f>+B4784+1</f>
        <v/>
      </c>
      <c r="C4785" s="24" t="n">
        <v>45474</v>
      </c>
      <c r="D4785" s="24" t="n">
        <v>45504</v>
      </c>
      <c r="E4785" s="25" t="n">
        <v>31</v>
      </c>
      <c r="F4785" s="319">
        <f>J4784</f>
        <v/>
      </c>
      <c r="G4785" s="319" t="n"/>
      <c r="H4785" s="319">
        <f>($D$4772/$D$4774*F4785)</f>
        <v/>
      </c>
      <c r="I4785" s="319">
        <f>G4785-H4785</f>
        <v/>
      </c>
      <c r="J4785" s="319">
        <f>F4785-I4785</f>
        <v/>
      </c>
      <c r="L4785" s="148">
        <f>+G4785-K4785+L4784</f>
        <v/>
      </c>
    </row>
    <row r="4786">
      <c r="B4786" s="1">
        <f>+B4785+1</f>
        <v/>
      </c>
      <c r="C4786" s="24" t="n">
        <v>45505</v>
      </c>
      <c r="D4786" s="24" t="n">
        <v>45535</v>
      </c>
      <c r="E4786" s="25" t="n">
        <v>31</v>
      </c>
      <c r="F4786" s="319">
        <f>J4785</f>
        <v/>
      </c>
      <c r="G4786" s="319">
        <f>-PMT($D$4772/$D$4774,42,$F$4786,,0)</f>
        <v/>
      </c>
      <c r="H4786" s="319">
        <f>($D$4772/$D$4774*F4786)</f>
        <v/>
      </c>
      <c r="I4786" s="319">
        <f>G4786-H4786</f>
        <v/>
      </c>
      <c r="J4786" s="319">
        <f>F4786-I4786</f>
        <v/>
      </c>
      <c r="L4786" s="148">
        <f>+G4786-K4786+L4785</f>
        <v/>
      </c>
    </row>
    <row r="4787">
      <c r="B4787" s="1">
        <f>+B4786+1</f>
        <v/>
      </c>
      <c r="C4787" s="24" t="n">
        <v>45536</v>
      </c>
      <c r="D4787" s="24" t="n">
        <v>45565</v>
      </c>
      <c r="E4787" s="25" t="n">
        <v>30</v>
      </c>
      <c r="F4787" s="319">
        <f>J4786</f>
        <v/>
      </c>
      <c r="G4787" s="319">
        <f>-PMT($D$4772/$D$4774,42,$F$4786,,0)</f>
        <v/>
      </c>
      <c r="H4787" s="319">
        <f>($D$4772/$D$4774*F4787)</f>
        <v/>
      </c>
      <c r="I4787" s="319">
        <f>G4787-H4787</f>
        <v/>
      </c>
      <c r="J4787" s="319">
        <f>F4787-I4787</f>
        <v/>
      </c>
      <c r="K4787" s="237">
        <f>4439000+4439000</f>
        <v/>
      </c>
      <c r="L4787" s="148">
        <f>+G4787-K4787+L4786</f>
        <v/>
      </c>
    </row>
    <row r="4788">
      <c r="B4788" s="1">
        <f>+B4787+1</f>
        <v/>
      </c>
      <c r="C4788" s="24" t="n">
        <v>45566</v>
      </c>
      <c r="D4788" s="24" t="n">
        <v>45596</v>
      </c>
      <c r="E4788" s="25" t="n">
        <v>31</v>
      </c>
      <c r="F4788" s="319">
        <f>J4787</f>
        <v/>
      </c>
      <c r="G4788" s="319">
        <f>-PMT($D$4772/$D$4774,42,$F$4786,,0)</f>
        <v/>
      </c>
      <c r="H4788" s="319">
        <f>($D$4772/$D$4774*F4788)</f>
        <v/>
      </c>
      <c r="I4788" s="319">
        <f>G4788-H4788</f>
        <v/>
      </c>
      <c r="J4788" s="319">
        <f>F4788-I4788</f>
        <v/>
      </c>
      <c r="K4788" s="433" t="n">
        <v>4439000</v>
      </c>
      <c r="L4788" s="389">
        <f>+G4788-K4788+L4787</f>
        <v/>
      </c>
    </row>
    <row r="4789">
      <c r="B4789" s="1">
        <f>+B4788+1</f>
        <v/>
      </c>
      <c r="C4789" s="24" t="n">
        <v>45597</v>
      </c>
      <c r="D4789" s="24" t="n">
        <v>45626</v>
      </c>
      <c r="E4789" s="25" t="n">
        <v>30</v>
      </c>
      <c r="F4789" s="319">
        <f>J4788</f>
        <v/>
      </c>
      <c r="G4789" s="319">
        <f>-PMT($D$4772/$D$4774,42,$F$4786,,0)</f>
        <v/>
      </c>
      <c r="H4789" s="319">
        <f>($D$4772/$D$4774*F4789)</f>
        <v/>
      </c>
      <c r="I4789" s="319">
        <f>G4789-H4789</f>
        <v/>
      </c>
      <c r="J4789" s="319">
        <f>F4789-I4789</f>
        <v/>
      </c>
    </row>
    <row r="4790">
      <c r="B4790" s="1">
        <f>+B4789+1</f>
        <v/>
      </c>
      <c r="C4790" s="24" t="n">
        <v>45627</v>
      </c>
      <c r="D4790" s="24" t="n">
        <v>45657</v>
      </c>
      <c r="E4790" s="25" t="n">
        <v>31</v>
      </c>
      <c r="F4790" s="319">
        <f>J4789</f>
        <v/>
      </c>
      <c r="G4790" s="319">
        <f>-PMT($D$4772/$D$4774,42,$F$4786,,0)</f>
        <v/>
      </c>
      <c r="H4790" s="319">
        <f>($D$4772/$D$4774*F4790)</f>
        <v/>
      </c>
      <c r="I4790" s="319">
        <f>G4790-H4790</f>
        <v/>
      </c>
      <c r="J4790" s="319">
        <f>F4790-I4790</f>
        <v/>
      </c>
    </row>
    <row r="4791">
      <c r="B4791" s="1">
        <f>+B4790+1</f>
        <v/>
      </c>
      <c r="C4791" s="24" t="n">
        <v>45658</v>
      </c>
      <c r="D4791" s="24" t="n">
        <v>45688</v>
      </c>
      <c r="E4791" s="25" t="n">
        <v>31</v>
      </c>
      <c r="F4791" s="319">
        <f>J4790</f>
        <v/>
      </c>
      <c r="G4791" s="319">
        <f>-PMT($D$4772/$D$4774,42,$F$4786,,0)</f>
        <v/>
      </c>
      <c r="H4791" s="319">
        <f>($D$4772/$D$4774*F4791)</f>
        <v/>
      </c>
      <c r="I4791" s="319">
        <f>G4791-H4791</f>
        <v/>
      </c>
      <c r="J4791" s="319">
        <f>F4791-I4791</f>
        <v/>
      </c>
    </row>
    <row r="4792">
      <c r="B4792" s="1">
        <f>+B4791+1</f>
        <v/>
      </c>
      <c r="C4792" s="24" t="n">
        <v>45689</v>
      </c>
      <c r="D4792" s="24" t="n">
        <v>45716</v>
      </c>
      <c r="E4792" s="25" t="n">
        <v>28</v>
      </c>
      <c r="F4792" s="319">
        <f>J4791</f>
        <v/>
      </c>
      <c r="G4792" s="319">
        <f>-PMT($D$4772/$D$4774,42,$F$4786,,0)</f>
        <v/>
      </c>
      <c r="H4792" s="319">
        <f>($D$4772/$D$4774*F4792)</f>
        <v/>
      </c>
      <c r="I4792" s="319">
        <f>G4792-H4792</f>
        <v/>
      </c>
      <c r="J4792" s="319">
        <f>F4792-I4792</f>
        <v/>
      </c>
    </row>
    <row r="4793">
      <c r="B4793" s="1">
        <f>+B4792+1</f>
        <v/>
      </c>
      <c r="C4793" s="24" t="n">
        <v>45717</v>
      </c>
      <c r="D4793" s="24" t="n">
        <v>45747</v>
      </c>
      <c r="E4793" s="25" t="n">
        <v>31</v>
      </c>
      <c r="F4793" s="319">
        <f>J4792</f>
        <v/>
      </c>
      <c r="G4793" s="319">
        <f>-PMT($D$4772/$D$4774,42,$F$4786,,0)</f>
        <v/>
      </c>
      <c r="H4793" s="319">
        <f>($D$4772/$D$4774*F4793)</f>
        <v/>
      </c>
      <c r="I4793" s="319">
        <f>G4793-H4793</f>
        <v/>
      </c>
      <c r="J4793" s="319">
        <f>F4793-I4793</f>
        <v/>
      </c>
    </row>
    <row r="4794">
      <c r="B4794" s="1">
        <f>+B4793+1</f>
        <v/>
      </c>
      <c r="C4794" s="24" t="n">
        <v>45748</v>
      </c>
      <c r="D4794" s="24" t="n">
        <v>45777</v>
      </c>
      <c r="E4794" s="25" t="n">
        <v>30</v>
      </c>
      <c r="F4794" s="319">
        <f>J4793</f>
        <v/>
      </c>
      <c r="G4794" s="319">
        <f>-PMT($D$4772/$D$4774,42,$F$4786,,0)</f>
        <v/>
      </c>
      <c r="H4794" s="319">
        <f>($D$4772/$D$4774*F4794)</f>
        <v/>
      </c>
      <c r="I4794" s="319">
        <f>G4794-H4794</f>
        <v/>
      </c>
      <c r="J4794" s="319">
        <f>F4794-I4794</f>
        <v/>
      </c>
    </row>
    <row r="4795">
      <c r="B4795" s="1">
        <f>+B4794+1</f>
        <v/>
      </c>
      <c r="C4795" s="24" t="n">
        <v>45778</v>
      </c>
      <c r="D4795" s="24" t="n">
        <v>45808</v>
      </c>
      <c r="E4795" s="25" t="n">
        <v>31</v>
      </c>
      <c r="F4795" s="319">
        <f>J4794</f>
        <v/>
      </c>
      <c r="G4795" s="319">
        <f>-PMT($D$4772/$D$4774,42,$F$4786,,0)</f>
        <v/>
      </c>
      <c r="H4795" s="319">
        <f>($D$4772/$D$4774*F4795)</f>
        <v/>
      </c>
      <c r="I4795" s="319">
        <f>G4795-H4795</f>
        <v/>
      </c>
      <c r="J4795" s="319">
        <f>F4795-I4795</f>
        <v/>
      </c>
    </row>
    <row r="4796">
      <c r="B4796" s="1">
        <f>+B4795+1</f>
        <v/>
      </c>
      <c r="C4796" s="24" t="n">
        <v>45809</v>
      </c>
      <c r="D4796" s="24" t="n">
        <v>45838</v>
      </c>
      <c r="E4796" s="25" t="n">
        <v>30</v>
      </c>
      <c r="F4796" s="319">
        <f>J4795</f>
        <v/>
      </c>
      <c r="G4796" s="319">
        <f>-PMT($D$4772/$D$4774,42,$F$4786,,0)</f>
        <v/>
      </c>
      <c r="H4796" s="319">
        <f>($D$4772/$D$4774*F4796)</f>
        <v/>
      </c>
      <c r="I4796" s="319">
        <f>G4796-H4796</f>
        <v/>
      </c>
      <c r="J4796" s="319">
        <f>F4796-I4796</f>
        <v/>
      </c>
    </row>
    <row r="4797">
      <c r="B4797" s="1">
        <f>+B4796+1</f>
        <v/>
      </c>
      <c r="C4797" s="24" t="n">
        <v>45839</v>
      </c>
      <c r="D4797" s="24" t="n">
        <v>45868</v>
      </c>
      <c r="E4797" s="25" t="n">
        <v>30</v>
      </c>
      <c r="F4797" s="319">
        <f>J4796</f>
        <v/>
      </c>
      <c r="G4797" s="319">
        <f>-PMT($D$4772/$D$4774,42,$F$4786,,0)</f>
        <v/>
      </c>
      <c r="H4797" s="319">
        <f>($D$4772/$D$4774*F4797)</f>
        <v/>
      </c>
      <c r="I4797" s="319">
        <f>G4797-H4797</f>
        <v/>
      </c>
      <c r="J4797" s="319">
        <f>F4797-I4797</f>
        <v/>
      </c>
    </row>
    <row r="4798">
      <c r="B4798" s="1">
        <f>+B4797+1</f>
        <v/>
      </c>
      <c r="C4798" s="24" t="n">
        <v>45870</v>
      </c>
      <c r="D4798" s="24" t="n">
        <v>45899</v>
      </c>
      <c r="E4798" s="25" t="n">
        <v>30</v>
      </c>
      <c r="F4798" s="319">
        <f>J4797</f>
        <v/>
      </c>
      <c r="G4798" s="319">
        <f>-PMT($D$4772/$D$4774,42,$F$4786,,0)</f>
        <v/>
      </c>
      <c r="H4798" s="319">
        <f>($D$4772/$D$4774*F4798)</f>
        <v/>
      </c>
      <c r="I4798" s="319">
        <f>G4798-H4798</f>
        <v/>
      </c>
      <c r="J4798" s="319">
        <f>F4798-I4798</f>
        <v/>
      </c>
    </row>
    <row r="4799">
      <c r="B4799" s="1">
        <f>+B4798+1</f>
        <v/>
      </c>
      <c r="C4799" s="24" t="n">
        <v>45901</v>
      </c>
      <c r="D4799" s="24" t="n">
        <v>45930</v>
      </c>
      <c r="E4799" s="25" t="n">
        <v>30</v>
      </c>
      <c r="F4799" s="319">
        <f>J4798</f>
        <v/>
      </c>
      <c r="G4799" s="319">
        <f>-PMT($D$4772/$D$4774,42,$F$4786,,0)</f>
        <v/>
      </c>
      <c r="H4799" s="319">
        <f>($D$4772/$D$4774*F4799)</f>
        <v/>
      </c>
      <c r="I4799" s="319">
        <f>G4799-H4799</f>
        <v/>
      </c>
      <c r="J4799" s="319">
        <f>F4799-I4799</f>
        <v/>
      </c>
    </row>
    <row r="4800">
      <c r="B4800" s="1">
        <f>+B4799+1</f>
        <v/>
      </c>
      <c r="C4800" s="24" t="n">
        <v>45931</v>
      </c>
      <c r="D4800" s="24" t="n">
        <v>45961</v>
      </c>
      <c r="E4800" s="25" t="n">
        <v>31</v>
      </c>
      <c r="F4800" s="319">
        <f>J4799</f>
        <v/>
      </c>
      <c r="G4800" s="319">
        <f>-PMT($D$4772/$D$4774,42,$F$4786,,0)</f>
        <v/>
      </c>
      <c r="H4800" s="319">
        <f>($D$4772/$D$4774*F4800)</f>
        <v/>
      </c>
      <c r="I4800" s="319">
        <f>G4800-H4800</f>
        <v/>
      </c>
      <c r="J4800" s="319">
        <f>F4800-I4800</f>
        <v/>
      </c>
    </row>
    <row r="4801">
      <c r="B4801" s="1">
        <f>+B4800+1</f>
        <v/>
      </c>
      <c r="C4801" s="24" t="n">
        <v>45962</v>
      </c>
      <c r="D4801" s="24" t="n">
        <v>45991</v>
      </c>
      <c r="E4801" s="25" t="n">
        <v>30</v>
      </c>
      <c r="F4801" s="319">
        <f>J4800</f>
        <v/>
      </c>
      <c r="G4801" s="319">
        <f>-PMT($D$4772/$D$4774,42,$F$4786,,0)</f>
        <v/>
      </c>
      <c r="H4801" s="319">
        <f>($D$4772/$D$4774*F4801)</f>
        <v/>
      </c>
      <c r="I4801" s="319">
        <f>G4801-H4801</f>
        <v/>
      </c>
      <c r="J4801" s="319">
        <f>F4801-I4801</f>
        <v/>
      </c>
    </row>
    <row r="4802">
      <c r="B4802" s="1">
        <f>+B4801+1</f>
        <v/>
      </c>
      <c r="C4802" s="24" t="n">
        <v>45992</v>
      </c>
      <c r="D4802" s="24" t="n">
        <v>46022</v>
      </c>
      <c r="E4802" s="25" t="n">
        <v>31</v>
      </c>
      <c r="F4802" s="319">
        <f>J4801</f>
        <v/>
      </c>
      <c r="G4802" s="319">
        <f>-PMT($D$4772/$D$4774,42,$F$4786,,0)</f>
        <v/>
      </c>
      <c r="H4802" s="319">
        <f>($D$4772/$D$4774*F4802)</f>
        <v/>
      </c>
      <c r="I4802" s="319">
        <f>G4802-H4802</f>
        <v/>
      </c>
      <c r="J4802" s="319">
        <f>F4802-I4802</f>
        <v/>
      </c>
    </row>
    <row r="4803">
      <c r="B4803" s="1">
        <f>+B4802+1</f>
        <v/>
      </c>
      <c r="C4803" s="24" t="n">
        <v>46023</v>
      </c>
      <c r="D4803" s="24" t="n">
        <v>46053</v>
      </c>
      <c r="E4803" s="25" t="n">
        <v>31</v>
      </c>
      <c r="F4803" s="319">
        <f>J4802</f>
        <v/>
      </c>
      <c r="G4803" s="319">
        <f>-PMT($D$4772/$D$4774,42,$F$4786,,0)</f>
        <v/>
      </c>
      <c r="H4803" s="319">
        <f>($D$4772/$D$4774*F4803)</f>
        <v/>
      </c>
      <c r="I4803" s="319">
        <f>G4803-H4803</f>
        <v/>
      </c>
      <c r="J4803" s="319">
        <f>F4803-I4803</f>
        <v/>
      </c>
    </row>
    <row r="4804">
      <c r="B4804" s="1">
        <f>+B4803+1</f>
        <v/>
      </c>
      <c r="C4804" s="24" t="n">
        <v>46054</v>
      </c>
      <c r="D4804" s="24" t="n">
        <v>46081</v>
      </c>
      <c r="E4804" s="25" t="n">
        <v>28</v>
      </c>
      <c r="F4804" s="319">
        <f>J4803</f>
        <v/>
      </c>
      <c r="G4804" s="319">
        <f>-PMT($D$4772/$D$4774,42,$F$4786,,0)</f>
        <v/>
      </c>
      <c r="H4804" s="319">
        <f>($D$4772/$D$4774*F4804)</f>
        <v/>
      </c>
      <c r="I4804" s="319">
        <f>G4804-H4804</f>
        <v/>
      </c>
      <c r="J4804" s="319">
        <f>F4804-I4804</f>
        <v/>
      </c>
    </row>
    <row r="4805">
      <c r="B4805" s="1">
        <f>+B4804+1</f>
        <v/>
      </c>
      <c r="C4805" s="24" t="n">
        <v>46082</v>
      </c>
      <c r="D4805" s="24" t="n">
        <v>46112</v>
      </c>
      <c r="E4805" s="25" t="n">
        <v>31</v>
      </c>
      <c r="F4805" s="319">
        <f>J4804</f>
        <v/>
      </c>
      <c r="G4805" s="319">
        <f>-PMT($D$4772/$D$4774,42,$F$4786,,0)</f>
        <v/>
      </c>
      <c r="H4805" s="319">
        <f>($D$4772/$D$4774*F4805)</f>
        <v/>
      </c>
      <c r="I4805" s="319">
        <f>G4805-H4805</f>
        <v/>
      </c>
      <c r="J4805" s="319">
        <f>F4805-I4805</f>
        <v/>
      </c>
    </row>
    <row r="4806">
      <c r="B4806" s="1">
        <f>+B4805+1</f>
        <v/>
      </c>
      <c r="C4806" s="24" t="n">
        <v>46113</v>
      </c>
      <c r="D4806" s="24" t="n">
        <v>46142</v>
      </c>
      <c r="E4806" s="25" t="n">
        <v>30</v>
      </c>
      <c r="F4806" s="319">
        <f>J4805</f>
        <v/>
      </c>
      <c r="G4806" s="319">
        <f>-PMT($D$4772/$D$4774,42,$F$4786,,0)</f>
        <v/>
      </c>
      <c r="H4806" s="319">
        <f>($D$4772/$D$4774*F4806)</f>
        <v/>
      </c>
      <c r="I4806" s="319">
        <f>G4806-H4806</f>
        <v/>
      </c>
      <c r="J4806" s="319">
        <f>F4806-I4806</f>
        <v/>
      </c>
    </row>
    <row r="4807">
      <c r="B4807" s="1">
        <f>+B4806+1</f>
        <v/>
      </c>
      <c r="C4807" s="24" t="n">
        <v>46143</v>
      </c>
      <c r="D4807" s="24" t="n">
        <v>46173</v>
      </c>
      <c r="E4807" s="25" t="n">
        <v>31</v>
      </c>
      <c r="F4807" s="319">
        <f>J4806</f>
        <v/>
      </c>
      <c r="G4807" s="319">
        <f>-PMT($D$4772/$D$4774,42,$F$4786,,0)</f>
        <v/>
      </c>
      <c r="H4807" s="319">
        <f>($D$4772/$D$4774*F4807)</f>
        <v/>
      </c>
      <c r="I4807" s="319">
        <f>G4807-H4807</f>
        <v/>
      </c>
      <c r="J4807" s="319">
        <f>F4807-I4807</f>
        <v/>
      </c>
    </row>
    <row r="4808">
      <c r="B4808" s="1">
        <f>+B4807+1</f>
        <v/>
      </c>
      <c r="C4808" s="24" t="n">
        <v>46174</v>
      </c>
      <c r="D4808" s="24" t="n">
        <v>46203</v>
      </c>
      <c r="E4808" s="25" t="n">
        <v>30</v>
      </c>
      <c r="F4808" s="319">
        <f>J4807</f>
        <v/>
      </c>
      <c r="G4808" s="319">
        <f>-PMT($D$4772/$D$4774,42,$F$4786,,0)</f>
        <v/>
      </c>
      <c r="H4808" s="319">
        <f>($D$4772/$D$4774*F4808)</f>
        <v/>
      </c>
      <c r="I4808" s="319">
        <f>G4808-H4808</f>
        <v/>
      </c>
      <c r="J4808" s="319">
        <f>F4808-I4808</f>
        <v/>
      </c>
    </row>
    <row r="4809">
      <c r="B4809" s="1">
        <f>+B4808+1</f>
        <v/>
      </c>
      <c r="C4809" s="24" t="n">
        <v>46204</v>
      </c>
      <c r="D4809" s="24" t="n">
        <v>46234</v>
      </c>
      <c r="E4809" s="25" t="n">
        <v>31</v>
      </c>
      <c r="F4809" s="319">
        <f>J4808</f>
        <v/>
      </c>
      <c r="G4809" s="319">
        <f>-PMT($D$4772/$D$4774,42,$F$4786,,0)</f>
        <v/>
      </c>
      <c r="H4809" s="319">
        <f>($D$4772/$D$4774*F4809)</f>
        <v/>
      </c>
      <c r="I4809" s="319">
        <f>G4809-H4809</f>
        <v/>
      </c>
      <c r="J4809" s="319">
        <f>F4809-I4809</f>
        <v/>
      </c>
    </row>
    <row r="4810">
      <c r="B4810" s="1">
        <f>+B4809+1</f>
        <v/>
      </c>
      <c r="C4810" s="24" t="n">
        <v>46235</v>
      </c>
      <c r="D4810" s="24" t="n">
        <v>46265</v>
      </c>
      <c r="E4810" s="25" t="n">
        <v>31</v>
      </c>
      <c r="F4810" s="319">
        <f>J4809</f>
        <v/>
      </c>
      <c r="G4810" s="319">
        <f>-PMT($D$4772/$D$4774,42,$F$4786,,0)</f>
        <v/>
      </c>
      <c r="H4810" s="319">
        <f>($D$4772/$D$4774*F4810)</f>
        <v/>
      </c>
      <c r="I4810" s="319">
        <f>G4810-H4810</f>
        <v/>
      </c>
      <c r="J4810" s="319">
        <f>F4810-I4810</f>
        <v/>
      </c>
    </row>
    <row r="4811">
      <c r="B4811" s="1">
        <f>+B4810+1</f>
        <v/>
      </c>
      <c r="C4811" s="24" t="n">
        <v>46266</v>
      </c>
      <c r="D4811" s="24" t="n">
        <v>46295</v>
      </c>
      <c r="E4811" s="25" t="n">
        <v>30</v>
      </c>
      <c r="F4811" s="319">
        <f>J4810</f>
        <v/>
      </c>
      <c r="G4811" s="319">
        <f>-PMT($D$4772/$D$4774,42,$F$4786,,0)</f>
        <v/>
      </c>
      <c r="H4811" s="319">
        <f>($D$4772/$D$4774*F4811)</f>
        <v/>
      </c>
      <c r="I4811" s="319">
        <f>G4811-H4811</f>
        <v/>
      </c>
      <c r="J4811" s="319">
        <f>F4811-I4811</f>
        <v/>
      </c>
    </row>
    <row r="4812">
      <c r="B4812" s="1">
        <f>+B4811+1</f>
        <v/>
      </c>
      <c r="C4812" s="24" t="n">
        <v>46296</v>
      </c>
      <c r="D4812" s="24" t="n">
        <v>46326</v>
      </c>
      <c r="E4812" s="25" t="n">
        <v>31</v>
      </c>
      <c r="F4812" s="319">
        <f>J4811</f>
        <v/>
      </c>
      <c r="G4812" s="319">
        <f>-PMT($D$4772/$D$4774,42,$F$4786,,0)</f>
        <v/>
      </c>
      <c r="H4812" s="319">
        <f>($D$4772/$D$4774*F4812)</f>
        <v/>
      </c>
      <c r="I4812" s="319">
        <f>G4812-H4812</f>
        <v/>
      </c>
      <c r="J4812" s="319">
        <f>F4812-I4812</f>
        <v/>
      </c>
    </row>
    <row r="4813">
      <c r="B4813" s="1">
        <f>+B4812+1</f>
        <v/>
      </c>
      <c r="C4813" s="24" t="n">
        <v>46327</v>
      </c>
      <c r="D4813" s="24" t="n">
        <v>46356</v>
      </c>
      <c r="E4813" s="25" t="n">
        <v>30</v>
      </c>
      <c r="F4813" s="319">
        <f>J4812</f>
        <v/>
      </c>
      <c r="G4813" s="319">
        <f>-PMT($D$4772/$D$4774,42,$F$4786,,0)</f>
        <v/>
      </c>
      <c r="H4813" s="319">
        <f>($D$4772/$D$4774*F4813)</f>
        <v/>
      </c>
      <c r="I4813" s="319">
        <f>G4813-H4813</f>
        <v/>
      </c>
      <c r="J4813" s="319">
        <f>F4813-I4813</f>
        <v/>
      </c>
    </row>
    <row r="4814">
      <c r="B4814" s="1">
        <f>+B4813+1</f>
        <v/>
      </c>
      <c r="C4814" s="24" t="n">
        <v>46357</v>
      </c>
      <c r="D4814" s="24" t="n">
        <v>46387</v>
      </c>
      <c r="E4814" s="25" t="n">
        <v>31</v>
      </c>
      <c r="F4814" s="319">
        <f>J4813</f>
        <v/>
      </c>
      <c r="G4814" s="319">
        <f>-PMT($D$4772/$D$4774,42,$F$4786,,0)</f>
        <v/>
      </c>
      <c r="H4814" s="319">
        <f>($D$4772/$D$4774*F4814)</f>
        <v/>
      </c>
      <c r="I4814" s="319">
        <f>G4814-H4814</f>
        <v/>
      </c>
      <c r="J4814" s="319">
        <f>F4814-I4814</f>
        <v/>
      </c>
    </row>
    <row r="4815">
      <c r="B4815" s="1">
        <f>+B4814+1</f>
        <v/>
      </c>
      <c r="C4815" s="24" t="n">
        <v>46388</v>
      </c>
      <c r="D4815" s="24" t="n">
        <v>46418</v>
      </c>
      <c r="E4815" s="25" t="n">
        <v>31</v>
      </c>
      <c r="F4815" s="319">
        <f>J4814</f>
        <v/>
      </c>
      <c r="G4815" s="319">
        <f>-PMT($D$4772/$D$4774,42,$F$4786,,0)</f>
        <v/>
      </c>
      <c r="H4815" s="319">
        <f>($D$4772/$D$4774*F4815)</f>
        <v/>
      </c>
      <c r="I4815" s="319">
        <f>G4815-H4815</f>
        <v/>
      </c>
      <c r="J4815" s="319">
        <f>F4815-I4815</f>
        <v/>
      </c>
    </row>
    <row r="4816">
      <c r="B4816" s="1">
        <f>+B4815+1</f>
        <v/>
      </c>
      <c r="C4816" s="24" t="n">
        <v>46419</v>
      </c>
      <c r="D4816" s="24" t="n">
        <v>46446</v>
      </c>
      <c r="E4816" s="25">
        <f>D4816-C4816+1</f>
        <v/>
      </c>
      <c r="F4816" s="319">
        <f>J4815</f>
        <v/>
      </c>
      <c r="G4816" s="319">
        <f>-PMT($D$4772/$D$4774,42,$F$4786,,0)</f>
        <v/>
      </c>
      <c r="H4816" s="319">
        <f>($D$4772/$D$4774*F4816)</f>
        <v/>
      </c>
      <c r="I4816" s="319">
        <f>G4816-H4816</f>
        <v/>
      </c>
      <c r="J4816" s="319">
        <f>F4816-I4816</f>
        <v/>
      </c>
    </row>
    <row r="4817">
      <c r="B4817" s="1">
        <f>+B4816+1</f>
        <v/>
      </c>
      <c r="C4817" s="24" t="n">
        <v>46447</v>
      </c>
      <c r="D4817" s="24" t="n">
        <v>46477</v>
      </c>
      <c r="E4817" s="25">
        <f>D4817-C4817+1</f>
        <v/>
      </c>
      <c r="F4817" s="319">
        <f>J4816</f>
        <v/>
      </c>
      <c r="G4817" s="319">
        <f>-PMT($D$4772/$D$4774,42,$F$4786,,0)</f>
        <v/>
      </c>
      <c r="H4817" s="319">
        <f>($D$4772/$D$4774*F4817)</f>
        <v/>
      </c>
      <c r="I4817" s="319">
        <f>G4817-H4817</f>
        <v/>
      </c>
      <c r="J4817" s="319">
        <f>F4817-I4817</f>
        <v/>
      </c>
    </row>
    <row r="4818">
      <c r="B4818" s="1">
        <f>+B4817+1</f>
        <v/>
      </c>
      <c r="C4818" s="24" t="n">
        <v>46478</v>
      </c>
      <c r="D4818" s="24" t="n">
        <v>46507</v>
      </c>
      <c r="E4818" s="25">
        <f>D4818-C4818+1</f>
        <v/>
      </c>
      <c r="F4818" s="319">
        <f>J4817</f>
        <v/>
      </c>
      <c r="G4818" s="319">
        <f>-PMT($D$4772/$D$4774,42,$F$4786,,0)</f>
        <v/>
      </c>
      <c r="H4818" s="319">
        <f>($D$4772/$D$4774*F4818)</f>
        <v/>
      </c>
      <c r="I4818" s="319">
        <f>G4818-H4818</f>
        <v/>
      </c>
      <c r="J4818" s="319">
        <f>F4818-I4818</f>
        <v/>
      </c>
    </row>
    <row r="4819">
      <c r="B4819" s="1">
        <f>+B4818+1</f>
        <v/>
      </c>
      <c r="C4819" s="24" t="n">
        <v>46508</v>
      </c>
      <c r="D4819" s="24" t="n">
        <v>46538</v>
      </c>
      <c r="E4819" s="25">
        <f>D4819-C4819+1</f>
        <v/>
      </c>
      <c r="F4819" s="319">
        <f>J4818</f>
        <v/>
      </c>
      <c r="G4819" s="319">
        <f>-PMT($D$4772/$D$4774,42,$F$4786,,0)</f>
        <v/>
      </c>
      <c r="H4819" s="319">
        <f>($D$4772/$D$4774*F4819)</f>
        <v/>
      </c>
      <c r="I4819" s="319">
        <f>G4819-H4819</f>
        <v/>
      </c>
      <c r="J4819" s="319">
        <f>F4819-I4819</f>
        <v/>
      </c>
    </row>
    <row r="4820">
      <c r="B4820" s="1">
        <f>+B4819+1</f>
        <v/>
      </c>
      <c r="C4820" s="24" t="n">
        <v>46539</v>
      </c>
      <c r="D4820" s="24" t="n">
        <v>46568</v>
      </c>
      <c r="E4820" s="25">
        <f>D4820-C4820+1</f>
        <v/>
      </c>
      <c r="F4820" s="319">
        <f>J4819</f>
        <v/>
      </c>
      <c r="G4820" s="319">
        <f>-PMT($D$4772/$D$4774,42,$F$4786,,0)</f>
        <v/>
      </c>
      <c r="H4820" s="319">
        <f>($D$4772/$D$4774*F4820)</f>
        <v/>
      </c>
      <c r="I4820" s="319">
        <f>G4820-H4820</f>
        <v/>
      </c>
      <c r="J4820" s="319">
        <f>F4820-I4820</f>
        <v/>
      </c>
    </row>
    <row r="4821">
      <c r="B4821" s="1">
        <f>+B4820+1</f>
        <v/>
      </c>
      <c r="C4821" s="24" t="n">
        <v>46569</v>
      </c>
      <c r="D4821" s="24" t="n">
        <v>46599</v>
      </c>
      <c r="E4821" s="25">
        <f>D4821-C4821+1</f>
        <v/>
      </c>
      <c r="F4821" s="319">
        <f>J4820</f>
        <v/>
      </c>
      <c r="G4821" s="319">
        <f>-PMT($D$4772/$D$4774,42,$F$4786,,0)</f>
        <v/>
      </c>
      <c r="H4821" s="319">
        <f>($D$4772/$D$4774*F4821)</f>
        <v/>
      </c>
      <c r="I4821" s="319">
        <f>G4821-H4821</f>
        <v/>
      </c>
      <c r="J4821" s="319">
        <f>F4821-I4821</f>
        <v/>
      </c>
    </row>
    <row r="4822">
      <c r="B4822" s="1">
        <f>+B4821+1</f>
        <v/>
      </c>
      <c r="C4822" s="24" t="n">
        <v>46600</v>
      </c>
      <c r="D4822" s="24" t="n">
        <v>46630</v>
      </c>
      <c r="E4822" s="25">
        <f>D4822-C4822+1</f>
        <v/>
      </c>
      <c r="F4822" s="319">
        <f>J4821</f>
        <v/>
      </c>
      <c r="G4822" s="319">
        <f>-PMT($D$4772/$D$4774,42,$F$4786,,0)</f>
        <v/>
      </c>
      <c r="H4822" s="319">
        <f>($D$4772/$D$4774*F4822)</f>
        <v/>
      </c>
      <c r="I4822" s="319">
        <f>G4822-H4822</f>
        <v/>
      </c>
      <c r="J4822" s="319">
        <f>F4822-I4822</f>
        <v/>
      </c>
    </row>
    <row r="4823">
      <c r="B4823" s="1">
        <f>+B4822+1</f>
        <v/>
      </c>
      <c r="C4823" s="24" t="n">
        <v>46631</v>
      </c>
      <c r="D4823" s="24" t="n">
        <v>46660</v>
      </c>
      <c r="E4823" s="25">
        <f>D4823-C4823+1</f>
        <v/>
      </c>
      <c r="F4823" s="319">
        <f>J4822</f>
        <v/>
      </c>
      <c r="G4823" s="319">
        <f>-PMT($D$4772/$D$4774,42,$F$4786,,0)</f>
        <v/>
      </c>
      <c r="H4823" s="319">
        <f>($D$4772/$D$4774*F4823)</f>
        <v/>
      </c>
      <c r="I4823" s="319">
        <f>G4823-H4823</f>
        <v/>
      </c>
      <c r="J4823" s="319">
        <f>F4823-I4823</f>
        <v/>
      </c>
    </row>
    <row r="4824">
      <c r="B4824" s="1">
        <f>+B4823+1</f>
        <v/>
      </c>
      <c r="C4824" s="24" t="n">
        <v>46661</v>
      </c>
      <c r="D4824" s="24" t="n">
        <v>46691</v>
      </c>
      <c r="E4824" s="25">
        <f>D4824-C4824+1</f>
        <v/>
      </c>
      <c r="F4824" s="319">
        <f>J4823</f>
        <v/>
      </c>
      <c r="G4824" s="319">
        <f>-PMT($D$4772/$D$4774,42,$F$4786,,0)</f>
        <v/>
      </c>
      <c r="H4824" s="319">
        <f>($D$4772/$D$4774*F4824)</f>
        <v/>
      </c>
      <c r="I4824" s="319">
        <f>G4824-H4824</f>
        <v/>
      </c>
      <c r="J4824" s="319">
        <f>F4824-I4824</f>
        <v/>
      </c>
    </row>
    <row r="4825">
      <c r="B4825" s="1">
        <f>+B4824+1</f>
        <v/>
      </c>
      <c r="C4825" s="24" t="n">
        <v>46692</v>
      </c>
      <c r="D4825" s="24" t="n">
        <v>46721</v>
      </c>
      <c r="E4825" s="25">
        <f>D4825-C4825+1</f>
        <v/>
      </c>
      <c r="F4825" s="319">
        <f>J4824</f>
        <v/>
      </c>
      <c r="G4825" s="319">
        <f>-PMT($D$4772/$D$4774,42,$F$4786,,0)</f>
        <v/>
      </c>
      <c r="H4825" s="319">
        <f>($D$4772/$D$4774*F4825)</f>
        <v/>
      </c>
      <c r="I4825" s="319">
        <f>G4825-H4825</f>
        <v/>
      </c>
      <c r="J4825" s="319">
        <f>F4825-I4825</f>
        <v/>
      </c>
    </row>
    <row r="4826">
      <c r="B4826" s="1">
        <f>+B4825+1</f>
        <v/>
      </c>
      <c r="C4826" s="24" t="n">
        <v>46722</v>
      </c>
      <c r="D4826" s="24" t="n">
        <v>46752</v>
      </c>
      <c r="E4826" s="25">
        <f>D4826-C4826+1</f>
        <v/>
      </c>
      <c r="F4826" s="319">
        <f>J4825</f>
        <v/>
      </c>
      <c r="G4826" s="319">
        <f>-PMT($D$4772/$D$4774,42,$F$4786,,0)</f>
        <v/>
      </c>
      <c r="H4826" s="319">
        <f>($D$4772/$D$4774*F4826)</f>
        <v/>
      </c>
      <c r="I4826" s="319">
        <f>G4826-H4826</f>
        <v/>
      </c>
      <c r="J4826" s="319">
        <f>F4826-I4826</f>
        <v/>
      </c>
    </row>
    <row r="4827">
      <c r="B4827" s="1">
        <f>+B4826+1</f>
        <v/>
      </c>
      <c r="C4827" s="24" t="n">
        <v>46753</v>
      </c>
      <c r="D4827" s="24" t="n">
        <v>46783</v>
      </c>
      <c r="E4827" s="25">
        <f>D4827-C4827+1</f>
        <v/>
      </c>
      <c r="F4827" s="319">
        <f>J4826</f>
        <v/>
      </c>
      <c r="G4827" s="319">
        <f>-PMT($D$4772/$D$4774,42,$F$4786,,0)</f>
        <v/>
      </c>
      <c r="H4827" s="319">
        <f>($D$4772/$D$4774*F4827)</f>
        <v/>
      </c>
      <c r="I4827" s="319">
        <f>G4827-H4827</f>
        <v/>
      </c>
      <c r="J4827" s="319">
        <f>F4827-I4827</f>
        <v/>
      </c>
    </row>
    <row r="4834">
      <c r="B4834" s="1" t="n"/>
      <c r="C4834" s="9" t="inlineStr">
        <is>
          <t>JAT Investments</t>
        </is>
      </c>
      <c r="D4834" s="319" t="n"/>
      <c r="E4834" s="319" t="n"/>
      <c r="F4834" s="319" t="n"/>
      <c r="G4834" s="319" t="n"/>
      <c r="H4834" s="319" t="n"/>
      <c r="I4834" s="319" t="n"/>
      <c r="J4834" s="319" t="n"/>
      <c r="R4834" s="514" t="inlineStr">
        <is>
          <t>E-Banker account (Dupleix)</t>
        </is>
      </c>
      <c r="S4834" s="495">
        <f>IFERROR(INDEX('Blocks'!$I$2:$I$101,MATCH(88,'Blocks'!$A$2:$A$101,0)),"")</f>
        <v/>
      </c>
    </row>
    <row r="4835">
      <c r="B4835" s="1" t="n"/>
      <c r="C4835" s="1" t="n"/>
      <c r="D4835" s="319" t="n"/>
      <c r="E4835" s="319" t="n"/>
      <c r="F4835" s="319" t="n"/>
      <c r="G4835" s="319" t="n"/>
      <c r="H4835" s="319" t="n"/>
      <c r="I4835" s="319" t="n"/>
      <c r="J4835" s="319" t="n"/>
      <c r="R4835" s="514" t="inlineStr">
        <is>
          <t>Facility (Loan Book)</t>
        </is>
      </c>
      <c r="S4835" s="495">
        <f>IFERROR(INDEX('Blocks'!$H$2:$H$101,MATCH(88,'Blocks'!$A$2:$A$101,0)),"")</f>
        <v/>
      </c>
    </row>
    <row r="4836">
      <c r="B4836" s="1" t="n"/>
      <c r="C4836" s="10" t="inlineStr">
        <is>
          <t>Principal (MK)</t>
        </is>
      </c>
      <c r="D4836" s="11" t="n">
        <v>130000000</v>
      </c>
      <c r="E4836" s="319" t="n"/>
      <c r="F4836" s="319" t="n"/>
      <c r="G4836" s="319" t="n"/>
      <c r="H4836" s="319" t="n"/>
      <c r="I4836" s="319" t="n"/>
      <c r="J4836" s="319" t="n"/>
      <c r="R4836" s="514" t="inlineStr">
        <is>
          <t>Take-on posting 31 Jul 2024</t>
        </is>
      </c>
      <c r="S4836" s="496">
        <f>IFERROR(INDEX('E-Banker master'!$N$2:$N$186,MATCH(S4834,'E-Banker master'!$A$2:$A$186,0)),"")</f>
        <v/>
      </c>
    </row>
    <row r="4837">
      <c r="B4837" s="1" t="n"/>
      <c r="C4837" s="13" t="inlineStr">
        <is>
          <t>Rate</t>
        </is>
      </c>
      <c r="D4837" s="14" t="n">
        <v>0.1</v>
      </c>
      <c r="E4837" s="257" t="n"/>
      <c r="F4837" s="319" t="n"/>
      <c r="G4837" s="319" t="n"/>
      <c r="H4837" s="319" t="n"/>
      <c r="I4837" s="319" t="n"/>
      <c r="J4837" s="319" t="n"/>
      <c r="R4837" s="514" t="inlineStr">
        <is>
          <t>E-Banker balance 31 Oct 2024</t>
        </is>
      </c>
      <c r="S4837" s="496">
        <f>IFERROR(INDEX('E-Banker master'!$P$2:$P$186,MATCH(S4834,'E-Banker master'!$A$2:$A$186,0)),"")</f>
        <v/>
      </c>
    </row>
    <row r="4838">
      <c r="B4838" s="1" t="n"/>
      <c r="C4838" s="13" t="inlineStr">
        <is>
          <t>n</t>
        </is>
      </c>
      <c r="D4838" s="16" t="n">
        <v>4</v>
      </c>
      <c r="E4838" s="1" t="n"/>
      <c r="F4838" s="319" t="n"/>
      <c r="G4838" s="319" t="n"/>
      <c r="H4838" s="319" t="n"/>
      <c r="I4838" s="319" t="n"/>
      <c r="J4838" s="319" t="n"/>
    </row>
    <row r="4839">
      <c r="B4839" s="1" t="n"/>
      <c r="C4839" s="13" t="inlineStr">
        <is>
          <t>Per</t>
        </is>
      </c>
      <c r="D4839" s="16" t="n">
        <v>12</v>
      </c>
      <c r="E4839" s="1" t="n"/>
      <c r="F4839" s="319" t="n"/>
      <c r="G4839" s="319" t="n"/>
      <c r="H4839" s="319" t="n"/>
      <c r="I4839" s="319" t="n"/>
      <c r="J4839" s="319" t="n"/>
    </row>
    <row r="4840">
      <c r="B4840" s="1" t="n"/>
      <c r="C4840" s="13" t="inlineStr">
        <is>
          <t>nPer</t>
        </is>
      </c>
      <c r="D4840" s="515">
        <f>+D4839*D4838</f>
        <v/>
      </c>
      <c r="E4840" s="1" t="n"/>
      <c r="F4840" s="319" t="n"/>
      <c r="G4840" s="319" t="n"/>
      <c r="H4840" s="319" t="n"/>
      <c r="I4840" s="319" t="n"/>
      <c r="J4840" s="319" t="n"/>
    </row>
    <row r="4841">
      <c r="B4841" s="1" t="n"/>
      <c r="C4841" s="13" t="inlineStr">
        <is>
          <t>Days in a year</t>
        </is>
      </c>
      <c r="D4841" s="18" t="n">
        <v>365</v>
      </c>
      <c r="E4841" s="1" t="n"/>
      <c r="F4841" s="319" t="n"/>
      <c r="G4841" s="319" t="n"/>
      <c r="H4841" s="319" t="n"/>
      <c r="I4841" s="319" t="n"/>
      <c r="J4841" s="319" t="n"/>
    </row>
    <row r="4842">
      <c r="B4842" s="1" t="n"/>
      <c r="C4842" s="19" t="inlineStr">
        <is>
          <t>Pmt (MK)</t>
        </is>
      </c>
      <c r="D4842" s="534">
        <f>-PMT(D4837/D4839,D4840,D4836,0,0)</f>
        <v/>
      </c>
      <c r="E4842" s="319" t="n"/>
      <c r="F4842" s="319" t="n"/>
      <c r="G4842" s="319" t="n"/>
      <c r="H4842" s="319" t="n"/>
      <c r="I4842" s="319" t="n"/>
      <c r="J4842" s="319" t="n"/>
    </row>
    <row r="4843">
      <c r="B4843" s="1" t="n"/>
      <c r="C4843" s="1" t="n"/>
      <c r="D4843" s="319" t="n"/>
      <c r="E4843" s="319" t="n"/>
      <c r="F4843" s="319" t="n"/>
      <c r="G4843" s="319" t="n"/>
      <c r="H4843" s="319" t="n"/>
      <c r="I4843" s="319" t="n"/>
      <c r="J4843" s="319" t="n"/>
    </row>
    <row r="4844">
      <c r="B4844" s="1" t="n"/>
      <c r="C4844" s="21" t="inlineStr">
        <is>
          <t>Period Start</t>
        </is>
      </c>
      <c r="D4844" s="22" t="inlineStr">
        <is>
          <t>Period End</t>
        </is>
      </c>
      <c r="E4844" s="22" t="inlineStr">
        <is>
          <t>Days</t>
        </is>
      </c>
      <c r="F4844" s="294" t="inlineStr">
        <is>
          <t>Opening bal.</t>
        </is>
      </c>
      <c r="G4844" s="294" t="inlineStr">
        <is>
          <t>Pmt</t>
        </is>
      </c>
      <c r="H4844" s="294" t="inlineStr">
        <is>
          <t>Interest</t>
        </is>
      </c>
      <c r="I4844" s="294" t="inlineStr">
        <is>
          <t>Principal</t>
        </is>
      </c>
      <c r="J4844" s="294" t="inlineStr">
        <is>
          <t>Closing balance</t>
        </is>
      </c>
      <c r="K4844" s="23" t="inlineStr">
        <is>
          <t>Amount Repaid</t>
        </is>
      </c>
      <c r="L4844" s="23" t="inlineStr">
        <is>
          <t>Accumulated Arrears</t>
        </is>
      </c>
    </row>
    <row r="4845">
      <c r="B4845" s="1" t="n">
        <v>0</v>
      </c>
      <c r="C4845" s="24" t="n">
        <v>45330</v>
      </c>
      <c r="D4845" s="24" t="n">
        <v>45351</v>
      </c>
      <c r="E4845" s="339" t="n">
        <v>21</v>
      </c>
      <c r="F4845" s="319">
        <f>D4836</f>
        <v/>
      </c>
      <c r="G4845" s="319" t="n"/>
      <c r="H4845" s="319">
        <f>($D$4837/$D$4839*F4845*E4845/31)</f>
        <v/>
      </c>
      <c r="I4845" s="319">
        <f>G4845-H4845</f>
        <v/>
      </c>
      <c r="J4845" s="319">
        <f>F4845-I4845</f>
        <v/>
      </c>
    </row>
    <row r="4846">
      <c r="B4846" s="1" t="n">
        <v>1</v>
      </c>
      <c r="C4846" s="24" t="n">
        <v>45352</v>
      </c>
      <c r="D4846" s="24" t="n">
        <v>45382</v>
      </c>
      <c r="E4846" s="25" t="n">
        <v>31</v>
      </c>
      <c r="F4846" s="319">
        <f>J4845</f>
        <v/>
      </c>
      <c r="G4846" s="319" t="n"/>
      <c r="H4846" s="319">
        <f>($D$4837/$D$4839*F4846)</f>
        <v/>
      </c>
      <c r="I4846" s="319">
        <f>G4846-H4846</f>
        <v/>
      </c>
      <c r="J4846" s="319">
        <f>F4846-I4846</f>
        <v/>
      </c>
    </row>
    <row r="4847">
      <c r="B4847" s="1" t="n">
        <v>2</v>
      </c>
      <c r="C4847" s="24" t="n">
        <v>45383</v>
      </c>
      <c r="D4847" s="24" t="n">
        <v>45412</v>
      </c>
      <c r="E4847" s="25" t="n">
        <v>30</v>
      </c>
      <c r="F4847" s="319">
        <f>J4846</f>
        <v/>
      </c>
      <c r="G4847" s="319" t="n"/>
      <c r="H4847" s="319">
        <f>($D$4837/$D$4839*F4847)</f>
        <v/>
      </c>
      <c r="I4847" s="319">
        <f>G4847-H4847</f>
        <v/>
      </c>
      <c r="J4847" s="319">
        <f>F4847-I4847</f>
        <v/>
      </c>
    </row>
    <row r="4848">
      <c r="B4848" s="1">
        <f>+B4847+1</f>
        <v/>
      </c>
      <c r="C4848" s="24" t="n">
        <v>45413</v>
      </c>
      <c r="D4848" s="24" t="n">
        <v>45443</v>
      </c>
      <c r="E4848" s="25" t="n">
        <v>31</v>
      </c>
      <c r="F4848" s="319">
        <f>J4847</f>
        <v/>
      </c>
      <c r="G4848" s="319" t="n"/>
      <c r="H4848" s="319">
        <f>($D$4837/$D$4839*F4848)</f>
        <v/>
      </c>
      <c r="I4848" s="319">
        <f>G4848-H4848</f>
        <v/>
      </c>
      <c r="J4848" s="319">
        <f>F4848-I4848</f>
        <v/>
      </c>
      <c r="L4848" s="148">
        <f>+G4848-K4848+L4847</f>
        <v/>
      </c>
    </row>
    <row r="4849">
      <c r="B4849" s="1">
        <f>+B4848+1</f>
        <v/>
      </c>
      <c r="C4849" s="24" t="n">
        <v>45444</v>
      </c>
      <c r="D4849" s="24" t="n">
        <v>45473</v>
      </c>
      <c r="E4849" s="25" t="n">
        <v>30</v>
      </c>
      <c r="F4849" s="319">
        <f>J4848</f>
        <v/>
      </c>
      <c r="G4849" s="319">
        <f>-PMT($D$4837/$D$4839,44,$F$4849,,0)</f>
        <v/>
      </c>
      <c r="H4849" s="319">
        <f>($D$4837/$D$4839*F4849)</f>
        <v/>
      </c>
      <c r="I4849" s="319">
        <f>G4849-H4849</f>
        <v/>
      </c>
      <c r="J4849" s="319">
        <f>F4849-I4849</f>
        <v/>
      </c>
      <c r="L4849" s="148">
        <f>+G4849-K4849+L4848</f>
        <v/>
      </c>
    </row>
    <row r="4850">
      <c r="B4850" s="1">
        <f>+B4849+1</f>
        <v/>
      </c>
      <c r="C4850" s="24" t="n">
        <v>45474</v>
      </c>
      <c r="D4850" s="24" t="n">
        <v>45504</v>
      </c>
      <c r="E4850" s="25" t="n">
        <v>31</v>
      </c>
      <c r="F4850" s="319">
        <f>J4849</f>
        <v/>
      </c>
      <c r="G4850" s="319">
        <f>-PMT($D$4837/$D$4839,44,$F$4849,,0)</f>
        <v/>
      </c>
      <c r="H4850" s="319">
        <f>($D$4837/$D$4839*F4850)</f>
        <v/>
      </c>
      <c r="I4850" s="319">
        <f>G4850-H4850</f>
        <v/>
      </c>
      <c r="J4850" s="319">
        <f>F4850-I4850</f>
        <v/>
      </c>
      <c r="K4850" s="237" t="n">
        <v>3650200</v>
      </c>
      <c r="L4850" s="148">
        <f>+G4850-K4850+L4849</f>
        <v/>
      </c>
    </row>
    <row r="4851">
      <c r="B4851" s="1">
        <f>+B4850+1</f>
        <v/>
      </c>
      <c r="C4851" s="24" t="n">
        <v>45505</v>
      </c>
      <c r="D4851" s="24" t="n">
        <v>45535</v>
      </c>
      <c r="E4851" s="25" t="n">
        <v>31</v>
      </c>
      <c r="F4851" s="319">
        <f>J4850</f>
        <v/>
      </c>
      <c r="G4851" s="319">
        <f>-PMT($D$4837/$D$4839,44,$F$4849,,0)</f>
        <v/>
      </c>
      <c r="H4851" s="319">
        <f>($D$4837/$D$4839*F4851)</f>
        <v/>
      </c>
      <c r="I4851" s="319">
        <f>G4851-H4851</f>
        <v/>
      </c>
      <c r="J4851" s="319">
        <f>F4851-I4851</f>
        <v/>
      </c>
      <c r="K4851" s="237" t="n">
        <v>3650200</v>
      </c>
      <c r="L4851" s="148">
        <f>+G4851-K4851+L4850</f>
        <v/>
      </c>
    </row>
    <row r="4852">
      <c r="B4852" s="1">
        <f>+B4851+1</f>
        <v/>
      </c>
      <c r="C4852" s="24" t="n">
        <v>45536</v>
      </c>
      <c r="D4852" s="24" t="n">
        <v>45565</v>
      </c>
      <c r="E4852" s="25" t="n">
        <v>30</v>
      </c>
      <c r="F4852" s="319">
        <f>J4851</f>
        <v/>
      </c>
      <c r="G4852" s="319">
        <f>-PMT($D$4837/$D$4839,44,$F$4849,,0)</f>
        <v/>
      </c>
      <c r="H4852" s="319">
        <f>($D$4837/$D$4839*F4852)</f>
        <v/>
      </c>
      <c r="I4852" s="319">
        <f>G4852-H4852</f>
        <v/>
      </c>
      <c r="J4852" s="319">
        <f>F4852-I4852</f>
        <v/>
      </c>
      <c r="K4852" s="237" t="n">
        <v>3650500</v>
      </c>
      <c r="L4852" s="148">
        <f>+G4852-K4852+L4851</f>
        <v/>
      </c>
    </row>
    <row r="4853">
      <c r="B4853" s="1">
        <f>+B4852+1</f>
        <v/>
      </c>
      <c r="C4853" s="24" t="n">
        <v>45566</v>
      </c>
      <c r="D4853" s="24" t="n">
        <v>45596</v>
      </c>
      <c r="E4853" s="25" t="n">
        <v>31</v>
      </c>
      <c r="F4853" s="319">
        <f>J4852</f>
        <v/>
      </c>
      <c r="G4853" s="319">
        <f>-PMT($D$4837/$D$4839,44,$F$4849,,0)</f>
        <v/>
      </c>
      <c r="H4853" s="319">
        <f>($D$4837/$D$4839*F4853)</f>
        <v/>
      </c>
      <c r="I4853" s="319">
        <f>G4853-H4853</f>
        <v/>
      </c>
      <c r="J4853" s="319">
        <f>F4853-I4853</f>
        <v/>
      </c>
      <c r="K4853" s="237" t="n">
        <v>3650500</v>
      </c>
      <c r="L4853" s="389">
        <f>+G4853-K4853+L4852</f>
        <v/>
      </c>
    </row>
    <row r="4854">
      <c r="B4854" s="1">
        <f>+B4853+1</f>
        <v/>
      </c>
      <c r="C4854" s="24" t="n">
        <v>45597</v>
      </c>
      <c r="D4854" s="24" t="n">
        <v>45626</v>
      </c>
      <c r="E4854" s="25" t="n">
        <v>30</v>
      </c>
      <c r="F4854" s="319">
        <f>J4853</f>
        <v/>
      </c>
      <c r="G4854" s="319">
        <f>-PMT($D$4837/$D$4839,44,$F$4849,,0)</f>
        <v/>
      </c>
      <c r="H4854" s="319">
        <f>($D$4837/$D$4839*F4854)</f>
        <v/>
      </c>
      <c r="I4854" s="319">
        <f>G4854-H4854</f>
        <v/>
      </c>
      <c r="J4854" s="319">
        <f>F4854-I4854</f>
        <v/>
      </c>
    </row>
    <row r="4855">
      <c r="B4855" s="1">
        <f>+B4854+1</f>
        <v/>
      </c>
      <c r="C4855" s="24" t="n">
        <v>45627</v>
      </c>
      <c r="D4855" s="24" t="n">
        <v>45657</v>
      </c>
      <c r="E4855" s="25" t="n">
        <v>31</v>
      </c>
      <c r="F4855" s="319">
        <f>J4854</f>
        <v/>
      </c>
      <c r="G4855" s="319">
        <f>-PMT($D$4837/$D$4839,44,$F$4849,,0)</f>
        <v/>
      </c>
      <c r="H4855" s="319">
        <f>($D$4837/$D$4839*F4855)</f>
        <v/>
      </c>
      <c r="I4855" s="319">
        <f>G4855-H4855</f>
        <v/>
      </c>
      <c r="J4855" s="319">
        <f>F4855-I4855</f>
        <v/>
      </c>
    </row>
    <row r="4856">
      <c r="B4856" s="1">
        <f>+B4855+1</f>
        <v/>
      </c>
      <c r="C4856" s="24" t="n">
        <v>45658</v>
      </c>
      <c r="D4856" s="24" t="n">
        <v>45688</v>
      </c>
      <c r="E4856" s="25" t="n">
        <v>31</v>
      </c>
      <c r="F4856" s="319">
        <f>J4855</f>
        <v/>
      </c>
      <c r="G4856" s="319">
        <f>-PMT($D$4837/$D$4839,44,$F$4849,,0)</f>
        <v/>
      </c>
      <c r="H4856" s="319">
        <f>($D$4837/$D$4839*F4856)</f>
        <v/>
      </c>
      <c r="I4856" s="319">
        <f>G4856-H4856</f>
        <v/>
      </c>
      <c r="J4856" s="319">
        <f>F4856-I4856</f>
        <v/>
      </c>
    </row>
    <row r="4857">
      <c r="B4857" s="1">
        <f>+B4856+1</f>
        <v/>
      </c>
      <c r="C4857" s="24" t="n">
        <v>45689</v>
      </c>
      <c r="D4857" s="24" t="n">
        <v>45716</v>
      </c>
      <c r="E4857" s="25" t="n">
        <v>28</v>
      </c>
      <c r="F4857" s="319">
        <f>J4856</f>
        <v/>
      </c>
      <c r="G4857" s="319">
        <f>-PMT($D$4837/$D$4839,44,$F$4849,,0)</f>
        <v/>
      </c>
      <c r="H4857" s="319">
        <f>($D$4837/$D$4839*F4857)</f>
        <v/>
      </c>
      <c r="I4857" s="319">
        <f>G4857-H4857</f>
        <v/>
      </c>
      <c r="J4857" s="319">
        <f>F4857-I4857</f>
        <v/>
      </c>
    </row>
    <row r="4858">
      <c r="B4858" s="1">
        <f>+B4857+1</f>
        <v/>
      </c>
      <c r="C4858" s="24" t="n">
        <v>45717</v>
      </c>
      <c r="D4858" s="24" t="n">
        <v>45747</v>
      </c>
      <c r="E4858" s="25" t="n">
        <v>31</v>
      </c>
      <c r="F4858" s="319">
        <f>J4857</f>
        <v/>
      </c>
      <c r="G4858" s="319">
        <f>-PMT($D$4837/$D$4839,44,$F$4849,,0)</f>
        <v/>
      </c>
      <c r="H4858" s="319">
        <f>($D$4837/$D$4839*F4858)</f>
        <v/>
      </c>
      <c r="I4858" s="319">
        <f>G4858-H4858</f>
        <v/>
      </c>
      <c r="J4858" s="319">
        <f>F4858-I4858</f>
        <v/>
      </c>
    </row>
    <row r="4859">
      <c r="B4859" s="1">
        <f>+B4858+1</f>
        <v/>
      </c>
      <c r="C4859" s="24" t="n">
        <v>45748</v>
      </c>
      <c r="D4859" s="24" t="n">
        <v>45777</v>
      </c>
      <c r="E4859" s="25" t="n">
        <v>30</v>
      </c>
      <c r="F4859" s="319">
        <f>J4858</f>
        <v/>
      </c>
      <c r="G4859" s="319">
        <f>-PMT($D$4837/$D$4839,44,$F$4849,,0)</f>
        <v/>
      </c>
      <c r="H4859" s="319">
        <f>($D$4837/$D$4839*F4859)</f>
        <v/>
      </c>
      <c r="I4859" s="319">
        <f>G4859-H4859</f>
        <v/>
      </c>
      <c r="J4859" s="319">
        <f>F4859-I4859</f>
        <v/>
      </c>
    </row>
    <row r="4860">
      <c r="B4860" s="1">
        <f>+B4859+1</f>
        <v/>
      </c>
      <c r="C4860" s="24" t="n">
        <v>45778</v>
      </c>
      <c r="D4860" s="24" t="n">
        <v>45808</v>
      </c>
      <c r="E4860" s="25" t="n">
        <v>31</v>
      </c>
      <c r="F4860" s="319">
        <f>J4859</f>
        <v/>
      </c>
      <c r="G4860" s="319">
        <f>-PMT($D$4837/$D$4839,44,$F$4849,,0)</f>
        <v/>
      </c>
      <c r="H4860" s="319">
        <f>($D$4837/$D$4839*F4860)</f>
        <v/>
      </c>
      <c r="I4860" s="319">
        <f>G4860-H4860</f>
        <v/>
      </c>
      <c r="J4860" s="319">
        <f>F4860-I4860</f>
        <v/>
      </c>
    </row>
    <row r="4861">
      <c r="B4861" s="1">
        <f>+B4860+1</f>
        <v/>
      </c>
      <c r="C4861" s="24" t="n">
        <v>45809</v>
      </c>
      <c r="D4861" s="24" t="n">
        <v>45838</v>
      </c>
      <c r="E4861" s="25" t="n">
        <v>30</v>
      </c>
      <c r="F4861" s="319">
        <f>J4860</f>
        <v/>
      </c>
      <c r="G4861" s="319">
        <f>-PMT($D$4837/$D$4839,44,$F$4849,,0)</f>
        <v/>
      </c>
      <c r="H4861" s="319">
        <f>($D$4837/$D$4839*F4861)</f>
        <v/>
      </c>
      <c r="I4861" s="319">
        <f>G4861-H4861</f>
        <v/>
      </c>
      <c r="J4861" s="319">
        <f>F4861-I4861</f>
        <v/>
      </c>
    </row>
    <row r="4862">
      <c r="B4862" s="1">
        <f>+B4861+1</f>
        <v/>
      </c>
      <c r="C4862" s="24" t="n">
        <v>45839</v>
      </c>
      <c r="D4862" s="24" t="n">
        <v>45868</v>
      </c>
      <c r="E4862" s="25" t="n">
        <v>30</v>
      </c>
      <c r="F4862" s="319">
        <f>J4861</f>
        <v/>
      </c>
      <c r="G4862" s="319">
        <f>-PMT($D$4837/$D$4839,44,$F$4849,,0)</f>
        <v/>
      </c>
      <c r="H4862" s="319">
        <f>($D$4837/$D$4839*F4862)</f>
        <v/>
      </c>
      <c r="I4862" s="319">
        <f>G4862-H4862</f>
        <v/>
      </c>
      <c r="J4862" s="319">
        <f>F4862-I4862</f>
        <v/>
      </c>
    </row>
    <row r="4863">
      <c r="B4863" s="1">
        <f>+B4862+1</f>
        <v/>
      </c>
      <c r="C4863" s="24" t="n">
        <v>45870</v>
      </c>
      <c r="D4863" s="24" t="n">
        <v>45899</v>
      </c>
      <c r="E4863" s="25" t="n">
        <v>30</v>
      </c>
      <c r="F4863" s="319">
        <f>J4862</f>
        <v/>
      </c>
      <c r="G4863" s="319">
        <f>-PMT($D$4837/$D$4839,44,$F$4849,,0)</f>
        <v/>
      </c>
      <c r="H4863" s="319">
        <f>($D$4837/$D$4839*F4863)</f>
        <v/>
      </c>
      <c r="I4863" s="319">
        <f>G4863-H4863</f>
        <v/>
      </c>
      <c r="J4863" s="319">
        <f>F4863-I4863</f>
        <v/>
      </c>
    </row>
    <row r="4864">
      <c r="B4864" s="1">
        <f>+B4863+1</f>
        <v/>
      </c>
      <c r="C4864" s="24" t="n">
        <v>45901</v>
      </c>
      <c r="D4864" s="24" t="n">
        <v>45930</v>
      </c>
      <c r="E4864" s="25" t="n">
        <v>30</v>
      </c>
      <c r="F4864" s="319">
        <f>J4863</f>
        <v/>
      </c>
      <c r="G4864" s="319">
        <f>-PMT($D$4837/$D$4839,44,$F$4849,,0)</f>
        <v/>
      </c>
      <c r="H4864" s="319">
        <f>($D$4837/$D$4839*F4864)</f>
        <v/>
      </c>
      <c r="I4864" s="319">
        <f>G4864-H4864</f>
        <v/>
      </c>
      <c r="J4864" s="319">
        <f>F4864-I4864</f>
        <v/>
      </c>
    </row>
    <row r="4865">
      <c r="B4865" s="1">
        <f>+B4864+1</f>
        <v/>
      </c>
      <c r="C4865" s="24" t="n">
        <v>45931</v>
      </c>
      <c r="D4865" s="24" t="n">
        <v>45961</v>
      </c>
      <c r="E4865" s="25" t="n">
        <v>31</v>
      </c>
      <c r="F4865" s="319">
        <f>J4864</f>
        <v/>
      </c>
      <c r="G4865" s="319">
        <f>-PMT($D$4837/$D$4839,44,$F$4849,,0)</f>
        <v/>
      </c>
      <c r="H4865" s="319">
        <f>($D$4837/$D$4839*F4865)</f>
        <v/>
      </c>
      <c r="I4865" s="319">
        <f>G4865-H4865</f>
        <v/>
      </c>
      <c r="J4865" s="319">
        <f>F4865-I4865</f>
        <v/>
      </c>
    </row>
    <row r="4866">
      <c r="B4866" s="1">
        <f>+B4865+1</f>
        <v/>
      </c>
      <c r="C4866" s="24" t="n">
        <v>45962</v>
      </c>
      <c r="D4866" s="24" t="n">
        <v>45991</v>
      </c>
      <c r="E4866" s="25" t="n">
        <v>30</v>
      </c>
      <c r="F4866" s="319">
        <f>J4865</f>
        <v/>
      </c>
      <c r="G4866" s="319">
        <f>-PMT($D$4837/$D$4839,44,$F$4849,,0)</f>
        <v/>
      </c>
      <c r="H4866" s="319">
        <f>($D$4837/$D$4839*F4866)</f>
        <v/>
      </c>
      <c r="I4866" s="319">
        <f>G4866-H4866</f>
        <v/>
      </c>
      <c r="J4866" s="319">
        <f>F4866-I4866</f>
        <v/>
      </c>
    </row>
    <row r="4867">
      <c r="B4867" s="1">
        <f>+B4866+1</f>
        <v/>
      </c>
      <c r="C4867" s="24" t="n">
        <v>45992</v>
      </c>
      <c r="D4867" s="24" t="n">
        <v>46022</v>
      </c>
      <c r="E4867" s="25" t="n">
        <v>31</v>
      </c>
      <c r="F4867" s="319">
        <f>J4866</f>
        <v/>
      </c>
      <c r="G4867" s="319">
        <f>-PMT($D$4837/$D$4839,44,$F$4849,,0)</f>
        <v/>
      </c>
      <c r="H4867" s="319">
        <f>($D$4837/$D$4839*F4867)</f>
        <v/>
      </c>
      <c r="I4867" s="319">
        <f>G4867-H4867</f>
        <v/>
      </c>
      <c r="J4867" s="319">
        <f>F4867-I4867</f>
        <v/>
      </c>
    </row>
    <row r="4868">
      <c r="B4868" s="1">
        <f>+B4867+1</f>
        <v/>
      </c>
      <c r="C4868" s="24" t="n">
        <v>46023</v>
      </c>
      <c r="D4868" s="24" t="n">
        <v>46053</v>
      </c>
      <c r="E4868" s="25" t="n">
        <v>31</v>
      </c>
      <c r="F4868" s="319">
        <f>J4867</f>
        <v/>
      </c>
      <c r="G4868" s="319">
        <f>-PMT($D$4837/$D$4839,44,$F$4849,,0)</f>
        <v/>
      </c>
      <c r="H4868" s="319">
        <f>($D$4837/$D$4839*F4868)</f>
        <v/>
      </c>
      <c r="I4868" s="319">
        <f>G4868-H4868</f>
        <v/>
      </c>
      <c r="J4868" s="319">
        <f>F4868-I4868</f>
        <v/>
      </c>
    </row>
    <row r="4869">
      <c r="B4869" s="1">
        <f>+B4868+1</f>
        <v/>
      </c>
      <c r="C4869" s="24" t="n">
        <v>46054</v>
      </c>
      <c r="D4869" s="24" t="n">
        <v>46081</v>
      </c>
      <c r="E4869" s="25" t="n">
        <v>28</v>
      </c>
      <c r="F4869" s="319">
        <f>J4868</f>
        <v/>
      </c>
      <c r="G4869" s="319">
        <f>-PMT($D$4837/$D$4839,44,$F$4849,,0)</f>
        <v/>
      </c>
      <c r="H4869" s="319">
        <f>($D$4837/$D$4839*F4869)</f>
        <v/>
      </c>
      <c r="I4869" s="319">
        <f>G4869-H4869</f>
        <v/>
      </c>
      <c r="J4869" s="319">
        <f>F4869-I4869</f>
        <v/>
      </c>
    </row>
    <row r="4870">
      <c r="B4870" s="1">
        <f>+B4869+1</f>
        <v/>
      </c>
      <c r="C4870" s="24" t="n">
        <v>46082</v>
      </c>
      <c r="D4870" s="24" t="n">
        <v>46112</v>
      </c>
      <c r="E4870" s="25" t="n">
        <v>31</v>
      </c>
      <c r="F4870" s="319">
        <f>J4869</f>
        <v/>
      </c>
      <c r="G4870" s="319">
        <f>-PMT($D$4837/$D$4839,44,$F$4849,,0)</f>
        <v/>
      </c>
      <c r="H4870" s="319">
        <f>($D$4837/$D$4839*F4870)</f>
        <v/>
      </c>
      <c r="I4870" s="319">
        <f>G4870-H4870</f>
        <v/>
      </c>
      <c r="J4870" s="319">
        <f>F4870-I4870</f>
        <v/>
      </c>
    </row>
    <row r="4871">
      <c r="B4871" s="1">
        <f>+B4870+1</f>
        <v/>
      </c>
      <c r="C4871" s="24" t="n">
        <v>46113</v>
      </c>
      <c r="D4871" s="24" t="n">
        <v>46142</v>
      </c>
      <c r="E4871" s="25" t="n">
        <v>30</v>
      </c>
      <c r="F4871" s="319">
        <f>J4870</f>
        <v/>
      </c>
      <c r="G4871" s="319">
        <f>-PMT($D$4837/$D$4839,44,$F$4849,,0)</f>
        <v/>
      </c>
      <c r="H4871" s="319">
        <f>($D$4837/$D$4839*F4871)</f>
        <v/>
      </c>
      <c r="I4871" s="319">
        <f>G4871-H4871</f>
        <v/>
      </c>
      <c r="J4871" s="319">
        <f>F4871-I4871</f>
        <v/>
      </c>
    </row>
    <row r="4872">
      <c r="B4872" s="1">
        <f>+B4871+1</f>
        <v/>
      </c>
      <c r="C4872" s="24" t="n">
        <v>46143</v>
      </c>
      <c r="D4872" s="24" t="n">
        <v>46173</v>
      </c>
      <c r="E4872" s="25" t="n">
        <v>31</v>
      </c>
      <c r="F4872" s="319">
        <f>J4871</f>
        <v/>
      </c>
      <c r="G4872" s="319">
        <f>-PMT($D$4837/$D$4839,44,$F$4849,,0)</f>
        <v/>
      </c>
      <c r="H4872" s="319">
        <f>($D$4837/$D$4839*F4872)</f>
        <v/>
      </c>
      <c r="I4872" s="319">
        <f>G4872-H4872</f>
        <v/>
      </c>
      <c r="J4872" s="319">
        <f>F4872-I4872</f>
        <v/>
      </c>
    </row>
    <row r="4873">
      <c r="B4873" s="1">
        <f>+B4872+1</f>
        <v/>
      </c>
      <c r="C4873" s="24" t="n">
        <v>46174</v>
      </c>
      <c r="D4873" s="24" t="n">
        <v>46203</v>
      </c>
      <c r="E4873" s="25" t="n">
        <v>30</v>
      </c>
      <c r="F4873" s="319">
        <f>J4872</f>
        <v/>
      </c>
      <c r="G4873" s="319">
        <f>-PMT($D$4837/$D$4839,44,$F$4849,,0)</f>
        <v/>
      </c>
      <c r="H4873" s="319">
        <f>($D$4837/$D$4839*F4873)</f>
        <v/>
      </c>
      <c r="I4873" s="319">
        <f>G4873-H4873</f>
        <v/>
      </c>
      <c r="J4873" s="319">
        <f>F4873-I4873</f>
        <v/>
      </c>
    </row>
    <row r="4874">
      <c r="B4874" s="1">
        <f>+B4873+1</f>
        <v/>
      </c>
      <c r="C4874" s="24" t="n">
        <v>46204</v>
      </c>
      <c r="D4874" s="24" t="n">
        <v>46234</v>
      </c>
      <c r="E4874" s="25" t="n">
        <v>31</v>
      </c>
      <c r="F4874" s="319">
        <f>J4873</f>
        <v/>
      </c>
      <c r="G4874" s="319">
        <f>-PMT($D$4837/$D$4839,44,$F$4849,,0)</f>
        <v/>
      </c>
      <c r="H4874" s="319">
        <f>($D$4837/$D$4839*F4874)</f>
        <v/>
      </c>
      <c r="I4874" s="319">
        <f>G4874-H4874</f>
        <v/>
      </c>
      <c r="J4874" s="319">
        <f>F4874-I4874</f>
        <v/>
      </c>
    </row>
    <row r="4875">
      <c r="B4875" s="1">
        <f>+B4874+1</f>
        <v/>
      </c>
      <c r="C4875" s="24" t="n">
        <v>46235</v>
      </c>
      <c r="D4875" s="24" t="n">
        <v>46265</v>
      </c>
      <c r="E4875" s="25" t="n">
        <v>31</v>
      </c>
      <c r="F4875" s="319">
        <f>J4874</f>
        <v/>
      </c>
      <c r="G4875" s="319">
        <f>-PMT($D$4837/$D$4839,44,$F$4849,,0)</f>
        <v/>
      </c>
      <c r="H4875" s="319">
        <f>($D$4837/$D$4839*F4875)</f>
        <v/>
      </c>
      <c r="I4875" s="319">
        <f>G4875-H4875</f>
        <v/>
      </c>
      <c r="J4875" s="319">
        <f>F4875-I4875</f>
        <v/>
      </c>
    </row>
    <row r="4876">
      <c r="B4876" s="1">
        <f>+B4875+1</f>
        <v/>
      </c>
      <c r="C4876" s="24" t="n">
        <v>46266</v>
      </c>
      <c r="D4876" s="24" t="n">
        <v>46295</v>
      </c>
      <c r="E4876" s="25" t="n">
        <v>30</v>
      </c>
      <c r="F4876" s="319">
        <f>J4875</f>
        <v/>
      </c>
      <c r="G4876" s="319">
        <f>-PMT($D$4837/$D$4839,44,$F$4849,,0)</f>
        <v/>
      </c>
      <c r="H4876" s="319">
        <f>($D$4837/$D$4839*F4876)</f>
        <v/>
      </c>
      <c r="I4876" s="319">
        <f>G4876-H4876</f>
        <v/>
      </c>
      <c r="J4876" s="319">
        <f>F4876-I4876</f>
        <v/>
      </c>
    </row>
    <row r="4877">
      <c r="B4877" s="1">
        <f>+B4876+1</f>
        <v/>
      </c>
      <c r="C4877" s="24" t="n">
        <v>46296</v>
      </c>
      <c r="D4877" s="24" t="n">
        <v>46326</v>
      </c>
      <c r="E4877" s="25" t="n">
        <v>31</v>
      </c>
      <c r="F4877" s="319">
        <f>J4876</f>
        <v/>
      </c>
      <c r="G4877" s="319">
        <f>-PMT($D$4837/$D$4839,44,$F$4849,,0)</f>
        <v/>
      </c>
      <c r="H4877" s="319">
        <f>($D$4837/$D$4839*F4877)</f>
        <v/>
      </c>
      <c r="I4877" s="319">
        <f>G4877-H4877</f>
        <v/>
      </c>
      <c r="J4877" s="319">
        <f>F4877-I4877</f>
        <v/>
      </c>
    </row>
    <row r="4878">
      <c r="B4878" s="1">
        <f>+B4877+1</f>
        <v/>
      </c>
      <c r="C4878" s="24" t="n">
        <v>46327</v>
      </c>
      <c r="D4878" s="24" t="n">
        <v>46356</v>
      </c>
      <c r="E4878" s="25" t="n">
        <v>30</v>
      </c>
      <c r="F4878" s="319">
        <f>J4877</f>
        <v/>
      </c>
      <c r="G4878" s="319">
        <f>-PMT($D$4837/$D$4839,44,$F$4849,,0)</f>
        <v/>
      </c>
      <c r="H4878" s="319">
        <f>($D$4837/$D$4839*F4878)</f>
        <v/>
      </c>
      <c r="I4878" s="319">
        <f>G4878-H4878</f>
        <v/>
      </c>
      <c r="J4878" s="319">
        <f>F4878-I4878</f>
        <v/>
      </c>
    </row>
    <row r="4879">
      <c r="B4879" s="1">
        <f>+B4878+1</f>
        <v/>
      </c>
      <c r="C4879" s="24" t="n">
        <v>46357</v>
      </c>
      <c r="D4879" s="24" t="n">
        <v>46387</v>
      </c>
      <c r="E4879" s="25" t="n">
        <v>31</v>
      </c>
      <c r="F4879" s="319">
        <f>J4878</f>
        <v/>
      </c>
      <c r="G4879" s="319">
        <f>-PMT($D$4837/$D$4839,44,$F$4849,,0)</f>
        <v/>
      </c>
      <c r="H4879" s="319">
        <f>($D$4837/$D$4839*F4879)</f>
        <v/>
      </c>
      <c r="I4879" s="319">
        <f>G4879-H4879</f>
        <v/>
      </c>
      <c r="J4879" s="319">
        <f>F4879-I4879</f>
        <v/>
      </c>
    </row>
    <row r="4880">
      <c r="B4880" s="1">
        <f>+B4879+1</f>
        <v/>
      </c>
      <c r="C4880" s="24" t="n">
        <v>46388</v>
      </c>
      <c r="D4880" s="24" t="n">
        <v>46418</v>
      </c>
      <c r="E4880" s="25" t="n">
        <v>31</v>
      </c>
      <c r="F4880" s="319">
        <f>J4879</f>
        <v/>
      </c>
      <c r="G4880" s="319">
        <f>-PMT($D$4837/$D$4839,44,$F$4849,,0)</f>
        <v/>
      </c>
      <c r="H4880" s="319">
        <f>($D$4837/$D$4839*F4880)</f>
        <v/>
      </c>
      <c r="I4880" s="319">
        <f>G4880-H4880</f>
        <v/>
      </c>
      <c r="J4880" s="319">
        <f>F4880-I4880</f>
        <v/>
      </c>
    </row>
    <row r="4881">
      <c r="B4881" s="1">
        <f>+B4880+1</f>
        <v/>
      </c>
      <c r="C4881" s="24" t="n">
        <v>46419</v>
      </c>
      <c r="D4881" s="24" t="n">
        <v>46446</v>
      </c>
      <c r="E4881" s="25">
        <f>D4881-C4881+1</f>
        <v/>
      </c>
      <c r="F4881" s="319">
        <f>J4880</f>
        <v/>
      </c>
      <c r="G4881" s="319">
        <f>-PMT($D$4837/$D$4839,44,$F$4849,,0)</f>
        <v/>
      </c>
      <c r="H4881" s="319">
        <f>($D$4837/$D$4839*F4881)</f>
        <v/>
      </c>
      <c r="I4881" s="319">
        <f>G4881-H4881</f>
        <v/>
      </c>
      <c r="J4881" s="319">
        <f>F4881-I4881</f>
        <v/>
      </c>
    </row>
    <row r="4882">
      <c r="B4882" s="1">
        <f>+B4881+1</f>
        <v/>
      </c>
      <c r="C4882" s="24" t="n">
        <v>46447</v>
      </c>
      <c r="D4882" s="24" t="n">
        <v>46477</v>
      </c>
      <c r="E4882" s="25">
        <f>D4882-C4882+1</f>
        <v/>
      </c>
      <c r="F4882" s="319">
        <f>J4881</f>
        <v/>
      </c>
      <c r="G4882" s="319">
        <f>-PMT($D$4837/$D$4839,44,$F$4849,,0)</f>
        <v/>
      </c>
      <c r="H4882" s="319">
        <f>($D$4837/$D$4839*F4882)</f>
        <v/>
      </c>
      <c r="I4882" s="319">
        <f>G4882-H4882</f>
        <v/>
      </c>
      <c r="J4882" s="319">
        <f>F4882-I4882</f>
        <v/>
      </c>
    </row>
    <row r="4883">
      <c r="B4883" s="1">
        <f>+B4882+1</f>
        <v/>
      </c>
      <c r="C4883" s="24" t="n">
        <v>46478</v>
      </c>
      <c r="D4883" s="24" t="n">
        <v>46507</v>
      </c>
      <c r="E4883" s="25">
        <f>D4883-C4883+1</f>
        <v/>
      </c>
      <c r="F4883" s="319">
        <f>J4882</f>
        <v/>
      </c>
      <c r="G4883" s="319">
        <f>-PMT($D$4837/$D$4839,44,$F$4849,,0)</f>
        <v/>
      </c>
      <c r="H4883" s="319">
        <f>($D$4837/$D$4839*F4883)</f>
        <v/>
      </c>
      <c r="I4883" s="319">
        <f>G4883-H4883</f>
        <v/>
      </c>
      <c r="J4883" s="319">
        <f>F4883-I4883</f>
        <v/>
      </c>
    </row>
    <row r="4884">
      <c r="B4884" s="1">
        <f>+B4883+1</f>
        <v/>
      </c>
      <c r="C4884" s="24" t="n">
        <v>46508</v>
      </c>
      <c r="D4884" s="24" t="n">
        <v>46538</v>
      </c>
      <c r="E4884" s="25">
        <f>D4884-C4884+1</f>
        <v/>
      </c>
      <c r="F4884" s="319">
        <f>J4883</f>
        <v/>
      </c>
      <c r="G4884" s="319">
        <f>-PMT($D$4837/$D$4839,44,$F$4849,,0)</f>
        <v/>
      </c>
      <c r="H4884" s="319">
        <f>($D$4837/$D$4839*F4884)</f>
        <v/>
      </c>
      <c r="I4884" s="319">
        <f>G4884-H4884</f>
        <v/>
      </c>
      <c r="J4884" s="319">
        <f>F4884-I4884</f>
        <v/>
      </c>
    </row>
    <row r="4885">
      <c r="B4885" s="1">
        <f>+B4884+1</f>
        <v/>
      </c>
      <c r="C4885" s="24" t="n">
        <v>46539</v>
      </c>
      <c r="D4885" s="24" t="n">
        <v>46568</v>
      </c>
      <c r="E4885" s="25">
        <f>D4885-C4885+1</f>
        <v/>
      </c>
      <c r="F4885" s="319">
        <f>J4884</f>
        <v/>
      </c>
      <c r="G4885" s="319">
        <f>-PMT($D$4837/$D$4839,44,$F$4849,,0)</f>
        <v/>
      </c>
      <c r="H4885" s="319">
        <f>($D$4837/$D$4839*F4885)</f>
        <v/>
      </c>
      <c r="I4885" s="319">
        <f>G4885-H4885</f>
        <v/>
      </c>
      <c r="J4885" s="319">
        <f>F4885-I4885</f>
        <v/>
      </c>
    </row>
    <row r="4886">
      <c r="B4886" s="1">
        <f>+B4885+1</f>
        <v/>
      </c>
      <c r="C4886" s="24" t="n">
        <v>46569</v>
      </c>
      <c r="D4886" s="24" t="n">
        <v>46599</v>
      </c>
      <c r="E4886" s="25">
        <f>D4886-C4886+1</f>
        <v/>
      </c>
      <c r="F4886" s="319">
        <f>J4885</f>
        <v/>
      </c>
      <c r="G4886" s="319">
        <f>-PMT($D$4837/$D$4839,44,$F$4849,,0)</f>
        <v/>
      </c>
      <c r="H4886" s="319">
        <f>($D$4837/$D$4839*F4886)</f>
        <v/>
      </c>
      <c r="I4886" s="319">
        <f>G4886-H4886</f>
        <v/>
      </c>
      <c r="J4886" s="319">
        <f>F4886-I4886</f>
        <v/>
      </c>
    </row>
    <row r="4887">
      <c r="B4887" s="1">
        <f>+B4886+1</f>
        <v/>
      </c>
      <c r="C4887" s="24" t="n">
        <v>46600</v>
      </c>
      <c r="D4887" s="24" t="n">
        <v>46630</v>
      </c>
      <c r="E4887" s="25">
        <f>D4887-C4887+1</f>
        <v/>
      </c>
      <c r="F4887" s="319">
        <f>J4886</f>
        <v/>
      </c>
      <c r="G4887" s="319">
        <f>-PMT($D$4837/$D$4839,44,$F$4849,,0)</f>
        <v/>
      </c>
      <c r="H4887" s="319">
        <f>($D$4837/$D$4839*F4887)</f>
        <v/>
      </c>
      <c r="I4887" s="319">
        <f>G4887-H4887</f>
        <v/>
      </c>
      <c r="J4887" s="319">
        <f>F4887-I4887</f>
        <v/>
      </c>
    </row>
    <row r="4888">
      <c r="B4888" s="1">
        <f>+B4887+1</f>
        <v/>
      </c>
      <c r="C4888" s="24" t="n">
        <v>46631</v>
      </c>
      <c r="D4888" s="24" t="n">
        <v>46660</v>
      </c>
      <c r="E4888" s="25">
        <f>D4888-C4888+1</f>
        <v/>
      </c>
      <c r="F4888" s="319">
        <f>J4887</f>
        <v/>
      </c>
      <c r="G4888" s="319">
        <f>-PMT($D$4837/$D$4839,44,$F$4849,,0)</f>
        <v/>
      </c>
      <c r="H4888" s="319">
        <f>($D$4837/$D$4839*F4888)</f>
        <v/>
      </c>
      <c r="I4888" s="319">
        <f>G4888-H4888</f>
        <v/>
      </c>
      <c r="J4888" s="319">
        <f>F4888-I4888</f>
        <v/>
      </c>
    </row>
    <row r="4889">
      <c r="B4889" s="1">
        <f>+B4888+1</f>
        <v/>
      </c>
      <c r="C4889" s="24" t="n">
        <v>46661</v>
      </c>
      <c r="D4889" s="24" t="n">
        <v>46691</v>
      </c>
      <c r="E4889" s="25">
        <f>D4889-C4889+1</f>
        <v/>
      </c>
      <c r="F4889" s="319">
        <f>J4888</f>
        <v/>
      </c>
      <c r="G4889" s="319">
        <f>-PMT($D$4837/$D$4839,44,$F$4849,,0)</f>
        <v/>
      </c>
      <c r="H4889" s="319">
        <f>($D$4837/$D$4839*F4889)</f>
        <v/>
      </c>
      <c r="I4889" s="319">
        <f>G4889-H4889</f>
        <v/>
      </c>
      <c r="J4889" s="319">
        <f>F4889-I4889</f>
        <v/>
      </c>
    </row>
    <row r="4890">
      <c r="B4890" s="1">
        <f>+B4889+1</f>
        <v/>
      </c>
      <c r="C4890" s="24" t="n">
        <v>46692</v>
      </c>
      <c r="D4890" s="24" t="n">
        <v>46721</v>
      </c>
      <c r="E4890" s="25">
        <f>D4890-C4890+1</f>
        <v/>
      </c>
      <c r="F4890" s="319">
        <f>J4889</f>
        <v/>
      </c>
      <c r="G4890" s="319">
        <f>-PMT($D$4837/$D$4839,44,$F$4849,,0)</f>
        <v/>
      </c>
      <c r="H4890" s="319">
        <f>($D$4837/$D$4839*F4890)</f>
        <v/>
      </c>
      <c r="I4890" s="319">
        <f>G4890-H4890</f>
        <v/>
      </c>
      <c r="J4890" s="319">
        <f>F4890-I4890</f>
        <v/>
      </c>
    </row>
    <row r="4891">
      <c r="B4891" s="1">
        <f>+B4890+1</f>
        <v/>
      </c>
      <c r="C4891" s="24" t="n">
        <v>46722</v>
      </c>
      <c r="D4891" s="24" t="n">
        <v>46752</v>
      </c>
      <c r="E4891" s="25">
        <f>D4891-C4891+1</f>
        <v/>
      </c>
      <c r="F4891" s="319">
        <f>J4890</f>
        <v/>
      </c>
      <c r="G4891" s="319">
        <f>-PMT($D$4837/$D$4839,44,$F$4849,,0)</f>
        <v/>
      </c>
      <c r="H4891" s="319">
        <f>($D$4837/$D$4839*F4891)</f>
        <v/>
      </c>
      <c r="I4891" s="319">
        <f>G4891-H4891</f>
        <v/>
      </c>
      <c r="J4891" s="319">
        <f>F4891-I4891</f>
        <v/>
      </c>
    </row>
    <row r="4892">
      <c r="B4892" s="1">
        <f>+B4891+1</f>
        <v/>
      </c>
      <c r="C4892" s="24" t="n">
        <v>46753</v>
      </c>
      <c r="D4892" s="24" t="n">
        <v>46783</v>
      </c>
      <c r="E4892" s="25">
        <f>D4892-C4892+1</f>
        <v/>
      </c>
      <c r="F4892" s="319">
        <f>J4891</f>
        <v/>
      </c>
      <c r="G4892" s="319">
        <f>-PMT($D$4837/$D$4839,44,$F$4849,,0)</f>
        <v/>
      </c>
      <c r="H4892" s="319">
        <f>($D$4837/$D$4839*F4892)</f>
        <v/>
      </c>
      <c r="I4892" s="319">
        <f>G4892-H4892</f>
        <v/>
      </c>
      <c r="J4892" s="319">
        <f>F4892-I4892</f>
        <v/>
      </c>
    </row>
    <row r="4896">
      <c r="B4896" s="1" t="n"/>
      <c r="C4896" s="9" t="inlineStr">
        <is>
          <t>Chanje Investments</t>
        </is>
      </c>
      <c r="D4896" s="319" t="n"/>
      <c r="E4896" s="319" t="n"/>
      <c r="F4896" s="319" t="n"/>
      <c r="G4896" s="319" t="n"/>
      <c r="H4896" s="319" t="n"/>
      <c r="I4896" s="319" t="n"/>
      <c r="J4896" s="319" t="n"/>
      <c r="R4896" s="514" t="inlineStr">
        <is>
          <t>E-Banker account (Dupleix)</t>
        </is>
      </c>
      <c r="S4896" s="495">
        <f>IFERROR(INDEX('Blocks'!$I$2:$I$101,MATCH(89,'Blocks'!$A$2:$A$101,0)),"")</f>
        <v/>
      </c>
    </row>
    <row r="4897">
      <c r="B4897" s="1" t="n"/>
      <c r="C4897" s="1" t="n"/>
      <c r="D4897" s="319" t="n"/>
      <c r="E4897" s="319" t="n"/>
      <c r="F4897" s="319" t="n"/>
      <c r="G4897" s="319" t="n"/>
      <c r="H4897" s="319" t="n"/>
      <c r="I4897" s="319" t="n"/>
      <c r="J4897" s="319" t="n"/>
      <c r="R4897" s="514" t="inlineStr">
        <is>
          <t>Facility (Loan Book)</t>
        </is>
      </c>
      <c r="S4897" s="495">
        <f>IFERROR(INDEX('Blocks'!$H$2:$H$101,MATCH(89,'Blocks'!$A$2:$A$101,0)),"")</f>
        <v/>
      </c>
    </row>
    <row r="4898">
      <c r="B4898" s="1" t="n"/>
      <c r="C4898" s="10" t="inlineStr">
        <is>
          <t>Principal (MK)</t>
        </is>
      </c>
      <c r="D4898" s="11" t="n">
        <v>200000000</v>
      </c>
      <c r="E4898" s="319" t="n"/>
      <c r="F4898" s="319" t="n"/>
      <c r="G4898" s="319" t="n"/>
      <c r="H4898" s="319" t="n"/>
      <c r="I4898" s="319" t="n"/>
      <c r="J4898" s="319" t="n"/>
      <c r="R4898" s="514" t="inlineStr">
        <is>
          <t>Take-on posting 31 Jul 2024</t>
        </is>
      </c>
      <c r="S4898" s="496">
        <f>IFERROR(INDEX('E-Banker master'!$N$2:$N$186,MATCH(S4896,'E-Banker master'!$A$2:$A$186,0)),"")</f>
        <v/>
      </c>
    </row>
    <row r="4899">
      <c r="B4899" s="1" t="n"/>
      <c r="C4899" s="13" t="inlineStr">
        <is>
          <t>Rate</t>
        </is>
      </c>
      <c r="D4899" s="14" t="n">
        <v>0.1</v>
      </c>
      <c r="E4899" s="257" t="n"/>
      <c r="F4899" s="319" t="n"/>
      <c r="G4899" s="319" t="n"/>
      <c r="H4899" s="319" t="n"/>
      <c r="I4899" s="319" t="n"/>
      <c r="J4899" s="319" t="n"/>
      <c r="R4899" s="514" t="inlineStr">
        <is>
          <t>E-Banker balance 31 Oct 2024</t>
        </is>
      </c>
      <c r="S4899" s="496">
        <f>IFERROR(INDEX('E-Banker master'!$P$2:$P$186,MATCH(S4896,'E-Banker master'!$A$2:$A$186,0)),"")</f>
        <v/>
      </c>
    </row>
    <row r="4900">
      <c r="B4900" s="1" t="n"/>
      <c r="C4900" s="13" t="inlineStr">
        <is>
          <t>n</t>
        </is>
      </c>
      <c r="D4900" s="16" t="n">
        <v>4</v>
      </c>
      <c r="E4900" s="1" t="n"/>
      <c r="F4900" s="319" t="n"/>
      <c r="G4900" s="319" t="n"/>
      <c r="H4900" s="319" t="n"/>
      <c r="I4900" s="319" t="n"/>
      <c r="J4900" s="319" t="n"/>
    </row>
    <row r="4901">
      <c r="B4901" s="1" t="n"/>
      <c r="C4901" s="13" t="inlineStr">
        <is>
          <t>Per</t>
        </is>
      </c>
      <c r="D4901" s="16" t="n">
        <v>12</v>
      </c>
      <c r="E4901" s="1" t="n"/>
      <c r="F4901" s="319" t="n"/>
      <c r="G4901" s="319" t="n"/>
      <c r="H4901" s="319" t="n"/>
      <c r="I4901" s="319" t="n"/>
      <c r="J4901" s="319" t="n"/>
    </row>
    <row r="4902">
      <c r="B4902" s="1" t="n"/>
      <c r="C4902" s="13" t="inlineStr">
        <is>
          <t>nPer</t>
        </is>
      </c>
      <c r="D4902" s="515">
        <f>+D4901*D4900</f>
        <v/>
      </c>
      <c r="E4902" s="1" t="n"/>
      <c r="F4902" s="319" t="n"/>
      <c r="G4902" s="319" t="n"/>
      <c r="H4902" s="319" t="n"/>
      <c r="I4902" s="319" t="n"/>
      <c r="J4902" s="319" t="n"/>
    </row>
    <row r="4903">
      <c r="B4903" s="1" t="n"/>
      <c r="C4903" s="13" t="inlineStr">
        <is>
          <t>Days in a year</t>
        </is>
      </c>
      <c r="D4903" s="18" t="n">
        <v>365</v>
      </c>
      <c r="E4903" s="1" t="n"/>
      <c r="F4903" s="319" t="n"/>
      <c r="G4903" s="319" t="n"/>
      <c r="H4903" s="319" t="n"/>
      <c r="I4903" s="319" t="n"/>
      <c r="J4903" s="319" t="n"/>
    </row>
    <row r="4904">
      <c r="B4904" s="1" t="n"/>
      <c r="C4904" s="19" t="inlineStr">
        <is>
          <t>Pmt (MK)</t>
        </is>
      </c>
      <c r="D4904" s="534">
        <f>-PMT(D4899/D4901,D4902,D4898,0,0)</f>
        <v/>
      </c>
      <c r="E4904" s="319" t="n"/>
      <c r="F4904" s="319" t="n"/>
      <c r="G4904" s="319" t="n"/>
      <c r="H4904" s="319" t="n"/>
      <c r="I4904" s="319" t="n"/>
      <c r="J4904" s="319" t="n"/>
    </row>
    <row r="4905">
      <c r="B4905" s="1" t="n"/>
      <c r="C4905" s="1" t="n"/>
      <c r="D4905" s="319" t="n"/>
      <c r="E4905" s="319" t="n"/>
      <c r="F4905" s="319" t="n"/>
      <c r="G4905" s="319" t="n"/>
      <c r="H4905" s="319" t="n"/>
      <c r="I4905" s="319" t="n"/>
      <c r="J4905" s="319" t="n"/>
    </row>
    <row r="4906">
      <c r="B4906" s="1" t="n"/>
      <c r="C4906" s="21" t="inlineStr">
        <is>
          <t>Period Start</t>
        </is>
      </c>
      <c r="D4906" s="22" t="inlineStr">
        <is>
          <t>Period End</t>
        </is>
      </c>
      <c r="E4906" s="22" t="inlineStr">
        <is>
          <t>Days</t>
        </is>
      </c>
      <c r="F4906" s="294" t="inlineStr">
        <is>
          <t>Opening bal.</t>
        </is>
      </c>
      <c r="G4906" s="294" t="inlineStr">
        <is>
          <t>Pmt</t>
        </is>
      </c>
      <c r="H4906" s="294" t="inlineStr">
        <is>
          <t>Interest</t>
        </is>
      </c>
      <c r="I4906" s="294" t="inlineStr">
        <is>
          <t>Principal</t>
        </is>
      </c>
      <c r="J4906" s="294" t="inlineStr">
        <is>
          <t>Closing balance</t>
        </is>
      </c>
      <c r="K4906" s="23" t="inlineStr">
        <is>
          <t>Amount Repaid</t>
        </is>
      </c>
      <c r="L4906" s="23" t="inlineStr">
        <is>
          <t>Accumulated Arrears</t>
        </is>
      </c>
    </row>
    <row r="4907">
      <c r="B4907" s="1" t="n">
        <v>0</v>
      </c>
      <c r="C4907" s="24" t="n">
        <v>45351</v>
      </c>
      <c r="D4907" s="24" t="n">
        <v>45351</v>
      </c>
      <c r="E4907" s="339" t="n">
        <v>0</v>
      </c>
      <c r="F4907" s="319">
        <f>D4898</f>
        <v/>
      </c>
      <c r="G4907" s="319" t="n"/>
      <c r="H4907" s="319">
        <f>($D$4837/$D$4839*F4907*E4907/31)</f>
        <v/>
      </c>
      <c r="I4907" s="319">
        <f>G4907-H4907</f>
        <v/>
      </c>
      <c r="J4907" s="319">
        <f>F4907-I4907</f>
        <v/>
      </c>
    </row>
    <row r="4908">
      <c r="B4908" s="1" t="n">
        <v>1</v>
      </c>
      <c r="C4908" s="24" t="n">
        <v>45352</v>
      </c>
      <c r="D4908" s="24" t="n">
        <v>45382</v>
      </c>
      <c r="E4908" s="25" t="n">
        <v>31</v>
      </c>
      <c r="F4908" s="319">
        <f>J4907</f>
        <v/>
      </c>
      <c r="G4908" s="319" t="n"/>
      <c r="H4908" s="319">
        <f>($D$4899/$D$4901*F4908)</f>
        <v/>
      </c>
      <c r="I4908" s="319">
        <f>G4908-H4908</f>
        <v/>
      </c>
      <c r="J4908" s="319">
        <f>F4908-I4908</f>
        <v/>
      </c>
    </row>
    <row r="4909">
      <c r="B4909" s="1" t="n">
        <v>2</v>
      </c>
      <c r="C4909" s="24" t="n">
        <v>45383</v>
      </c>
      <c r="D4909" s="24" t="n">
        <v>45412</v>
      </c>
      <c r="E4909" s="25" t="n">
        <v>30</v>
      </c>
      <c r="F4909" s="319">
        <f>J4908</f>
        <v/>
      </c>
      <c r="G4909" s="319" t="n"/>
      <c r="H4909" s="319">
        <f>($D$4899/$D$4901*F4909)</f>
        <v/>
      </c>
      <c r="I4909" s="319">
        <f>G4909-H4909</f>
        <v/>
      </c>
      <c r="J4909" s="319">
        <f>F4909-I4909</f>
        <v/>
      </c>
    </row>
    <row r="4910">
      <c r="B4910" s="1">
        <f>+B4909+1</f>
        <v/>
      </c>
      <c r="C4910" s="24" t="n">
        <v>45413</v>
      </c>
      <c r="D4910" s="24" t="n">
        <v>45443</v>
      </c>
      <c r="E4910" s="25" t="n">
        <v>31</v>
      </c>
      <c r="F4910" s="319">
        <f>J4909</f>
        <v/>
      </c>
      <c r="G4910" s="319" t="n"/>
      <c r="H4910" s="319">
        <f>($D$4899/$D$4901*F4910)</f>
        <v/>
      </c>
      <c r="I4910" s="319">
        <f>G4910-H4910</f>
        <v/>
      </c>
      <c r="J4910" s="319">
        <f>F4910-I4910</f>
        <v/>
      </c>
      <c r="L4910" s="148">
        <f>+G4910-K4910+L4909</f>
        <v/>
      </c>
    </row>
    <row r="4911">
      <c r="B4911" s="1">
        <f>+B4910+1</f>
        <v/>
      </c>
      <c r="C4911" s="24" t="n">
        <v>45444</v>
      </c>
      <c r="D4911" s="24" t="n">
        <v>45473</v>
      </c>
      <c r="E4911" s="25" t="n">
        <v>30</v>
      </c>
      <c r="F4911" s="319">
        <f>J4910</f>
        <v/>
      </c>
      <c r="G4911" s="319" t="n"/>
      <c r="H4911" s="319">
        <f>($D$4899/$D$4901*F4911)</f>
        <v/>
      </c>
      <c r="I4911" s="319">
        <f>G4911-H4911</f>
        <v/>
      </c>
      <c r="J4911" s="319">
        <f>F4911-I4911</f>
        <v/>
      </c>
      <c r="L4911" s="148">
        <f>+G4911-K4911+L4910</f>
        <v/>
      </c>
    </row>
    <row r="4912">
      <c r="B4912" s="1">
        <f>+B4911+1</f>
        <v/>
      </c>
      <c r="C4912" s="24" t="n">
        <v>45474</v>
      </c>
      <c r="D4912" s="24" t="n">
        <v>45504</v>
      </c>
      <c r="E4912" s="25" t="n">
        <v>31</v>
      </c>
      <c r="F4912" s="319">
        <f>J4911</f>
        <v/>
      </c>
      <c r="G4912" s="319" t="n"/>
      <c r="H4912" s="319">
        <f>($D$4899/$D$4901*F4912)</f>
        <v/>
      </c>
      <c r="I4912" s="319">
        <f>G4912-H4912</f>
        <v/>
      </c>
      <c r="J4912" s="319">
        <f>F4912-I4912</f>
        <v/>
      </c>
      <c r="L4912" s="148">
        <f>+G4912-K4912+L4911</f>
        <v/>
      </c>
    </row>
    <row r="4913">
      <c r="B4913" s="1">
        <f>+B4912+1</f>
        <v/>
      </c>
      <c r="C4913" s="24" t="n">
        <v>45505</v>
      </c>
      <c r="D4913" s="24" t="n">
        <v>45535</v>
      </c>
      <c r="E4913" s="25" t="n">
        <v>31</v>
      </c>
      <c r="F4913" s="319">
        <f>J4912</f>
        <v/>
      </c>
      <c r="G4913" s="319" t="n"/>
      <c r="H4913" s="319">
        <f>($D$4899/$D$4901*F4913)</f>
        <v/>
      </c>
      <c r="I4913" s="319">
        <f>G4913-H4913</f>
        <v/>
      </c>
      <c r="J4913" s="319">
        <f>F4913-I4913</f>
        <v/>
      </c>
      <c r="L4913" s="148">
        <f>+G4913-K4913+L4912</f>
        <v/>
      </c>
    </row>
    <row r="4914">
      <c r="B4914" s="1">
        <f>+B4913+1</f>
        <v/>
      </c>
      <c r="C4914" s="24" t="n">
        <v>45536</v>
      </c>
      <c r="D4914" s="24" t="n">
        <v>45565</v>
      </c>
      <c r="E4914" s="25" t="n">
        <v>30</v>
      </c>
      <c r="F4914" s="319">
        <f>J4913</f>
        <v/>
      </c>
      <c r="G4914" s="319">
        <f>-PMT($D$4899/$D$4901,42,$F$4914,,0)</f>
        <v/>
      </c>
      <c r="H4914" s="319">
        <f>($D$4899/$D$4901*F4914)</f>
        <v/>
      </c>
      <c r="I4914" s="319">
        <f>G4914-H4914</f>
        <v/>
      </c>
      <c r="J4914" s="319">
        <f>F4914-I4914</f>
        <v/>
      </c>
      <c r="L4914" s="148">
        <f>+G4914-K4914+L4913</f>
        <v/>
      </c>
    </row>
    <row r="4915">
      <c r="B4915" s="1">
        <f>+B4914+1</f>
        <v/>
      </c>
      <c r="C4915" s="24" t="n">
        <v>45566</v>
      </c>
      <c r="D4915" s="24" t="n">
        <v>45596</v>
      </c>
      <c r="E4915" s="25" t="n">
        <v>31</v>
      </c>
      <c r="F4915" s="319">
        <f>J4914</f>
        <v/>
      </c>
      <c r="G4915" s="319">
        <f>-PMT($D$4899/$D$4901,42,$F$4914,,0)</f>
        <v/>
      </c>
      <c r="H4915" s="319">
        <f>($D$4899/$D$4901*F4915)</f>
        <v/>
      </c>
      <c r="I4915" s="319">
        <f>G4915-H4915</f>
        <v/>
      </c>
      <c r="J4915" s="319">
        <f>F4915-I4915</f>
        <v/>
      </c>
      <c r="L4915" s="389">
        <f>+G4915-K4915+L4914</f>
        <v/>
      </c>
    </row>
    <row r="4916">
      <c r="B4916" s="1">
        <f>+B4915+1</f>
        <v/>
      </c>
      <c r="C4916" s="24" t="n">
        <v>45597</v>
      </c>
      <c r="D4916" s="24" t="n">
        <v>45626</v>
      </c>
      <c r="E4916" s="25" t="n">
        <v>30</v>
      </c>
      <c r="F4916" s="319">
        <f>J4915</f>
        <v/>
      </c>
      <c r="G4916" s="319">
        <f>-PMT($D$4899/$D$4901,42,$F$4914,,0)</f>
        <v/>
      </c>
      <c r="H4916" s="319">
        <f>($D$4899/$D$4901*F4916)</f>
        <v/>
      </c>
      <c r="I4916" s="319">
        <f>G4916-H4916</f>
        <v/>
      </c>
      <c r="J4916" s="319">
        <f>F4916-I4916</f>
        <v/>
      </c>
    </row>
    <row r="4917">
      <c r="B4917" s="1">
        <f>+B4916+1</f>
        <v/>
      </c>
      <c r="C4917" s="24" t="n">
        <v>45627</v>
      </c>
      <c r="D4917" s="24" t="n">
        <v>45657</v>
      </c>
      <c r="E4917" s="25" t="n">
        <v>31</v>
      </c>
      <c r="F4917" s="319">
        <f>J4916</f>
        <v/>
      </c>
      <c r="G4917" s="319">
        <f>-PMT($D$4899/$D$4901,42,$F$4914,,0)</f>
        <v/>
      </c>
      <c r="H4917" s="319">
        <f>($D$4899/$D$4901*F4917)</f>
        <v/>
      </c>
      <c r="I4917" s="319">
        <f>G4917-H4917</f>
        <v/>
      </c>
      <c r="J4917" s="319">
        <f>F4917-I4917</f>
        <v/>
      </c>
    </row>
    <row r="4918">
      <c r="B4918" s="1">
        <f>+B4917+1</f>
        <v/>
      </c>
      <c r="C4918" s="24" t="n">
        <v>45658</v>
      </c>
      <c r="D4918" s="24" t="n">
        <v>45688</v>
      </c>
      <c r="E4918" s="25" t="n">
        <v>31</v>
      </c>
      <c r="F4918" s="319">
        <f>J4917</f>
        <v/>
      </c>
      <c r="G4918" s="319">
        <f>-PMT($D$4899/$D$4901,42,$F$4914,,0)</f>
        <v/>
      </c>
      <c r="H4918" s="319">
        <f>($D$4899/$D$4901*F4918)</f>
        <v/>
      </c>
      <c r="I4918" s="319">
        <f>G4918-H4918</f>
        <v/>
      </c>
      <c r="J4918" s="319">
        <f>F4918-I4918</f>
        <v/>
      </c>
    </row>
    <row r="4919">
      <c r="B4919" s="1">
        <f>+B4918+1</f>
        <v/>
      </c>
      <c r="C4919" s="24" t="n">
        <v>45689</v>
      </c>
      <c r="D4919" s="24" t="n">
        <v>45716</v>
      </c>
      <c r="E4919" s="25" t="n">
        <v>28</v>
      </c>
      <c r="F4919" s="319">
        <f>J4918</f>
        <v/>
      </c>
      <c r="G4919" s="319">
        <f>-PMT($D$4899/$D$4901,42,$F$4914,,0)</f>
        <v/>
      </c>
      <c r="H4919" s="319">
        <f>($D$4899/$D$4901*F4919)</f>
        <v/>
      </c>
      <c r="I4919" s="319">
        <f>G4919-H4919</f>
        <v/>
      </c>
      <c r="J4919" s="319">
        <f>F4919-I4919</f>
        <v/>
      </c>
    </row>
    <row r="4920">
      <c r="B4920" s="1">
        <f>+B4919+1</f>
        <v/>
      </c>
      <c r="C4920" s="24" t="n">
        <v>45717</v>
      </c>
      <c r="D4920" s="24" t="n">
        <v>45747</v>
      </c>
      <c r="E4920" s="25" t="n">
        <v>31</v>
      </c>
      <c r="F4920" s="319">
        <f>J4919</f>
        <v/>
      </c>
      <c r="G4920" s="319">
        <f>-PMT($D$4899/$D$4901,42,$F$4914,,0)</f>
        <v/>
      </c>
      <c r="H4920" s="319">
        <f>($D$4899/$D$4901*F4920)</f>
        <v/>
      </c>
      <c r="I4920" s="319">
        <f>G4920-H4920</f>
        <v/>
      </c>
      <c r="J4920" s="319">
        <f>F4920-I4920</f>
        <v/>
      </c>
    </row>
    <row r="4921">
      <c r="B4921" s="1">
        <f>+B4920+1</f>
        <v/>
      </c>
      <c r="C4921" s="24" t="n">
        <v>45748</v>
      </c>
      <c r="D4921" s="24" t="n">
        <v>45777</v>
      </c>
      <c r="E4921" s="25" t="n">
        <v>30</v>
      </c>
      <c r="F4921" s="319">
        <f>J4920</f>
        <v/>
      </c>
      <c r="G4921" s="319">
        <f>-PMT($D$4899/$D$4901,42,$F$4914,,0)</f>
        <v/>
      </c>
      <c r="H4921" s="319">
        <f>($D$4899/$D$4901*F4921)</f>
        <v/>
      </c>
      <c r="I4921" s="319">
        <f>G4921-H4921</f>
        <v/>
      </c>
      <c r="J4921" s="319">
        <f>F4921-I4921</f>
        <v/>
      </c>
    </row>
    <row r="4922">
      <c r="B4922" s="1">
        <f>+B4921+1</f>
        <v/>
      </c>
      <c r="C4922" s="24" t="n">
        <v>45778</v>
      </c>
      <c r="D4922" s="24" t="n">
        <v>45808</v>
      </c>
      <c r="E4922" s="25" t="n">
        <v>31</v>
      </c>
      <c r="F4922" s="319">
        <f>J4921</f>
        <v/>
      </c>
      <c r="G4922" s="319">
        <f>-PMT($D$4899/$D$4901,42,$F$4914,,0)</f>
        <v/>
      </c>
      <c r="H4922" s="319">
        <f>($D$4899/$D$4901*F4922)</f>
        <v/>
      </c>
      <c r="I4922" s="319">
        <f>G4922-H4922</f>
        <v/>
      </c>
      <c r="J4922" s="319">
        <f>F4922-I4922</f>
        <v/>
      </c>
    </row>
    <row r="4923">
      <c r="B4923" s="1">
        <f>+B4922+1</f>
        <v/>
      </c>
      <c r="C4923" s="24" t="n">
        <v>45809</v>
      </c>
      <c r="D4923" s="24" t="n">
        <v>45838</v>
      </c>
      <c r="E4923" s="25" t="n">
        <v>30</v>
      </c>
      <c r="F4923" s="319">
        <f>J4922</f>
        <v/>
      </c>
      <c r="G4923" s="319">
        <f>-PMT($D$4899/$D$4901,42,$F$4914,,0)</f>
        <v/>
      </c>
      <c r="H4923" s="319">
        <f>($D$4899/$D$4901*F4923)</f>
        <v/>
      </c>
      <c r="I4923" s="319">
        <f>G4923-H4923</f>
        <v/>
      </c>
      <c r="J4923" s="319">
        <f>F4923-I4923</f>
        <v/>
      </c>
    </row>
    <row r="4924">
      <c r="B4924" s="1">
        <f>+B4923+1</f>
        <v/>
      </c>
      <c r="C4924" s="24" t="n">
        <v>45839</v>
      </c>
      <c r="D4924" s="24" t="n">
        <v>45868</v>
      </c>
      <c r="E4924" s="25" t="n">
        <v>30</v>
      </c>
      <c r="F4924" s="319">
        <f>J4923</f>
        <v/>
      </c>
      <c r="G4924" s="319">
        <f>-PMT($D$4899/$D$4901,42,$F$4914,,0)</f>
        <v/>
      </c>
      <c r="H4924" s="319">
        <f>($D$4899/$D$4901*F4924)</f>
        <v/>
      </c>
      <c r="I4924" s="319">
        <f>G4924-H4924</f>
        <v/>
      </c>
      <c r="J4924" s="319">
        <f>F4924-I4924</f>
        <v/>
      </c>
    </row>
    <row r="4925">
      <c r="B4925" s="1">
        <f>+B4924+1</f>
        <v/>
      </c>
      <c r="C4925" s="24" t="n">
        <v>45870</v>
      </c>
      <c r="D4925" s="24" t="n">
        <v>45899</v>
      </c>
      <c r="E4925" s="25" t="n">
        <v>30</v>
      </c>
      <c r="F4925" s="319">
        <f>J4924</f>
        <v/>
      </c>
      <c r="G4925" s="319">
        <f>-PMT($D$4899/$D$4901,42,$F$4914,,0)</f>
        <v/>
      </c>
      <c r="H4925" s="319">
        <f>($D$4899/$D$4901*F4925)</f>
        <v/>
      </c>
      <c r="I4925" s="319">
        <f>G4925-H4925</f>
        <v/>
      </c>
      <c r="J4925" s="319">
        <f>F4925-I4925</f>
        <v/>
      </c>
    </row>
    <row r="4926">
      <c r="B4926" s="1">
        <f>+B4925+1</f>
        <v/>
      </c>
      <c r="C4926" s="24" t="n">
        <v>45901</v>
      </c>
      <c r="D4926" s="24" t="n">
        <v>45930</v>
      </c>
      <c r="E4926" s="25" t="n">
        <v>30</v>
      </c>
      <c r="F4926" s="319">
        <f>J4925</f>
        <v/>
      </c>
      <c r="G4926" s="319">
        <f>-PMT($D$4899/$D$4901,42,$F$4914,,0)</f>
        <v/>
      </c>
      <c r="H4926" s="319">
        <f>($D$4899/$D$4901*F4926)</f>
        <v/>
      </c>
      <c r="I4926" s="319">
        <f>G4926-H4926</f>
        <v/>
      </c>
      <c r="J4926" s="319">
        <f>F4926-I4926</f>
        <v/>
      </c>
    </row>
    <row r="4927">
      <c r="B4927" s="1">
        <f>+B4926+1</f>
        <v/>
      </c>
      <c r="C4927" s="24" t="n">
        <v>45931</v>
      </c>
      <c r="D4927" s="24" t="n">
        <v>45961</v>
      </c>
      <c r="E4927" s="25" t="n">
        <v>31</v>
      </c>
      <c r="F4927" s="319">
        <f>J4926</f>
        <v/>
      </c>
      <c r="G4927" s="319">
        <f>-PMT($D$4899/$D$4901,42,$F$4914,,0)</f>
        <v/>
      </c>
      <c r="H4927" s="319">
        <f>($D$4899/$D$4901*F4927)</f>
        <v/>
      </c>
      <c r="I4927" s="319">
        <f>G4927-H4927</f>
        <v/>
      </c>
      <c r="J4927" s="319">
        <f>F4927-I4927</f>
        <v/>
      </c>
    </row>
    <row r="4928">
      <c r="B4928" s="1">
        <f>+B4927+1</f>
        <v/>
      </c>
      <c r="C4928" s="24" t="n">
        <v>45962</v>
      </c>
      <c r="D4928" s="24" t="n">
        <v>45991</v>
      </c>
      <c r="E4928" s="25" t="n">
        <v>30</v>
      </c>
      <c r="F4928" s="319">
        <f>J4927</f>
        <v/>
      </c>
      <c r="G4928" s="319">
        <f>-PMT($D$4899/$D$4901,42,$F$4914,,0)</f>
        <v/>
      </c>
      <c r="H4928" s="319">
        <f>($D$4899/$D$4901*F4928)</f>
        <v/>
      </c>
      <c r="I4928" s="319">
        <f>G4928-H4928</f>
        <v/>
      </c>
      <c r="J4928" s="319">
        <f>F4928-I4928</f>
        <v/>
      </c>
    </row>
    <row r="4929">
      <c r="B4929" s="1">
        <f>+B4928+1</f>
        <v/>
      </c>
      <c r="C4929" s="24" t="n">
        <v>45992</v>
      </c>
      <c r="D4929" s="24" t="n">
        <v>46022</v>
      </c>
      <c r="E4929" s="25" t="n">
        <v>31</v>
      </c>
      <c r="F4929" s="319">
        <f>J4928</f>
        <v/>
      </c>
      <c r="G4929" s="319">
        <f>-PMT($D$4899/$D$4901,42,$F$4914,,0)</f>
        <v/>
      </c>
      <c r="H4929" s="319">
        <f>($D$4899/$D$4901*F4929)</f>
        <v/>
      </c>
      <c r="I4929" s="319">
        <f>G4929-H4929</f>
        <v/>
      </c>
      <c r="J4929" s="319">
        <f>F4929-I4929</f>
        <v/>
      </c>
    </row>
    <row r="4930">
      <c r="B4930" s="1">
        <f>+B4929+1</f>
        <v/>
      </c>
      <c r="C4930" s="24" t="n">
        <v>46023</v>
      </c>
      <c r="D4930" s="24" t="n">
        <v>46053</v>
      </c>
      <c r="E4930" s="25" t="n">
        <v>31</v>
      </c>
      <c r="F4930" s="319">
        <f>J4929</f>
        <v/>
      </c>
      <c r="G4930" s="319">
        <f>-PMT($D$4899/$D$4901,42,$F$4914,,0)</f>
        <v/>
      </c>
      <c r="H4930" s="319">
        <f>($D$4899/$D$4901*F4930)</f>
        <v/>
      </c>
      <c r="I4930" s="319">
        <f>G4930-H4930</f>
        <v/>
      </c>
      <c r="J4930" s="319">
        <f>F4930-I4930</f>
        <v/>
      </c>
    </row>
    <row r="4931">
      <c r="B4931" s="1">
        <f>+B4930+1</f>
        <v/>
      </c>
      <c r="C4931" s="24" t="n">
        <v>46054</v>
      </c>
      <c r="D4931" s="24" t="n">
        <v>46081</v>
      </c>
      <c r="E4931" s="25" t="n">
        <v>28</v>
      </c>
      <c r="F4931" s="319">
        <f>J4930</f>
        <v/>
      </c>
      <c r="G4931" s="319">
        <f>-PMT($D$4899/$D$4901,42,$F$4914,,0)</f>
        <v/>
      </c>
      <c r="H4931" s="319">
        <f>($D$4899/$D$4901*F4931)</f>
        <v/>
      </c>
      <c r="I4931" s="319">
        <f>G4931-H4931</f>
        <v/>
      </c>
      <c r="J4931" s="319">
        <f>F4931-I4931</f>
        <v/>
      </c>
    </row>
    <row r="4932">
      <c r="B4932" s="1">
        <f>+B4931+1</f>
        <v/>
      </c>
      <c r="C4932" s="24" t="n">
        <v>46082</v>
      </c>
      <c r="D4932" s="24" t="n">
        <v>46112</v>
      </c>
      <c r="E4932" s="25" t="n">
        <v>31</v>
      </c>
      <c r="F4932" s="319">
        <f>J4931</f>
        <v/>
      </c>
      <c r="G4932" s="319">
        <f>-PMT($D$4899/$D$4901,42,$F$4914,,0)</f>
        <v/>
      </c>
      <c r="H4932" s="319">
        <f>($D$4899/$D$4901*F4932)</f>
        <v/>
      </c>
      <c r="I4932" s="319">
        <f>G4932-H4932</f>
        <v/>
      </c>
      <c r="J4932" s="319">
        <f>F4932-I4932</f>
        <v/>
      </c>
    </row>
    <row r="4933">
      <c r="B4933" s="1">
        <f>+B4932+1</f>
        <v/>
      </c>
      <c r="C4933" s="24" t="n">
        <v>46113</v>
      </c>
      <c r="D4933" s="24" t="n">
        <v>46142</v>
      </c>
      <c r="E4933" s="25" t="n">
        <v>30</v>
      </c>
      <c r="F4933" s="319">
        <f>J4932</f>
        <v/>
      </c>
      <c r="G4933" s="319">
        <f>-PMT($D$4899/$D$4901,42,$F$4914,,0)</f>
        <v/>
      </c>
      <c r="H4933" s="319">
        <f>($D$4899/$D$4901*F4933)</f>
        <v/>
      </c>
      <c r="I4933" s="319">
        <f>G4933-H4933</f>
        <v/>
      </c>
      <c r="J4933" s="319">
        <f>F4933-I4933</f>
        <v/>
      </c>
    </row>
    <row r="4934">
      <c r="B4934" s="1">
        <f>+B4933+1</f>
        <v/>
      </c>
      <c r="C4934" s="24" t="n">
        <v>46143</v>
      </c>
      <c r="D4934" s="24" t="n">
        <v>46173</v>
      </c>
      <c r="E4934" s="25" t="n">
        <v>31</v>
      </c>
      <c r="F4934" s="319">
        <f>J4933</f>
        <v/>
      </c>
      <c r="G4934" s="319">
        <f>-PMT($D$4899/$D$4901,42,$F$4914,,0)</f>
        <v/>
      </c>
      <c r="H4934" s="319">
        <f>($D$4899/$D$4901*F4934)</f>
        <v/>
      </c>
      <c r="I4934" s="319">
        <f>G4934-H4934</f>
        <v/>
      </c>
      <c r="J4934" s="319">
        <f>F4934-I4934</f>
        <v/>
      </c>
    </row>
    <row r="4935">
      <c r="B4935" s="1">
        <f>+B4934+1</f>
        <v/>
      </c>
      <c r="C4935" s="24" t="n">
        <v>46174</v>
      </c>
      <c r="D4935" s="24" t="n">
        <v>46203</v>
      </c>
      <c r="E4935" s="25" t="n">
        <v>30</v>
      </c>
      <c r="F4935" s="319">
        <f>J4934</f>
        <v/>
      </c>
      <c r="G4935" s="319">
        <f>-PMT($D$4899/$D$4901,42,$F$4914,,0)</f>
        <v/>
      </c>
      <c r="H4935" s="319">
        <f>($D$4899/$D$4901*F4935)</f>
        <v/>
      </c>
      <c r="I4935" s="319">
        <f>G4935-H4935</f>
        <v/>
      </c>
      <c r="J4935" s="319">
        <f>F4935-I4935</f>
        <v/>
      </c>
    </row>
    <row r="4936">
      <c r="B4936" s="1">
        <f>+B4935+1</f>
        <v/>
      </c>
      <c r="C4936" s="24" t="n">
        <v>46204</v>
      </c>
      <c r="D4936" s="24" t="n">
        <v>46234</v>
      </c>
      <c r="E4936" s="25" t="n">
        <v>31</v>
      </c>
      <c r="F4936" s="319">
        <f>J4935</f>
        <v/>
      </c>
      <c r="G4936" s="319">
        <f>-PMT($D$4899/$D$4901,42,$F$4914,,0)</f>
        <v/>
      </c>
      <c r="H4936" s="319">
        <f>($D$4899/$D$4901*F4936)</f>
        <v/>
      </c>
      <c r="I4936" s="319">
        <f>G4936-H4936</f>
        <v/>
      </c>
      <c r="J4936" s="319">
        <f>F4936-I4936</f>
        <v/>
      </c>
    </row>
    <row r="4937">
      <c r="B4937" s="1">
        <f>+B4936+1</f>
        <v/>
      </c>
      <c r="C4937" s="24" t="n">
        <v>46235</v>
      </c>
      <c r="D4937" s="24" t="n">
        <v>46265</v>
      </c>
      <c r="E4937" s="25" t="n">
        <v>31</v>
      </c>
      <c r="F4937" s="319">
        <f>J4936</f>
        <v/>
      </c>
      <c r="G4937" s="319">
        <f>-PMT($D$4899/$D$4901,42,$F$4914,,0)</f>
        <v/>
      </c>
      <c r="H4937" s="319">
        <f>($D$4899/$D$4901*F4937)</f>
        <v/>
      </c>
      <c r="I4937" s="319">
        <f>G4937-H4937</f>
        <v/>
      </c>
      <c r="J4937" s="319">
        <f>F4937-I4937</f>
        <v/>
      </c>
    </row>
    <row r="4938">
      <c r="B4938" s="1">
        <f>+B4937+1</f>
        <v/>
      </c>
      <c r="C4938" s="24" t="n">
        <v>46266</v>
      </c>
      <c r="D4938" s="24" t="n">
        <v>46295</v>
      </c>
      <c r="E4938" s="25" t="n">
        <v>30</v>
      </c>
      <c r="F4938" s="319">
        <f>J4937</f>
        <v/>
      </c>
      <c r="G4938" s="319">
        <f>-PMT($D$4899/$D$4901,42,$F$4914,,0)</f>
        <v/>
      </c>
      <c r="H4938" s="319">
        <f>($D$4899/$D$4901*F4938)</f>
        <v/>
      </c>
      <c r="I4938" s="319">
        <f>G4938-H4938</f>
        <v/>
      </c>
      <c r="J4938" s="319">
        <f>F4938-I4938</f>
        <v/>
      </c>
    </row>
    <row r="4939">
      <c r="B4939" s="1">
        <f>+B4938+1</f>
        <v/>
      </c>
      <c r="C4939" s="24" t="n">
        <v>46296</v>
      </c>
      <c r="D4939" s="24" t="n">
        <v>46326</v>
      </c>
      <c r="E4939" s="25" t="n">
        <v>31</v>
      </c>
      <c r="F4939" s="319">
        <f>J4938</f>
        <v/>
      </c>
      <c r="G4939" s="319">
        <f>-PMT($D$4899/$D$4901,42,$F$4914,,0)</f>
        <v/>
      </c>
      <c r="H4939" s="319">
        <f>($D$4899/$D$4901*F4939)</f>
        <v/>
      </c>
      <c r="I4939" s="319">
        <f>G4939-H4939</f>
        <v/>
      </c>
      <c r="J4939" s="319">
        <f>F4939-I4939</f>
        <v/>
      </c>
    </row>
    <row r="4940">
      <c r="B4940" s="1">
        <f>+B4939+1</f>
        <v/>
      </c>
      <c r="C4940" s="24" t="n">
        <v>46327</v>
      </c>
      <c r="D4940" s="24" t="n">
        <v>46356</v>
      </c>
      <c r="E4940" s="25" t="n">
        <v>30</v>
      </c>
      <c r="F4940" s="319">
        <f>J4939</f>
        <v/>
      </c>
      <c r="G4940" s="319">
        <f>-PMT($D$4899/$D$4901,42,$F$4914,,0)</f>
        <v/>
      </c>
      <c r="H4940" s="319">
        <f>($D$4899/$D$4901*F4940)</f>
        <v/>
      </c>
      <c r="I4940" s="319">
        <f>G4940-H4940</f>
        <v/>
      </c>
      <c r="J4940" s="319">
        <f>F4940-I4940</f>
        <v/>
      </c>
    </row>
    <row r="4941">
      <c r="B4941" s="1">
        <f>+B4940+1</f>
        <v/>
      </c>
      <c r="C4941" s="24" t="n">
        <v>46357</v>
      </c>
      <c r="D4941" s="24" t="n">
        <v>46387</v>
      </c>
      <c r="E4941" s="25" t="n">
        <v>31</v>
      </c>
      <c r="F4941" s="319">
        <f>J4940</f>
        <v/>
      </c>
      <c r="G4941" s="319">
        <f>-PMT($D$4899/$D$4901,42,$F$4914,,0)</f>
        <v/>
      </c>
      <c r="H4941" s="319">
        <f>($D$4899/$D$4901*F4941)</f>
        <v/>
      </c>
      <c r="I4941" s="319">
        <f>G4941-H4941</f>
        <v/>
      </c>
      <c r="J4941" s="319">
        <f>F4941-I4941</f>
        <v/>
      </c>
    </row>
    <row r="4942">
      <c r="B4942" s="1">
        <f>+B4941+1</f>
        <v/>
      </c>
      <c r="C4942" s="24" t="n">
        <v>46388</v>
      </c>
      <c r="D4942" s="24" t="n">
        <v>46418</v>
      </c>
      <c r="E4942" s="25" t="n">
        <v>31</v>
      </c>
      <c r="F4942" s="319">
        <f>J4941</f>
        <v/>
      </c>
      <c r="G4942" s="319">
        <f>-PMT($D$4899/$D$4901,42,$F$4914,,0)</f>
        <v/>
      </c>
      <c r="H4942" s="319">
        <f>($D$4899/$D$4901*F4942)</f>
        <v/>
      </c>
      <c r="I4942" s="319">
        <f>G4942-H4942</f>
        <v/>
      </c>
      <c r="J4942" s="319">
        <f>F4942-I4942</f>
        <v/>
      </c>
    </row>
    <row r="4943">
      <c r="B4943" s="1">
        <f>+B4942+1</f>
        <v/>
      </c>
      <c r="C4943" s="24" t="n">
        <v>46419</v>
      </c>
      <c r="D4943" s="24" t="n">
        <v>46446</v>
      </c>
      <c r="E4943" s="25">
        <f>D4943-C4943+1</f>
        <v/>
      </c>
      <c r="F4943" s="319">
        <f>J4942</f>
        <v/>
      </c>
      <c r="G4943" s="319">
        <f>-PMT($D$4899/$D$4901,42,$F$4914,,0)</f>
        <v/>
      </c>
      <c r="H4943" s="319">
        <f>($D$4899/$D$4901*F4943)</f>
        <v/>
      </c>
      <c r="I4943" s="319">
        <f>G4943-H4943</f>
        <v/>
      </c>
      <c r="J4943" s="319">
        <f>F4943-I4943</f>
        <v/>
      </c>
    </row>
    <row r="4944">
      <c r="B4944" s="1">
        <f>+B4943+1</f>
        <v/>
      </c>
      <c r="C4944" s="24" t="n">
        <v>46447</v>
      </c>
      <c r="D4944" s="24" t="n">
        <v>46477</v>
      </c>
      <c r="E4944" s="25">
        <f>D4944-C4944+1</f>
        <v/>
      </c>
      <c r="F4944" s="319">
        <f>J4943</f>
        <v/>
      </c>
      <c r="G4944" s="319">
        <f>-PMT($D$4899/$D$4901,42,$F$4914,,0)</f>
        <v/>
      </c>
      <c r="H4944" s="319">
        <f>($D$4899/$D$4901*F4944)</f>
        <v/>
      </c>
      <c r="I4944" s="319">
        <f>G4944-H4944</f>
        <v/>
      </c>
      <c r="J4944" s="319">
        <f>F4944-I4944</f>
        <v/>
      </c>
    </row>
    <row r="4945">
      <c r="B4945" s="1">
        <f>+B4944+1</f>
        <v/>
      </c>
      <c r="C4945" s="24" t="n">
        <v>46478</v>
      </c>
      <c r="D4945" s="24" t="n">
        <v>46507</v>
      </c>
      <c r="E4945" s="25">
        <f>D4945-C4945+1</f>
        <v/>
      </c>
      <c r="F4945" s="319">
        <f>J4944</f>
        <v/>
      </c>
      <c r="G4945" s="319">
        <f>-PMT($D$4899/$D$4901,42,$F$4914,,0)</f>
        <v/>
      </c>
      <c r="H4945" s="319">
        <f>($D$4899/$D$4901*F4945)</f>
        <v/>
      </c>
      <c r="I4945" s="319">
        <f>G4945-H4945</f>
        <v/>
      </c>
      <c r="J4945" s="319">
        <f>F4945-I4945</f>
        <v/>
      </c>
    </row>
    <row r="4946">
      <c r="B4946" s="1">
        <f>+B4945+1</f>
        <v/>
      </c>
      <c r="C4946" s="24" t="n">
        <v>46508</v>
      </c>
      <c r="D4946" s="24" t="n">
        <v>46538</v>
      </c>
      <c r="E4946" s="25">
        <f>D4946-C4946+1</f>
        <v/>
      </c>
      <c r="F4946" s="319">
        <f>J4945</f>
        <v/>
      </c>
      <c r="G4946" s="319">
        <f>-PMT($D$4899/$D$4901,42,$F$4914,,0)</f>
        <v/>
      </c>
      <c r="H4946" s="319">
        <f>($D$4899/$D$4901*F4946)</f>
        <v/>
      </c>
      <c r="I4946" s="319">
        <f>G4946-H4946</f>
        <v/>
      </c>
      <c r="J4946" s="319">
        <f>F4946-I4946</f>
        <v/>
      </c>
    </row>
    <row r="4947">
      <c r="B4947" s="1">
        <f>+B4946+1</f>
        <v/>
      </c>
      <c r="C4947" s="24" t="n">
        <v>46539</v>
      </c>
      <c r="D4947" s="24" t="n">
        <v>46568</v>
      </c>
      <c r="E4947" s="25">
        <f>D4947-C4947+1</f>
        <v/>
      </c>
      <c r="F4947" s="319">
        <f>J4946</f>
        <v/>
      </c>
      <c r="G4947" s="319">
        <f>-PMT($D$4899/$D$4901,42,$F$4914,,0)</f>
        <v/>
      </c>
      <c r="H4947" s="319">
        <f>($D$4899/$D$4901*F4947)</f>
        <v/>
      </c>
      <c r="I4947" s="319">
        <f>G4947-H4947</f>
        <v/>
      </c>
      <c r="J4947" s="319">
        <f>F4947-I4947</f>
        <v/>
      </c>
    </row>
    <row r="4948">
      <c r="B4948" s="1">
        <f>+B4947+1</f>
        <v/>
      </c>
      <c r="C4948" s="24" t="n">
        <v>46569</v>
      </c>
      <c r="D4948" s="24" t="n">
        <v>46599</v>
      </c>
      <c r="E4948" s="25">
        <f>D4948-C4948+1</f>
        <v/>
      </c>
      <c r="F4948" s="319">
        <f>J4947</f>
        <v/>
      </c>
      <c r="G4948" s="319">
        <f>-PMT($D$4899/$D$4901,42,$F$4914,,0)</f>
        <v/>
      </c>
      <c r="H4948" s="319">
        <f>($D$4899/$D$4901*F4948)</f>
        <v/>
      </c>
      <c r="I4948" s="319">
        <f>G4948-H4948</f>
        <v/>
      </c>
      <c r="J4948" s="319">
        <f>F4948-I4948</f>
        <v/>
      </c>
    </row>
    <row r="4949">
      <c r="B4949" s="1">
        <f>+B4948+1</f>
        <v/>
      </c>
      <c r="C4949" s="24" t="n">
        <v>46600</v>
      </c>
      <c r="D4949" s="24" t="n">
        <v>46630</v>
      </c>
      <c r="E4949" s="25">
        <f>D4949-C4949+1</f>
        <v/>
      </c>
      <c r="F4949" s="319">
        <f>J4948</f>
        <v/>
      </c>
      <c r="G4949" s="319">
        <f>-PMT($D$4899/$D$4901,42,$F$4914,,0)</f>
        <v/>
      </c>
      <c r="H4949" s="319">
        <f>($D$4899/$D$4901*F4949)</f>
        <v/>
      </c>
      <c r="I4949" s="319">
        <f>G4949-H4949</f>
        <v/>
      </c>
      <c r="J4949" s="319">
        <f>F4949-I4949</f>
        <v/>
      </c>
    </row>
    <row r="4950">
      <c r="B4950" s="1">
        <f>+B4949+1</f>
        <v/>
      </c>
      <c r="C4950" s="24" t="n">
        <v>46631</v>
      </c>
      <c r="D4950" s="24" t="n">
        <v>46660</v>
      </c>
      <c r="E4950" s="25">
        <f>D4950-C4950+1</f>
        <v/>
      </c>
      <c r="F4950" s="319">
        <f>J4949</f>
        <v/>
      </c>
      <c r="G4950" s="319">
        <f>-PMT($D$4899/$D$4901,42,$F$4914,,0)</f>
        <v/>
      </c>
      <c r="H4950" s="319">
        <f>($D$4899/$D$4901*F4950)</f>
        <v/>
      </c>
      <c r="I4950" s="319">
        <f>G4950-H4950</f>
        <v/>
      </c>
      <c r="J4950" s="319">
        <f>F4950-I4950</f>
        <v/>
      </c>
    </row>
    <row r="4951">
      <c r="B4951" s="1">
        <f>+B4950+1</f>
        <v/>
      </c>
      <c r="C4951" s="24" t="n">
        <v>46661</v>
      </c>
      <c r="D4951" s="24" t="n">
        <v>46691</v>
      </c>
      <c r="E4951" s="25">
        <f>D4951-C4951+1</f>
        <v/>
      </c>
      <c r="F4951" s="319">
        <f>J4950</f>
        <v/>
      </c>
      <c r="G4951" s="319">
        <f>-PMT($D$4899/$D$4901,42,$F$4914,,0)</f>
        <v/>
      </c>
      <c r="H4951" s="319">
        <f>($D$4899/$D$4901*F4951)</f>
        <v/>
      </c>
      <c r="I4951" s="319">
        <f>G4951-H4951</f>
        <v/>
      </c>
      <c r="J4951" s="319">
        <f>F4951-I4951</f>
        <v/>
      </c>
    </row>
    <row r="4952">
      <c r="B4952" s="1">
        <f>+B4951+1</f>
        <v/>
      </c>
      <c r="C4952" s="24" t="n">
        <v>46692</v>
      </c>
      <c r="D4952" s="24" t="n">
        <v>46721</v>
      </c>
      <c r="E4952" s="25">
        <f>D4952-C4952+1</f>
        <v/>
      </c>
      <c r="F4952" s="319">
        <f>J4951</f>
        <v/>
      </c>
      <c r="G4952" s="319">
        <f>-PMT($D$4899/$D$4901,42,$F$4914,,0)</f>
        <v/>
      </c>
      <c r="H4952" s="319">
        <f>($D$4899/$D$4901*F4952)</f>
        <v/>
      </c>
      <c r="I4952" s="319">
        <f>G4952-H4952</f>
        <v/>
      </c>
      <c r="J4952" s="319">
        <f>F4952-I4952</f>
        <v/>
      </c>
    </row>
    <row r="4953">
      <c r="B4953" s="1">
        <f>+B4952+1</f>
        <v/>
      </c>
      <c r="C4953" s="24" t="n">
        <v>46722</v>
      </c>
      <c r="D4953" s="24" t="n">
        <v>46752</v>
      </c>
      <c r="E4953" s="25">
        <f>D4953-C4953+1</f>
        <v/>
      </c>
      <c r="F4953" s="319">
        <f>J4952</f>
        <v/>
      </c>
      <c r="G4953" s="319">
        <f>-PMT($D$4899/$D$4901,42,$F$4914,,0)</f>
        <v/>
      </c>
      <c r="H4953" s="319">
        <f>($D$4899/$D$4901*F4953)</f>
        <v/>
      </c>
      <c r="I4953" s="319">
        <f>G4953-H4953</f>
        <v/>
      </c>
      <c r="J4953" s="319">
        <f>F4953-I4953</f>
        <v/>
      </c>
    </row>
    <row r="4954">
      <c r="B4954" s="1">
        <f>+B4953+1</f>
        <v/>
      </c>
      <c r="C4954" s="24" t="n">
        <v>46753</v>
      </c>
      <c r="D4954" s="24" t="n">
        <v>46783</v>
      </c>
      <c r="E4954" s="25">
        <f>D4954-C4954+1</f>
        <v/>
      </c>
      <c r="F4954" s="319">
        <f>J4953</f>
        <v/>
      </c>
      <c r="G4954" s="319">
        <f>-PMT($D$4899/$D$4901,42,$F$4914,,0)</f>
        <v/>
      </c>
      <c r="H4954" s="319">
        <f>($D$4899/$D$4901*F4954)</f>
        <v/>
      </c>
      <c r="I4954" s="319">
        <f>G4954-H4954</f>
        <v/>
      </c>
      <c r="J4954" s="319">
        <f>F4954-I4954</f>
        <v/>
      </c>
    </row>
    <row r="4955">
      <c r="B4955" s="7" t="n">
        <v>48</v>
      </c>
      <c r="C4955" s="337">
        <f>+D4954+1</f>
        <v/>
      </c>
      <c r="D4955" s="337">
        <f>+C4955+28</f>
        <v/>
      </c>
      <c r="E4955" s="338" t="n">
        <v>29</v>
      </c>
      <c r="F4955" s="319">
        <f>J4954</f>
        <v/>
      </c>
      <c r="G4955" s="319">
        <f>-PMT($D$4899/$D$4901,42,$F$4914,,0)</f>
        <v/>
      </c>
      <c r="H4955" s="319">
        <f>($D$4899/$D$4901*F4955)</f>
        <v/>
      </c>
      <c r="I4955" s="319">
        <f>G4955-H4955</f>
        <v/>
      </c>
      <c r="J4955" s="319">
        <f>F4955-I4955</f>
        <v/>
      </c>
    </row>
    <row r="4962">
      <c r="B4962" s="1" t="n"/>
      <c r="C4962" s="9" t="inlineStr">
        <is>
          <t>FAVOA Innovations and Investments Group</t>
        </is>
      </c>
      <c r="D4962" s="319" t="n"/>
      <c r="E4962" s="319" t="n"/>
      <c r="F4962" s="319" t="n"/>
      <c r="G4962" s="319" t="n"/>
      <c r="H4962" s="319" t="n"/>
      <c r="I4962" s="319" t="n"/>
      <c r="J4962" s="319" t="n"/>
      <c r="R4962" s="514" t="inlineStr">
        <is>
          <t>E-Banker account (Dupleix)</t>
        </is>
      </c>
      <c r="S4962" s="495">
        <f>IFERROR(INDEX('Blocks'!$I$2:$I$101,MATCH(90,'Blocks'!$A$2:$A$101,0)),"")</f>
        <v/>
      </c>
    </row>
    <row r="4963">
      <c r="B4963" s="1" t="n"/>
      <c r="C4963" s="1" t="n"/>
      <c r="D4963" s="319" t="n"/>
      <c r="E4963" s="319" t="n"/>
      <c r="F4963" s="319" t="n"/>
      <c r="G4963" s="319" t="n"/>
      <c r="H4963" s="319" t="n"/>
      <c r="I4963" s="319" t="n"/>
      <c r="J4963" s="319" t="n"/>
      <c r="R4963" s="514" t="inlineStr">
        <is>
          <t>Facility (Loan Book)</t>
        </is>
      </c>
      <c r="S4963" s="495">
        <f>IFERROR(INDEX('Blocks'!$H$2:$H$101,MATCH(90,'Blocks'!$A$2:$A$101,0)),"")</f>
        <v/>
      </c>
    </row>
    <row r="4964">
      <c r="B4964" s="1" t="n"/>
      <c r="C4964" s="10" t="inlineStr">
        <is>
          <t>Principal (MK)</t>
        </is>
      </c>
      <c r="D4964" s="11" t="n">
        <v>30000000</v>
      </c>
      <c r="E4964" s="319" t="n"/>
      <c r="F4964" s="319" t="n"/>
      <c r="G4964" s="319" t="n"/>
      <c r="H4964" s="319" t="n"/>
      <c r="I4964" s="319" t="n"/>
      <c r="J4964" s="319" t="n"/>
      <c r="R4964" s="514" t="inlineStr">
        <is>
          <t>Take-on posting 31 Jul 2024</t>
        </is>
      </c>
      <c r="S4964" s="496">
        <f>IFERROR(INDEX('E-Banker master'!$N$2:$N$186,MATCH(S4962,'E-Banker master'!$A$2:$A$186,0)),"")</f>
        <v/>
      </c>
    </row>
    <row r="4965">
      <c r="B4965" s="1" t="n"/>
      <c r="C4965" s="13" t="inlineStr">
        <is>
          <t>Rate</t>
        </is>
      </c>
      <c r="D4965" s="14" t="n">
        <v>0.1</v>
      </c>
      <c r="E4965" s="257" t="n"/>
      <c r="F4965" s="319" t="n"/>
      <c r="G4965" s="319" t="n"/>
      <c r="H4965" s="319" t="n"/>
      <c r="I4965" s="319" t="n"/>
      <c r="J4965" s="319" t="n"/>
      <c r="R4965" s="514" t="inlineStr">
        <is>
          <t>E-Banker balance 31 Oct 2024</t>
        </is>
      </c>
      <c r="S4965" s="496">
        <f>IFERROR(INDEX('E-Banker master'!$P$2:$P$186,MATCH(S4962,'E-Banker master'!$A$2:$A$186,0)),"")</f>
        <v/>
      </c>
    </row>
    <row r="4966">
      <c r="B4966" s="1" t="n"/>
      <c r="C4966" s="13" t="inlineStr">
        <is>
          <t>n</t>
        </is>
      </c>
      <c r="D4966" s="16" t="n">
        <v>2</v>
      </c>
      <c r="E4966" s="1" t="n"/>
      <c r="F4966" s="319" t="n"/>
      <c r="G4966" s="319" t="n"/>
      <c r="H4966" s="319" t="n"/>
      <c r="I4966" s="319" t="n"/>
      <c r="J4966" s="319" t="n"/>
    </row>
    <row r="4967">
      <c r="B4967" s="1" t="n"/>
      <c r="C4967" s="13" t="inlineStr">
        <is>
          <t>Per</t>
        </is>
      </c>
      <c r="D4967" s="16" t="n">
        <v>12</v>
      </c>
      <c r="E4967" s="1" t="n"/>
      <c r="F4967" s="319" t="n"/>
      <c r="G4967" s="319" t="n"/>
      <c r="H4967" s="319" t="n"/>
      <c r="I4967" s="319" t="n"/>
      <c r="J4967" s="319" t="n"/>
    </row>
    <row r="4968">
      <c r="B4968" s="1" t="n"/>
      <c r="C4968" s="13" t="inlineStr">
        <is>
          <t>nPer</t>
        </is>
      </c>
      <c r="D4968" s="515">
        <f>+D4967*D4966</f>
        <v/>
      </c>
      <c r="E4968" s="1" t="n"/>
      <c r="F4968" s="319" t="n"/>
      <c r="G4968" s="319" t="n"/>
      <c r="H4968" s="319" t="n"/>
      <c r="I4968" s="319" t="n"/>
      <c r="J4968" s="319" t="n"/>
    </row>
    <row r="4969">
      <c r="B4969" s="1" t="n"/>
      <c r="C4969" s="13" t="inlineStr">
        <is>
          <t>Days in a year</t>
        </is>
      </c>
      <c r="D4969" s="18" t="n">
        <v>365</v>
      </c>
      <c r="E4969" s="1" t="n"/>
      <c r="F4969" s="319" t="n"/>
      <c r="G4969" s="319" t="n"/>
      <c r="H4969" s="319" t="n"/>
      <c r="I4969" s="319" t="n"/>
      <c r="J4969" s="319" t="n"/>
    </row>
    <row r="4970">
      <c r="B4970" s="1" t="n"/>
      <c r="C4970" s="19" t="inlineStr">
        <is>
          <t>Pmt (MK)</t>
        </is>
      </c>
      <c r="D4970" s="534">
        <f>-PMT(D4965/D4967,D4968,D4964,0,0)</f>
        <v/>
      </c>
      <c r="E4970" s="319" t="n"/>
      <c r="F4970" s="319" t="n"/>
      <c r="G4970" s="319" t="n"/>
      <c r="H4970" s="319" t="n"/>
      <c r="I4970" s="319" t="n"/>
      <c r="J4970" s="319" t="n"/>
    </row>
    <row r="4971">
      <c r="B4971" s="1" t="n"/>
      <c r="C4971" s="1" t="n"/>
      <c r="D4971" s="319" t="n"/>
      <c r="E4971" s="319" t="n"/>
      <c r="F4971" s="319" t="n"/>
      <c r="G4971" s="319" t="n"/>
      <c r="H4971" s="319" t="n"/>
      <c r="I4971" s="319" t="n"/>
      <c r="J4971" s="319" t="n"/>
    </row>
    <row r="4972">
      <c r="B4972" s="1" t="n"/>
      <c r="C4972" s="21" t="inlineStr">
        <is>
          <t>Period Start</t>
        </is>
      </c>
      <c r="D4972" s="22" t="inlineStr">
        <is>
          <t>Period End</t>
        </is>
      </c>
      <c r="E4972" s="22" t="inlineStr">
        <is>
          <t>Days</t>
        </is>
      </c>
      <c r="F4972" s="294" t="inlineStr">
        <is>
          <t>Opening bal.</t>
        </is>
      </c>
      <c r="G4972" s="294" t="inlineStr">
        <is>
          <t>Pmt</t>
        </is>
      </c>
      <c r="H4972" s="294" t="inlineStr">
        <is>
          <t>Interest</t>
        </is>
      </c>
      <c r="I4972" s="294" t="inlineStr">
        <is>
          <t>Principal</t>
        </is>
      </c>
      <c r="J4972" s="294" t="inlineStr">
        <is>
          <t>Closing balance</t>
        </is>
      </c>
      <c r="K4972" s="23" t="inlineStr">
        <is>
          <t>Amount Repaid</t>
        </is>
      </c>
      <c r="L4972" s="23" t="inlineStr">
        <is>
          <t>Accumulated Arrears</t>
        </is>
      </c>
    </row>
    <row r="4973">
      <c r="B4973" s="1" t="n">
        <v>0</v>
      </c>
      <c r="C4973" s="24" t="n">
        <v>45376</v>
      </c>
      <c r="D4973" s="24" t="n">
        <v>45382</v>
      </c>
      <c r="E4973" s="25" t="n">
        <v>6</v>
      </c>
      <c r="F4973" s="319">
        <f>D4964</f>
        <v/>
      </c>
      <c r="G4973" s="319" t="n"/>
      <c r="H4973" s="319">
        <f>($D$4965/$D$4967*F4973*E4973/31)</f>
        <v/>
      </c>
      <c r="I4973" s="319">
        <f>G4973-H4973</f>
        <v/>
      </c>
      <c r="J4973" s="319">
        <f>F4973-I4973</f>
        <v/>
      </c>
    </row>
    <row r="4974">
      <c r="B4974" s="1" t="n">
        <v>1</v>
      </c>
      <c r="C4974" s="24" t="n">
        <v>45383</v>
      </c>
      <c r="D4974" s="24" t="n">
        <v>45412</v>
      </c>
      <c r="E4974" s="25" t="n">
        <v>30</v>
      </c>
      <c r="F4974" s="319">
        <f>J4973</f>
        <v/>
      </c>
      <c r="G4974" s="319" t="n"/>
      <c r="H4974" s="319">
        <f>($D$4965/$D$4967*F4974)</f>
        <v/>
      </c>
      <c r="I4974" s="319">
        <f>G4974-H4974</f>
        <v/>
      </c>
      <c r="J4974" s="319">
        <f>F4974-I4974</f>
        <v/>
      </c>
    </row>
    <row r="4975">
      <c r="B4975" s="1" t="n">
        <v>2</v>
      </c>
      <c r="C4975" s="24" t="n">
        <v>45413</v>
      </c>
      <c r="D4975" s="24" t="n">
        <v>45443</v>
      </c>
      <c r="E4975" s="25" t="n">
        <v>31</v>
      </c>
      <c r="F4975" s="319">
        <f>J4974</f>
        <v/>
      </c>
      <c r="G4975" s="319" t="n"/>
      <c r="H4975" s="319">
        <f>($D$4965/$D$4967*F4975)</f>
        <v/>
      </c>
      <c r="I4975" s="319">
        <f>G4975-H4975</f>
        <v/>
      </c>
      <c r="J4975" s="319">
        <f>F4975-I4975</f>
        <v/>
      </c>
    </row>
    <row r="4976">
      <c r="B4976" s="1">
        <f>+B4975+1</f>
        <v/>
      </c>
      <c r="C4976" s="24" t="n">
        <v>45444</v>
      </c>
      <c r="D4976" s="24" t="n">
        <v>45473</v>
      </c>
      <c r="E4976" s="25" t="n">
        <v>30</v>
      </c>
      <c r="F4976" s="319">
        <f>J4975</f>
        <v/>
      </c>
      <c r="G4976" s="522" t="n"/>
      <c r="H4976" s="319">
        <f>($D$4965/$D$4967*F4976)</f>
        <v/>
      </c>
      <c r="I4976" s="319">
        <f>G4976-H4976</f>
        <v/>
      </c>
      <c r="J4976" s="319">
        <f>F4976-I4976</f>
        <v/>
      </c>
      <c r="L4976" s="148">
        <f>+G4976-K4976+L4975</f>
        <v/>
      </c>
    </row>
    <row r="4977">
      <c r="B4977" s="1">
        <f>+B4976+1</f>
        <v/>
      </c>
      <c r="C4977" s="24" t="n">
        <v>45474</v>
      </c>
      <c r="D4977" s="24" t="n">
        <v>45504</v>
      </c>
      <c r="E4977" s="25" t="n">
        <v>31</v>
      </c>
      <c r="F4977" s="319">
        <f>J4976</f>
        <v/>
      </c>
      <c r="G4977" s="522">
        <f>-PMT($D$4965/$D$4967,21,$F$4977,,0)</f>
        <v/>
      </c>
      <c r="H4977" s="319">
        <f>($D$4965/$D$4967*F4977)</f>
        <v/>
      </c>
      <c r="I4977" s="319">
        <f>G4977-H4977</f>
        <v/>
      </c>
      <c r="J4977" s="319">
        <f>F4977-I4977</f>
        <v/>
      </c>
      <c r="K4977" s="237" t="n">
        <v>1602550</v>
      </c>
      <c r="L4977" s="148">
        <f>+G4977-K4977+L4976</f>
        <v/>
      </c>
    </row>
    <row r="4978">
      <c r="B4978" s="1">
        <f>+B4977+1</f>
        <v/>
      </c>
      <c r="C4978" s="24" t="n">
        <v>45505</v>
      </c>
      <c r="D4978" s="24" t="n">
        <v>45535</v>
      </c>
      <c r="E4978" s="25" t="n">
        <v>31</v>
      </c>
      <c r="F4978" s="319">
        <f>J4977</f>
        <v/>
      </c>
      <c r="G4978" s="522">
        <f>-PMT($D$4965/$D$4967,21,$F$4977,,0)</f>
        <v/>
      </c>
      <c r="H4978" s="319">
        <f>($D$4965/$D$4967*F4978)</f>
        <v/>
      </c>
      <c r="I4978" s="319">
        <f>G4978-H4978</f>
        <v/>
      </c>
      <c r="J4978" s="319">
        <f>F4978-I4978</f>
        <v/>
      </c>
      <c r="K4978" s="237" t="n">
        <v>1602549.64</v>
      </c>
      <c r="L4978" s="148">
        <f>+G4978-K4978+L4977</f>
        <v/>
      </c>
    </row>
    <row r="4979">
      <c r="B4979" s="1">
        <f>+B4978+1</f>
        <v/>
      </c>
      <c r="C4979" s="24" t="n">
        <v>45536</v>
      </c>
      <c r="D4979" s="24" t="n">
        <v>45565</v>
      </c>
      <c r="E4979" s="25" t="n">
        <v>30</v>
      </c>
      <c r="F4979" s="319">
        <f>J4978</f>
        <v/>
      </c>
      <c r="G4979" s="522">
        <f>-PMT($D$4965/$D$4967,21,$F$4977,,0)</f>
        <v/>
      </c>
      <c r="H4979" s="319">
        <f>($D$4965/$D$4967*F4979)</f>
        <v/>
      </c>
      <c r="I4979" s="319">
        <f>G4979-H4979</f>
        <v/>
      </c>
      <c r="J4979" s="319">
        <f>F4979-I4979</f>
        <v/>
      </c>
      <c r="K4979" s="237" t="n">
        <v>1602549.64</v>
      </c>
      <c r="L4979" s="148">
        <f>+G4979-K4979+L4978</f>
        <v/>
      </c>
    </row>
    <row r="4980">
      <c r="B4980" s="1">
        <f>+B4979+1</f>
        <v/>
      </c>
      <c r="C4980" s="24" t="n">
        <v>45566</v>
      </c>
      <c r="D4980" s="24" t="n">
        <v>45596</v>
      </c>
      <c r="E4980" s="25" t="n">
        <v>31</v>
      </c>
      <c r="F4980" s="319">
        <f>J4979</f>
        <v/>
      </c>
      <c r="G4980" s="522">
        <f>-PMT($D$4965/$D$4967,21,$F$4977,,0)</f>
        <v/>
      </c>
      <c r="H4980" s="319">
        <f>($D$4965/$D$4967*F4980)</f>
        <v/>
      </c>
      <c r="I4980" s="319">
        <f>G4980-H4980</f>
        <v/>
      </c>
      <c r="J4980" s="319">
        <f>F4980-I4980</f>
        <v/>
      </c>
      <c r="L4980" s="389">
        <f>+G4980-K4980+L4979</f>
        <v/>
      </c>
    </row>
    <row r="4981">
      <c r="B4981" s="1">
        <f>+B4980+1</f>
        <v/>
      </c>
      <c r="C4981" s="24" t="n">
        <v>45597</v>
      </c>
      <c r="D4981" s="24" t="n">
        <v>45626</v>
      </c>
      <c r="E4981" s="25" t="n">
        <v>30</v>
      </c>
      <c r="F4981" s="319">
        <f>J4980</f>
        <v/>
      </c>
      <c r="G4981" s="522">
        <f>-PMT($D$4965/$D$4967,21,$F$4977,,0)</f>
        <v/>
      </c>
      <c r="H4981" s="319">
        <f>($D$4965/$D$4967*F4981)</f>
        <v/>
      </c>
      <c r="I4981" s="319">
        <f>G4981-H4981</f>
        <v/>
      </c>
      <c r="J4981" s="319">
        <f>F4981-I4981</f>
        <v/>
      </c>
    </row>
    <row r="4982">
      <c r="B4982" s="1">
        <f>+B4981+1</f>
        <v/>
      </c>
      <c r="C4982" s="24" t="n">
        <v>45627</v>
      </c>
      <c r="D4982" s="24" t="n">
        <v>45657</v>
      </c>
      <c r="E4982" s="25" t="n">
        <v>31</v>
      </c>
      <c r="F4982" s="319">
        <f>J4981</f>
        <v/>
      </c>
      <c r="G4982" s="522">
        <f>-PMT($D$4965/$D$4967,21,$F$4977,,0)</f>
        <v/>
      </c>
      <c r="H4982" s="319">
        <f>($D$4965/$D$4967*F4982)</f>
        <v/>
      </c>
      <c r="I4982" s="319">
        <f>G4982-H4982</f>
        <v/>
      </c>
      <c r="J4982" s="319">
        <f>F4982-I4982</f>
        <v/>
      </c>
    </row>
    <row r="4983">
      <c r="B4983" s="1">
        <f>+B4982+1</f>
        <v/>
      </c>
      <c r="C4983" s="24" t="n">
        <v>45658</v>
      </c>
      <c r="D4983" s="24" t="n">
        <v>45688</v>
      </c>
      <c r="E4983" s="25" t="n">
        <v>31</v>
      </c>
      <c r="F4983" s="319">
        <f>J4982</f>
        <v/>
      </c>
      <c r="G4983" s="522">
        <f>-PMT($D$4965/$D$4967,21,$F$4977,,0)</f>
        <v/>
      </c>
      <c r="H4983" s="319">
        <f>($D$4965/$D$4967*F4983)</f>
        <v/>
      </c>
      <c r="I4983" s="319">
        <f>G4983-H4983</f>
        <v/>
      </c>
      <c r="J4983" s="319">
        <f>F4983-I4983</f>
        <v/>
      </c>
    </row>
    <row r="4984">
      <c r="B4984" s="1">
        <f>+B4983+1</f>
        <v/>
      </c>
      <c r="C4984" s="24" t="n">
        <v>45689</v>
      </c>
      <c r="D4984" s="24" t="n">
        <v>45716</v>
      </c>
      <c r="E4984" s="25" t="n">
        <v>28</v>
      </c>
      <c r="F4984" s="319">
        <f>J4983</f>
        <v/>
      </c>
      <c r="G4984" s="522">
        <f>-PMT($D$4965/$D$4967,21,$F$4977,,0)</f>
        <v/>
      </c>
      <c r="H4984" s="319">
        <f>($D$4965/$D$4967*F4984)</f>
        <v/>
      </c>
      <c r="I4984" s="319">
        <f>G4984-H4984</f>
        <v/>
      </c>
      <c r="J4984" s="319">
        <f>F4984-I4984</f>
        <v/>
      </c>
    </row>
    <row r="4985">
      <c r="B4985" s="1">
        <f>+B4984+1</f>
        <v/>
      </c>
      <c r="C4985" s="24" t="n">
        <v>45717</v>
      </c>
      <c r="D4985" s="24" t="n">
        <v>45747</v>
      </c>
      <c r="E4985" s="25" t="n">
        <v>31</v>
      </c>
      <c r="F4985" s="319">
        <f>J4984</f>
        <v/>
      </c>
      <c r="G4985" s="522">
        <f>-PMT($D$4965/$D$4967,21,$F$4977,,0)</f>
        <v/>
      </c>
      <c r="H4985" s="319">
        <f>($D$4965/$D$4967*F4985)</f>
        <v/>
      </c>
      <c r="I4985" s="319">
        <f>G4985-H4985</f>
        <v/>
      </c>
      <c r="J4985" s="319">
        <f>F4985-I4985</f>
        <v/>
      </c>
    </row>
    <row r="4986">
      <c r="B4986" s="1">
        <f>+B4985+1</f>
        <v/>
      </c>
      <c r="C4986" s="24" t="n">
        <v>45748</v>
      </c>
      <c r="D4986" s="24" t="n">
        <v>45777</v>
      </c>
      <c r="E4986" s="25" t="n">
        <v>30</v>
      </c>
      <c r="F4986" s="319">
        <f>J4985</f>
        <v/>
      </c>
      <c r="G4986" s="522">
        <f>-PMT($D$4965/$D$4967,21,$F$4977,,0)</f>
        <v/>
      </c>
      <c r="H4986" s="319">
        <f>($D$4965/$D$4967*F4986)</f>
        <v/>
      </c>
      <c r="I4986" s="319">
        <f>G4986-H4986</f>
        <v/>
      </c>
      <c r="J4986" s="319">
        <f>F4986-I4986</f>
        <v/>
      </c>
    </row>
    <row r="4987">
      <c r="B4987" s="1">
        <f>+B4986+1</f>
        <v/>
      </c>
      <c r="C4987" s="24" t="n">
        <v>45778</v>
      </c>
      <c r="D4987" s="24" t="n">
        <v>45808</v>
      </c>
      <c r="E4987" s="25" t="n">
        <v>31</v>
      </c>
      <c r="F4987" s="319">
        <f>J4986</f>
        <v/>
      </c>
      <c r="G4987" s="522">
        <f>-PMT($D$4965/$D$4967,21,$F$4977,,0)</f>
        <v/>
      </c>
      <c r="H4987" s="319">
        <f>($D$4965/$D$4967*F4987)</f>
        <v/>
      </c>
      <c r="I4987" s="319">
        <f>G4987-H4987</f>
        <v/>
      </c>
      <c r="J4987" s="319">
        <f>F4987-I4987</f>
        <v/>
      </c>
    </row>
    <row r="4988">
      <c r="B4988" s="1">
        <f>+B4987+1</f>
        <v/>
      </c>
      <c r="C4988" s="24" t="n">
        <v>45809</v>
      </c>
      <c r="D4988" s="24" t="n">
        <v>45838</v>
      </c>
      <c r="E4988" s="25" t="n">
        <v>30</v>
      </c>
      <c r="F4988" s="319">
        <f>J4987</f>
        <v/>
      </c>
      <c r="G4988" s="522">
        <f>-PMT($D$4965/$D$4967,21,$F$4977,,0)</f>
        <v/>
      </c>
      <c r="H4988" s="319">
        <f>($D$4965/$D$4967*F4988)</f>
        <v/>
      </c>
      <c r="I4988" s="319">
        <f>G4988-H4988</f>
        <v/>
      </c>
      <c r="J4988" s="319">
        <f>F4988-I4988</f>
        <v/>
      </c>
    </row>
    <row r="4989">
      <c r="B4989" s="1">
        <f>+B4988+1</f>
        <v/>
      </c>
      <c r="C4989" s="24" t="n">
        <v>45839</v>
      </c>
      <c r="D4989" s="24" t="n">
        <v>45868</v>
      </c>
      <c r="E4989" s="25" t="n">
        <v>30</v>
      </c>
      <c r="F4989" s="319">
        <f>J4988</f>
        <v/>
      </c>
      <c r="G4989" s="522">
        <f>-PMT($D$4965/$D$4967,21,$F$4977,,0)</f>
        <v/>
      </c>
      <c r="H4989" s="319">
        <f>($D$4965/$D$4967*F4989)</f>
        <v/>
      </c>
      <c r="I4989" s="319">
        <f>G4989-H4989</f>
        <v/>
      </c>
      <c r="J4989" s="319">
        <f>F4989-I4989</f>
        <v/>
      </c>
    </row>
    <row r="4990">
      <c r="B4990" s="1">
        <f>+B4989+1</f>
        <v/>
      </c>
      <c r="C4990" s="24" t="n">
        <v>45870</v>
      </c>
      <c r="D4990" s="24" t="n">
        <v>45899</v>
      </c>
      <c r="E4990" s="25" t="n">
        <v>30</v>
      </c>
      <c r="F4990" s="319">
        <f>J4989</f>
        <v/>
      </c>
      <c r="G4990" s="522">
        <f>-PMT($D$4965/$D$4967,21,$F$4977,,0)</f>
        <v/>
      </c>
      <c r="H4990" s="319">
        <f>($D$4965/$D$4967*F4990)</f>
        <v/>
      </c>
      <c r="I4990" s="319">
        <f>G4990-H4990</f>
        <v/>
      </c>
      <c r="J4990" s="319">
        <f>F4990-I4990</f>
        <v/>
      </c>
    </row>
    <row r="4991">
      <c r="B4991" s="1">
        <f>+B4990+1</f>
        <v/>
      </c>
      <c r="C4991" s="24" t="n">
        <v>45901</v>
      </c>
      <c r="D4991" s="24" t="n">
        <v>45930</v>
      </c>
      <c r="E4991" s="25" t="n">
        <v>30</v>
      </c>
      <c r="F4991" s="319">
        <f>J4990</f>
        <v/>
      </c>
      <c r="G4991" s="522">
        <f>-PMT($D$4965/$D$4967,21,$F$4977,,0)</f>
        <v/>
      </c>
      <c r="H4991" s="319">
        <f>($D$4965/$D$4967*F4991)</f>
        <v/>
      </c>
      <c r="I4991" s="319">
        <f>G4991-H4991</f>
        <v/>
      </c>
      <c r="J4991" s="319">
        <f>F4991-I4991</f>
        <v/>
      </c>
    </row>
    <row r="4992">
      <c r="B4992" s="1">
        <f>+B4991+1</f>
        <v/>
      </c>
      <c r="C4992" s="24" t="n">
        <v>45931</v>
      </c>
      <c r="D4992" s="24" t="n">
        <v>45961</v>
      </c>
      <c r="E4992" s="25" t="n">
        <v>31</v>
      </c>
      <c r="F4992" s="319">
        <f>J4991</f>
        <v/>
      </c>
      <c r="G4992" s="522">
        <f>-PMT($D$4965/$D$4967,21,$F$4977,,0)</f>
        <v/>
      </c>
      <c r="H4992" s="319">
        <f>($D$4965/$D$4967*F4992)</f>
        <v/>
      </c>
      <c r="I4992" s="319">
        <f>G4992-H4992</f>
        <v/>
      </c>
      <c r="J4992" s="319">
        <f>F4992-I4992</f>
        <v/>
      </c>
    </row>
    <row r="4993">
      <c r="B4993" s="1">
        <f>+B4992+1</f>
        <v/>
      </c>
      <c r="C4993" s="24" t="n">
        <v>45962</v>
      </c>
      <c r="D4993" s="24" t="n">
        <v>45991</v>
      </c>
      <c r="E4993" s="25" t="n">
        <v>30</v>
      </c>
      <c r="F4993" s="319">
        <f>J4992</f>
        <v/>
      </c>
      <c r="G4993" s="522">
        <f>-PMT($D$4965/$D$4967,21,$F$4977,,0)</f>
        <v/>
      </c>
      <c r="H4993" s="319">
        <f>($D$4965/$D$4967*F4993)</f>
        <v/>
      </c>
      <c r="I4993" s="319">
        <f>G4993-H4993</f>
        <v/>
      </c>
      <c r="J4993" s="319">
        <f>F4993-I4993</f>
        <v/>
      </c>
    </row>
    <row r="4994">
      <c r="B4994" s="1">
        <f>+B4993+1</f>
        <v/>
      </c>
      <c r="C4994" s="24" t="n">
        <v>45992</v>
      </c>
      <c r="D4994" s="24" t="n">
        <v>46022</v>
      </c>
      <c r="E4994" s="25" t="n">
        <v>31</v>
      </c>
      <c r="F4994" s="319">
        <f>J4993</f>
        <v/>
      </c>
      <c r="G4994" s="522">
        <f>-PMT($D$4965/$D$4967,21,$F$4977,,0)</f>
        <v/>
      </c>
      <c r="H4994" s="319">
        <f>($D$4965/$D$4967*F4994)</f>
        <v/>
      </c>
      <c r="I4994" s="319">
        <f>G4994-H4994</f>
        <v/>
      </c>
      <c r="J4994" s="319">
        <f>F4994-I4994</f>
        <v/>
      </c>
    </row>
    <row r="4995">
      <c r="B4995" s="1">
        <f>+B4994+1</f>
        <v/>
      </c>
      <c r="C4995" s="24" t="n">
        <v>46023</v>
      </c>
      <c r="D4995" s="24" t="n">
        <v>46053</v>
      </c>
      <c r="E4995" s="25" t="n">
        <v>31</v>
      </c>
      <c r="F4995" s="319">
        <f>J4994</f>
        <v/>
      </c>
      <c r="G4995" s="522">
        <f>-PMT($D$4965/$D$4967,21,$F$4977,,0)</f>
        <v/>
      </c>
      <c r="H4995" s="319">
        <f>($D$4965/$D$4967*F4995)</f>
        <v/>
      </c>
      <c r="I4995" s="319">
        <f>G4995-H4995</f>
        <v/>
      </c>
      <c r="J4995" s="319">
        <f>F4995-I4995</f>
        <v/>
      </c>
    </row>
    <row r="4996">
      <c r="B4996" s="1">
        <f>+B4995+1</f>
        <v/>
      </c>
      <c r="C4996" s="24" t="n">
        <v>46054</v>
      </c>
      <c r="D4996" s="24" t="n">
        <v>46081</v>
      </c>
      <c r="E4996" s="25" t="n">
        <v>28</v>
      </c>
      <c r="F4996" s="319">
        <f>J4995</f>
        <v/>
      </c>
      <c r="G4996" s="522">
        <f>-PMT($D$4965/$D$4967,21,$F$4977,,0)</f>
        <v/>
      </c>
      <c r="H4996" s="319">
        <f>($D$4965/$D$4967*F4996)</f>
        <v/>
      </c>
      <c r="I4996" s="319">
        <f>G4996-H4996</f>
        <v/>
      </c>
      <c r="J4996" s="319">
        <f>F4996-I4996</f>
        <v/>
      </c>
    </row>
    <row r="4997">
      <c r="B4997" s="1">
        <f>+B4996+1</f>
        <v/>
      </c>
      <c r="C4997" s="24" t="n">
        <v>46082</v>
      </c>
      <c r="D4997" s="24" t="n">
        <v>46112</v>
      </c>
      <c r="E4997" s="25" t="n">
        <v>31</v>
      </c>
      <c r="F4997" s="319">
        <f>J4996</f>
        <v/>
      </c>
      <c r="G4997" s="522">
        <f>-PMT($D$4965/$D$4967,21,$F$4977,,0)</f>
        <v/>
      </c>
      <c r="H4997" s="319">
        <f>($D$4965/$D$4967*F4997)</f>
        <v/>
      </c>
      <c r="I4997" s="319">
        <f>G4997-H4997</f>
        <v/>
      </c>
      <c r="J4997" s="319">
        <f>F4997-I4997</f>
        <v/>
      </c>
    </row>
    <row r="5002">
      <c r="B5002" s="1" t="n"/>
      <c r="C5002" s="9" t="inlineStr">
        <is>
          <t>Diference Construction</t>
        </is>
      </c>
      <c r="D5002" s="319" t="n"/>
      <c r="E5002" s="319" t="n"/>
      <c r="F5002" s="319" t="n"/>
      <c r="G5002" s="319" t="n"/>
      <c r="H5002" s="319" t="n"/>
      <c r="I5002" s="319" t="n"/>
      <c r="J5002" s="319" t="n"/>
      <c r="R5002" s="514" t="inlineStr">
        <is>
          <t>E-Banker account (Dupleix)</t>
        </is>
      </c>
      <c r="S5002" s="495">
        <f>IFERROR(INDEX('Blocks'!$I$2:$I$101,MATCH(91,'Blocks'!$A$2:$A$101,0)),"")</f>
        <v/>
      </c>
    </row>
    <row r="5003">
      <c r="B5003" s="1" t="n"/>
      <c r="C5003" s="1" t="n"/>
      <c r="D5003" s="319" t="n"/>
      <c r="E5003" s="319" t="n"/>
      <c r="F5003" s="319" t="n"/>
      <c r="G5003" s="319" t="n"/>
      <c r="H5003" s="319" t="n"/>
      <c r="I5003" s="319" t="n"/>
      <c r="J5003" s="319" t="n"/>
      <c r="R5003" s="514" t="inlineStr">
        <is>
          <t>Facility (Loan Book)</t>
        </is>
      </c>
      <c r="S5003" s="495">
        <f>IFERROR(INDEX('Blocks'!$H$2:$H$101,MATCH(91,'Blocks'!$A$2:$A$101,0)),"")</f>
        <v/>
      </c>
    </row>
    <row r="5004">
      <c r="B5004" s="1" t="n"/>
      <c r="C5004" s="10" t="inlineStr">
        <is>
          <t>Principal (MK)</t>
        </is>
      </c>
      <c r="D5004" s="11" t="n">
        <v>120000000</v>
      </c>
      <c r="E5004" s="319" t="n"/>
      <c r="F5004" s="319" t="n"/>
      <c r="G5004" s="319" t="n"/>
      <c r="H5004" s="319" t="n"/>
      <c r="I5004" s="319" t="n"/>
      <c r="J5004" s="319" t="n"/>
      <c r="R5004" s="514" t="inlineStr">
        <is>
          <t>Take-on posting 31 Jul 2024</t>
        </is>
      </c>
      <c r="S5004" s="496">
        <f>IFERROR(INDEX('E-Banker master'!$N$2:$N$186,MATCH(S5002,'E-Banker master'!$A$2:$A$186,0)),"")</f>
        <v/>
      </c>
    </row>
    <row r="5005">
      <c r="B5005" s="1" t="n"/>
      <c r="C5005" s="13" t="inlineStr">
        <is>
          <t>Rate</t>
        </is>
      </c>
      <c r="D5005" s="14" t="n">
        <v>0.1</v>
      </c>
      <c r="E5005" s="257" t="n"/>
      <c r="F5005" s="319" t="n"/>
      <c r="G5005" s="319" t="n"/>
      <c r="H5005" s="319" t="n"/>
      <c r="I5005" s="319" t="n"/>
      <c r="J5005" s="319" t="n"/>
      <c r="R5005" s="514" t="inlineStr">
        <is>
          <t>E-Banker balance 31 Oct 2024</t>
        </is>
      </c>
      <c r="S5005" s="496">
        <f>IFERROR(INDEX('E-Banker master'!$P$2:$P$186,MATCH(S5002,'E-Banker master'!$A$2:$A$186,0)),"")</f>
        <v/>
      </c>
    </row>
    <row r="5006">
      <c r="B5006" s="1" t="n"/>
      <c r="C5006" s="13" t="inlineStr">
        <is>
          <t>n</t>
        </is>
      </c>
      <c r="D5006" s="16" t="n">
        <v>3</v>
      </c>
      <c r="E5006" s="1" t="n"/>
      <c r="F5006" s="319" t="n"/>
      <c r="G5006" s="319" t="n"/>
      <c r="H5006" s="319" t="n"/>
      <c r="I5006" s="319" t="n"/>
      <c r="J5006" s="319" t="n"/>
    </row>
    <row r="5007">
      <c r="B5007" s="1" t="n"/>
      <c r="C5007" s="13" t="inlineStr">
        <is>
          <t>Per</t>
        </is>
      </c>
      <c r="D5007" s="16" t="n">
        <v>12</v>
      </c>
      <c r="E5007" s="1" t="n"/>
      <c r="F5007" s="319" t="n"/>
      <c r="G5007" s="319" t="n"/>
      <c r="H5007" s="319" t="n"/>
      <c r="I5007" s="319" t="n"/>
      <c r="J5007" s="319" t="n"/>
    </row>
    <row r="5008">
      <c r="B5008" s="1" t="n"/>
      <c r="C5008" s="13" t="inlineStr">
        <is>
          <t>nPer</t>
        </is>
      </c>
      <c r="D5008" s="515">
        <f>+D5007*D5006</f>
        <v/>
      </c>
      <c r="E5008" s="1" t="n"/>
      <c r="F5008" s="319" t="n"/>
      <c r="G5008" s="319" t="n"/>
      <c r="H5008" s="319" t="n"/>
      <c r="I5008" s="319" t="n"/>
      <c r="J5008" s="319" t="n"/>
    </row>
    <row r="5009">
      <c r="B5009" s="1" t="n"/>
      <c r="C5009" s="13" t="inlineStr">
        <is>
          <t>Days in a year</t>
        </is>
      </c>
      <c r="D5009" s="18" t="n">
        <v>365</v>
      </c>
      <c r="E5009" s="1" t="n"/>
      <c r="F5009" s="319" t="n"/>
      <c r="G5009" s="319" t="n"/>
      <c r="H5009" s="319" t="n"/>
      <c r="I5009" s="319" t="n"/>
      <c r="J5009" s="319" t="n"/>
    </row>
    <row r="5010">
      <c r="B5010" s="1" t="n"/>
      <c r="C5010" s="19" t="inlineStr">
        <is>
          <t>Pmt (MK)</t>
        </is>
      </c>
      <c r="D5010" s="534">
        <f>-PMT(D5005/D5007,D5008,D5004,0,0)</f>
        <v/>
      </c>
      <c r="E5010" s="319" t="n"/>
      <c r="F5010" s="319" t="n"/>
      <c r="G5010" s="319" t="n"/>
      <c r="H5010" s="319" t="n"/>
      <c r="I5010" s="319" t="n"/>
      <c r="J5010" s="319" t="n"/>
    </row>
    <row r="5011">
      <c r="B5011" s="1" t="n"/>
      <c r="C5011" s="1" t="n"/>
      <c r="D5011" s="319" t="n"/>
      <c r="E5011" s="319" t="n"/>
      <c r="F5011" s="319" t="n"/>
      <c r="G5011" s="319" t="n"/>
      <c r="H5011" s="319" t="n"/>
      <c r="I5011" s="319" t="n"/>
      <c r="J5011" s="319" t="n"/>
    </row>
    <row r="5012">
      <c r="B5012" s="1" t="n"/>
      <c r="C5012" s="21" t="inlineStr">
        <is>
          <t>Period Start</t>
        </is>
      </c>
      <c r="D5012" s="22" t="inlineStr">
        <is>
          <t>Period End</t>
        </is>
      </c>
      <c r="E5012" s="22" t="inlineStr">
        <is>
          <t>Days</t>
        </is>
      </c>
      <c r="F5012" s="294" t="inlineStr">
        <is>
          <t>Opening bal.</t>
        </is>
      </c>
      <c r="G5012" s="294" t="inlineStr">
        <is>
          <t>Pmt</t>
        </is>
      </c>
      <c r="H5012" s="294" t="inlineStr">
        <is>
          <t>Interest</t>
        </is>
      </c>
      <c r="I5012" s="294" t="inlineStr">
        <is>
          <t>Principal</t>
        </is>
      </c>
      <c r="J5012" s="294" t="inlineStr">
        <is>
          <t>Closing balance</t>
        </is>
      </c>
      <c r="K5012" s="23" t="inlineStr">
        <is>
          <t>Amount Repaid</t>
        </is>
      </c>
      <c r="L5012" s="23" t="inlineStr">
        <is>
          <t>Accumulated Arrears</t>
        </is>
      </c>
    </row>
    <row r="5013">
      <c r="B5013" s="1" t="n">
        <v>0</v>
      </c>
      <c r="C5013" s="24" t="n">
        <v>45379</v>
      </c>
      <c r="D5013" s="24" t="n">
        <v>45382</v>
      </c>
      <c r="E5013" s="25" t="n">
        <v>3</v>
      </c>
      <c r="F5013" s="319">
        <f>D5004</f>
        <v/>
      </c>
      <c r="G5013" s="319" t="n"/>
      <c r="H5013" s="319">
        <f>($D$4837/$D$4839*F5013*E5013/31)</f>
        <v/>
      </c>
      <c r="I5013" s="319">
        <f>G5013-H5013</f>
        <v/>
      </c>
      <c r="J5013" s="319">
        <f>F5013-I5013</f>
        <v/>
      </c>
    </row>
    <row r="5014">
      <c r="B5014" s="1" t="n">
        <v>1</v>
      </c>
      <c r="C5014" s="24" t="n">
        <v>45383</v>
      </c>
      <c r="D5014" s="24" t="n">
        <v>45412</v>
      </c>
      <c r="E5014" s="25" t="n">
        <v>30</v>
      </c>
      <c r="F5014" s="319">
        <f>J5013</f>
        <v/>
      </c>
      <c r="G5014" s="319" t="n"/>
      <c r="H5014" s="319">
        <f>($D$5005/$D$5007*F5014)</f>
        <v/>
      </c>
      <c r="I5014" s="319">
        <f>G5014-H5014</f>
        <v/>
      </c>
      <c r="J5014" s="319">
        <f>F5014-I5014</f>
        <v/>
      </c>
      <c r="K5014" s="237" t="n">
        <v>1000000</v>
      </c>
    </row>
    <row r="5015">
      <c r="B5015" s="1" t="n">
        <v>2</v>
      </c>
      <c r="C5015" s="24" t="n">
        <v>45413</v>
      </c>
      <c r="D5015" s="24" t="n">
        <v>45443</v>
      </c>
      <c r="E5015" s="25" t="n">
        <v>31</v>
      </c>
      <c r="F5015" s="319">
        <f>J5014</f>
        <v/>
      </c>
      <c r="G5015" s="319" t="n"/>
      <c r="H5015" s="319">
        <f>($D$5005/$D$5007*F5015)</f>
        <v/>
      </c>
      <c r="I5015" s="319">
        <f>G5015-H5015</f>
        <v/>
      </c>
      <c r="J5015" s="319">
        <f>F5015-I5015</f>
        <v/>
      </c>
    </row>
    <row r="5016">
      <c r="B5016" s="1">
        <f>+B5015+1</f>
        <v/>
      </c>
      <c r="C5016" s="24" t="n">
        <v>45444</v>
      </c>
      <c r="D5016" s="24" t="n">
        <v>45473</v>
      </c>
      <c r="E5016" s="25" t="n">
        <v>30</v>
      </c>
      <c r="F5016" s="319">
        <f>J5015</f>
        <v/>
      </c>
      <c r="G5016" s="319" t="n"/>
      <c r="H5016" s="319">
        <f>($D$5005/$D$5007*F5016)</f>
        <v/>
      </c>
      <c r="I5016" s="319">
        <f>G5016-H5016</f>
        <v/>
      </c>
      <c r="J5016" s="319">
        <f>F5016-I5016</f>
        <v/>
      </c>
      <c r="K5016" s="237" t="n">
        <v>1000000</v>
      </c>
      <c r="L5016" s="148" t="n"/>
    </row>
    <row r="5017">
      <c r="B5017" s="1">
        <f>+B5016+1</f>
        <v/>
      </c>
      <c r="C5017" s="24" t="n">
        <v>45474</v>
      </c>
      <c r="D5017" s="24" t="n">
        <v>45504</v>
      </c>
      <c r="E5017" s="25" t="n">
        <v>31</v>
      </c>
      <c r="F5017" s="319">
        <f>J5016</f>
        <v/>
      </c>
      <c r="G5017" s="319" t="n"/>
      <c r="H5017" s="319">
        <f>($D$5005/$D$5007*F5017)</f>
        <v/>
      </c>
      <c r="I5017" s="319">
        <f>G5017-H5017</f>
        <v/>
      </c>
      <c r="J5017" s="319">
        <f>F5017-I5017</f>
        <v/>
      </c>
      <c r="K5017" s="237" t="n">
        <v>1000000</v>
      </c>
    </row>
    <row r="5018">
      <c r="B5018" s="1">
        <f>+B5017+1</f>
        <v/>
      </c>
      <c r="C5018" s="24" t="n">
        <v>45505</v>
      </c>
      <c r="D5018" s="24" t="n">
        <v>45535</v>
      </c>
      <c r="E5018" s="25" t="n">
        <v>31</v>
      </c>
      <c r="F5018" s="319">
        <f>J5017</f>
        <v/>
      </c>
      <c r="G5018" s="319" t="n"/>
      <c r="H5018" s="319">
        <f>($D$5005/$D$5007*F5018)</f>
        <v/>
      </c>
      <c r="I5018" s="319">
        <f>G5018-H5018</f>
        <v/>
      </c>
      <c r="J5018" s="319">
        <f>F5018-I5018</f>
        <v/>
      </c>
    </row>
    <row r="5019">
      <c r="B5019" s="1">
        <f>+B5018+1</f>
        <v/>
      </c>
      <c r="C5019" s="24" t="n">
        <v>45536</v>
      </c>
      <c r="D5019" s="24" t="n">
        <v>45565</v>
      </c>
      <c r="E5019" s="25" t="n">
        <v>30</v>
      </c>
      <c r="F5019" s="319">
        <f>J5018</f>
        <v/>
      </c>
      <c r="G5019" s="319" t="n"/>
      <c r="H5019" s="319">
        <f>($D$5005/$D$5007*F5019)</f>
        <v/>
      </c>
      <c r="I5019" s="319">
        <f>G5019-H5019</f>
        <v/>
      </c>
      <c r="J5019" s="319">
        <f>F5019-I5019</f>
        <v/>
      </c>
      <c r="K5019" s="237" t="n">
        <v>1000000</v>
      </c>
    </row>
    <row r="5020">
      <c r="B5020" s="1">
        <f>+B5019+1</f>
        <v/>
      </c>
      <c r="C5020" s="24" t="n">
        <v>45566</v>
      </c>
      <c r="D5020" s="24" t="n">
        <v>45596</v>
      </c>
      <c r="E5020" s="25" t="n">
        <v>31</v>
      </c>
      <c r="F5020" s="319">
        <f>J5019</f>
        <v/>
      </c>
      <c r="G5020" s="319">
        <f>-PMT($D$5005/$D$5007,30,$F$5020,,0)</f>
        <v/>
      </c>
      <c r="H5020" s="319">
        <f>($D$5005/$D$5007*F5020)</f>
        <v/>
      </c>
      <c r="I5020" s="319">
        <f>G5020-H5020</f>
        <v/>
      </c>
      <c r="J5020" s="319">
        <f>F5020-I5020</f>
        <v/>
      </c>
      <c r="L5020" s="389">
        <f>G5020-SUM(K5014:K5019)</f>
        <v/>
      </c>
    </row>
    <row r="5021">
      <c r="B5021" s="1">
        <f>+B5020+1</f>
        <v/>
      </c>
      <c r="C5021" s="24" t="n">
        <v>45597</v>
      </c>
      <c r="D5021" s="24" t="n">
        <v>45626</v>
      </c>
      <c r="E5021" s="25" t="n">
        <v>30</v>
      </c>
      <c r="F5021" s="319">
        <f>J5020</f>
        <v/>
      </c>
      <c r="G5021" s="319">
        <f>-PMT($D$5005/$D$5007,30,$F$5020,,0)</f>
        <v/>
      </c>
      <c r="H5021" s="319">
        <f>($D$5005/$D$5007*F5021)</f>
        <v/>
      </c>
      <c r="I5021" s="319">
        <f>G5021-H5021</f>
        <v/>
      </c>
      <c r="J5021" s="319">
        <f>F5021-I5021</f>
        <v/>
      </c>
    </row>
    <row r="5022">
      <c r="B5022" s="1">
        <f>+B5021+1</f>
        <v/>
      </c>
      <c r="C5022" s="24" t="n">
        <v>45627</v>
      </c>
      <c r="D5022" s="24" t="n">
        <v>45657</v>
      </c>
      <c r="E5022" s="25" t="n">
        <v>31</v>
      </c>
      <c r="F5022" s="319">
        <f>J5021</f>
        <v/>
      </c>
      <c r="G5022" s="319">
        <f>-PMT($D$5005/$D$5007,30,$F$5020,,0)</f>
        <v/>
      </c>
      <c r="H5022" s="319">
        <f>($D$5005/$D$5007*F5022)</f>
        <v/>
      </c>
      <c r="I5022" s="319">
        <f>G5022-H5022</f>
        <v/>
      </c>
      <c r="J5022" s="319">
        <f>F5022-I5022</f>
        <v/>
      </c>
    </row>
    <row r="5023">
      <c r="B5023" s="1">
        <f>+B5022+1</f>
        <v/>
      </c>
      <c r="C5023" s="24" t="n">
        <v>45658</v>
      </c>
      <c r="D5023" s="24" t="n">
        <v>45688</v>
      </c>
      <c r="E5023" s="25" t="n">
        <v>31</v>
      </c>
      <c r="F5023" s="319">
        <f>J5022</f>
        <v/>
      </c>
      <c r="G5023" s="319">
        <f>-PMT($D$5005/$D$5007,30,$F$5020,,0)</f>
        <v/>
      </c>
      <c r="H5023" s="319">
        <f>($D$5005/$D$5007*F5023)</f>
        <v/>
      </c>
      <c r="I5023" s="319">
        <f>G5023-H5023</f>
        <v/>
      </c>
      <c r="J5023" s="319">
        <f>F5023-I5023</f>
        <v/>
      </c>
    </row>
    <row r="5024">
      <c r="B5024" s="1">
        <f>+B5023+1</f>
        <v/>
      </c>
      <c r="C5024" s="24" t="n">
        <v>45689</v>
      </c>
      <c r="D5024" s="24" t="n">
        <v>45716</v>
      </c>
      <c r="E5024" s="25" t="n">
        <v>28</v>
      </c>
      <c r="F5024" s="319">
        <f>J5023</f>
        <v/>
      </c>
      <c r="G5024" s="319">
        <f>-PMT($D$5005/$D$5007,30,$F$5020,,0)</f>
        <v/>
      </c>
      <c r="H5024" s="319">
        <f>($D$5005/$D$5007*F5024)</f>
        <v/>
      </c>
      <c r="I5024" s="319">
        <f>G5024-H5024</f>
        <v/>
      </c>
      <c r="J5024" s="319">
        <f>F5024-I5024</f>
        <v/>
      </c>
    </row>
    <row r="5025">
      <c r="B5025" s="1">
        <f>+B5024+1</f>
        <v/>
      </c>
      <c r="C5025" s="24" t="n">
        <v>45717</v>
      </c>
      <c r="D5025" s="24" t="n">
        <v>45747</v>
      </c>
      <c r="E5025" s="25" t="n">
        <v>31</v>
      </c>
      <c r="F5025" s="319">
        <f>J5024</f>
        <v/>
      </c>
      <c r="G5025" s="319">
        <f>-PMT($D$5005/$D$5007,30,$F$5020,,0)</f>
        <v/>
      </c>
      <c r="H5025" s="319">
        <f>($D$5005/$D$5007*F5025)</f>
        <v/>
      </c>
      <c r="I5025" s="319">
        <f>G5025-H5025</f>
        <v/>
      </c>
      <c r="J5025" s="319">
        <f>F5025-I5025</f>
        <v/>
      </c>
    </row>
    <row r="5026">
      <c r="B5026" s="1">
        <f>+B5025+1</f>
        <v/>
      </c>
      <c r="C5026" s="24" t="n">
        <v>45748</v>
      </c>
      <c r="D5026" s="24" t="n">
        <v>45777</v>
      </c>
      <c r="E5026" s="25" t="n">
        <v>30</v>
      </c>
      <c r="F5026" s="319">
        <f>J5025</f>
        <v/>
      </c>
      <c r="G5026" s="319">
        <f>-PMT($D$5005/$D$5007,30,$F$5020,,0)</f>
        <v/>
      </c>
      <c r="H5026" s="319">
        <f>($D$5005/$D$5007*F5026)</f>
        <v/>
      </c>
      <c r="I5026" s="319">
        <f>G5026-H5026</f>
        <v/>
      </c>
      <c r="J5026" s="319">
        <f>F5026-I5026</f>
        <v/>
      </c>
    </row>
    <row r="5027">
      <c r="B5027" s="1">
        <f>+B5026+1</f>
        <v/>
      </c>
      <c r="C5027" s="24" t="n">
        <v>45778</v>
      </c>
      <c r="D5027" s="24" t="n">
        <v>45808</v>
      </c>
      <c r="E5027" s="25" t="n">
        <v>31</v>
      </c>
      <c r="F5027" s="319">
        <f>J5026</f>
        <v/>
      </c>
      <c r="G5027" s="319">
        <f>-PMT($D$5005/$D$5007,30,$F$5020,,0)</f>
        <v/>
      </c>
      <c r="H5027" s="319">
        <f>($D$5005/$D$5007*F5027)</f>
        <v/>
      </c>
      <c r="I5027" s="319">
        <f>G5027-H5027</f>
        <v/>
      </c>
      <c r="J5027" s="319">
        <f>F5027-I5027</f>
        <v/>
      </c>
    </row>
    <row r="5028">
      <c r="B5028" s="1">
        <f>+B5027+1</f>
        <v/>
      </c>
      <c r="C5028" s="24" t="n">
        <v>45809</v>
      </c>
      <c r="D5028" s="24" t="n">
        <v>45838</v>
      </c>
      <c r="E5028" s="25" t="n">
        <v>30</v>
      </c>
      <c r="F5028" s="319">
        <f>J5027</f>
        <v/>
      </c>
      <c r="G5028" s="319">
        <f>-PMT($D$5005/$D$5007,30,$F$5020,,0)</f>
        <v/>
      </c>
      <c r="H5028" s="319">
        <f>($D$5005/$D$5007*F5028)</f>
        <v/>
      </c>
      <c r="I5028" s="319">
        <f>G5028-H5028</f>
        <v/>
      </c>
      <c r="J5028" s="319">
        <f>F5028-I5028</f>
        <v/>
      </c>
    </row>
    <row r="5029">
      <c r="B5029" s="1">
        <f>+B5028+1</f>
        <v/>
      </c>
      <c r="C5029" s="24" t="n">
        <v>45839</v>
      </c>
      <c r="D5029" s="24" t="n">
        <v>45868</v>
      </c>
      <c r="E5029" s="25" t="n">
        <v>30</v>
      </c>
      <c r="F5029" s="319">
        <f>J5028</f>
        <v/>
      </c>
      <c r="G5029" s="319">
        <f>-PMT($D$5005/$D$5007,30,$F$5020,,0)</f>
        <v/>
      </c>
      <c r="H5029" s="319">
        <f>($D$5005/$D$5007*F5029)</f>
        <v/>
      </c>
      <c r="I5029" s="319">
        <f>G5029-H5029</f>
        <v/>
      </c>
      <c r="J5029" s="319">
        <f>F5029-I5029</f>
        <v/>
      </c>
    </row>
    <row r="5030">
      <c r="B5030" s="1">
        <f>+B5029+1</f>
        <v/>
      </c>
      <c r="C5030" s="24" t="n">
        <v>45870</v>
      </c>
      <c r="D5030" s="24" t="n">
        <v>45899</v>
      </c>
      <c r="E5030" s="25" t="n">
        <v>30</v>
      </c>
      <c r="F5030" s="319">
        <f>J5029</f>
        <v/>
      </c>
      <c r="G5030" s="319">
        <f>-PMT($D$5005/$D$5007,30,$F$5020,,0)</f>
        <v/>
      </c>
      <c r="H5030" s="319">
        <f>($D$5005/$D$5007*F5030)</f>
        <v/>
      </c>
      <c r="I5030" s="319">
        <f>G5030-H5030</f>
        <v/>
      </c>
      <c r="J5030" s="319">
        <f>F5030-I5030</f>
        <v/>
      </c>
    </row>
    <row r="5031">
      <c r="B5031" s="1">
        <f>+B5030+1</f>
        <v/>
      </c>
      <c r="C5031" s="24" t="n">
        <v>45901</v>
      </c>
      <c r="D5031" s="24" t="n">
        <v>45930</v>
      </c>
      <c r="E5031" s="25" t="n">
        <v>30</v>
      </c>
      <c r="F5031" s="319">
        <f>J5030</f>
        <v/>
      </c>
      <c r="G5031" s="319">
        <f>-PMT($D$5005/$D$5007,30,$F$5020,,0)</f>
        <v/>
      </c>
      <c r="H5031" s="319">
        <f>($D$5005/$D$5007*F5031)</f>
        <v/>
      </c>
      <c r="I5031" s="319">
        <f>G5031-H5031</f>
        <v/>
      </c>
      <c r="J5031" s="319">
        <f>F5031-I5031</f>
        <v/>
      </c>
    </row>
    <row r="5032">
      <c r="B5032" s="1">
        <f>+B5031+1</f>
        <v/>
      </c>
      <c r="C5032" s="24" t="n">
        <v>45931</v>
      </c>
      <c r="D5032" s="24" t="n">
        <v>45961</v>
      </c>
      <c r="E5032" s="25" t="n">
        <v>31</v>
      </c>
      <c r="F5032" s="319">
        <f>J5031</f>
        <v/>
      </c>
      <c r="G5032" s="319">
        <f>-PMT($D$5005/$D$5007,30,$F$5020,,0)</f>
        <v/>
      </c>
      <c r="H5032" s="319">
        <f>($D$5005/$D$5007*F5032)</f>
        <v/>
      </c>
      <c r="I5032" s="319">
        <f>G5032-H5032</f>
        <v/>
      </c>
      <c r="J5032" s="319">
        <f>F5032-I5032</f>
        <v/>
      </c>
    </row>
    <row r="5033">
      <c r="B5033" s="1">
        <f>+B5032+1</f>
        <v/>
      </c>
      <c r="C5033" s="24" t="n">
        <v>45962</v>
      </c>
      <c r="D5033" s="24" t="n">
        <v>45991</v>
      </c>
      <c r="E5033" s="25" t="n">
        <v>30</v>
      </c>
      <c r="F5033" s="319">
        <f>J5032</f>
        <v/>
      </c>
      <c r="G5033" s="319">
        <f>-PMT($D$5005/$D$5007,30,$F$5020,,0)</f>
        <v/>
      </c>
      <c r="H5033" s="319">
        <f>($D$5005/$D$5007*F5033)</f>
        <v/>
      </c>
      <c r="I5033" s="319">
        <f>G5033-H5033</f>
        <v/>
      </c>
      <c r="J5033" s="319">
        <f>F5033-I5033</f>
        <v/>
      </c>
    </row>
    <row r="5034">
      <c r="B5034" s="1">
        <f>+B5033+1</f>
        <v/>
      </c>
      <c r="C5034" s="24" t="n">
        <v>45992</v>
      </c>
      <c r="D5034" s="24" t="n">
        <v>46022</v>
      </c>
      <c r="E5034" s="25" t="n">
        <v>31</v>
      </c>
      <c r="F5034" s="319">
        <f>J5033</f>
        <v/>
      </c>
      <c r="G5034" s="319">
        <f>-PMT($D$5005/$D$5007,30,$F$5020,,0)</f>
        <v/>
      </c>
      <c r="H5034" s="319">
        <f>($D$5005/$D$5007*F5034)</f>
        <v/>
      </c>
      <c r="I5034" s="319">
        <f>G5034-H5034</f>
        <v/>
      </c>
      <c r="J5034" s="319">
        <f>F5034-I5034</f>
        <v/>
      </c>
    </row>
    <row r="5035">
      <c r="B5035" s="1">
        <f>+B5034+1</f>
        <v/>
      </c>
      <c r="C5035" s="24" t="n">
        <v>46023</v>
      </c>
      <c r="D5035" s="24" t="n">
        <v>46053</v>
      </c>
      <c r="E5035" s="25" t="n">
        <v>31</v>
      </c>
      <c r="F5035" s="319">
        <f>J5034</f>
        <v/>
      </c>
      <c r="G5035" s="319">
        <f>-PMT($D$5005/$D$5007,30,$F$5020,,0)</f>
        <v/>
      </c>
      <c r="H5035" s="319">
        <f>($D$5005/$D$5007*F5035)</f>
        <v/>
      </c>
      <c r="I5035" s="319">
        <f>G5035-H5035</f>
        <v/>
      </c>
      <c r="J5035" s="319">
        <f>F5035-I5035</f>
        <v/>
      </c>
    </row>
    <row r="5036">
      <c r="B5036" s="1">
        <f>+B5035+1</f>
        <v/>
      </c>
      <c r="C5036" s="24" t="n">
        <v>46054</v>
      </c>
      <c r="D5036" s="24" t="n">
        <v>46081</v>
      </c>
      <c r="E5036" s="25" t="n">
        <v>28</v>
      </c>
      <c r="F5036" s="319">
        <f>J5035</f>
        <v/>
      </c>
      <c r="G5036" s="319">
        <f>-PMT($D$5005/$D$5007,30,$F$5020,,0)</f>
        <v/>
      </c>
      <c r="H5036" s="319">
        <f>($D$5005/$D$5007*F5036)</f>
        <v/>
      </c>
      <c r="I5036" s="319">
        <f>G5036-H5036</f>
        <v/>
      </c>
      <c r="J5036" s="319">
        <f>F5036-I5036</f>
        <v/>
      </c>
    </row>
    <row r="5037">
      <c r="B5037" s="1">
        <f>+B5036+1</f>
        <v/>
      </c>
      <c r="C5037" s="24" t="n">
        <v>46082</v>
      </c>
      <c r="D5037" s="24" t="n">
        <v>46112</v>
      </c>
      <c r="E5037" s="25" t="n">
        <v>31</v>
      </c>
      <c r="F5037" s="319">
        <f>J5036</f>
        <v/>
      </c>
      <c r="G5037" s="319">
        <f>-PMT($D$5005/$D$5007,30,$F$5020,,0)</f>
        <v/>
      </c>
      <c r="H5037" s="319">
        <f>($D$5005/$D$5007*F5037)</f>
        <v/>
      </c>
      <c r="I5037" s="319">
        <f>G5037-H5037</f>
        <v/>
      </c>
      <c r="J5037" s="319">
        <f>F5037-I5037</f>
        <v/>
      </c>
    </row>
    <row r="5038">
      <c r="B5038" s="1">
        <f>+B5037+1</f>
        <v/>
      </c>
      <c r="C5038" s="24" t="n">
        <v>46113</v>
      </c>
      <c r="D5038" s="24" t="n">
        <v>46142</v>
      </c>
      <c r="E5038" s="25" t="n">
        <v>30</v>
      </c>
      <c r="F5038" s="319">
        <f>J5037</f>
        <v/>
      </c>
      <c r="G5038" s="319">
        <f>-PMT($D$5005/$D$5007,30,$F$5020,,0)</f>
        <v/>
      </c>
      <c r="H5038" s="319">
        <f>($D$5005/$D$5007*F5038)</f>
        <v/>
      </c>
      <c r="I5038" s="319">
        <f>G5038-H5038</f>
        <v/>
      </c>
      <c r="J5038" s="319">
        <f>F5038-I5038</f>
        <v/>
      </c>
    </row>
    <row r="5039">
      <c r="B5039" s="1">
        <f>+B5038+1</f>
        <v/>
      </c>
      <c r="C5039" s="24" t="n">
        <v>46143</v>
      </c>
      <c r="D5039" s="24" t="n">
        <v>46173</v>
      </c>
      <c r="E5039" s="25" t="n">
        <v>31</v>
      </c>
      <c r="F5039" s="319">
        <f>J5038</f>
        <v/>
      </c>
      <c r="G5039" s="319">
        <f>-PMT($D$5005/$D$5007,30,$F$5020,,0)</f>
        <v/>
      </c>
      <c r="H5039" s="319">
        <f>($D$5005/$D$5007*F5039)</f>
        <v/>
      </c>
      <c r="I5039" s="319">
        <f>G5039-H5039</f>
        <v/>
      </c>
      <c r="J5039" s="319">
        <f>F5039-I5039</f>
        <v/>
      </c>
    </row>
    <row r="5040">
      <c r="B5040" s="1">
        <f>+B5039+1</f>
        <v/>
      </c>
      <c r="C5040" s="24" t="n">
        <v>46174</v>
      </c>
      <c r="D5040" s="24" t="n">
        <v>46203</v>
      </c>
      <c r="E5040" s="25" t="n">
        <v>30</v>
      </c>
      <c r="F5040" s="319">
        <f>J5039</f>
        <v/>
      </c>
      <c r="G5040" s="319">
        <f>-PMT($D$5005/$D$5007,30,$F$5020,,0)</f>
        <v/>
      </c>
      <c r="H5040" s="319">
        <f>($D$5005/$D$5007*F5040)</f>
        <v/>
      </c>
      <c r="I5040" s="319">
        <f>G5040-H5040</f>
        <v/>
      </c>
      <c r="J5040" s="319">
        <f>F5040-I5040</f>
        <v/>
      </c>
    </row>
    <row r="5041">
      <c r="B5041" s="1">
        <f>+B5040+1</f>
        <v/>
      </c>
      <c r="C5041" s="24" t="n">
        <v>46204</v>
      </c>
      <c r="D5041" s="24" t="n">
        <v>46234</v>
      </c>
      <c r="E5041" s="25" t="n">
        <v>31</v>
      </c>
      <c r="F5041" s="319">
        <f>J5040</f>
        <v/>
      </c>
      <c r="G5041" s="319">
        <f>-PMT($D$5005/$D$5007,30,$F$5020,,0)</f>
        <v/>
      </c>
      <c r="H5041" s="319">
        <f>($D$5005/$D$5007*F5041)</f>
        <v/>
      </c>
      <c r="I5041" s="319">
        <f>G5041-H5041</f>
        <v/>
      </c>
      <c r="J5041" s="319">
        <f>F5041-I5041</f>
        <v/>
      </c>
    </row>
    <row r="5042">
      <c r="B5042" s="1">
        <f>+B5041+1</f>
        <v/>
      </c>
      <c r="C5042" s="24" t="n">
        <v>46235</v>
      </c>
      <c r="D5042" s="24" t="n">
        <v>46265</v>
      </c>
      <c r="E5042" s="25" t="n">
        <v>31</v>
      </c>
      <c r="F5042" s="319">
        <f>J5041</f>
        <v/>
      </c>
      <c r="G5042" s="319">
        <f>-PMT($D$5005/$D$5007,30,$F$5020,,0)</f>
        <v/>
      </c>
      <c r="H5042" s="319">
        <f>($D$5005/$D$5007*F5042)</f>
        <v/>
      </c>
      <c r="I5042" s="319">
        <f>G5042-H5042</f>
        <v/>
      </c>
      <c r="J5042" s="319">
        <f>F5042-I5042</f>
        <v/>
      </c>
    </row>
    <row r="5043">
      <c r="B5043" s="1">
        <f>+B5042+1</f>
        <v/>
      </c>
      <c r="C5043" s="24" t="n">
        <v>46266</v>
      </c>
      <c r="D5043" s="24" t="n">
        <v>46295</v>
      </c>
      <c r="E5043" s="25" t="n">
        <v>30</v>
      </c>
      <c r="F5043" s="319">
        <f>J5042</f>
        <v/>
      </c>
      <c r="G5043" s="319">
        <f>-PMT($D$5005/$D$5007,30,$F$5020,,0)</f>
        <v/>
      </c>
      <c r="H5043" s="319">
        <f>($D$5005/$D$5007*F5043)</f>
        <v/>
      </c>
      <c r="I5043" s="319">
        <f>G5043-H5043</f>
        <v/>
      </c>
      <c r="J5043" s="319">
        <f>F5043-I5043</f>
        <v/>
      </c>
    </row>
    <row r="5044">
      <c r="B5044" s="1">
        <f>+B5043+1</f>
        <v/>
      </c>
      <c r="C5044" s="24" t="n">
        <v>46296</v>
      </c>
      <c r="D5044" s="24" t="n">
        <v>46326</v>
      </c>
      <c r="E5044" s="25" t="n">
        <v>31</v>
      </c>
      <c r="F5044" s="319">
        <f>J5043</f>
        <v/>
      </c>
      <c r="G5044" s="319">
        <f>-PMT($D$5005/$D$5007,30,$F$5020,,0)</f>
        <v/>
      </c>
      <c r="H5044" s="319">
        <f>($D$5005/$D$5007*F5044)</f>
        <v/>
      </c>
      <c r="I5044" s="319">
        <f>G5044-H5044</f>
        <v/>
      </c>
      <c r="J5044" s="319">
        <f>F5044-I5044</f>
        <v/>
      </c>
    </row>
    <row r="5045">
      <c r="B5045" s="1">
        <f>+B5044+1</f>
        <v/>
      </c>
      <c r="C5045" s="24" t="n">
        <v>46327</v>
      </c>
      <c r="D5045" s="24" t="n">
        <v>46356</v>
      </c>
      <c r="E5045" s="25" t="n">
        <v>30</v>
      </c>
      <c r="F5045" s="319">
        <f>J5044</f>
        <v/>
      </c>
      <c r="G5045" s="319">
        <f>-PMT($D$5005/$D$5007,30,$F$5020,,0)</f>
        <v/>
      </c>
      <c r="H5045" s="319">
        <f>($D$5005/$D$5007*F5045)</f>
        <v/>
      </c>
      <c r="I5045" s="319">
        <f>G5045-H5045</f>
        <v/>
      </c>
      <c r="J5045" s="319">
        <f>F5045-I5045</f>
        <v/>
      </c>
    </row>
    <row r="5046">
      <c r="B5046" s="1">
        <f>+B5045+1</f>
        <v/>
      </c>
      <c r="C5046" s="24" t="n">
        <v>46357</v>
      </c>
      <c r="D5046" s="24" t="n">
        <v>46387</v>
      </c>
      <c r="E5046" s="25" t="n">
        <v>31</v>
      </c>
      <c r="F5046" s="319">
        <f>J5045</f>
        <v/>
      </c>
      <c r="G5046" s="319">
        <f>-PMT($D$5005/$D$5007,30,$F$5020,,0)</f>
        <v/>
      </c>
      <c r="H5046" s="319">
        <f>($D$5005/$D$5007*F5046)</f>
        <v/>
      </c>
      <c r="I5046" s="319">
        <f>G5046-H5046</f>
        <v/>
      </c>
      <c r="J5046" s="319">
        <f>F5046-I5046</f>
        <v/>
      </c>
    </row>
    <row r="5047">
      <c r="B5047" s="1">
        <f>+B5046+1</f>
        <v/>
      </c>
      <c r="C5047" s="24" t="n">
        <v>46388</v>
      </c>
      <c r="D5047" s="24" t="n">
        <v>46418</v>
      </c>
      <c r="E5047" s="25" t="n">
        <v>31</v>
      </c>
      <c r="F5047" s="319">
        <f>J5046</f>
        <v/>
      </c>
      <c r="G5047" s="319">
        <f>-PMT($D$5005/$D$5007,30,$F$5020,,0)</f>
        <v/>
      </c>
      <c r="H5047" s="319">
        <f>($D$5005/$D$5007*F5047)</f>
        <v/>
      </c>
      <c r="I5047" s="319">
        <f>G5047-H5047</f>
        <v/>
      </c>
      <c r="J5047" s="319">
        <f>F5047-I5047</f>
        <v/>
      </c>
    </row>
    <row r="5048">
      <c r="B5048" s="1">
        <f>+B5047+1</f>
        <v/>
      </c>
      <c r="C5048" s="24" t="n">
        <v>46419</v>
      </c>
      <c r="D5048" s="24" t="n">
        <v>46446</v>
      </c>
      <c r="E5048" s="25">
        <f>D5048-C5048+1</f>
        <v/>
      </c>
      <c r="F5048" s="319">
        <f>J5047</f>
        <v/>
      </c>
      <c r="G5048" s="319">
        <f>-PMT($D$5005/$D$5007,30,$F$5020,,0)</f>
        <v/>
      </c>
      <c r="H5048" s="319">
        <f>($D$5005/$D$5007*F5048)</f>
        <v/>
      </c>
      <c r="I5048" s="319">
        <f>G5048-H5048</f>
        <v/>
      </c>
      <c r="J5048" s="319">
        <f>F5048-I5048</f>
        <v/>
      </c>
    </row>
    <row r="5049">
      <c r="B5049" s="1">
        <f>+B5048+1</f>
        <v/>
      </c>
      <c r="C5049" s="24" t="n">
        <v>46447</v>
      </c>
      <c r="D5049" s="24" t="n">
        <v>46477</v>
      </c>
      <c r="E5049" s="25">
        <f>D5049-C5049+1</f>
        <v/>
      </c>
      <c r="F5049" s="319">
        <f>J5048</f>
        <v/>
      </c>
      <c r="G5049" s="319">
        <f>-PMT($D$5005/$D$5007,30,$F$5020,,0)</f>
        <v/>
      </c>
      <c r="H5049" s="319">
        <f>($D$5005/$D$5007*F5049)</f>
        <v/>
      </c>
      <c r="I5049" s="319">
        <f>G5049-H5049</f>
        <v/>
      </c>
      <c r="J5049" s="319">
        <f>F5049-I5049</f>
        <v/>
      </c>
    </row>
    <row r="5054">
      <c r="B5054" s="1" t="n"/>
      <c r="C5054" s="9" t="inlineStr">
        <is>
          <t>Favoured Farms</t>
        </is>
      </c>
      <c r="D5054" s="319" t="n"/>
      <c r="E5054" s="319" t="n"/>
      <c r="F5054" s="319" t="n"/>
      <c r="G5054" s="319" t="n"/>
      <c r="H5054" s="319" t="n"/>
      <c r="I5054" s="319" t="n"/>
      <c r="J5054" s="319" t="n"/>
      <c r="R5054" s="514" t="inlineStr">
        <is>
          <t>E-Banker account (Dupleix)</t>
        </is>
      </c>
      <c r="S5054" s="495">
        <f>IFERROR(INDEX('Blocks'!$I$2:$I$101,MATCH(92,'Blocks'!$A$2:$A$101,0)),"")</f>
        <v/>
      </c>
    </row>
    <row r="5055">
      <c r="B5055" s="1" t="n"/>
      <c r="C5055" s="1" t="n"/>
      <c r="D5055" s="319" t="n"/>
      <c r="E5055" s="319" t="n"/>
      <c r="F5055" s="319" t="n"/>
      <c r="G5055" s="319" t="n"/>
      <c r="H5055" s="319" t="n"/>
      <c r="I5055" s="319" t="n"/>
      <c r="J5055" s="319" t="n"/>
      <c r="R5055" s="514" t="inlineStr">
        <is>
          <t>Facility (Loan Book)</t>
        </is>
      </c>
      <c r="S5055" s="495">
        <f>IFERROR(INDEX('Blocks'!$H$2:$H$101,MATCH(92,'Blocks'!$A$2:$A$101,0)),"")</f>
        <v/>
      </c>
    </row>
    <row r="5056">
      <c r="B5056" s="1" t="n"/>
      <c r="C5056" s="10" t="inlineStr">
        <is>
          <t>Principal (MK)</t>
        </is>
      </c>
      <c r="D5056" s="11" t="n">
        <v>30000000</v>
      </c>
      <c r="E5056" s="319" t="n"/>
      <c r="F5056" s="319" t="n"/>
      <c r="G5056" s="319" t="n"/>
      <c r="H5056" s="319" t="n"/>
      <c r="I5056" s="319" t="n"/>
      <c r="J5056" s="319" t="n"/>
      <c r="R5056" s="514" t="inlineStr">
        <is>
          <t>Take-on posting 31 Jul 2024</t>
        </is>
      </c>
      <c r="S5056" s="496">
        <f>IFERROR(INDEX('E-Banker master'!$N$2:$N$186,MATCH(S5054,'E-Banker master'!$A$2:$A$186,0)),"")</f>
        <v/>
      </c>
    </row>
    <row r="5057">
      <c r="B5057" s="1" t="n"/>
      <c r="C5057" s="13" t="inlineStr">
        <is>
          <t>Rate</t>
        </is>
      </c>
      <c r="D5057" s="14" t="n">
        <v>0.1</v>
      </c>
      <c r="E5057" s="257" t="n"/>
      <c r="F5057" s="319" t="n"/>
      <c r="G5057" s="319" t="n"/>
      <c r="H5057" s="319" t="n"/>
      <c r="I5057" s="319" t="n"/>
      <c r="J5057" s="319" t="n"/>
      <c r="R5057" s="514" t="inlineStr">
        <is>
          <t>E-Banker balance 31 Oct 2024</t>
        </is>
      </c>
      <c r="S5057" s="496">
        <f>IFERROR(INDEX('E-Banker master'!$P$2:$P$186,MATCH(S5054,'E-Banker master'!$A$2:$A$186,0)),"")</f>
        <v/>
      </c>
    </row>
    <row r="5058">
      <c r="B5058" s="1" t="n"/>
      <c r="C5058" s="13" t="inlineStr">
        <is>
          <t>n</t>
        </is>
      </c>
      <c r="D5058" s="16" t="n">
        <v>2</v>
      </c>
      <c r="E5058" s="1" t="n"/>
      <c r="F5058" s="319" t="n"/>
      <c r="G5058" s="319" t="n"/>
      <c r="H5058" s="319" t="n"/>
      <c r="I5058" s="319" t="n"/>
      <c r="J5058" s="319" t="n"/>
    </row>
    <row r="5059">
      <c r="B5059" s="1" t="n"/>
      <c r="C5059" s="13" t="inlineStr">
        <is>
          <t>Per</t>
        </is>
      </c>
      <c r="D5059" s="16" t="n">
        <v>12</v>
      </c>
      <c r="E5059" s="1" t="n"/>
      <c r="F5059" s="319" t="n"/>
      <c r="G5059" s="319" t="n"/>
      <c r="H5059" s="319" t="n"/>
      <c r="I5059" s="319" t="n"/>
      <c r="J5059" s="319" t="n"/>
    </row>
    <row r="5060">
      <c r="B5060" s="1" t="n"/>
      <c r="C5060" s="13" t="inlineStr">
        <is>
          <t>nPer</t>
        </is>
      </c>
      <c r="D5060" s="515">
        <f>+D5059*D5058</f>
        <v/>
      </c>
      <c r="E5060" s="1" t="n"/>
      <c r="F5060" s="319" t="n"/>
      <c r="G5060" s="319" t="n"/>
      <c r="H5060" s="319" t="n"/>
      <c r="I5060" s="319" t="n"/>
      <c r="J5060" s="319" t="n"/>
    </row>
    <row r="5061">
      <c r="B5061" s="1" t="n"/>
      <c r="C5061" s="13" t="inlineStr">
        <is>
          <t>Days in a year</t>
        </is>
      </c>
      <c r="D5061" s="18" t="n">
        <v>365</v>
      </c>
      <c r="E5061" s="1" t="n"/>
      <c r="F5061" s="319" t="n"/>
      <c r="G5061" s="319" t="n"/>
      <c r="H5061" s="319" t="n"/>
      <c r="I5061" s="319" t="n"/>
      <c r="J5061" s="319" t="n"/>
    </row>
    <row r="5062">
      <c r="B5062" s="1" t="n"/>
      <c r="C5062" s="19" t="inlineStr">
        <is>
          <t>Pmt (MK)</t>
        </is>
      </c>
      <c r="D5062" s="534">
        <f>-PMT(D5057/D5059,D5060,D5056,0,0)</f>
        <v/>
      </c>
      <c r="E5062" s="319" t="n"/>
      <c r="F5062" s="319" t="n"/>
      <c r="G5062" s="319" t="n"/>
      <c r="H5062" s="319" t="n"/>
      <c r="I5062" s="319" t="n"/>
      <c r="J5062" s="319" t="n"/>
    </row>
    <row r="5063">
      <c r="B5063" s="1" t="n"/>
      <c r="C5063" s="1" t="n"/>
      <c r="D5063" s="319" t="n"/>
      <c r="E5063" s="319" t="n"/>
      <c r="F5063" s="319" t="n"/>
      <c r="G5063" s="319" t="n"/>
      <c r="H5063" s="319" t="n"/>
      <c r="I5063" s="319" t="n"/>
      <c r="J5063" s="319" t="n"/>
    </row>
    <row r="5064">
      <c r="B5064" s="1" t="n"/>
      <c r="C5064" s="21" t="inlineStr">
        <is>
          <t>Period Start</t>
        </is>
      </c>
      <c r="D5064" s="22" t="inlineStr">
        <is>
          <t>Period End</t>
        </is>
      </c>
      <c r="E5064" s="22" t="inlineStr">
        <is>
          <t>Days</t>
        </is>
      </c>
      <c r="F5064" s="294" t="inlineStr">
        <is>
          <t>Opening bal.</t>
        </is>
      </c>
      <c r="G5064" s="294" t="inlineStr">
        <is>
          <t>Pmt</t>
        </is>
      </c>
      <c r="H5064" s="294" t="inlineStr">
        <is>
          <t>Interest</t>
        </is>
      </c>
      <c r="I5064" s="294" t="inlineStr">
        <is>
          <t>Principal</t>
        </is>
      </c>
      <c r="J5064" s="294" t="inlineStr">
        <is>
          <t>Closing balance</t>
        </is>
      </c>
      <c r="K5064" s="23" t="inlineStr">
        <is>
          <t>Amount Repaid</t>
        </is>
      </c>
      <c r="L5064" s="23" t="inlineStr">
        <is>
          <t>Accumulated Arrears</t>
        </is>
      </c>
    </row>
    <row r="5065">
      <c r="B5065" s="1" t="n">
        <v>0</v>
      </c>
      <c r="C5065" s="24" t="n">
        <v>45407</v>
      </c>
      <c r="D5065" s="24" t="n">
        <v>45412</v>
      </c>
      <c r="E5065" s="25" t="n">
        <v>6</v>
      </c>
      <c r="F5065" s="319">
        <f>D5056</f>
        <v/>
      </c>
      <c r="G5065" s="319" t="n"/>
      <c r="H5065" s="319">
        <f>($D$5057/$D$5059*F5065*E5065/30)</f>
        <v/>
      </c>
      <c r="I5065" s="319">
        <f>G5065-H5065</f>
        <v/>
      </c>
      <c r="J5065" s="319">
        <f>F5065-I5065</f>
        <v/>
      </c>
    </row>
    <row r="5066">
      <c r="B5066" s="1" t="n">
        <v>1</v>
      </c>
      <c r="C5066" s="24" t="n">
        <v>45413</v>
      </c>
      <c r="D5066" s="24" t="n">
        <v>45443</v>
      </c>
      <c r="E5066" s="25" t="n">
        <v>30</v>
      </c>
      <c r="F5066" s="319">
        <f>J5065</f>
        <v/>
      </c>
      <c r="G5066" s="319" t="n"/>
      <c r="H5066" s="319">
        <f>($D$5057/$D$5059*F5066)</f>
        <v/>
      </c>
      <c r="I5066" s="319">
        <f>G5066-H5066</f>
        <v/>
      </c>
      <c r="J5066" s="319">
        <f>F5066-I5066</f>
        <v/>
      </c>
      <c r="K5066" s="237" t="n"/>
    </row>
    <row r="5067">
      <c r="B5067" s="1" t="n">
        <v>2</v>
      </c>
      <c r="C5067" s="24" t="n">
        <v>45444</v>
      </c>
      <c r="D5067" s="24" t="n">
        <v>45473</v>
      </c>
      <c r="E5067" s="25" t="n">
        <v>31</v>
      </c>
      <c r="F5067" s="319">
        <f>J5066</f>
        <v/>
      </c>
      <c r="G5067" s="319" t="n"/>
      <c r="H5067" s="319">
        <f>($D$5057/$D$5059*F5067)</f>
        <v/>
      </c>
      <c r="I5067" s="319">
        <f>G5067-H5067</f>
        <v/>
      </c>
      <c r="J5067" s="319">
        <f>F5067-I5067</f>
        <v/>
      </c>
    </row>
    <row r="5068">
      <c r="B5068" s="1">
        <f>+B5067+1</f>
        <v/>
      </c>
      <c r="C5068" s="24" t="n">
        <v>45474</v>
      </c>
      <c r="D5068" s="24" t="n">
        <v>45504</v>
      </c>
      <c r="E5068" s="25" t="n">
        <v>30</v>
      </c>
      <c r="F5068" s="319">
        <f>J5067</f>
        <v/>
      </c>
      <c r="G5068" s="522" t="n"/>
      <c r="H5068" s="319">
        <f>($D$5057/$D$5059*F5068)</f>
        <v/>
      </c>
      <c r="I5068" s="319">
        <f>G5068-H5068</f>
        <v/>
      </c>
      <c r="J5068" s="319">
        <f>F5068-I5068</f>
        <v/>
      </c>
      <c r="L5068" s="148">
        <f>+G5068-K5068+L5067</f>
        <v/>
      </c>
    </row>
    <row r="5069">
      <c r="B5069" s="1">
        <f>+B5068+1</f>
        <v/>
      </c>
      <c r="C5069" s="24" t="n">
        <v>45505</v>
      </c>
      <c r="D5069" s="24" t="n">
        <v>45535</v>
      </c>
      <c r="E5069" s="25" t="n">
        <v>31</v>
      </c>
      <c r="F5069" s="319">
        <f>J5068</f>
        <v/>
      </c>
      <c r="G5069" s="319">
        <f>-PMT($D$5057/$D$5059,21,$F$5069,,0)</f>
        <v/>
      </c>
      <c r="H5069" s="319">
        <f>($D$5057/$D$5059*F5069)</f>
        <v/>
      </c>
      <c r="I5069" s="319">
        <f>G5069-H5069</f>
        <v/>
      </c>
      <c r="J5069" s="319">
        <f>F5069-I5069</f>
        <v/>
      </c>
      <c r="L5069" s="148">
        <f>+G5069-K5069+L5068</f>
        <v/>
      </c>
    </row>
    <row r="5070">
      <c r="B5070" s="1">
        <f>+B5069+1</f>
        <v/>
      </c>
      <c r="C5070" s="24" t="n">
        <v>45536</v>
      </c>
      <c r="D5070" s="24" t="n">
        <v>45565</v>
      </c>
      <c r="E5070" s="25" t="n">
        <v>31</v>
      </c>
      <c r="F5070" s="319">
        <f>J5069</f>
        <v/>
      </c>
      <c r="G5070" s="319">
        <f>-PMT($D$5057/$D$5059,21,$F$5069,,0)</f>
        <v/>
      </c>
      <c r="H5070" s="319">
        <f>($D$5057/$D$5059*F5070)</f>
        <v/>
      </c>
      <c r="I5070" s="319">
        <f>G5070-H5070</f>
        <v/>
      </c>
      <c r="J5070" s="319">
        <f>F5070-I5070</f>
        <v/>
      </c>
      <c r="K5070" s="237">
        <f>1603000+1000000</f>
        <v/>
      </c>
      <c r="L5070" s="148">
        <f>+G5070-K5070+L5069</f>
        <v/>
      </c>
    </row>
    <row r="5071">
      <c r="B5071" s="1">
        <f>+B5070+1</f>
        <v/>
      </c>
      <c r="C5071" s="24" t="n">
        <v>45566</v>
      </c>
      <c r="D5071" s="24" t="n">
        <v>45596</v>
      </c>
      <c r="E5071" s="25" t="n">
        <v>30</v>
      </c>
      <c r="F5071" s="319">
        <f>J5070</f>
        <v/>
      </c>
      <c r="G5071" s="319">
        <f>-PMT($D$5057/$D$5059,21,$F$5069,,0)</f>
        <v/>
      </c>
      <c r="H5071" s="319">
        <f>($D$5057/$D$5059*F5071)</f>
        <v/>
      </c>
      <c r="I5071" s="319">
        <f>G5071-H5071</f>
        <v/>
      </c>
      <c r="J5071" s="319">
        <f>F5071-I5071</f>
        <v/>
      </c>
      <c r="K5071" s="433" t="n">
        <v>1605000</v>
      </c>
      <c r="L5071" s="389">
        <f>+G5071-K5071+L5070</f>
        <v/>
      </c>
    </row>
    <row r="5072">
      <c r="B5072" s="1">
        <f>+B5071+1</f>
        <v/>
      </c>
      <c r="C5072" s="24" t="n">
        <v>45597</v>
      </c>
      <c r="D5072" s="24" t="n">
        <v>45626</v>
      </c>
      <c r="E5072" s="25" t="n">
        <v>31</v>
      </c>
      <c r="F5072" s="319">
        <f>J5071</f>
        <v/>
      </c>
      <c r="G5072" s="319">
        <f>-PMT($D$5057/$D$5059,21,$F$5069,,0)</f>
        <v/>
      </c>
      <c r="H5072" s="319">
        <f>($D$5057/$D$5059*F5072)</f>
        <v/>
      </c>
      <c r="I5072" s="319">
        <f>G5072-H5072</f>
        <v/>
      </c>
      <c r="J5072" s="319">
        <f>F5072-I5072</f>
        <v/>
      </c>
    </row>
    <row r="5073">
      <c r="B5073" s="1">
        <f>+B5072+1</f>
        <v/>
      </c>
      <c r="C5073" s="24" t="n">
        <v>45627</v>
      </c>
      <c r="D5073" s="24" t="n">
        <v>45657</v>
      </c>
      <c r="E5073" s="25" t="n">
        <v>30</v>
      </c>
      <c r="F5073" s="319">
        <f>J5072</f>
        <v/>
      </c>
      <c r="G5073" s="319">
        <f>-PMT($D$5057/$D$5059,21,$F$5069,,0)</f>
        <v/>
      </c>
      <c r="H5073" s="319">
        <f>($D$5057/$D$5059*F5073)</f>
        <v/>
      </c>
      <c r="I5073" s="319">
        <f>G5073-H5073</f>
        <v/>
      </c>
      <c r="J5073" s="319">
        <f>F5073-I5073</f>
        <v/>
      </c>
    </row>
    <row r="5074">
      <c r="B5074" s="1">
        <f>+B5073+1</f>
        <v/>
      </c>
      <c r="C5074" s="24" t="n">
        <v>45658</v>
      </c>
      <c r="D5074" s="24" t="n">
        <v>45688</v>
      </c>
      <c r="E5074" s="25" t="n">
        <v>31</v>
      </c>
      <c r="F5074" s="319">
        <f>J5073</f>
        <v/>
      </c>
      <c r="G5074" s="319">
        <f>-PMT($D$5057/$D$5059,21,$F$5069,,0)</f>
        <v/>
      </c>
      <c r="H5074" s="319">
        <f>($D$5057/$D$5059*F5074)</f>
        <v/>
      </c>
      <c r="I5074" s="319">
        <f>G5074-H5074</f>
        <v/>
      </c>
      <c r="J5074" s="319">
        <f>F5074-I5074</f>
        <v/>
      </c>
    </row>
    <row r="5075">
      <c r="B5075" s="1">
        <f>+B5074+1</f>
        <v/>
      </c>
      <c r="C5075" s="24" t="n">
        <v>45689</v>
      </c>
      <c r="D5075" s="24" t="n">
        <v>45716</v>
      </c>
      <c r="E5075" s="25" t="n">
        <v>31</v>
      </c>
      <c r="F5075" s="319">
        <f>J5074</f>
        <v/>
      </c>
      <c r="G5075" s="319">
        <f>-PMT($D$5057/$D$5059,21,$F$5069,,0)</f>
        <v/>
      </c>
      <c r="H5075" s="319">
        <f>($D$5057/$D$5059*F5075)</f>
        <v/>
      </c>
      <c r="I5075" s="319">
        <f>G5075-H5075</f>
        <v/>
      </c>
      <c r="J5075" s="319">
        <f>F5075-I5075</f>
        <v/>
      </c>
    </row>
    <row r="5076">
      <c r="B5076" s="1">
        <f>+B5075+1</f>
        <v/>
      </c>
      <c r="C5076" s="24" t="n">
        <v>45717</v>
      </c>
      <c r="D5076" s="24" t="n">
        <v>45747</v>
      </c>
      <c r="E5076" s="25" t="n">
        <v>28</v>
      </c>
      <c r="F5076" s="319">
        <f>J5075</f>
        <v/>
      </c>
      <c r="G5076" s="319">
        <f>-PMT($D$5057/$D$5059,21,$F$5069,,0)</f>
        <v/>
      </c>
      <c r="H5076" s="319">
        <f>($D$5057/$D$5059*F5076)</f>
        <v/>
      </c>
      <c r="I5076" s="319">
        <f>G5076-H5076</f>
        <v/>
      </c>
      <c r="J5076" s="319">
        <f>F5076-I5076</f>
        <v/>
      </c>
    </row>
    <row r="5077">
      <c r="B5077" s="1">
        <f>+B5076+1</f>
        <v/>
      </c>
      <c r="C5077" s="24" t="n">
        <v>45748</v>
      </c>
      <c r="D5077" s="24" t="n">
        <v>45777</v>
      </c>
      <c r="E5077" s="25" t="n">
        <v>31</v>
      </c>
      <c r="F5077" s="319">
        <f>J5076</f>
        <v/>
      </c>
      <c r="G5077" s="319">
        <f>-PMT($D$5057/$D$5059,21,$F$5069,,0)</f>
        <v/>
      </c>
      <c r="H5077" s="319">
        <f>($D$5057/$D$5059*F5077)</f>
        <v/>
      </c>
      <c r="I5077" s="319">
        <f>G5077-H5077</f>
        <v/>
      </c>
      <c r="J5077" s="319">
        <f>F5077-I5077</f>
        <v/>
      </c>
    </row>
    <row r="5078">
      <c r="B5078" s="1">
        <f>+B5077+1</f>
        <v/>
      </c>
      <c r="C5078" s="24" t="n">
        <v>45778</v>
      </c>
      <c r="D5078" s="24" t="n">
        <v>45808</v>
      </c>
      <c r="E5078" s="25" t="n">
        <v>30</v>
      </c>
      <c r="F5078" s="319">
        <f>J5077</f>
        <v/>
      </c>
      <c r="G5078" s="319">
        <f>-PMT($D$5057/$D$5059,21,$F$5069,,0)</f>
        <v/>
      </c>
      <c r="H5078" s="319">
        <f>($D$5057/$D$5059*F5078)</f>
        <v/>
      </c>
      <c r="I5078" s="319">
        <f>G5078-H5078</f>
        <v/>
      </c>
      <c r="J5078" s="319">
        <f>F5078-I5078</f>
        <v/>
      </c>
    </row>
    <row r="5079">
      <c r="B5079" s="1">
        <f>+B5078+1</f>
        <v/>
      </c>
      <c r="C5079" s="24" t="n">
        <v>45809</v>
      </c>
      <c r="D5079" s="24" t="n">
        <v>45838</v>
      </c>
      <c r="E5079" s="25" t="n">
        <v>31</v>
      </c>
      <c r="F5079" s="319">
        <f>J5078</f>
        <v/>
      </c>
      <c r="G5079" s="319">
        <f>-PMT($D$5057/$D$5059,21,$F$5069,,0)</f>
        <v/>
      </c>
      <c r="H5079" s="319">
        <f>($D$5057/$D$5059*F5079)</f>
        <v/>
      </c>
      <c r="I5079" s="319">
        <f>G5079-H5079</f>
        <v/>
      </c>
      <c r="J5079" s="319">
        <f>F5079-I5079</f>
        <v/>
      </c>
    </row>
    <row r="5080">
      <c r="B5080" s="1">
        <f>+B5079+1</f>
        <v/>
      </c>
      <c r="C5080" s="24" t="n">
        <v>45839</v>
      </c>
      <c r="D5080" s="24" t="n">
        <v>45868</v>
      </c>
      <c r="E5080" s="25" t="n">
        <v>30</v>
      </c>
      <c r="F5080" s="319">
        <f>J5079</f>
        <v/>
      </c>
      <c r="G5080" s="319">
        <f>-PMT($D$5057/$D$5059,21,$F$5069,,0)</f>
        <v/>
      </c>
      <c r="H5080" s="319">
        <f>($D$5057/$D$5059*F5080)</f>
        <v/>
      </c>
      <c r="I5080" s="319">
        <f>G5080-H5080</f>
        <v/>
      </c>
      <c r="J5080" s="319">
        <f>F5080-I5080</f>
        <v/>
      </c>
    </row>
    <row r="5081">
      <c r="B5081" s="1">
        <f>+B5080+1</f>
        <v/>
      </c>
      <c r="C5081" s="24" t="n">
        <v>45870</v>
      </c>
      <c r="D5081" s="24" t="n">
        <v>45899</v>
      </c>
      <c r="E5081" s="25" t="n">
        <v>30</v>
      </c>
      <c r="F5081" s="319">
        <f>J5080</f>
        <v/>
      </c>
      <c r="G5081" s="319">
        <f>-PMT($D$5057/$D$5059,21,$F$5069,,0)</f>
        <v/>
      </c>
      <c r="H5081" s="319">
        <f>($D$5057/$D$5059*F5081)</f>
        <v/>
      </c>
      <c r="I5081" s="319">
        <f>G5081-H5081</f>
        <v/>
      </c>
      <c r="J5081" s="319">
        <f>F5081-I5081</f>
        <v/>
      </c>
    </row>
    <row r="5082">
      <c r="B5082" s="1">
        <f>+B5081+1</f>
        <v/>
      </c>
      <c r="C5082" s="24" t="n">
        <v>45901</v>
      </c>
      <c r="D5082" s="24" t="n">
        <v>45930</v>
      </c>
      <c r="E5082" s="25" t="n">
        <v>30</v>
      </c>
      <c r="F5082" s="319">
        <f>J5081</f>
        <v/>
      </c>
      <c r="G5082" s="319">
        <f>-PMT($D$5057/$D$5059,21,$F$5069,,0)</f>
        <v/>
      </c>
      <c r="H5082" s="319">
        <f>($D$5057/$D$5059*F5082)</f>
        <v/>
      </c>
      <c r="I5082" s="319">
        <f>G5082-H5082</f>
        <v/>
      </c>
      <c r="J5082" s="319">
        <f>F5082-I5082</f>
        <v/>
      </c>
    </row>
    <row r="5083">
      <c r="B5083" s="1">
        <f>+B5082+1</f>
        <v/>
      </c>
      <c r="C5083" s="24" t="n">
        <v>45931</v>
      </c>
      <c r="D5083" s="24" t="n">
        <v>45961</v>
      </c>
      <c r="E5083" s="25" t="n">
        <v>30</v>
      </c>
      <c r="F5083" s="319">
        <f>J5082</f>
        <v/>
      </c>
      <c r="G5083" s="319">
        <f>-PMT($D$5057/$D$5059,21,$F$5069,,0)</f>
        <v/>
      </c>
      <c r="H5083" s="319">
        <f>($D$5057/$D$5059*F5083)</f>
        <v/>
      </c>
      <c r="I5083" s="319">
        <f>G5083-H5083</f>
        <v/>
      </c>
      <c r="J5083" s="319">
        <f>F5083-I5083</f>
        <v/>
      </c>
    </row>
    <row r="5084">
      <c r="B5084" s="1">
        <f>+B5083+1</f>
        <v/>
      </c>
      <c r="C5084" s="24" t="n">
        <v>45962</v>
      </c>
      <c r="D5084" s="24" t="n">
        <v>45991</v>
      </c>
      <c r="E5084" s="25" t="n">
        <v>31</v>
      </c>
      <c r="F5084" s="319">
        <f>J5083</f>
        <v/>
      </c>
      <c r="G5084" s="319">
        <f>-PMT($D$5057/$D$5059,21,$F$5069,,0)</f>
        <v/>
      </c>
      <c r="H5084" s="319">
        <f>($D$5057/$D$5059*F5084)</f>
        <v/>
      </c>
      <c r="I5084" s="319">
        <f>G5084-H5084</f>
        <v/>
      </c>
      <c r="J5084" s="319">
        <f>F5084-I5084</f>
        <v/>
      </c>
    </row>
    <row r="5085">
      <c r="B5085" s="1">
        <f>+B5084+1</f>
        <v/>
      </c>
      <c r="C5085" s="24" t="n">
        <v>45992</v>
      </c>
      <c r="D5085" s="24" t="n">
        <v>46022</v>
      </c>
      <c r="E5085" s="25" t="n">
        <v>30</v>
      </c>
      <c r="F5085" s="319">
        <f>J5084</f>
        <v/>
      </c>
      <c r="G5085" s="319">
        <f>-PMT($D$5057/$D$5059,21,$F$5069,,0)</f>
        <v/>
      </c>
      <c r="H5085" s="319">
        <f>($D$5057/$D$5059*F5085)</f>
        <v/>
      </c>
      <c r="I5085" s="319">
        <f>G5085-H5085</f>
        <v/>
      </c>
      <c r="J5085" s="319">
        <f>F5085-I5085</f>
        <v/>
      </c>
    </row>
    <row r="5086">
      <c r="B5086" s="1">
        <f>+B5085+1</f>
        <v/>
      </c>
      <c r="C5086" s="24" t="n">
        <v>46023</v>
      </c>
      <c r="D5086" s="24" t="n">
        <v>46053</v>
      </c>
      <c r="E5086" s="25" t="n">
        <v>31</v>
      </c>
      <c r="F5086" s="319">
        <f>J5085</f>
        <v/>
      </c>
      <c r="G5086" s="319">
        <f>-PMT($D$5057/$D$5059,21,$F$5069,,0)</f>
        <v/>
      </c>
      <c r="H5086" s="319">
        <f>($D$5057/$D$5059*F5086)</f>
        <v/>
      </c>
      <c r="I5086" s="319">
        <f>G5086-H5086</f>
        <v/>
      </c>
      <c r="J5086" s="319">
        <f>F5086-I5086</f>
        <v/>
      </c>
    </row>
    <row r="5087">
      <c r="B5087" s="1">
        <f>+B5086+1</f>
        <v/>
      </c>
      <c r="C5087" s="24" t="n">
        <v>46054</v>
      </c>
      <c r="D5087" s="24" t="n">
        <v>46081</v>
      </c>
      <c r="E5087" s="25" t="n">
        <v>31</v>
      </c>
      <c r="F5087" s="319">
        <f>J5086</f>
        <v/>
      </c>
      <c r="G5087" s="319">
        <f>-PMT($D$5057/$D$5059,21,$F$5069,,0)</f>
        <v/>
      </c>
      <c r="H5087" s="319">
        <f>($D$5057/$D$5059*F5087)</f>
        <v/>
      </c>
      <c r="I5087" s="319">
        <f>G5087-H5087</f>
        <v/>
      </c>
      <c r="J5087" s="319">
        <f>F5087-I5087</f>
        <v/>
      </c>
    </row>
    <row r="5088">
      <c r="B5088" s="1">
        <f>+B5087+1</f>
        <v/>
      </c>
      <c r="C5088" s="24" t="n">
        <v>46082</v>
      </c>
      <c r="D5088" s="24" t="n">
        <v>46112</v>
      </c>
      <c r="E5088" s="25" t="n">
        <v>28</v>
      </c>
      <c r="F5088" s="319">
        <f>J5087</f>
        <v/>
      </c>
      <c r="G5088" s="319">
        <f>-PMT($D$5057/$D$5059,21,$F$5069,,0)</f>
        <v/>
      </c>
      <c r="H5088" s="319">
        <f>($D$5057/$D$5059*F5088)</f>
        <v/>
      </c>
      <c r="I5088" s="319">
        <f>G5088-H5088</f>
        <v/>
      </c>
      <c r="J5088" s="319">
        <f>F5088-I5088</f>
        <v/>
      </c>
    </row>
    <row r="5089">
      <c r="B5089" s="1">
        <f>+B5088+1</f>
        <v/>
      </c>
      <c r="C5089" s="24" t="n">
        <v>46113</v>
      </c>
      <c r="D5089" s="24" t="n">
        <v>46142</v>
      </c>
      <c r="E5089" s="25" t="n">
        <v>31</v>
      </c>
      <c r="F5089" s="319">
        <f>J5088</f>
        <v/>
      </c>
      <c r="G5089" s="319">
        <f>-PMT($D$5057/$D$5059,21,$F$5069,,0)</f>
        <v/>
      </c>
      <c r="H5089" s="319">
        <f>($D$5057/$D$5059*F5089)</f>
        <v/>
      </c>
      <c r="I5089" s="319">
        <f>G5089-H5089</f>
        <v/>
      </c>
      <c r="J5089" s="319">
        <f>F5089-I5089</f>
        <v/>
      </c>
    </row>
    <row r="5090">
      <c r="B5090" s="1" t="n"/>
      <c r="C5090" s="24" t="n"/>
      <c r="D5090" s="24" t="n"/>
      <c r="E5090" s="25" t="n"/>
      <c r="F5090" s="319" t="n"/>
      <c r="G5090" s="522" t="n"/>
      <c r="H5090" s="319" t="n"/>
      <c r="I5090" s="319" t="n"/>
      <c r="J5090" s="319" t="n"/>
    </row>
    <row r="5091">
      <c r="B5091" s="1" t="n"/>
      <c r="C5091" s="24" t="n"/>
      <c r="D5091" s="24" t="n"/>
      <c r="E5091" s="25" t="n"/>
      <c r="F5091" s="319" t="n"/>
      <c r="G5091" s="522" t="n"/>
      <c r="H5091" s="319" t="n"/>
      <c r="I5091" s="319" t="n"/>
      <c r="J5091" s="319" t="n"/>
    </row>
    <row r="5092">
      <c r="B5092" s="1" t="n"/>
      <c r="C5092" s="24" t="n"/>
      <c r="D5092" s="24" t="n"/>
      <c r="E5092" s="25" t="n"/>
      <c r="F5092" s="319" t="n"/>
      <c r="G5092" s="522" t="n"/>
      <c r="H5092" s="319" t="n"/>
      <c r="I5092" s="319" t="n"/>
      <c r="J5092" s="319" t="n"/>
    </row>
    <row r="5093">
      <c r="B5093" s="1" t="n"/>
      <c r="C5093" s="24" t="n"/>
      <c r="D5093" s="24" t="n"/>
      <c r="E5093" s="25" t="n"/>
      <c r="F5093" s="319" t="n"/>
      <c r="G5093" s="522" t="n"/>
      <c r="H5093" s="319" t="n"/>
      <c r="I5093" s="319" t="n"/>
      <c r="J5093" s="319" t="n"/>
    </row>
    <row r="5094">
      <c r="B5094" s="1" t="n"/>
      <c r="C5094" s="9" t="inlineStr">
        <is>
          <t>Hortinet Foods Ltd</t>
        </is>
      </c>
      <c r="D5094" s="319" t="n"/>
      <c r="E5094" s="319" t="n"/>
      <c r="F5094" s="319" t="n"/>
      <c r="G5094" s="319" t="n"/>
      <c r="H5094" s="319" t="n"/>
      <c r="I5094" s="319" t="n"/>
      <c r="J5094" s="319" t="n"/>
      <c r="R5094" s="514" t="inlineStr">
        <is>
          <t>E-Banker account (Dupleix)</t>
        </is>
      </c>
      <c r="S5094" s="495">
        <f>IFERROR(INDEX('Blocks'!$I$2:$I$101,MATCH(93,'Blocks'!$A$2:$A$101,0)),"")</f>
        <v/>
      </c>
    </row>
    <row r="5095">
      <c r="B5095" s="1" t="n"/>
      <c r="C5095" s="1" t="n"/>
      <c r="D5095" s="319" t="n"/>
      <c r="E5095" s="319" t="n"/>
      <c r="F5095" s="319" t="n"/>
      <c r="G5095" s="319" t="n"/>
      <c r="H5095" s="319" t="n"/>
      <c r="I5095" s="319" t="n"/>
      <c r="J5095" s="319" t="n"/>
      <c r="R5095" s="514" t="inlineStr">
        <is>
          <t>Facility (Loan Book)</t>
        </is>
      </c>
      <c r="S5095" s="495">
        <f>IFERROR(INDEX('Blocks'!$H$2:$H$101,MATCH(93,'Blocks'!$A$2:$A$101,0)),"")</f>
        <v/>
      </c>
    </row>
    <row r="5096">
      <c r="B5096" s="1" t="n"/>
      <c r="C5096" s="10" t="inlineStr">
        <is>
          <t>Principal (MK)</t>
        </is>
      </c>
      <c r="D5096" s="11" t="n">
        <v>50000000</v>
      </c>
      <c r="E5096" s="319" t="n"/>
      <c r="F5096" s="319" t="n"/>
      <c r="G5096" s="319" t="n"/>
      <c r="H5096" s="319" t="n"/>
      <c r="I5096" s="319" t="n"/>
      <c r="J5096" s="319" t="n"/>
      <c r="R5096" s="514" t="inlineStr">
        <is>
          <t>Take-on posting 31 Jul 2024</t>
        </is>
      </c>
      <c r="S5096" s="496">
        <f>IFERROR(INDEX('E-Banker master'!$N$2:$N$186,MATCH(S5094,'E-Banker master'!$A$2:$A$186,0)),"")</f>
        <v/>
      </c>
    </row>
    <row r="5097">
      <c r="B5097" s="1" t="n"/>
      <c r="C5097" s="13" t="inlineStr">
        <is>
          <t>Rate</t>
        </is>
      </c>
      <c r="D5097" s="14" t="n">
        <v>0.1</v>
      </c>
      <c r="E5097" s="257" t="n"/>
      <c r="F5097" s="319" t="n"/>
      <c r="G5097" s="319" t="n"/>
      <c r="H5097" s="319" t="n"/>
      <c r="I5097" s="319" t="n"/>
      <c r="J5097" s="319" t="n"/>
      <c r="R5097" s="514" t="inlineStr">
        <is>
          <t>E-Banker balance 31 Oct 2024</t>
        </is>
      </c>
      <c r="S5097" s="496">
        <f>IFERROR(INDEX('E-Banker master'!$P$2:$P$186,MATCH(S5094,'E-Banker master'!$A$2:$A$186,0)),"")</f>
        <v/>
      </c>
    </row>
    <row r="5098">
      <c r="B5098" s="1" t="n"/>
      <c r="C5098" s="13" t="inlineStr">
        <is>
          <t>n</t>
        </is>
      </c>
      <c r="D5098" s="16" t="n">
        <v>2</v>
      </c>
      <c r="E5098" s="1" t="n"/>
      <c r="F5098" s="319" t="n"/>
      <c r="G5098" s="319" t="n"/>
      <c r="H5098" s="319" t="n"/>
      <c r="I5098" s="319" t="n"/>
      <c r="J5098" s="319" t="n"/>
    </row>
    <row r="5099">
      <c r="B5099" s="1" t="n"/>
      <c r="C5099" s="13" t="inlineStr">
        <is>
          <t>Per</t>
        </is>
      </c>
      <c r="D5099" s="16" t="n">
        <v>12</v>
      </c>
      <c r="E5099" s="1" t="n"/>
      <c r="F5099" s="319" t="n"/>
      <c r="G5099" s="319" t="n"/>
      <c r="H5099" s="319" t="n"/>
      <c r="I5099" s="319" t="n"/>
      <c r="J5099" s="319" t="n"/>
    </row>
    <row r="5100">
      <c r="B5100" s="1" t="n"/>
      <c r="C5100" s="13" t="inlineStr">
        <is>
          <t>nPer</t>
        </is>
      </c>
      <c r="D5100" s="515">
        <f>+D5099*D5098</f>
        <v/>
      </c>
      <c r="E5100" s="1" t="n"/>
      <c r="F5100" s="319" t="n"/>
      <c r="G5100" s="319" t="n"/>
      <c r="H5100" s="319" t="n"/>
      <c r="I5100" s="319" t="n"/>
      <c r="J5100" s="319" t="n"/>
    </row>
    <row r="5101">
      <c r="B5101" s="1" t="n"/>
      <c r="C5101" s="13" t="inlineStr">
        <is>
          <t>Days in a year</t>
        </is>
      </c>
      <c r="D5101" s="18" t="n">
        <v>365</v>
      </c>
      <c r="E5101" s="1" t="n"/>
      <c r="F5101" s="319" t="n"/>
      <c r="G5101" s="319" t="n"/>
      <c r="H5101" s="319" t="n"/>
      <c r="I5101" s="319" t="n"/>
      <c r="J5101" s="319" t="n"/>
    </row>
    <row r="5102">
      <c r="B5102" s="1" t="n"/>
      <c r="C5102" s="19" t="inlineStr">
        <is>
          <t>Pmt (MK)</t>
        </is>
      </c>
      <c r="D5102" s="534">
        <f>-PMT(D5097/D5099,D5100,D5096,0,0)</f>
        <v/>
      </c>
      <c r="E5102" s="319" t="n"/>
      <c r="F5102" s="319" t="n"/>
      <c r="G5102" s="319" t="n"/>
      <c r="H5102" s="319" t="n"/>
      <c r="I5102" s="319" t="n"/>
      <c r="J5102" s="319" t="n"/>
    </row>
    <row r="5103">
      <c r="B5103" s="1" t="n"/>
      <c r="C5103" s="1" t="n"/>
      <c r="D5103" s="319" t="n"/>
      <c r="E5103" s="319" t="n"/>
      <c r="F5103" s="319" t="n"/>
      <c r="G5103" s="319" t="n"/>
      <c r="H5103" s="319" t="n"/>
      <c r="I5103" s="319" t="n"/>
      <c r="J5103" s="319" t="n"/>
    </row>
    <row r="5104">
      <c r="B5104" s="1" t="n"/>
      <c r="C5104" s="21" t="inlineStr">
        <is>
          <t>Period Start</t>
        </is>
      </c>
      <c r="D5104" s="22" t="inlineStr">
        <is>
          <t>Period End</t>
        </is>
      </c>
      <c r="E5104" s="22" t="inlineStr">
        <is>
          <t>Days</t>
        </is>
      </c>
      <c r="F5104" s="294" t="inlineStr">
        <is>
          <t>Opening bal.</t>
        </is>
      </c>
      <c r="G5104" s="294" t="inlineStr">
        <is>
          <t>Pmt</t>
        </is>
      </c>
      <c r="H5104" s="294" t="inlineStr">
        <is>
          <t>Interest</t>
        </is>
      </c>
      <c r="I5104" s="294" t="inlineStr">
        <is>
          <t>Principal</t>
        </is>
      </c>
      <c r="J5104" s="294" t="inlineStr">
        <is>
          <t>Closing balance</t>
        </is>
      </c>
      <c r="K5104" s="23" t="inlineStr">
        <is>
          <t>Amount Repaid</t>
        </is>
      </c>
      <c r="L5104" s="23" t="inlineStr">
        <is>
          <t>Accumulated Arrears</t>
        </is>
      </c>
    </row>
    <row r="5105">
      <c r="B5105" s="1" t="n">
        <v>0</v>
      </c>
      <c r="C5105" s="24" t="n">
        <v>45412</v>
      </c>
      <c r="D5105" s="24" t="n">
        <v>45412</v>
      </c>
      <c r="E5105" s="25" t="n">
        <v>1</v>
      </c>
      <c r="F5105" s="319">
        <f>D5096</f>
        <v/>
      </c>
      <c r="G5105" s="319" t="n">
        <v>13888.89</v>
      </c>
      <c r="H5105" s="319">
        <f>($D$5097/$D$5099*F5105*E5105/30)</f>
        <v/>
      </c>
      <c r="I5105" s="319">
        <f>G5105-H5105</f>
        <v/>
      </c>
      <c r="J5105" s="319">
        <f>F5105-I5105</f>
        <v/>
      </c>
      <c r="L5105" s="148">
        <f>+G5105</f>
        <v/>
      </c>
    </row>
    <row r="5106">
      <c r="B5106" s="1" t="n">
        <v>1</v>
      </c>
      <c r="C5106" s="24" t="n">
        <v>45413</v>
      </c>
      <c r="D5106" s="24" t="n">
        <v>45443</v>
      </c>
      <c r="E5106" s="25" t="n">
        <v>30</v>
      </c>
      <c r="F5106" s="319">
        <f>J5105</f>
        <v/>
      </c>
      <c r="G5106" s="319" t="n">
        <v>416666.67</v>
      </c>
      <c r="H5106" s="319">
        <f>($D$5097/$D$5099*F5106)</f>
        <v/>
      </c>
      <c r="I5106" s="319">
        <f>G5106-H5106</f>
        <v/>
      </c>
      <c r="J5106" s="319">
        <f>F5106-I5106</f>
        <v/>
      </c>
      <c r="K5106" s="237" t="n"/>
      <c r="L5106" s="148">
        <f>+G5106-K5106+L5105</f>
        <v/>
      </c>
    </row>
    <row r="5107">
      <c r="B5107" s="1" t="n">
        <v>2</v>
      </c>
      <c r="C5107" s="24" t="n">
        <v>45444</v>
      </c>
      <c r="D5107" s="24" t="n">
        <v>45473</v>
      </c>
      <c r="E5107" s="25" t="n">
        <v>31</v>
      </c>
      <c r="F5107" s="319">
        <f>J5106</f>
        <v/>
      </c>
      <c r="G5107" s="319" t="n">
        <v>416666.67</v>
      </c>
      <c r="H5107" s="319">
        <f>($D$5097/$D$5099*F5107)</f>
        <v/>
      </c>
      <c r="I5107" s="319">
        <f>G5107-H5107</f>
        <v/>
      </c>
      <c r="J5107" s="319">
        <f>F5107-I5107</f>
        <v/>
      </c>
      <c r="K5107" s="237" t="n">
        <v>1200000</v>
      </c>
      <c r="L5107" s="148">
        <f>+G5107-K5107+L5106</f>
        <v/>
      </c>
    </row>
    <row r="5108">
      <c r="B5108" s="1">
        <f>+B5107+1</f>
        <v/>
      </c>
      <c r="C5108" s="24" t="n">
        <v>45474</v>
      </c>
      <c r="D5108" s="24" t="n">
        <v>45504</v>
      </c>
      <c r="E5108" s="25" t="n">
        <v>30</v>
      </c>
      <c r="F5108" s="319">
        <f>J5107</f>
        <v/>
      </c>
      <c r="G5108" s="319" t="n">
        <v>416666.67</v>
      </c>
      <c r="H5108" s="319">
        <f>($D$5097/$D$5099*F5108)</f>
        <v/>
      </c>
      <c r="I5108" s="319">
        <f>G5108-H5108</f>
        <v/>
      </c>
      <c r="J5108" s="319">
        <f>F5108-I5108</f>
        <v/>
      </c>
      <c r="L5108" s="148">
        <f>+G5108-K5108+L5107</f>
        <v/>
      </c>
    </row>
    <row r="5109">
      <c r="B5109" s="1">
        <f>+B5108+1</f>
        <v/>
      </c>
      <c r="C5109" s="24" t="n">
        <v>45505</v>
      </c>
      <c r="D5109" s="24" t="n">
        <v>45535</v>
      </c>
      <c r="E5109" s="25" t="n">
        <v>31</v>
      </c>
      <c r="F5109" s="319">
        <f>J5108</f>
        <v/>
      </c>
      <c r="G5109" s="319">
        <f>-PMT($D$5097/$D$5099,21,$F$5109,,0)</f>
        <v/>
      </c>
      <c r="H5109" s="319">
        <f>($D$5097/$D$5099*F5109)</f>
        <v/>
      </c>
      <c r="I5109" s="319">
        <f>G5109-H5109</f>
        <v/>
      </c>
      <c r="J5109" s="319">
        <f>F5109-I5109</f>
        <v/>
      </c>
      <c r="L5109" s="148">
        <f>+G5109-K5109+L5108</f>
        <v/>
      </c>
    </row>
    <row r="5110">
      <c r="B5110" s="1">
        <f>+B5109+1</f>
        <v/>
      </c>
      <c r="C5110" s="24" t="n">
        <v>45536</v>
      </c>
      <c r="D5110" s="24" t="n">
        <v>45565</v>
      </c>
      <c r="E5110" s="25" t="n">
        <v>31</v>
      </c>
      <c r="F5110" s="319">
        <f>J5109</f>
        <v/>
      </c>
      <c r="G5110" s="319">
        <f>-PMT($D$5097/$D$5099,21,$F$5109,,0)</f>
        <v/>
      </c>
      <c r="H5110" s="319">
        <f>($D$5097/$D$5099*F5110)</f>
        <v/>
      </c>
      <c r="I5110" s="319">
        <f>G5110-H5110</f>
        <v/>
      </c>
      <c r="J5110" s="319">
        <f>F5110-I5110</f>
        <v/>
      </c>
      <c r="L5110" s="148">
        <f>+G5110-K5110+L5109</f>
        <v/>
      </c>
    </row>
    <row r="5111">
      <c r="B5111" s="1">
        <f>+B5110+1</f>
        <v/>
      </c>
      <c r="C5111" s="24" t="n">
        <v>45566</v>
      </c>
      <c r="D5111" s="24" t="n">
        <v>45596</v>
      </c>
      <c r="E5111" s="25" t="n">
        <v>30</v>
      </c>
      <c r="F5111" s="319">
        <f>J5110</f>
        <v/>
      </c>
      <c r="G5111" s="319">
        <f>-PMT($D$5097/$D$5099,21,$F$5109,,0)</f>
        <v/>
      </c>
      <c r="H5111" s="319">
        <f>($D$5097/$D$5099*F5111)</f>
        <v/>
      </c>
      <c r="I5111" s="319">
        <f>G5111-H5111</f>
        <v/>
      </c>
      <c r="J5111" s="319">
        <f>F5111-I5111</f>
        <v/>
      </c>
      <c r="K5111" s="237">
        <f>3880000+4000000</f>
        <v/>
      </c>
      <c r="L5111" s="352">
        <f>+G5111-K5111+L5110</f>
        <v/>
      </c>
    </row>
    <row r="5112">
      <c r="B5112" s="1">
        <f>+B5111+1</f>
        <v/>
      </c>
      <c r="C5112" s="24" t="n">
        <v>45597</v>
      </c>
      <c r="D5112" s="24" t="n">
        <v>45626</v>
      </c>
      <c r="E5112" s="25" t="n">
        <v>31</v>
      </c>
      <c r="F5112" s="319">
        <f>J5111</f>
        <v/>
      </c>
      <c r="G5112" s="319">
        <f>-PMT($D$5097/$D$5099,21,$F$5109,,0)</f>
        <v/>
      </c>
      <c r="H5112" s="319">
        <f>($D$5097/$D$5099*F5112)</f>
        <v/>
      </c>
      <c r="I5112" s="319">
        <f>G5112-H5112</f>
        <v/>
      </c>
      <c r="J5112" s="319">
        <f>F5112-I5112</f>
        <v/>
      </c>
    </row>
    <row r="5113">
      <c r="B5113" s="1">
        <f>+B5112+1</f>
        <v/>
      </c>
      <c r="C5113" s="24" t="n">
        <v>45627</v>
      </c>
      <c r="D5113" s="24" t="n">
        <v>45657</v>
      </c>
      <c r="E5113" s="25" t="n">
        <v>30</v>
      </c>
      <c r="F5113" s="319">
        <f>J5112</f>
        <v/>
      </c>
      <c r="G5113" s="319">
        <f>-PMT($D$5097/$D$5099,21,$F$5109,,0)</f>
        <v/>
      </c>
      <c r="H5113" s="319">
        <f>($D$5097/$D$5099*F5113)</f>
        <v/>
      </c>
      <c r="I5113" s="319">
        <f>G5113-H5113</f>
        <v/>
      </c>
      <c r="J5113" s="319">
        <f>F5113-I5113</f>
        <v/>
      </c>
    </row>
    <row r="5114">
      <c r="B5114" s="1">
        <f>+B5113+1</f>
        <v/>
      </c>
      <c r="C5114" s="24" t="n">
        <v>45658</v>
      </c>
      <c r="D5114" s="24" t="n">
        <v>45688</v>
      </c>
      <c r="E5114" s="25" t="n">
        <v>31</v>
      </c>
      <c r="F5114" s="319">
        <f>J5113</f>
        <v/>
      </c>
      <c r="G5114" s="319">
        <f>-PMT($D$5097/$D$5099,21,$F$5109,,0)</f>
        <v/>
      </c>
      <c r="H5114" s="319">
        <f>($D$5097/$D$5099*F5114)</f>
        <v/>
      </c>
      <c r="I5114" s="319">
        <f>G5114-H5114</f>
        <v/>
      </c>
      <c r="J5114" s="319">
        <f>F5114-I5114</f>
        <v/>
      </c>
    </row>
    <row r="5115">
      <c r="B5115" s="1">
        <f>+B5114+1</f>
        <v/>
      </c>
      <c r="C5115" s="24" t="n">
        <v>45689</v>
      </c>
      <c r="D5115" s="24" t="n">
        <v>45716</v>
      </c>
      <c r="E5115" s="25" t="n">
        <v>31</v>
      </c>
      <c r="F5115" s="319">
        <f>J5114</f>
        <v/>
      </c>
      <c r="G5115" s="319">
        <f>-PMT($D$5097/$D$5099,21,$F$5109,,0)</f>
        <v/>
      </c>
      <c r="H5115" s="319">
        <f>($D$5097/$D$5099*F5115)</f>
        <v/>
      </c>
      <c r="I5115" s="319">
        <f>G5115-H5115</f>
        <v/>
      </c>
      <c r="J5115" s="319">
        <f>F5115-I5115</f>
        <v/>
      </c>
    </row>
    <row r="5116">
      <c r="B5116" s="1">
        <f>+B5115+1</f>
        <v/>
      </c>
      <c r="C5116" s="24" t="n">
        <v>45717</v>
      </c>
      <c r="D5116" s="24" t="n">
        <v>45747</v>
      </c>
      <c r="E5116" s="25" t="n">
        <v>28</v>
      </c>
      <c r="F5116" s="319">
        <f>J5115</f>
        <v/>
      </c>
      <c r="G5116" s="319">
        <f>-PMT($D$5097/$D$5099,21,$F$5109,,0)</f>
        <v/>
      </c>
      <c r="H5116" s="319">
        <f>($D$5097/$D$5099*F5116)</f>
        <v/>
      </c>
      <c r="I5116" s="319">
        <f>G5116-H5116</f>
        <v/>
      </c>
      <c r="J5116" s="319">
        <f>F5116-I5116</f>
        <v/>
      </c>
    </row>
    <row r="5117">
      <c r="B5117" s="1">
        <f>+B5116+1</f>
        <v/>
      </c>
      <c r="C5117" s="24" t="n">
        <v>45748</v>
      </c>
      <c r="D5117" s="24" t="n">
        <v>45777</v>
      </c>
      <c r="E5117" s="25" t="n">
        <v>31</v>
      </c>
      <c r="F5117" s="319">
        <f>J5116</f>
        <v/>
      </c>
      <c r="G5117" s="319">
        <f>-PMT($D$5097/$D$5099,21,$F$5109,,0)</f>
        <v/>
      </c>
      <c r="H5117" s="319">
        <f>($D$5097/$D$5099*F5117)</f>
        <v/>
      </c>
      <c r="I5117" s="319">
        <f>G5117-H5117</f>
        <v/>
      </c>
      <c r="J5117" s="319">
        <f>F5117-I5117</f>
        <v/>
      </c>
    </row>
    <row r="5118">
      <c r="B5118" s="1">
        <f>+B5117+1</f>
        <v/>
      </c>
      <c r="C5118" s="24" t="n">
        <v>45778</v>
      </c>
      <c r="D5118" s="24" t="n">
        <v>45808</v>
      </c>
      <c r="E5118" s="25" t="n">
        <v>30</v>
      </c>
      <c r="F5118" s="319">
        <f>J5117</f>
        <v/>
      </c>
      <c r="G5118" s="319">
        <f>-PMT($D$5097/$D$5099,21,$F$5109,,0)</f>
        <v/>
      </c>
      <c r="H5118" s="319">
        <f>($D$5097/$D$5099*F5118)</f>
        <v/>
      </c>
      <c r="I5118" s="319">
        <f>G5118-H5118</f>
        <v/>
      </c>
      <c r="J5118" s="319">
        <f>F5118-I5118</f>
        <v/>
      </c>
    </row>
    <row r="5119">
      <c r="B5119" s="1">
        <f>+B5118+1</f>
        <v/>
      </c>
      <c r="C5119" s="24" t="n">
        <v>45809</v>
      </c>
      <c r="D5119" s="24" t="n">
        <v>45838</v>
      </c>
      <c r="E5119" s="25" t="n">
        <v>31</v>
      </c>
      <c r="F5119" s="319">
        <f>J5118</f>
        <v/>
      </c>
      <c r="G5119" s="319">
        <f>-PMT($D$5097/$D$5099,21,$F$5109,,0)</f>
        <v/>
      </c>
      <c r="H5119" s="319">
        <f>($D$5097/$D$5099*F5119)</f>
        <v/>
      </c>
      <c r="I5119" s="319">
        <f>G5119-H5119</f>
        <v/>
      </c>
      <c r="J5119" s="319">
        <f>F5119-I5119</f>
        <v/>
      </c>
    </row>
    <row r="5120">
      <c r="B5120" s="1">
        <f>+B5119+1</f>
        <v/>
      </c>
      <c r="C5120" s="24" t="n">
        <v>45839</v>
      </c>
      <c r="D5120" s="24" t="n">
        <v>45868</v>
      </c>
      <c r="E5120" s="25" t="n">
        <v>30</v>
      </c>
      <c r="F5120" s="319">
        <f>J5119</f>
        <v/>
      </c>
      <c r="G5120" s="319">
        <f>-PMT($D$5097/$D$5099,21,$F$5109,,0)</f>
        <v/>
      </c>
      <c r="H5120" s="319">
        <f>($D$5097/$D$5099*F5120)</f>
        <v/>
      </c>
      <c r="I5120" s="319">
        <f>G5120-H5120</f>
        <v/>
      </c>
      <c r="J5120" s="319">
        <f>F5120-I5120</f>
        <v/>
      </c>
    </row>
    <row r="5121">
      <c r="B5121" s="1">
        <f>+B5120+1</f>
        <v/>
      </c>
      <c r="C5121" s="24" t="n">
        <v>45870</v>
      </c>
      <c r="D5121" s="24" t="n">
        <v>45899</v>
      </c>
      <c r="E5121" s="25" t="n">
        <v>30</v>
      </c>
      <c r="F5121" s="319">
        <f>J5120</f>
        <v/>
      </c>
      <c r="G5121" s="319">
        <f>-PMT($D$5097/$D$5099,21,$F$5109,,0)</f>
        <v/>
      </c>
      <c r="H5121" s="319">
        <f>($D$5097/$D$5099*F5121)</f>
        <v/>
      </c>
      <c r="I5121" s="319">
        <f>G5121-H5121</f>
        <v/>
      </c>
      <c r="J5121" s="319">
        <f>F5121-I5121</f>
        <v/>
      </c>
    </row>
    <row r="5122">
      <c r="B5122" s="1">
        <f>+B5121+1</f>
        <v/>
      </c>
      <c r="C5122" s="24" t="n">
        <v>45901</v>
      </c>
      <c r="D5122" s="24" t="n">
        <v>45930</v>
      </c>
      <c r="E5122" s="25" t="n">
        <v>30</v>
      </c>
      <c r="F5122" s="319">
        <f>J5121</f>
        <v/>
      </c>
      <c r="G5122" s="319">
        <f>-PMT($D$5097/$D$5099,21,$F$5109,,0)</f>
        <v/>
      </c>
      <c r="H5122" s="319">
        <f>($D$5097/$D$5099*F5122)</f>
        <v/>
      </c>
      <c r="I5122" s="319">
        <f>G5122-H5122</f>
        <v/>
      </c>
      <c r="J5122" s="319">
        <f>F5122-I5122</f>
        <v/>
      </c>
    </row>
    <row r="5123">
      <c r="B5123" s="1">
        <f>+B5122+1</f>
        <v/>
      </c>
      <c r="C5123" s="24" t="n">
        <v>45931</v>
      </c>
      <c r="D5123" s="24" t="n">
        <v>45961</v>
      </c>
      <c r="E5123" s="25" t="n">
        <v>30</v>
      </c>
      <c r="F5123" s="319">
        <f>J5122</f>
        <v/>
      </c>
      <c r="G5123" s="319">
        <f>-PMT($D$5097/$D$5099,21,$F$5109,,0)</f>
        <v/>
      </c>
      <c r="H5123" s="319">
        <f>($D$5097/$D$5099*F5123)</f>
        <v/>
      </c>
      <c r="I5123" s="319">
        <f>G5123-H5123</f>
        <v/>
      </c>
      <c r="J5123" s="319">
        <f>F5123-I5123</f>
        <v/>
      </c>
    </row>
    <row r="5124">
      <c r="B5124" s="1">
        <f>+B5123+1</f>
        <v/>
      </c>
      <c r="C5124" s="24" t="n">
        <v>45962</v>
      </c>
      <c r="D5124" s="24" t="n">
        <v>45991</v>
      </c>
      <c r="E5124" s="25" t="n">
        <v>31</v>
      </c>
      <c r="F5124" s="319">
        <f>J5123</f>
        <v/>
      </c>
      <c r="G5124" s="319">
        <f>-PMT($D$5097/$D$5099,21,$F$5109,,0)</f>
        <v/>
      </c>
      <c r="H5124" s="319">
        <f>($D$5097/$D$5099*F5124)</f>
        <v/>
      </c>
      <c r="I5124" s="319">
        <f>G5124-H5124</f>
        <v/>
      </c>
      <c r="J5124" s="319">
        <f>F5124-I5124</f>
        <v/>
      </c>
    </row>
    <row r="5125">
      <c r="B5125" s="1">
        <f>+B5124+1</f>
        <v/>
      </c>
      <c r="C5125" s="24" t="n">
        <v>45992</v>
      </c>
      <c r="D5125" s="24" t="n">
        <v>46022</v>
      </c>
      <c r="E5125" s="25" t="n">
        <v>30</v>
      </c>
      <c r="F5125" s="319">
        <f>J5124</f>
        <v/>
      </c>
      <c r="G5125" s="319">
        <f>-PMT($D$5097/$D$5099,21,$F$5109,,0)</f>
        <v/>
      </c>
      <c r="H5125" s="319">
        <f>($D$5097/$D$5099*F5125)</f>
        <v/>
      </c>
      <c r="I5125" s="319">
        <f>G5125-H5125</f>
        <v/>
      </c>
      <c r="J5125" s="319">
        <f>F5125-I5125</f>
        <v/>
      </c>
    </row>
    <row r="5126">
      <c r="B5126" s="1">
        <f>+B5125+1</f>
        <v/>
      </c>
      <c r="C5126" s="24" t="n">
        <v>46023</v>
      </c>
      <c r="D5126" s="24" t="n">
        <v>46053</v>
      </c>
      <c r="E5126" s="25" t="n">
        <v>31</v>
      </c>
      <c r="F5126" s="319">
        <f>J5125</f>
        <v/>
      </c>
      <c r="G5126" s="319">
        <f>-PMT($D$5097/$D$5099,21,$F$5109,,0)</f>
        <v/>
      </c>
      <c r="H5126" s="319">
        <f>($D$5097/$D$5099*F5126)</f>
        <v/>
      </c>
      <c r="I5126" s="319">
        <f>G5126-H5126</f>
        <v/>
      </c>
      <c r="J5126" s="319">
        <f>F5126-I5126</f>
        <v/>
      </c>
    </row>
    <row r="5127">
      <c r="B5127" s="1">
        <f>+B5126+1</f>
        <v/>
      </c>
      <c r="C5127" s="24" t="n">
        <v>46054</v>
      </c>
      <c r="D5127" s="24" t="n">
        <v>46081</v>
      </c>
      <c r="E5127" s="25" t="n">
        <v>31</v>
      </c>
      <c r="F5127" s="319">
        <f>J5126</f>
        <v/>
      </c>
      <c r="G5127" s="319">
        <f>-PMT($D$5097/$D$5099,21,$F$5109,,0)</f>
        <v/>
      </c>
      <c r="H5127" s="319">
        <f>($D$5097/$D$5099*F5127)</f>
        <v/>
      </c>
      <c r="I5127" s="319">
        <f>G5127-H5127</f>
        <v/>
      </c>
      <c r="J5127" s="319">
        <f>F5127-I5127</f>
        <v/>
      </c>
    </row>
    <row r="5128">
      <c r="B5128" s="1">
        <f>+B5127+1</f>
        <v/>
      </c>
      <c r="C5128" s="24" t="n">
        <v>46082</v>
      </c>
      <c r="D5128" s="24" t="n">
        <v>46112</v>
      </c>
      <c r="E5128" s="25" t="n">
        <v>28</v>
      </c>
      <c r="F5128" s="319">
        <f>J5127</f>
        <v/>
      </c>
      <c r="G5128" s="319">
        <f>-PMT($D$5097/$D$5099,21,$F$5109,,0)</f>
        <v/>
      </c>
      <c r="H5128" s="319">
        <f>($D$5097/$D$5099*F5128)</f>
        <v/>
      </c>
      <c r="I5128" s="319">
        <f>G5128-H5128</f>
        <v/>
      </c>
      <c r="J5128" s="319">
        <f>F5128-I5128</f>
        <v/>
      </c>
    </row>
    <row r="5129">
      <c r="B5129" s="1">
        <f>+B5128+1</f>
        <v/>
      </c>
      <c r="C5129" s="24" t="n">
        <v>46113</v>
      </c>
      <c r="D5129" s="24" t="n">
        <v>46142</v>
      </c>
      <c r="E5129" s="25" t="n">
        <v>31</v>
      </c>
      <c r="F5129" s="319">
        <f>J5128</f>
        <v/>
      </c>
      <c r="G5129" s="319">
        <f>-PMT($D$5097/$D$5099,21,$F$5109,,0)</f>
        <v/>
      </c>
      <c r="H5129" s="319">
        <f>($D$5097/$D$5099*F5129)</f>
        <v/>
      </c>
      <c r="I5129" s="319">
        <f>G5129-H5129</f>
        <v/>
      </c>
      <c r="J5129" s="319">
        <f>F5129-I5129</f>
        <v/>
      </c>
    </row>
    <row r="5130">
      <c r="B5130" s="1" t="n"/>
      <c r="C5130" s="24" t="n"/>
      <c r="D5130" s="24" t="n"/>
      <c r="E5130" s="25" t="n"/>
      <c r="F5130" s="319" t="n"/>
      <c r="G5130" s="522" t="n"/>
      <c r="H5130" s="319" t="n"/>
      <c r="I5130" s="319" t="n"/>
      <c r="J5130" s="319" t="n"/>
    </row>
    <row r="5132">
      <c r="B5132" s="1" t="n"/>
      <c r="C5132" s="9" t="inlineStr">
        <is>
          <t>7 ARTS HOLDINGS Limited</t>
        </is>
      </c>
      <c r="D5132" s="319" t="n"/>
      <c r="E5132" s="319" t="n"/>
      <c r="F5132" s="319" t="n"/>
      <c r="G5132" s="319" t="n"/>
      <c r="H5132" s="319" t="n"/>
      <c r="I5132" s="319" t="n"/>
      <c r="J5132" s="319" t="n"/>
      <c r="R5132" s="514" t="inlineStr">
        <is>
          <t>E-Banker account (Dupleix)</t>
        </is>
      </c>
      <c r="S5132" s="495">
        <f>IFERROR(INDEX('Blocks'!$I$2:$I$101,MATCH(94,'Blocks'!$A$2:$A$101,0)),"")</f>
        <v/>
      </c>
    </row>
    <row r="5133">
      <c r="B5133" s="1" t="n"/>
      <c r="C5133" s="1" t="n"/>
      <c r="D5133" s="319" t="n"/>
      <c r="E5133" s="319" t="n"/>
      <c r="F5133" s="319" t="n"/>
      <c r="G5133" s="319" t="n"/>
      <c r="H5133" s="319" t="n"/>
      <c r="I5133" s="319" t="n"/>
      <c r="J5133" s="319" t="n"/>
      <c r="R5133" s="514" t="inlineStr">
        <is>
          <t>Facility (Loan Book)</t>
        </is>
      </c>
      <c r="S5133" s="495">
        <f>IFERROR(INDEX('Blocks'!$H$2:$H$101,MATCH(94,'Blocks'!$A$2:$A$101,0)),"")</f>
        <v/>
      </c>
    </row>
    <row r="5134">
      <c r="B5134" s="1" t="n"/>
      <c r="C5134" s="10" t="inlineStr">
        <is>
          <t>Principal (MK)</t>
        </is>
      </c>
      <c r="D5134" s="11" t="n">
        <v>65000000</v>
      </c>
      <c r="E5134" s="319" t="n"/>
      <c r="F5134" s="319" t="n"/>
      <c r="G5134" s="319" t="n"/>
      <c r="H5134" s="319" t="n"/>
      <c r="I5134" s="319" t="n"/>
      <c r="J5134" s="319" t="n"/>
      <c r="R5134" s="514" t="inlineStr">
        <is>
          <t>Take-on posting 31 Jul 2024</t>
        </is>
      </c>
      <c r="S5134" s="496">
        <f>IFERROR(INDEX('E-Banker master'!$N$2:$N$186,MATCH(S5132,'E-Banker master'!$A$2:$A$186,0)),"")</f>
        <v/>
      </c>
    </row>
    <row r="5135">
      <c r="B5135" s="1" t="n"/>
      <c r="C5135" s="13" t="inlineStr">
        <is>
          <t>Rate</t>
        </is>
      </c>
      <c r="D5135" s="14" t="n">
        <v>0.1</v>
      </c>
      <c r="E5135" s="257" t="n"/>
      <c r="F5135" s="319" t="n"/>
      <c r="G5135" s="319" t="n"/>
      <c r="H5135" s="319" t="n"/>
      <c r="I5135" s="319" t="n"/>
      <c r="J5135" s="319" t="n"/>
      <c r="R5135" s="514" t="inlineStr">
        <is>
          <t>E-Banker balance 31 Oct 2024</t>
        </is>
      </c>
      <c r="S5135" s="496">
        <f>IFERROR(INDEX('E-Banker master'!$P$2:$P$186,MATCH(S5132,'E-Banker master'!$A$2:$A$186,0)),"")</f>
        <v/>
      </c>
    </row>
    <row r="5136">
      <c r="B5136" s="1" t="n"/>
      <c r="C5136" s="13" t="inlineStr">
        <is>
          <t>n</t>
        </is>
      </c>
      <c r="D5136" s="16" t="n">
        <v>5</v>
      </c>
      <c r="E5136" s="1" t="n"/>
      <c r="F5136" s="319" t="n"/>
      <c r="G5136" s="319" t="n"/>
      <c r="H5136" s="319" t="n"/>
      <c r="I5136" s="319" t="n"/>
      <c r="J5136" s="319" t="n"/>
    </row>
    <row r="5137">
      <c r="B5137" s="1" t="n"/>
      <c r="C5137" s="13" t="inlineStr">
        <is>
          <t>Per</t>
        </is>
      </c>
      <c r="D5137" s="16" t="n">
        <v>12</v>
      </c>
      <c r="E5137" s="1" t="n"/>
      <c r="F5137" s="319" t="n"/>
      <c r="G5137" s="319" t="n"/>
      <c r="H5137" s="319" t="n"/>
      <c r="I5137" s="319" t="n"/>
      <c r="J5137" s="319" t="n"/>
    </row>
    <row r="5138">
      <c r="B5138" s="1" t="n"/>
      <c r="C5138" s="13" t="inlineStr">
        <is>
          <t>nPer</t>
        </is>
      </c>
      <c r="D5138" s="515">
        <f>+D5137*D5136</f>
        <v/>
      </c>
      <c r="E5138" s="1" t="n"/>
      <c r="F5138" s="319" t="n"/>
      <c r="G5138" s="319" t="n"/>
      <c r="H5138" s="319" t="n"/>
      <c r="I5138" s="319" t="n"/>
      <c r="J5138" s="319" t="n"/>
    </row>
    <row r="5139">
      <c r="B5139" s="1" t="n"/>
      <c r="C5139" s="13" t="inlineStr">
        <is>
          <t>Days in a year</t>
        </is>
      </c>
      <c r="D5139" s="18" t="n">
        <v>365</v>
      </c>
      <c r="E5139" s="1" t="n"/>
      <c r="F5139" s="319" t="n"/>
      <c r="G5139" s="319" t="n"/>
      <c r="H5139" s="319" t="n"/>
      <c r="I5139" s="319" t="n"/>
      <c r="J5139" s="319" t="n"/>
    </row>
    <row r="5140">
      <c r="B5140" s="1" t="n"/>
      <c r="C5140" s="19" t="inlineStr">
        <is>
          <t>Pmt (MK)</t>
        </is>
      </c>
      <c r="D5140" s="534">
        <f>-PMT(D5135/D5137,D5138,D5134,0,0)</f>
        <v/>
      </c>
      <c r="E5140" s="319" t="n"/>
      <c r="F5140" s="319" t="n"/>
      <c r="G5140" s="319" t="n"/>
      <c r="H5140" s="319" t="n"/>
      <c r="I5140" s="319" t="n"/>
      <c r="J5140" s="319" t="n"/>
    </row>
    <row r="5141">
      <c r="B5141" s="1" t="n"/>
      <c r="C5141" s="1" t="n"/>
      <c r="D5141" s="319" t="n"/>
      <c r="E5141" s="319" t="n"/>
      <c r="F5141" s="319" t="n"/>
      <c r="G5141" s="319" t="n"/>
      <c r="H5141" s="319" t="n"/>
      <c r="I5141" s="319" t="n"/>
      <c r="J5141" s="319" t="n"/>
    </row>
    <row r="5142">
      <c r="B5142" s="1" t="n"/>
      <c r="C5142" s="21" t="inlineStr">
        <is>
          <t>Period Start</t>
        </is>
      </c>
      <c r="D5142" s="22" t="inlineStr">
        <is>
          <t>Period End</t>
        </is>
      </c>
      <c r="E5142" s="22" t="inlineStr">
        <is>
          <t>Days</t>
        </is>
      </c>
      <c r="F5142" s="294" t="inlineStr">
        <is>
          <t>Opening bal.</t>
        </is>
      </c>
      <c r="G5142" s="294" t="inlineStr">
        <is>
          <t>Pmt</t>
        </is>
      </c>
      <c r="H5142" s="294" t="inlineStr">
        <is>
          <t>Interest</t>
        </is>
      </c>
      <c r="I5142" s="294" t="inlineStr">
        <is>
          <t>Principal</t>
        </is>
      </c>
      <c r="J5142" s="294" t="inlineStr">
        <is>
          <t>Closing balance</t>
        </is>
      </c>
      <c r="K5142" s="23" t="inlineStr">
        <is>
          <t>Amount Repaid</t>
        </is>
      </c>
      <c r="L5142" s="23" t="inlineStr">
        <is>
          <t>Accumulated Arrears</t>
        </is>
      </c>
    </row>
    <row r="5143">
      <c r="B5143" s="1" t="n">
        <v>0</v>
      </c>
      <c r="C5143" s="24" t="n">
        <v>45412</v>
      </c>
      <c r="D5143" s="24" t="n">
        <v>45412</v>
      </c>
      <c r="E5143" s="25" t="n">
        <v>1</v>
      </c>
      <c r="F5143" s="319">
        <f>D5134</f>
        <v/>
      </c>
      <c r="G5143" s="319">
        <f>H5143</f>
        <v/>
      </c>
      <c r="H5143" s="319">
        <f>($D$5135/$D$5137*F5143*E5143/30)</f>
        <v/>
      </c>
      <c r="I5143" s="319">
        <f>G5143-H5143</f>
        <v/>
      </c>
      <c r="J5143" s="319">
        <f>F5143-I5143</f>
        <v/>
      </c>
      <c r="L5143" s="148">
        <f>+G5143</f>
        <v/>
      </c>
    </row>
    <row r="5144">
      <c r="B5144" s="1" t="n">
        <v>1</v>
      </c>
      <c r="C5144" s="24" t="n">
        <v>45413</v>
      </c>
      <c r="D5144" s="24" t="n">
        <v>45443</v>
      </c>
      <c r="E5144" s="25" t="n">
        <v>30</v>
      </c>
      <c r="F5144" s="319">
        <f>J5143</f>
        <v/>
      </c>
      <c r="G5144" s="319">
        <f>H5144</f>
        <v/>
      </c>
      <c r="H5144" s="319">
        <f>($D$5135/$D$5137*F5144)</f>
        <v/>
      </c>
      <c r="I5144" s="319">
        <f>G5144-H5144</f>
        <v/>
      </c>
      <c r="J5144" s="319">
        <f>F5144-I5144</f>
        <v/>
      </c>
      <c r="K5144" s="237" t="n">
        <v>559722.22</v>
      </c>
      <c r="L5144" s="148">
        <f>+G5144-K5144+L5143</f>
        <v/>
      </c>
    </row>
    <row r="5145">
      <c r="B5145" s="1" t="n">
        <v>2</v>
      </c>
      <c r="C5145" s="24" t="n">
        <v>45444</v>
      </c>
      <c r="D5145" s="24" t="n">
        <v>45473</v>
      </c>
      <c r="E5145" s="25" t="n">
        <v>31</v>
      </c>
      <c r="F5145" s="319">
        <f>J5144</f>
        <v/>
      </c>
      <c r="G5145" s="319">
        <f>H5145</f>
        <v/>
      </c>
      <c r="H5145" s="319">
        <f>($D$5135/$D$5137*F5145)</f>
        <v/>
      </c>
      <c r="I5145" s="319">
        <f>G5145-H5145</f>
        <v/>
      </c>
      <c r="J5145" s="319">
        <f>F5145-I5145</f>
        <v/>
      </c>
      <c r="K5145" s="237" t="n"/>
      <c r="L5145" s="148">
        <f>+G5145-K5145+L5144</f>
        <v/>
      </c>
    </row>
    <row r="5146">
      <c r="B5146" s="1">
        <f>+B5145+1</f>
        <v/>
      </c>
      <c r="C5146" s="24" t="n">
        <v>45474</v>
      </c>
      <c r="D5146" s="24" t="n">
        <v>45504</v>
      </c>
      <c r="E5146" s="25" t="n">
        <v>30</v>
      </c>
      <c r="F5146" s="319">
        <f>J5145</f>
        <v/>
      </c>
      <c r="G5146" s="319">
        <f>H5146</f>
        <v/>
      </c>
      <c r="H5146" s="319">
        <f>($D$5135/$D$5137*F5146)</f>
        <v/>
      </c>
      <c r="I5146" s="319">
        <f>G5146-H5146</f>
        <v/>
      </c>
      <c r="J5146" s="319">
        <f>F5146-I5146</f>
        <v/>
      </c>
      <c r="K5146" s="237" t="n">
        <v>541666.67</v>
      </c>
      <c r="L5146" s="148">
        <f>+G5146-K5146+L5145</f>
        <v/>
      </c>
    </row>
    <row r="5147">
      <c r="B5147" s="1">
        <f>+B5146+1</f>
        <v/>
      </c>
      <c r="C5147" s="24" t="n">
        <v>45505</v>
      </c>
      <c r="D5147" s="24" t="n">
        <v>45535</v>
      </c>
      <c r="E5147" s="25" t="n">
        <v>31</v>
      </c>
      <c r="F5147" s="319">
        <f>J5146</f>
        <v/>
      </c>
      <c r="G5147" s="319">
        <f>H5147</f>
        <v/>
      </c>
      <c r="H5147" s="319">
        <f>($D$5135/$D$5137*F5147)</f>
        <v/>
      </c>
      <c r="I5147" s="319">
        <f>G5147-H5147</f>
        <v/>
      </c>
      <c r="J5147" s="319">
        <f>F5147-I5147</f>
        <v/>
      </c>
      <c r="K5147" s="237" t="n">
        <v>541666.67</v>
      </c>
      <c r="L5147" s="148">
        <f>+G5147-K5147+L5146</f>
        <v/>
      </c>
    </row>
    <row r="5148">
      <c r="B5148" s="1">
        <f>+B5147+1</f>
        <v/>
      </c>
      <c r="C5148" s="24" t="n">
        <v>45536</v>
      </c>
      <c r="D5148" s="24" t="n">
        <v>45565</v>
      </c>
      <c r="E5148" s="25" t="n">
        <v>31</v>
      </c>
      <c r="F5148" s="319">
        <f>J5147</f>
        <v/>
      </c>
      <c r="G5148" s="319">
        <f>H5148</f>
        <v/>
      </c>
      <c r="H5148" s="319">
        <f>($D$5135/$D$5137*F5148)</f>
        <v/>
      </c>
      <c r="I5148" s="319">
        <f>G5148-H5148</f>
        <v/>
      </c>
      <c r="J5148" s="319">
        <f>F5148-I5148</f>
        <v/>
      </c>
      <c r="K5148" s="237" t="n">
        <v>541666.67</v>
      </c>
      <c r="L5148" s="148">
        <f>+G5148-K5148+L5147</f>
        <v/>
      </c>
    </row>
    <row r="5149">
      <c r="B5149" s="1">
        <f>+B5148+1</f>
        <v/>
      </c>
      <c r="C5149" s="24" t="n">
        <v>45566</v>
      </c>
      <c r="D5149" s="24" t="n">
        <v>45596</v>
      </c>
      <c r="E5149" s="25" t="n">
        <v>30</v>
      </c>
      <c r="F5149" s="319">
        <f>J5148</f>
        <v/>
      </c>
      <c r="G5149" s="319">
        <f>H5149</f>
        <v/>
      </c>
      <c r="H5149" s="319">
        <f>($D$5135/$D$5137*F5149)</f>
        <v/>
      </c>
      <c r="I5149" s="319">
        <f>G5149-H5149</f>
        <v/>
      </c>
      <c r="J5149" s="319">
        <f>F5149-I5149</f>
        <v/>
      </c>
      <c r="K5149" s="237" t="n">
        <v>541666.67</v>
      </c>
      <c r="L5149" s="389">
        <f>+G5149-K5149+L5148</f>
        <v/>
      </c>
    </row>
    <row r="5150">
      <c r="B5150" s="1">
        <f>+B5149+1</f>
        <v/>
      </c>
      <c r="C5150" s="24" t="n">
        <v>45597</v>
      </c>
      <c r="D5150" s="24" t="n">
        <v>45626</v>
      </c>
      <c r="E5150" s="25" t="n">
        <v>31</v>
      </c>
      <c r="F5150" s="319">
        <f>J5149</f>
        <v/>
      </c>
      <c r="G5150" s="319">
        <f>-PMT($D$5135/$D$5137,54,$F$5150,,0)</f>
        <v/>
      </c>
      <c r="H5150" s="319">
        <f>($D$5135/$D$5137*F5150)</f>
        <v/>
      </c>
      <c r="I5150" s="319">
        <f>G5150-H5150</f>
        <v/>
      </c>
      <c r="J5150" s="319">
        <f>F5150-I5150</f>
        <v/>
      </c>
    </row>
    <row r="5151">
      <c r="B5151" s="1">
        <f>+B5150+1</f>
        <v/>
      </c>
      <c r="C5151" s="24" t="n">
        <v>45627</v>
      </c>
      <c r="D5151" s="24" t="n">
        <v>45657</v>
      </c>
      <c r="E5151" s="25" t="n">
        <v>30</v>
      </c>
      <c r="F5151" s="319">
        <f>J5150</f>
        <v/>
      </c>
      <c r="G5151" s="319">
        <f>-PMT($D$5135/$D$5137,54,$F$5150,,0)</f>
        <v/>
      </c>
      <c r="H5151" s="319">
        <f>($D$5135/$D$5137*F5151)</f>
        <v/>
      </c>
      <c r="I5151" s="319">
        <f>G5151-H5151</f>
        <v/>
      </c>
      <c r="J5151" s="319">
        <f>F5151-I5151</f>
        <v/>
      </c>
    </row>
    <row r="5152">
      <c r="B5152" s="1">
        <f>+B5151+1</f>
        <v/>
      </c>
      <c r="C5152" s="24" t="n">
        <v>45658</v>
      </c>
      <c r="D5152" s="24" t="n">
        <v>45688</v>
      </c>
      <c r="E5152" s="25" t="n">
        <v>31</v>
      </c>
      <c r="F5152" s="319">
        <f>J5151</f>
        <v/>
      </c>
      <c r="G5152" s="319">
        <f>-PMT($D$5135/$D$5137,54,$F$5150,,0)</f>
        <v/>
      </c>
      <c r="H5152" s="319">
        <f>($D$5135/$D$5137*F5152)</f>
        <v/>
      </c>
      <c r="I5152" s="319">
        <f>G5152-H5152</f>
        <v/>
      </c>
      <c r="J5152" s="319">
        <f>F5152-I5152</f>
        <v/>
      </c>
    </row>
    <row r="5153">
      <c r="B5153" s="1">
        <f>+B5152+1</f>
        <v/>
      </c>
      <c r="C5153" s="24" t="n">
        <v>45689</v>
      </c>
      <c r="D5153" s="24" t="n">
        <v>45716</v>
      </c>
      <c r="E5153" s="25" t="n">
        <v>31</v>
      </c>
      <c r="F5153" s="319">
        <f>J5152</f>
        <v/>
      </c>
      <c r="G5153" s="319">
        <f>-PMT($D$5135/$D$5137,54,$F$5150,,0)</f>
        <v/>
      </c>
      <c r="H5153" s="319">
        <f>($D$5135/$D$5137*F5153)</f>
        <v/>
      </c>
      <c r="I5153" s="319">
        <f>G5153-H5153</f>
        <v/>
      </c>
      <c r="J5153" s="319">
        <f>F5153-I5153</f>
        <v/>
      </c>
    </row>
    <row r="5154">
      <c r="B5154" s="1">
        <f>+B5153+1</f>
        <v/>
      </c>
      <c r="C5154" s="24" t="n">
        <v>45717</v>
      </c>
      <c r="D5154" s="24" t="n">
        <v>45747</v>
      </c>
      <c r="E5154" s="25" t="n">
        <v>28</v>
      </c>
      <c r="F5154" s="319">
        <f>J5153</f>
        <v/>
      </c>
      <c r="G5154" s="319">
        <f>-PMT($D$5135/$D$5137,54,$F$5150,,0)</f>
        <v/>
      </c>
      <c r="H5154" s="319">
        <f>($D$5135/$D$5137*F5154)</f>
        <v/>
      </c>
      <c r="I5154" s="319">
        <f>G5154-H5154</f>
        <v/>
      </c>
      <c r="J5154" s="319">
        <f>F5154-I5154</f>
        <v/>
      </c>
    </row>
    <row r="5155">
      <c r="B5155" s="1">
        <f>+B5154+1</f>
        <v/>
      </c>
      <c r="C5155" s="24" t="n">
        <v>45748</v>
      </c>
      <c r="D5155" s="24" t="n">
        <v>45777</v>
      </c>
      <c r="E5155" s="25" t="n">
        <v>31</v>
      </c>
      <c r="F5155" s="319">
        <f>J5154</f>
        <v/>
      </c>
      <c r="G5155" s="319">
        <f>-PMT($D$5135/$D$5137,54,$F$5150,,0)</f>
        <v/>
      </c>
      <c r="H5155" s="319">
        <f>($D$5135/$D$5137*F5155)</f>
        <v/>
      </c>
      <c r="I5155" s="319">
        <f>G5155-H5155</f>
        <v/>
      </c>
      <c r="J5155" s="319">
        <f>F5155-I5155</f>
        <v/>
      </c>
    </row>
    <row r="5156">
      <c r="B5156" s="1">
        <f>+B5155+1</f>
        <v/>
      </c>
      <c r="C5156" s="24" t="n">
        <v>45778</v>
      </c>
      <c r="D5156" s="24" t="n">
        <v>45808</v>
      </c>
      <c r="E5156" s="25" t="n">
        <v>30</v>
      </c>
      <c r="F5156" s="319">
        <f>J5155</f>
        <v/>
      </c>
      <c r="G5156" s="319">
        <f>-PMT($D$5135/$D$5137,54,$F$5150,,0)</f>
        <v/>
      </c>
      <c r="H5156" s="319">
        <f>($D$5135/$D$5137*F5156)</f>
        <v/>
      </c>
      <c r="I5156" s="319">
        <f>G5156-H5156</f>
        <v/>
      </c>
      <c r="J5156" s="319">
        <f>F5156-I5156</f>
        <v/>
      </c>
    </row>
    <row r="5157">
      <c r="B5157" s="1">
        <f>+B5156+1</f>
        <v/>
      </c>
      <c r="C5157" s="24" t="n">
        <v>45809</v>
      </c>
      <c r="D5157" s="24" t="n">
        <v>45838</v>
      </c>
      <c r="E5157" s="25" t="n">
        <v>31</v>
      </c>
      <c r="F5157" s="319">
        <f>J5156</f>
        <v/>
      </c>
      <c r="G5157" s="319">
        <f>-PMT($D$5135/$D$5137,54,$F$5150,,0)</f>
        <v/>
      </c>
      <c r="H5157" s="319">
        <f>($D$5135/$D$5137*F5157)</f>
        <v/>
      </c>
      <c r="I5157" s="319">
        <f>G5157-H5157</f>
        <v/>
      </c>
      <c r="J5157" s="319">
        <f>F5157-I5157</f>
        <v/>
      </c>
    </row>
    <row r="5158">
      <c r="B5158" s="1">
        <f>+B5157+1</f>
        <v/>
      </c>
      <c r="C5158" s="24" t="n">
        <v>45839</v>
      </c>
      <c r="D5158" s="24" t="n">
        <v>45868</v>
      </c>
      <c r="E5158" s="25" t="n">
        <v>30</v>
      </c>
      <c r="F5158" s="319">
        <f>J5157</f>
        <v/>
      </c>
      <c r="G5158" s="319">
        <f>-PMT($D$5135/$D$5137,54,$F$5150,,0)</f>
        <v/>
      </c>
      <c r="H5158" s="319">
        <f>($D$5135/$D$5137*F5158)</f>
        <v/>
      </c>
      <c r="I5158" s="319">
        <f>G5158-H5158</f>
        <v/>
      </c>
      <c r="J5158" s="319">
        <f>F5158-I5158</f>
        <v/>
      </c>
    </row>
    <row r="5159">
      <c r="B5159" s="1">
        <f>+B5158+1</f>
        <v/>
      </c>
      <c r="C5159" s="24" t="n">
        <v>45870</v>
      </c>
      <c r="D5159" s="24" t="n">
        <v>45899</v>
      </c>
      <c r="E5159" s="25" t="n">
        <v>30</v>
      </c>
      <c r="F5159" s="319">
        <f>J5158</f>
        <v/>
      </c>
      <c r="G5159" s="319">
        <f>-PMT($D$5135/$D$5137,54,$F$5150,,0)</f>
        <v/>
      </c>
      <c r="H5159" s="319">
        <f>($D$5135/$D$5137*F5159)</f>
        <v/>
      </c>
      <c r="I5159" s="319">
        <f>G5159-H5159</f>
        <v/>
      </c>
      <c r="J5159" s="319">
        <f>F5159-I5159</f>
        <v/>
      </c>
    </row>
    <row r="5160">
      <c r="B5160" s="1">
        <f>+B5159+1</f>
        <v/>
      </c>
      <c r="C5160" s="24" t="n">
        <v>45901</v>
      </c>
      <c r="D5160" s="24" t="n">
        <v>45930</v>
      </c>
      <c r="E5160" s="25" t="n">
        <v>30</v>
      </c>
      <c r="F5160" s="319">
        <f>J5159</f>
        <v/>
      </c>
      <c r="G5160" s="319">
        <f>-PMT($D$5135/$D$5137,54,$F$5150,,0)</f>
        <v/>
      </c>
      <c r="H5160" s="319">
        <f>($D$5135/$D$5137*F5160)</f>
        <v/>
      </c>
      <c r="I5160" s="319">
        <f>G5160-H5160</f>
        <v/>
      </c>
      <c r="J5160" s="319">
        <f>F5160-I5160</f>
        <v/>
      </c>
    </row>
    <row r="5161">
      <c r="B5161" s="1">
        <f>+B5160+1</f>
        <v/>
      </c>
      <c r="C5161" s="24" t="n">
        <v>45931</v>
      </c>
      <c r="D5161" s="24" t="n">
        <v>45961</v>
      </c>
      <c r="E5161" s="25" t="n">
        <v>30</v>
      </c>
      <c r="F5161" s="319">
        <f>J5160</f>
        <v/>
      </c>
      <c r="G5161" s="319">
        <f>-PMT($D$5135/$D$5137,54,$F$5150,,0)</f>
        <v/>
      </c>
      <c r="H5161" s="319">
        <f>($D$5135/$D$5137*F5161)</f>
        <v/>
      </c>
      <c r="I5161" s="319">
        <f>G5161-H5161</f>
        <v/>
      </c>
      <c r="J5161" s="319">
        <f>F5161-I5161</f>
        <v/>
      </c>
    </row>
    <row r="5162">
      <c r="B5162" s="1">
        <f>+B5161+1</f>
        <v/>
      </c>
      <c r="C5162" s="24" t="n">
        <v>45962</v>
      </c>
      <c r="D5162" s="24" t="n">
        <v>45991</v>
      </c>
      <c r="E5162" s="25" t="n">
        <v>31</v>
      </c>
      <c r="F5162" s="319">
        <f>J5161</f>
        <v/>
      </c>
      <c r="G5162" s="319">
        <f>-PMT($D$5135/$D$5137,54,$F$5150,,0)</f>
        <v/>
      </c>
      <c r="H5162" s="319">
        <f>($D$5135/$D$5137*F5162)</f>
        <v/>
      </c>
      <c r="I5162" s="319">
        <f>G5162-H5162</f>
        <v/>
      </c>
      <c r="J5162" s="319">
        <f>F5162-I5162</f>
        <v/>
      </c>
    </row>
    <row r="5163">
      <c r="B5163" s="1">
        <f>+B5162+1</f>
        <v/>
      </c>
      <c r="C5163" s="24" t="n">
        <v>45992</v>
      </c>
      <c r="D5163" s="24" t="n">
        <v>46022</v>
      </c>
      <c r="E5163" s="25" t="n">
        <v>30</v>
      </c>
      <c r="F5163" s="319">
        <f>J5162</f>
        <v/>
      </c>
      <c r="G5163" s="319">
        <f>-PMT($D$5135/$D$5137,54,$F$5150,,0)</f>
        <v/>
      </c>
      <c r="H5163" s="319">
        <f>($D$5135/$D$5137*F5163)</f>
        <v/>
      </c>
      <c r="I5163" s="319">
        <f>G5163-H5163</f>
        <v/>
      </c>
      <c r="J5163" s="319">
        <f>F5163-I5163</f>
        <v/>
      </c>
    </row>
    <row r="5164">
      <c r="B5164" s="1">
        <f>+B5163+1</f>
        <v/>
      </c>
      <c r="C5164" s="24" t="n">
        <v>46023</v>
      </c>
      <c r="D5164" s="24" t="n">
        <v>46053</v>
      </c>
      <c r="E5164" s="25" t="n">
        <v>31</v>
      </c>
      <c r="F5164" s="319">
        <f>J5163</f>
        <v/>
      </c>
      <c r="G5164" s="319">
        <f>-PMT($D$5135/$D$5137,54,$F$5150,,0)</f>
        <v/>
      </c>
      <c r="H5164" s="319">
        <f>($D$5135/$D$5137*F5164)</f>
        <v/>
      </c>
      <c r="I5164" s="319">
        <f>G5164-H5164</f>
        <v/>
      </c>
      <c r="J5164" s="319">
        <f>F5164-I5164</f>
        <v/>
      </c>
    </row>
    <row r="5165">
      <c r="B5165" s="1">
        <f>+B5164+1</f>
        <v/>
      </c>
      <c r="C5165" s="24" t="n">
        <v>46054</v>
      </c>
      <c r="D5165" s="24" t="n">
        <v>46081</v>
      </c>
      <c r="E5165" s="25" t="n">
        <v>31</v>
      </c>
      <c r="F5165" s="319">
        <f>J5164</f>
        <v/>
      </c>
      <c r="G5165" s="319">
        <f>-PMT($D$5135/$D$5137,54,$F$5150,,0)</f>
        <v/>
      </c>
      <c r="H5165" s="319">
        <f>($D$5135/$D$5137*F5165)</f>
        <v/>
      </c>
      <c r="I5165" s="319">
        <f>G5165-H5165</f>
        <v/>
      </c>
      <c r="J5165" s="319">
        <f>F5165-I5165</f>
        <v/>
      </c>
    </row>
    <row r="5166">
      <c r="B5166" s="1">
        <f>+B5165+1</f>
        <v/>
      </c>
      <c r="C5166" s="24" t="n">
        <v>46082</v>
      </c>
      <c r="D5166" s="24" t="n">
        <v>46112</v>
      </c>
      <c r="E5166" s="25" t="n">
        <v>28</v>
      </c>
      <c r="F5166" s="319">
        <f>J5165</f>
        <v/>
      </c>
      <c r="G5166" s="319">
        <f>-PMT($D$5135/$D$5137,54,$F$5150,,0)</f>
        <v/>
      </c>
      <c r="H5166" s="319">
        <f>($D$5135/$D$5137*F5166)</f>
        <v/>
      </c>
      <c r="I5166" s="319">
        <f>G5166-H5166</f>
        <v/>
      </c>
      <c r="J5166" s="319">
        <f>F5166-I5166</f>
        <v/>
      </c>
    </row>
    <row r="5167">
      <c r="B5167" s="1">
        <f>+B5166+1</f>
        <v/>
      </c>
      <c r="C5167" s="24" t="n">
        <v>46113</v>
      </c>
      <c r="D5167" s="24" t="n">
        <v>46142</v>
      </c>
      <c r="E5167" s="25" t="n">
        <v>31</v>
      </c>
      <c r="F5167" s="319">
        <f>J5166</f>
        <v/>
      </c>
      <c r="G5167" s="319">
        <f>-PMT($D$5135/$D$5137,54,$F$5150,,0)</f>
        <v/>
      </c>
      <c r="H5167" s="319">
        <f>($D$5135/$D$5137*F5167)</f>
        <v/>
      </c>
      <c r="I5167" s="319">
        <f>G5167-H5167</f>
        <v/>
      </c>
      <c r="J5167" s="319">
        <f>F5167-I5167</f>
        <v/>
      </c>
    </row>
    <row r="5168">
      <c r="B5168" s="1">
        <f>+B5167+1</f>
        <v/>
      </c>
      <c r="C5168" s="24" t="n">
        <v>46143</v>
      </c>
      <c r="D5168" s="24" t="n">
        <v>46173</v>
      </c>
      <c r="E5168" s="25" t="n">
        <v>32</v>
      </c>
      <c r="F5168" s="319">
        <f>J5167</f>
        <v/>
      </c>
      <c r="G5168" s="319">
        <f>-PMT($D$5135/$D$5137,54,$F$5150,,0)</f>
        <v/>
      </c>
      <c r="H5168" s="319">
        <f>($D$5135/$D$5137*F5168)</f>
        <v/>
      </c>
      <c r="I5168" s="319">
        <f>G5168-H5168</f>
        <v/>
      </c>
      <c r="J5168" s="319">
        <f>F5168-I5168</f>
        <v/>
      </c>
    </row>
    <row r="5169">
      <c r="B5169" s="1">
        <f>+B5168+1</f>
        <v/>
      </c>
      <c r="C5169" s="24" t="n">
        <v>46174</v>
      </c>
      <c r="D5169" s="24" t="n">
        <v>46203</v>
      </c>
      <c r="E5169" s="25" t="n">
        <v>33</v>
      </c>
      <c r="F5169" s="319">
        <f>J5168</f>
        <v/>
      </c>
      <c r="G5169" s="319">
        <f>-PMT($D$5135/$D$5137,54,$F$5150,,0)</f>
        <v/>
      </c>
      <c r="H5169" s="319">
        <f>($D$5135/$D$5137*F5169)</f>
        <v/>
      </c>
      <c r="I5169" s="319">
        <f>G5169-H5169</f>
        <v/>
      </c>
      <c r="J5169" s="319">
        <f>F5169-I5169</f>
        <v/>
      </c>
    </row>
    <row r="5170">
      <c r="B5170" s="1">
        <f>+B5169+1</f>
        <v/>
      </c>
      <c r="C5170" s="24" t="n">
        <v>46204</v>
      </c>
      <c r="D5170" s="24" t="n">
        <v>46234</v>
      </c>
      <c r="E5170" s="25" t="n">
        <v>34</v>
      </c>
      <c r="F5170" s="319">
        <f>J5169</f>
        <v/>
      </c>
      <c r="G5170" s="319">
        <f>-PMT($D$5135/$D$5137,54,$F$5150,,0)</f>
        <v/>
      </c>
      <c r="H5170" s="319">
        <f>($D$5135/$D$5137*F5170)</f>
        <v/>
      </c>
      <c r="I5170" s="319">
        <f>G5170-H5170</f>
        <v/>
      </c>
      <c r="J5170" s="319">
        <f>F5170-I5170</f>
        <v/>
      </c>
    </row>
    <row r="5171">
      <c r="B5171" s="1">
        <f>+B5170+1</f>
        <v/>
      </c>
      <c r="C5171" s="24" t="n">
        <v>46235</v>
      </c>
      <c r="D5171" s="24" t="n">
        <v>46265</v>
      </c>
      <c r="E5171" s="25" t="n">
        <v>35</v>
      </c>
      <c r="F5171" s="319">
        <f>J5170</f>
        <v/>
      </c>
      <c r="G5171" s="319">
        <f>-PMT($D$5135/$D$5137,54,$F$5150,,0)</f>
        <v/>
      </c>
      <c r="H5171" s="319">
        <f>($D$5135/$D$5137*F5171)</f>
        <v/>
      </c>
      <c r="I5171" s="319">
        <f>G5171-H5171</f>
        <v/>
      </c>
      <c r="J5171" s="319">
        <f>F5171-I5171</f>
        <v/>
      </c>
    </row>
    <row r="5172">
      <c r="B5172" s="1">
        <f>+B5171+1</f>
        <v/>
      </c>
      <c r="C5172" s="24" t="n">
        <v>46266</v>
      </c>
      <c r="D5172" s="24" t="n">
        <v>46295</v>
      </c>
      <c r="E5172" s="25" t="n">
        <v>36</v>
      </c>
      <c r="F5172" s="319">
        <f>J5171</f>
        <v/>
      </c>
      <c r="G5172" s="319">
        <f>-PMT($D$5135/$D$5137,54,$F$5150,,0)</f>
        <v/>
      </c>
      <c r="H5172" s="319">
        <f>($D$5135/$D$5137*F5172)</f>
        <v/>
      </c>
      <c r="I5172" s="319">
        <f>G5172-H5172</f>
        <v/>
      </c>
      <c r="J5172" s="319">
        <f>F5172-I5172</f>
        <v/>
      </c>
    </row>
    <row r="5173">
      <c r="B5173" s="1">
        <f>+B5172+1</f>
        <v/>
      </c>
      <c r="C5173" s="24" t="n">
        <v>46296</v>
      </c>
      <c r="D5173" s="24" t="n">
        <v>46326</v>
      </c>
      <c r="E5173" s="25" t="n">
        <v>37</v>
      </c>
      <c r="F5173" s="319">
        <f>J5172</f>
        <v/>
      </c>
      <c r="G5173" s="319">
        <f>-PMT($D$5135/$D$5137,54,$F$5150,,0)</f>
        <v/>
      </c>
      <c r="H5173" s="319">
        <f>($D$5135/$D$5137*F5173)</f>
        <v/>
      </c>
      <c r="I5173" s="319">
        <f>G5173-H5173</f>
        <v/>
      </c>
      <c r="J5173" s="319">
        <f>F5173-I5173</f>
        <v/>
      </c>
    </row>
    <row r="5174">
      <c r="B5174" s="1">
        <f>+B5173+1</f>
        <v/>
      </c>
      <c r="C5174" s="24" t="n">
        <v>46327</v>
      </c>
      <c r="D5174" s="24" t="n">
        <v>46356</v>
      </c>
      <c r="E5174" s="25" t="n">
        <v>38</v>
      </c>
      <c r="F5174" s="319">
        <f>J5173</f>
        <v/>
      </c>
      <c r="G5174" s="319">
        <f>-PMT($D$5135/$D$5137,54,$F$5150,,0)</f>
        <v/>
      </c>
      <c r="H5174" s="319">
        <f>($D$5135/$D$5137*F5174)</f>
        <v/>
      </c>
      <c r="I5174" s="319">
        <f>G5174-H5174</f>
        <v/>
      </c>
      <c r="J5174" s="319">
        <f>F5174-I5174</f>
        <v/>
      </c>
    </row>
    <row r="5175">
      <c r="B5175" s="1">
        <f>+B5174+1</f>
        <v/>
      </c>
      <c r="C5175" s="24" t="n">
        <v>46357</v>
      </c>
      <c r="D5175" s="24" t="n">
        <v>46387</v>
      </c>
      <c r="E5175" s="25" t="n">
        <v>39</v>
      </c>
      <c r="F5175" s="319">
        <f>J5174</f>
        <v/>
      </c>
      <c r="G5175" s="319">
        <f>-PMT($D$5135/$D$5137,54,$F$5150,,0)</f>
        <v/>
      </c>
      <c r="H5175" s="319">
        <f>($D$5135/$D$5137*F5175)</f>
        <v/>
      </c>
      <c r="I5175" s="319">
        <f>G5175-H5175</f>
        <v/>
      </c>
      <c r="J5175" s="319">
        <f>F5175-I5175</f>
        <v/>
      </c>
    </row>
    <row r="5176">
      <c r="B5176" s="1">
        <f>+B5175+1</f>
        <v/>
      </c>
      <c r="C5176" s="24" t="n">
        <v>46388</v>
      </c>
      <c r="D5176" s="24" t="n">
        <v>46418</v>
      </c>
      <c r="E5176" s="25" t="n">
        <v>40</v>
      </c>
      <c r="F5176" s="319">
        <f>J5175</f>
        <v/>
      </c>
      <c r="G5176" s="319">
        <f>-PMT($D$5135/$D$5137,54,$F$5150,,0)</f>
        <v/>
      </c>
      <c r="H5176" s="319">
        <f>($D$5135/$D$5137*F5176)</f>
        <v/>
      </c>
      <c r="I5176" s="319">
        <f>G5176-H5176</f>
        <v/>
      </c>
      <c r="J5176" s="319">
        <f>F5176-I5176</f>
        <v/>
      </c>
    </row>
    <row r="5177">
      <c r="B5177" s="1">
        <f>+B5176+1</f>
        <v/>
      </c>
      <c r="C5177" s="24" t="n">
        <v>46419</v>
      </c>
      <c r="D5177" s="24" t="n">
        <v>46446</v>
      </c>
      <c r="E5177" s="25" t="n">
        <v>41</v>
      </c>
      <c r="F5177" s="319">
        <f>J5176</f>
        <v/>
      </c>
      <c r="G5177" s="319">
        <f>-PMT($D$5135/$D$5137,54,$F$5150,,0)</f>
        <v/>
      </c>
      <c r="H5177" s="319">
        <f>($D$5135/$D$5137*F5177)</f>
        <v/>
      </c>
      <c r="I5177" s="319">
        <f>G5177-H5177</f>
        <v/>
      </c>
      <c r="J5177" s="319">
        <f>F5177-I5177</f>
        <v/>
      </c>
    </row>
    <row r="5178">
      <c r="B5178" s="1">
        <f>+B5177+1</f>
        <v/>
      </c>
      <c r="C5178" s="24" t="n">
        <v>46447</v>
      </c>
      <c r="D5178" s="24" t="n">
        <v>46477</v>
      </c>
      <c r="E5178" s="25" t="n">
        <v>42</v>
      </c>
      <c r="F5178" s="319">
        <f>J5177</f>
        <v/>
      </c>
      <c r="G5178" s="319">
        <f>-PMT($D$5135/$D$5137,54,$F$5150,,0)</f>
        <v/>
      </c>
      <c r="H5178" s="319">
        <f>($D$5135/$D$5137*F5178)</f>
        <v/>
      </c>
      <c r="I5178" s="319">
        <f>G5178-H5178</f>
        <v/>
      </c>
      <c r="J5178" s="319">
        <f>F5178-I5178</f>
        <v/>
      </c>
    </row>
    <row r="5179">
      <c r="B5179" s="1">
        <f>+B5178+1</f>
        <v/>
      </c>
      <c r="C5179" s="24" t="n">
        <v>46478</v>
      </c>
      <c r="D5179" s="24" t="n">
        <v>46507</v>
      </c>
      <c r="E5179" s="25" t="n">
        <v>43</v>
      </c>
      <c r="F5179" s="319">
        <f>J5178</f>
        <v/>
      </c>
      <c r="G5179" s="319">
        <f>-PMT($D$5135/$D$5137,54,$F$5150,,0)</f>
        <v/>
      </c>
      <c r="H5179" s="319">
        <f>($D$5135/$D$5137*F5179)</f>
        <v/>
      </c>
      <c r="I5179" s="319">
        <f>G5179-H5179</f>
        <v/>
      </c>
      <c r="J5179" s="319">
        <f>F5179-I5179</f>
        <v/>
      </c>
    </row>
    <row r="5180">
      <c r="B5180" s="1">
        <f>+B5179+1</f>
        <v/>
      </c>
      <c r="C5180" s="24" t="n">
        <v>46508</v>
      </c>
      <c r="D5180" s="24" t="n">
        <v>46538</v>
      </c>
      <c r="E5180" s="25" t="n">
        <v>44</v>
      </c>
      <c r="F5180" s="319">
        <f>J5179</f>
        <v/>
      </c>
      <c r="G5180" s="319">
        <f>-PMT($D$5135/$D$5137,54,$F$5150,,0)</f>
        <v/>
      </c>
      <c r="H5180" s="319">
        <f>($D$5135/$D$5137*F5180)</f>
        <v/>
      </c>
      <c r="I5180" s="319">
        <f>G5180-H5180</f>
        <v/>
      </c>
      <c r="J5180" s="319">
        <f>F5180-I5180</f>
        <v/>
      </c>
    </row>
    <row r="5181">
      <c r="B5181" s="1">
        <f>+B5180+1</f>
        <v/>
      </c>
      <c r="C5181" s="24" t="n">
        <v>46539</v>
      </c>
      <c r="D5181" s="24" t="n">
        <v>46568</v>
      </c>
      <c r="E5181" s="25" t="n">
        <v>45</v>
      </c>
      <c r="F5181" s="319">
        <f>J5180</f>
        <v/>
      </c>
      <c r="G5181" s="319">
        <f>-PMT($D$5135/$D$5137,54,$F$5150,,0)</f>
        <v/>
      </c>
      <c r="H5181" s="319">
        <f>($D$5135/$D$5137*F5181)</f>
        <v/>
      </c>
      <c r="I5181" s="319">
        <f>G5181-H5181</f>
        <v/>
      </c>
      <c r="J5181" s="319">
        <f>F5181-I5181</f>
        <v/>
      </c>
    </row>
    <row r="5182">
      <c r="B5182" s="1">
        <f>+B5181+1</f>
        <v/>
      </c>
      <c r="C5182" s="24" t="n">
        <v>46569</v>
      </c>
      <c r="D5182" s="24" t="n">
        <v>46599</v>
      </c>
      <c r="E5182" s="25" t="n">
        <v>46</v>
      </c>
      <c r="F5182" s="319">
        <f>J5181</f>
        <v/>
      </c>
      <c r="G5182" s="319">
        <f>-PMT($D$5135/$D$5137,54,$F$5150,,0)</f>
        <v/>
      </c>
      <c r="H5182" s="319">
        <f>($D$5135/$D$5137*F5182)</f>
        <v/>
      </c>
      <c r="I5182" s="319">
        <f>G5182-H5182</f>
        <v/>
      </c>
      <c r="J5182" s="319">
        <f>F5182-I5182</f>
        <v/>
      </c>
    </row>
    <row r="5183">
      <c r="B5183" s="1">
        <f>+B5182+1</f>
        <v/>
      </c>
      <c r="C5183" s="24" t="n">
        <v>46600</v>
      </c>
      <c r="D5183" s="24" t="n">
        <v>46630</v>
      </c>
      <c r="E5183" s="25" t="n">
        <v>47</v>
      </c>
      <c r="F5183" s="319">
        <f>J5182</f>
        <v/>
      </c>
      <c r="G5183" s="319">
        <f>-PMT($D$5135/$D$5137,54,$F$5150,,0)</f>
        <v/>
      </c>
      <c r="H5183" s="319">
        <f>($D$5135/$D$5137*F5183)</f>
        <v/>
      </c>
      <c r="I5183" s="319">
        <f>G5183-H5183</f>
        <v/>
      </c>
      <c r="J5183" s="319">
        <f>F5183-I5183</f>
        <v/>
      </c>
    </row>
    <row r="5184">
      <c r="B5184" s="1">
        <f>+B5183+1</f>
        <v/>
      </c>
      <c r="C5184" s="24" t="n">
        <v>46631</v>
      </c>
      <c r="D5184" s="24" t="n">
        <v>46660</v>
      </c>
      <c r="E5184" s="25" t="n">
        <v>48</v>
      </c>
      <c r="F5184" s="319">
        <f>J5183</f>
        <v/>
      </c>
      <c r="G5184" s="319">
        <f>-PMT($D$5135/$D$5137,54,$F$5150,,0)</f>
        <v/>
      </c>
      <c r="H5184" s="319">
        <f>($D$5135/$D$5137*F5184)</f>
        <v/>
      </c>
      <c r="I5184" s="319">
        <f>G5184-H5184</f>
        <v/>
      </c>
      <c r="J5184" s="319">
        <f>F5184-I5184</f>
        <v/>
      </c>
    </row>
    <row r="5185">
      <c r="B5185" s="1">
        <f>+B5184+1</f>
        <v/>
      </c>
      <c r="C5185" s="24" t="n">
        <v>46661</v>
      </c>
      <c r="D5185" s="24" t="n">
        <v>46691</v>
      </c>
      <c r="E5185" s="25" t="n">
        <v>49</v>
      </c>
      <c r="F5185" s="319">
        <f>J5184</f>
        <v/>
      </c>
      <c r="G5185" s="319">
        <f>-PMT($D$5135/$D$5137,54,$F$5150,,0)</f>
        <v/>
      </c>
      <c r="H5185" s="319">
        <f>($D$5135/$D$5137*F5185)</f>
        <v/>
      </c>
      <c r="I5185" s="319">
        <f>G5185-H5185</f>
        <v/>
      </c>
      <c r="J5185" s="319">
        <f>F5185-I5185</f>
        <v/>
      </c>
    </row>
    <row r="5186">
      <c r="B5186" s="1">
        <f>+B5185+1</f>
        <v/>
      </c>
      <c r="C5186" s="24" t="n">
        <v>46692</v>
      </c>
      <c r="D5186" s="24" t="n">
        <v>46721</v>
      </c>
      <c r="E5186" s="25" t="n">
        <v>50</v>
      </c>
      <c r="F5186" s="319">
        <f>J5185</f>
        <v/>
      </c>
      <c r="G5186" s="319">
        <f>-PMT($D$5135/$D$5137,54,$F$5150,,0)</f>
        <v/>
      </c>
      <c r="H5186" s="319">
        <f>($D$5135/$D$5137*F5186)</f>
        <v/>
      </c>
      <c r="I5186" s="319">
        <f>G5186-H5186</f>
        <v/>
      </c>
      <c r="J5186" s="319">
        <f>F5186-I5186</f>
        <v/>
      </c>
    </row>
    <row r="5187">
      <c r="B5187" s="1">
        <f>+B5186+1</f>
        <v/>
      </c>
      <c r="C5187" s="24" t="n">
        <v>46722</v>
      </c>
      <c r="D5187" s="24" t="n">
        <v>46752</v>
      </c>
      <c r="E5187" s="25" t="n">
        <v>51</v>
      </c>
      <c r="F5187" s="319">
        <f>J5186</f>
        <v/>
      </c>
      <c r="G5187" s="319">
        <f>-PMT($D$5135/$D$5137,54,$F$5150,,0)</f>
        <v/>
      </c>
      <c r="H5187" s="319">
        <f>($D$5135/$D$5137*F5187)</f>
        <v/>
      </c>
      <c r="I5187" s="319">
        <f>G5187-H5187</f>
        <v/>
      </c>
      <c r="J5187" s="319">
        <f>F5187-I5187</f>
        <v/>
      </c>
    </row>
    <row r="5188">
      <c r="B5188" s="1">
        <f>+B5187+1</f>
        <v/>
      </c>
      <c r="C5188" s="24" t="n">
        <v>46753</v>
      </c>
      <c r="D5188" s="24" t="n">
        <v>46783</v>
      </c>
      <c r="E5188" s="25" t="n">
        <v>52</v>
      </c>
      <c r="F5188" s="319">
        <f>J5187</f>
        <v/>
      </c>
      <c r="G5188" s="319">
        <f>-PMT($D$5135/$D$5137,54,$F$5150,,0)</f>
        <v/>
      </c>
      <c r="H5188" s="319">
        <f>($D$5135/$D$5137*F5188)</f>
        <v/>
      </c>
      <c r="I5188" s="319">
        <f>G5188-H5188</f>
        <v/>
      </c>
      <c r="J5188" s="319">
        <f>F5188-I5188</f>
        <v/>
      </c>
    </row>
    <row r="5189">
      <c r="B5189" s="1">
        <f>+B5188+1</f>
        <v/>
      </c>
      <c r="C5189" s="24" t="n">
        <v>46784</v>
      </c>
      <c r="D5189" s="24" t="n">
        <v>46812</v>
      </c>
      <c r="E5189" s="25" t="n">
        <v>53</v>
      </c>
      <c r="F5189" s="319">
        <f>J5188</f>
        <v/>
      </c>
      <c r="G5189" s="319">
        <f>-PMT($D$5135/$D$5137,54,$F$5150,,0)</f>
        <v/>
      </c>
      <c r="H5189" s="319">
        <f>($D$5135/$D$5137*F5189)</f>
        <v/>
      </c>
      <c r="I5189" s="319">
        <f>G5189-H5189</f>
        <v/>
      </c>
      <c r="J5189" s="319">
        <f>F5189-I5189</f>
        <v/>
      </c>
    </row>
    <row r="5190">
      <c r="B5190" s="1">
        <f>+B5189+1</f>
        <v/>
      </c>
      <c r="C5190" s="24" t="n">
        <v>46813</v>
      </c>
      <c r="D5190" s="24" t="n">
        <v>46843</v>
      </c>
      <c r="E5190" s="25" t="n">
        <v>54</v>
      </c>
      <c r="F5190" s="319">
        <f>J5189</f>
        <v/>
      </c>
      <c r="G5190" s="319">
        <f>-PMT($D$5135/$D$5137,54,$F$5150,,0)</f>
        <v/>
      </c>
      <c r="H5190" s="319">
        <f>($D$5135/$D$5137*F5190)</f>
        <v/>
      </c>
      <c r="I5190" s="319">
        <f>G5190-H5190</f>
        <v/>
      </c>
      <c r="J5190" s="319">
        <f>F5190-I5190</f>
        <v/>
      </c>
    </row>
    <row r="5191">
      <c r="B5191" s="1">
        <f>+B5190+1</f>
        <v/>
      </c>
      <c r="C5191" s="24" t="n">
        <v>46844</v>
      </c>
      <c r="D5191" s="24" t="n">
        <v>46873</v>
      </c>
      <c r="E5191" s="25" t="n">
        <v>55</v>
      </c>
      <c r="F5191" s="319">
        <f>J5190</f>
        <v/>
      </c>
      <c r="G5191" s="319">
        <f>-PMT($D$5135/$D$5137,54,$F$5150,,0)</f>
        <v/>
      </c>
      <c r="H5191" s="319">
        <f>($D$5135/$D$5137*F5191)</f>
        <v/>
      </c>
      <c r="I5191" s="319">
        <f>G5191-H5191</f>
        <v/>
      </c>
      <c r="J5191" s="319">
        <f>F5191-I5191</f>
        <v/>
      </c>
    </row>
    <row r="5192">
      <c r="B5192" s="1">
        <f>+B5191+1</f>
        <v/>
      </c>
      <c r="C5192" s="24" t="n">
        <v>46874</v>
      </c>
      <c r="D5192" s="24" t="n">
        <v>46904</v>
      </c>
      <c r="E5192" s="25" t="n">
        <v>56</v>
      </c>
      <c r="F5192" s="319">
        <f>J5191</f>
        <v/>
      </c>
      <c r="G5192" s="319">
        <f>-PMT($D$5135/$D$5137,54,$F$5150,,0)</f>
        <v/>
      </c>
      <c r="H5192" s="319">
        <f>($D$5135/$D$5137*F5192)</f>
        <v/>
      </c>
      <c r="I5192" s="319">
        <f>G5192-H5192</f>
        <v/>
      </c>
      <c r="J5192" s="319">
        <f>F5192-I5192</f>
        <v/>
      </c>
    </row>
    <row r="5193">
      <c r="B5193" s="1">
        <f>+B5192+1</f>
        <v/>
      </c>
      <c r="C5193" s="24" t="n">
        <v>46905</v>
      </c>
      <c r="D5193" s="24" t="n">
        <v>46934</v>
      </c>
      <c r="E5193" s="25" t="n">
        <v>57</v>
      </c>
      <c r="F5193" s="319">
        <f>J5192</f>
        <v/>
      </c>
      <c r="G5193" s="319">
        <f>-PMT($D$5135/$D$5137,54,$F$5150,,0)</f>
        <v/>
      </c>
      <c r="H5193" s="319">
        <f>($D$5135/$D$5137*F5193)</f>
        <v/>
      </c>
      <c r="I5193" s="319">
        <f>G5193-H5193</f>
        <v/>
      </c>
      <c r="J5193" s="319">
        <f>F5193-I5193</f>
        <v/>
      </c>
    </row>
    <row r="5194">
      <c r="B5194" s="1">
        <f>+B5193+1</f>
        <v/>
      </c>
      <c r="C5194" s="24" t="n">
        <v>46935</v>
      </c>
      <c r="D5194" s="24" t="n">
        <v>46965</v>
      </c>
      <c r="E5194" s="25" t="n">
        <v>58</v>
      </c>
      <c r="F5194" s="319">
        <f>J5193</f>
        <v/>
      </c>
      <c r="G5194" s="319">
        <f>-PMT($D$5135/$D$5137,54,$F$5150,,0)</f>
        <v/>
      </c>
      <c r="H5194" s="319">
        <f>($D$5135/$D$5137*F5194)</f>
        <v/>
      </c>
      <c r="I5194" s="319">
        <f>G5194-H5194</f>
        <v/>
      </c>
      <c r="J5194" s="319">
        <f>F5194-I5194</f>
        <v/>
      </c>
    </row>
    <row r="5195">
      <c r="B5195" s="1">
        <f>+B5194+1</f>
        <v/>
      </c>
      <c r="C5195" s="24" t="n">
        <v>46966</v>
      </c>
      <c r="D5195" s="24" t="n">
        <v>46996</v>
      </c>
      <c r="E5195" s="25" t="n">
        <v>59</v>
      </c>
      <c r="F5195" s="319">
        <f>J5194</f>
        <v/>
      </c>
      <c r="G5195" s="319">
        <f>-PMT($D$5135/$D$5137,54,$F$5150,,0)</f>
        <v/>
      </c>
      <c r="H5195" s="319">
        <f>($D$5135/$D$5137*F5195)</f>
        <v/>
      </c>
      <c r="I5195" s="319">
        <f>G5195-H5195</f>
        <v/>
      </c>
      <c r="J5195" s="319">
        <f>F5195-I5195</f>
        <v/>
      </c>
    </row>
    <row r="5196">
      <c r="B5196" s="1">
        <f>+B5195+1</f>
        <v/>
      </c>
      <c r="C5196" s="24" t="n">
        <v>46997</v>
      </c>
      <c r="D5196" s="24" t="n">
        <v>47026</v>
      </c>
      <c r="E5196" s="25" t="n">
        <v>60</v>
      </c>
      <c r="F5196" s="319">
        <f>J5195</f>
        <v/>
      </c>
      <c r="G5196" s="319">
        <f>-PMT($D$5135/$D$5137,54,$F$5150,,0)</f>
        <v/>
      </c>
      <c r="H5196" s="319">
        <f>($D$5135/$D$5137*F5196)</f>
        <v/>
      </c>
      <c r="I5196" s="319">
        <f>G5196-H5196</f>
        <v/>
      </c>
      <c r="J5196" s="319">
        <f>F5196-I5196</f>
        <v/>
      </c>
    </row>
    <row r="5197">
      <c r="B5197" s="1">
        <f>+B5196+1</f>
        <v/>
      </c>
      <c r="C5197" s="24" t="n">
        <v>47027</v>
      </c>
      <c r="D5197" s="24" t="n">
        <v>47057</v>
      </c>
      <c r="E5197" s="25" t="n">
        <v>61</v>
      </c>
      <c r="F5197" s="319">
        <f>J5196</f>
        <v/>
      </c>
      <c r="G5197" s="319">
        <f>-PMT($D$5135/$D$5137,54,$F$5150,,0)</f>
        <v/>
      </c>
      <c r="H5197" s="319">
        <f>($D$5135/$D$5137*F5197)</f>
        <v/>
      </c>
      <c r="I5197" s="319">
        <f>G5197-H5197</f>
        <v/>
      </c>
      <c r="J5197" s="319">
        <f>F5197-I5197</f>
        <v/>
      </c>
    </row>
    <row r="5198">
      <c r="B5198" s="1">
        <f>+B5197+1</f>
        <v/>
      </c>
      <c r="C5198" s="24" t="n">
        <v>47058</v>
      </c>
      <c r="D5198" s="24" t="n">
        <v>47087</v>
      </c>
      <c r="E5198" s="25" t="n">
        <v>62</v>
      </c>
      <c r="F5198" s="319">
        <f>J5197</f>
        <v/>
      </c>
      <c r="G5198" s="319">
        <f>-PMT($D$5135/$D$5137,54,$F$5150,,0)</f>
        <v/>
      </c>
      <c r="H5198" s="319">
        <f>($D$5135/$D$5137*F5198)</f>
        <v/>
      </c>
      <c r="I5198" s="319">
        <f>G5198-H5198</f>
        <v/>
      </c>
      <c r="J5198" s="319">
        <f>F5198-I5198</f>
        <v/>
      </c>
    </row>
    <row r="5199">
      <c r="B5199" s="1">
        <f>+B5198+1</f>
        <v/>
      </c>
      <c r="C5199" s="24" t="n">
        <v>47088</v>
      </c>
      <c r="D5199" s="24" t="n">
        <v>47118</v>
      </c>
      <c r="E5199" s="25" t="n">
        <v>63</v>
      </c>
      <c r="F5199" s="319">
        <f>J5198</f>
        <v/>
      </c>
      <c r="G5199" s="319">
        <f>-PMT($D$5135/$D$5137,54,$F$5150,,0)</f>
        <v/>
      </c>
      <c r="H5199" s="319">
        <f>($D$5135/$D$5137*F5199)</f>
        <v/>
      </c>
      <c r="I5199" s="319">
        <f>G5199-H5199</f>
        <v/>
      </c>
      <c r="J5199" s="319">
        <f>F5199-I5199</f>
        <v/>
      </c>
    </row>
    <row r="5200">
      <c r="B5200" s="1">
        <f>+B5199+1</f>
        <v/>
      </c>
      <c r="C5200" s="24" t="n">
        <v>47119</v>
      </c>
      <c r="D5200" s="24" t="n">
        <v>47149</v>
      </c>
      <c r="E5200" s="25" t="n">
        <v>64</v>
      </c>
      <c r="F5200" s="319">
        <f>J5199</f>
        <v/>
      </c>
      <c r="G5200" s="319">
        <f>-PMT($D$5135/$D$5137,54,$F$5150,,0)</f>
        <v/>
      </c>
      <c r="H5200" s="319">
        <f>($D$5135/$D$5137*F5200)</f>
        <v/>
      </c>
      <c r="I5200" s="319">
        <f>G5200-H5200</f>
        <v/>
      </c>
      <c r="J5200" s="319">
        <f>F5200-I5200</f>
        <v/>
      </c>
    </row>
    <row r="5201">
      <c r="B5201" s="1">
        <f>+B5200+1</f>
        <v/>
      </c>
      <c r="C5201" s="24" t="n">
        <v>47150</v>
      </c>
      <c r="D5201" s="24" t="n">
        <v>47177</v>
      </c>
      <c r="E5201" s="25" t="n">
        <v>65</v>
      </c>
      <c r="F5201" s="319">
        <f>J5200</f>
        <v/>
      </c>
      <c r="G5201" s="319">
        <f>-PMT($D$5135/$D$5137,54,$F$5150,,0)</f>
        <v/>
      </c>
      <c r="H5201" s="319">
        <f>($D$5135/$D$5137*F5201)</f>
        <v/>
      </c>
      <c r="I5201" s="319">
        <f>G5201-H5201</f>
        <v/>
      </c>
      <c r="J5201" s="319">
        <f>F5201-I5201</f>
        <v/>
      </c>
    </row>
    <row r="5202">
      <c r="B5202" s="1">
        <f>+B5201+1</f>
        <v/>
      </c>
      <c r="C5202" s="24" t="n">
        <v>47178</v>
      </c>
      <c r="D5202" s="24" t="n">
        <v>47208</v>
      </c>
      <c r="E5202" s="25" t="n">
        <v>66</v>
      </c>
      <c r="F5202" s="319">
        <f>J5201</f>
        <v/>
      </c>
      <c r="G5202" s="319">
        <f>-PMT($D$5135/$D$5137,54,$F$5150,,0)</f>
        <v/>
      </c>
      <c r="H5202" s="319">
        <f>($D$5135/$D$5137*F5202)</f>
        <v/>
      </c>
      <c r="I5202" s="319">
        <f>G5202-H5202</f>
        <v/>
      </c>
      <c r="J5202" s="319">
        <f>F5202-I5202</f>
        <v/>
      </c>
    </row>
    <row r="5203">
      <c r="B5203" s="1">
        <f>+B5202+1</f>
        <v/>
      </c>
      <c r="C5203" s="24" t="n">
        <v>47209</v>
      </c>
      <c r="D5203" s="24" t="n">
        <v>47238</v>
      </c>
      <c r="E5203" s="25" t="n">
        <v>67</v>
      </c>
      <c r="F5203" s="319">
        <f>J5202</f>
        <v/>
      </c>
      <c r="G5203" s="319">
        <f>-PMT($D$5135/$D$5137,54,$F$5150,,0)</f>
        <v/>
      </c>
      <c r="H5203" s="319">
        <f>($D$5135/$D$5137*F5203)</f>
        <v/>
      </c>
      <c r="I5203" s="319">
        <f>G5203-H5203</f>
        <v/>
      </c>
      <c r="J5203" s="319">
        <f>F5203-I5203</f>
        <v/>
      </c>
    </row>
    <row r="5208">
      <c r="B5208" s="1" t="n"/>
      <c r="C5208" s="9" t="inlineStr">
        <is>
          <t>Ifracon Limited</t>
        </is>
      </c>
      <c r="D5208" s="319" t="n"/>
      <c r="E5208" s="319" t="n"/>
      <c r="F5208" s="319" t="n"/>
      <c r="G5208" s="319" t="n"/>
      <c r="H5208" s="319" t="n"/>
      <c r="I5208" s="319" t="n"/>
      <c r="J5208" s="319" t="n"/>
      <c r="R5208" s="514" t="inlineStr">
        <is>
          <t>E-Banker account (Dupleix)</t>
        </is>
      </c>
      <c r="S5208" s="495">
        <f>IFERROR(INDEX('Blocks'!$I$2:$I$101,MATCH(95,'Blocks'!$A$2:$A$101,0)),"")</f>
        <v/>
      </c>
    </row>
    <row r="5209">
      <c r="B5209" s="1" t="n"/>
      <c r="C5209" s="1" t="n"/>
      <c r="D5209" s="319" t="n"/>
      <c r="E5209" s="319" t="inlineStr">
        <is>
          <t>Second drawdown</t>
        </is>
      </c>
      <c r="F5209" s="319" t="n"/>
      <c r="G5209" s="319" t="n"/>
      <c r="H5209" s="319" t="n"/>
      <c r="I5209" s="319" t="n"/>
      <c r="J5209" s="319" t="n"/>
      <c r="R5209" s="514" t="inlineStr">
        <is>
          <t>Facility (Loan Book)</t>
        </is>
      </c>
      <c r="S5209" s="495">
        <f>IFERROR(INDEX('Blocks'!$H$2:$H$101,MATCH(95,'Blocks'!$A$2:$A$101,0)),"")</f>
        <v/>
      </c>
    </row>
    <row r="5210">
      <c r="B5210" s="1" t="n"/>
      <c r="C5210" s="10" t="inlineStr">
        <is>
          <t>Principal (MK)</t>
        </is>
      </c>
      <c r="D5210" s="11">
        <f>331045000+31045000</f>
        <v/>
      </c>
      <c r="E5210" s="319">
        <f>+'Loan Book'!M102-'Amortisation and Repayments'!D5210</f>
        <v/>
      </c>
      <c r="F5210" s="319" t="n"/>
      <c r="G5210" s="319" t="n"/>
      <c r="H5210" s="319" t="n"/>
      <c r="I5210" s="319" t="n"/>
      <c r="J5210" s="319" t="n"/>
      <c r="R5210" s="514" t="inlineStr">
        <is>
          <t>Take-on posting 31 Jul 2024</t>
        </is>
      </c>
      <c r="S5210" s="496">
        <f>IFERROR(INDEX('E-Banker master'!$N$2:$N$186,MATCH(S5208,'E-Banker master'!$A$2:$A$186,0)),"")</f>
        <v/>
      </c>
    </row>
    <row r="5211">
      <c r="B5211" s="1" t="n"/>
      <c r="C5211" s="13" t="inlineStr">
        <is>
          <t>Rate</t>
        </is>
      </c>
      <c r="D5211" s="14" t="n">
        <v>0.329</v>
      </c>
      <c r="E5211" s="257" t="n"/>
      <c r="F5211" s="290" t="inlineStr">
        <is>
          <t>25.00% to 25.10%</t>
        </is>
      </c>
      <c r="G5211" s="290" t="inlineStr">
        <is>
          <t>25.10% to 25.40%</t>
        </is>
      </c>
      <c r="H5211" s="319" t="n"/>
      <c r="I5211" s="319" t="n"/>
      <c r="J5211" s="319" t="n"/>
      <c r="R5211" s="514" t="inlineStr">
        <is>
          <t>E-Banker balance 31 Oct 2024</t>
        </is>
      </c>
      <c r="S5211" s="496">
        <f>IFERROR(INDEX('E-Banker master'!$P$2:$P$186,MATCH(S5208,'E-Banker master'!$A$2:$A$186,0)),"")</f>
        <v/>
      </c>
    </row>
    <row r="5212">
      <c r="B5212" s="1" t="n"/>
      <c r="C5212" s="13" t="inlineStr">
        <is>
          <t>n</t>
        </is>
      </c>
      <c r="D5212" s="16" t="n">
        <v>5</v>
      </c>
      <c r="E5212" s="1" t="n"/>
      <c r="F5212" s="248" t="n">
        <v>45444</v>
      </c>
      <c r="G5212" s="248" t="n">
        <v>45474</v>
      </c>
      <c r="H5212" s="319" t="n"/>
      <c r="I5212" s="319" t="n"/>
      <c r="J5212" s="319" t="n"/>
    </row>
    <row r="5213">
      <c r="B5213" s="1" t="n"/>
      <c r="C5213" s="13" t="inlineStr">
        <is>
          <t>Per</t>
        </is>
      </c>
      <c r="D5213" s="16" t="n">
        <v>12</v>
      </c>
      <c r="E5213" s="1" t="n"/>
      <c r="F5213" s="290" t="inlineStr">
        <is>
          <t>Rate Adj</t>
        </is>
      </c>
      <c r="G5213" s="290" t="inlineStr">
        <is>
          <t>Rate Adj</t>
        </is>
      </c>
      <c r="H5213" s="319" t="n"/>
      <c r="I5213" s="319" t="n"/>
      <c r="J5213" s="319" t="n"/>
    </row>
    <row r="5214">
      <c r="B5214" s="1" t="n"/>
      <c r="C5214" s="13" t="inlineStr">
        <is>
          <t>nPer</t>
        </is>
      </c>
      <c r="D5214" s="515">
        <f>+D5213*D5212</f>
        <v/>
      </c>
      <c r="E5214" s="1" t="n"/>
      <c r="F5214" s="257">
        <f>D5211+0.1%</f>
        <v/>
      </c>
      <c r="G5214" s="257">
        <f>F5214+0.3%</f>
        <v/>
      </c>
      <c r="H5214" s="319" t="n"/>
      <c r="I5214" s="319" t="n"/>
      <c r="J5214" s="319" t="n"/>
    </row>
    <row r="5215">
      <c r="B5215" s="1" t="n"/>
      <c r="C5215" s="13" t="inlineStr">
        <is>
          <t>Days in a year</t>
        </is>
      </c>
      <c r="D5215" s="18" t="n">
        <v>365</v>
      </c>
      <c r="E5215" s="1" t="n"/>
      <c r="F5215" s="319" t="n"/>
      <c r="G5215" s="319" t="n"/>
      <c r="H5215" s="319" t="n"/>
      <c r="I5215" s="319" t="n"/>
      <c r="J5215" s="319" t="n"/>
    </row>
    <row r="5216">
      <c r="B5216" s="1" t="n"/>
      <c r="C5216" s="19" t="inlineStr">
        <is>
          <t>Pmt (MK)</t>
        </is>
      </c>
      <c r="D5216" s="534">
        <f>-PMT(D5211/D5213,D5214,D5210,0,0)</f>
        <v/>
      </c>
      <c r="E5216" s="319" t="n"/>
      <c r="F5216" s="319" t="n"/>
      <c r="G5216" s="319" t="n"/>
      <c r="H5216" s="319" t="n"/>
      <c r="I5216" s="319" t="n"/>
      <c r="J5216" s="319" t="n"/>
    </row>
    <row r="5217">
      <c r="B5217" s="1" t="n"/>
      <c r="C5217" s="1" t="n"/>
      <c r="D5217" s="319" t="n"/>
      <c r="E5217" s="319" t="n"/>
      <c r="F5217" s="319" t="n"/>
      <c r="G5217" s="319" t="n"/>
      <c r="H5217" s="319" t="n"/>
      <c r="I5217" s="319" t="n"/>
      <c r="J5217" s="319" t="n"/>
    </row>
    <row r="5218">
      <c r="B5218" s="1" t="n"/>
      <c r="C5218" s="21" t="inlineStr">
        <is>
          <t>Period Start</t>
        </is>
      </c>
      <c r="D5218" s="22" t="inlineStr">
        <is>
          <t>Period End</t>
        </is>
      </c>
      <c r="E5218" s="22" t="inlineStr">
        <is>
          <t>Days</t>
        </is>
      </c>
      <c r="F5218" s="294" t="inlineStr">
        <is>
          <t>Opening bal.</t>
        </is>
      </c>
      <c r="G5218" s="294" t="inlineStr">
        <is>
          <t>Pmt</t>
        </is>
      </c>
      <c r="H5218" s="294" t="inlineStr">
        <is>
          <t>Interest</t>
        </is>
      </c>
      <c r="I5218" s="294" t="inlineStr">
        <is>
          <t>Principal</t>
        </is>
      </c>
      <c r="J5218" s="294" t="inlineStr">
        <is>
          <t>Closing balance</t>
        </is>
      </c>
      <c r="K5218" s="23" t="inlineStr">
        <is>
          <t>Amount Repaid</t>
        </is>
      </c>
      <c r="L5218" s="23" t="inlineStr">
        <is>
          <t>Accumulated Arrears</t>
        </is>
      </c>
    </row>
    <row r="5219">
      <c r="B5219" s="1" t="n">
        <v>0</v>
      </c>
      <c r="C5219" s="24" t="n">
        <v>45425</v>
      </c>
      <c r="D5219" s="24" t="n">
        <v>45443</v>
      </c>
      <c r="E5219" s="25">
        <f>31-13</f>
        <v/>
      </c>
      <c r="F5219" s="319">
        <f>D5210</f>
        <v/>
      </c>
      <c r="G5219" s="319" t="n"/>
      <c r="H5219" s="319">
        <f>($D$5211/$D$5213*F5219*E5219/30)</f>
        <v/>
      </c>
      <c r="I5219" s="319">
        <f>G5219-H5219</f>
        <v/>
      </c>
      <c r="J5219" s="319">
        <f>F5219-I5219</f>
        <v/>
      </c>
      <c r="L5219" s="148" t="n"/>
    </row>
    <row r="5220">
      <c r="B5220" s="1" t="n">
        <v>1</v>
      </c>
      <c r="C5220" s="24" t="n">
        <v>45444</v>
      </c>
      <c r="D5220" s="24" t="n">
        <v>45473</v>
      </c>
      <c r="E5220" s="25" t="n">
        <v>31</v>
      </c>
      <c r="F5220" s="319">
        <f>J5219+E5210</f>
        <v/>
      </c>
      <c r="G5220" s="319" t="n"/>
      <c r="H5220" s="319">
        <f>($F$5214/$D$5213*F5220)</f>
        <v/>
      </c>
      <c r="I5220" s="319">
        <f>G5220-H5220</f>
        <v/>
      </c>
      <c r="J5220" s="319">
        <f>F5220-I5220</f>
        <v/>
      </c>
      <c r="K5220" s="237" t="n"/>
      <c r="L5220" s="148" t="n"/>
    </row>
    <row r="5221">
      <c r="B5221" s="1" t="n">
        <v>2</v>
      </c>
      <c r="C5221" s="24" t="n">
        <v>45474</v>
      </c>
      <c r="D5221" s="24" t="n">
        <v>45504</v>
      </c>
      <c r="E5221" s="25" t="n">
        <v>30</v>
      </c>
      <c r="F5221" s="319">
        <f>J5220</f>
        <v/>
      </c>
      <c r="G5221" s="319" t="n"/>
      <c r="H5221" s="319">
        <f>($G$5214/$D$5213*F5221)</f>
        <v/>
      </c>
      <c r="I5221" s="319">
        <f>G5221-H5221</f>
        <v/>
      </c>
      <c r="J5221" s="319">
        <f>F5221-I5221</f>
        <v/>
      </c>
      <c r="L5221" s="148" t="n"/>
    </row>
    <row r="5222">
      <c r="B5222" s="1">
        <f>+B5221+1</f>
        <v/>
      </c>
      <c r="C5222" s="24" t="n">
        <v>45505</v>
      </c>
      <c r="D5222" s="24" t="n">
        <v>45535</v>
      </c>
      <c r="E5222" s="25" t="n">
        <v>31</v>
      </c>
      <c r="F5222" s="319">
        <f>J5221</f>
        <v/>
      </c>
      <c r="G5222" s="319" t="n"/>
      <c r="H5222" s="319">
        <f>($G$5214/$D$5213*F5222)</f>
        <v/>
      </c>
      <c r="I5222" s="319">
        <f>G5222-H5222</f>
        <v/>
      </c>
      <c r="J5222" s="319">
        <f>F5222-I5222</f>
        <v/>
      </c>
      <c r="L5222" s="148" t="n"/>
      <c r="N5222" s="148" t="n"/>
    </row>
    <row r="5223">
      <c r="B5223" s="1">
        <f>+B5222+1</f>
        <v/>
      </c>
      <c r="C5223" s="24" t="n">
        <v>45536</v>
      </c>
      <c r="D5223" s="24" t="n">
        <v>45565</v>
      </c>
      <c r="E5223" s="25" t="n">
        <v>31</v>
      </c>
      <c r="F5223" s="319">
        <f>J5222</f>
        <v/>
      </c>
      <c r="G5223" s="319" t="n"/>
      <c r="H5223" s="319">
        <f>($G$5214/$D$5213*F5223)</f>
        <v/>
      </c>
      <c r="I5223" s="319">
        <f>G5223-H5223</f>
        <v/>
      </c>
      <c r="J5223" s="319">
        <f>F5223-I5223</f>
        <v/>
      </c>
      <c r="L5223" s="148" t="n"/>
    </row>
    <row r="5224">
      <c r="B5224" s="1">
        <f>+B5223+1</f>
        <v/>
      </c>
      <c r="C5224" s="24" t="n">
        <v>45566</v>
      </c>
      <c r="D5224" s="24" t="n">
        <v>45596</v>
      </c>
      <c r="E5224" s="25" t="n">
        <v>30</v>
      </c>
      <c r="F5224" s="319">
        <f>J5223</f>
        <v/>
      </c>
      <c r="G5224" s="319" t="n"/>
      <c r="H5224" s="319">
        <f>($G$5214/$D$5213*F5224)</f>
        <v/>
      </c>
      <c r="I5224" s="319">
        <f>G5224-H5224</f>
        <v/>
      </c>
      <c r="J5224" s="319">
        <f>F5224-I5224</f>
        <v/>
      </c>
    </row>
    <row r="5225">
      <c r="B5225" s="1">
        <f>+B5224+1</f>
        <v/>
      </c>
      <c r="C5225" s="24" t="n">
        <v>45597</v>
      </c>
      <c r="D5225" s="24" t="n">
        <v>45626</v>
      </c>
      <c r="E5225" s="25" t="n">
        <v>31</v>
      </c>
      <c r="F5225" s="319">
        <f>J5224</f>
        <v/>
      </c>
      <c r="G5225" s="319" t="n"/>
      <c r="H5225" s="319">
        <f>($G$5214/$D$5213*F5225)</f>
        <v/>
      </c>
      <c r="I5225" s="319">
        <f>G5225-H5225</f>
        <v/>
      </c>
      <c r="J5225" s="319">
        <f>F5225-I5225</f>
        <v/>
      </c>
    </row>
    <row r="5226">
      <c r="B5226" s="1">
        <f>+B5225+1</f>
        <v/>
      </c>
      <c r="C5226" s="24" t="n">
        <v>45627</v>
      </c>
      <c r="D5226" s="24" t="n">
        <v>45657</v>
      </c>
      <c r="E5226" s="25" t="n">
        <v>30</v>
      </c>
      <c r="F5226" s="319">
        <f>J5225</f>
        <v/>
      </c>
      <c r="G5226" s="319">
        <f>-PMT($G$5214/$D$5213,54,$F$5226,,0)</f>
        <v/>
      </c>
      <c r="H5226" s="319">
        <f>($G$5214/$D$5213*F5226)</f>
        <v/>
      </c>
      <c r="I5226" s="319">
        <f>G5226-H5226</f>
        <v/>
      </c>
      <c r="J5226" s="319">
        <f>F5226-I5226</f>
        <v/>
      </c>
      <c r="L5226" s="148" t="n"/>
    </row>
    <row r="5227">
      <c r="B5227" s="1">
        <f>+B5226+1</f>
        <v/>
      </c>
      <c r="C5227" s="24" t="n">
        <v>45658</v>
      </c>
      <c r="D5227" s="24" t="n">
        <v>45688</v>
      </c>
      <c r="E5227" s="25" t="n">
        <v>31</v>
      </c>
      <c r="F5227" s="319">
        <f>J5226</f>
        <v/>
      </c>
      <c r="G5227" s="319">
        <f>-PMT($G$5214/$D$5213,54,$F$5226,,0)</f>
        <v/>
      </c>
      <c r="H5227" s="319">
        <f>($G$5214/$D$5213*F5227)</f>
        <v/>
      </c>
      <c r="I5227" s="319">
        <f>G5227-H5227</f>
        <v/>
      </c>
      <c r="J5227" s="319">
        <f>F5227-I5227</f>
        <v/>
      </c>
    </row>
    <row r="5228">
      <c r="B5228" s="1">
        <f>+B5227+1</f>
        <v/>
      </c>
      <c r="C5228" s="24" t="n">
        <v>45689</v>
      </c>
      <c r="D5228" s="24" t="n">
        <v>45716</v>
      </c>
      <c r="E5228" s="25" t="n">
        <v>31</v>
      </c>
      <c r="F5228" s="319">
        <f>J5227</f>
        <v/>
      </c>
      <c r="G5228" s="319">
        <f>-PMT($G$5214/$D$5213,54,$F$5226,,0)</f>
        <v/>
      </c>
      <c r="H5228" s="319">
        <f>($G$5214/$D$5213*F5228)</f>
        <v/>
      </c>
      <c r="I5228" s="319">
        <f>G5228-H5228</f>
        <v/>
      </c>
      <c r="J5228" s="319">
        <f>F5228-I5228</f>
        <v/>
      </c>
    </row>
    <row r="5229">
      <c r="B5229" s="1">
        <f>+B5228+1</f>
        <v/>
      </c>
      <c r="C5229" s="24" t="n">
        <v>45717</v>
      </c>
      <c r="D5229" s="24" t="n">
        <v>45747</v>
      </c>
      <c r="E5229" s="25" t="n">
        <v>28</v>
      </c>
      <c r="F5229" s="319">
        <f>J5228</f>
        <v/>
      </c>
      <c r="G5229" s="319">
        <f>-PMT($G$5214/$D$5213,54,$F$5226,,0)</f>
        <v/>
      </c>
      <c r="H5229" s="319">
        <f>($G$5214/$D$5213*F5229)</f>
        <v/>
      </c>
      <c r="I5229" s="319">
        <f>G5229-H5229</f>
        <v/>
      </c>
      <c r="J5229" s="319">
        <f>F5229-I5229</f>
        <v/>
      </c>
    </row>
    <row r="5230">
      <c r="B5230" s="1">
        <f>+B5229+1</f>
        <v/>
      </c>
      <c r="C5230" s="24" t="n">
        <v>45748</v>
      </c>
      <c r="D5230" s="24" t="n">
        <v>45777</v>
      </c>
      <c r="E5230" s="25" t="n">
        <v>31</v>
      </c>
      <c r="F5230" s="319">
        <f>J5229</f>
        <v/>
      </c>
      <c r="G5230" s="319">
        <f>-PMT($G$5214/$D$5213,54,$F$5226,,0)</f>
        <v/>
      </c>
      <c r="H5230" s="319">
        <f>($G$5214/$D$5213*F5230)</f>
        <v/>
      </c>
      <c r="I5230" s="319">
        <f>G5230-H5230</f>
        <v/>
      </c>
      <c r="J5230" s="319">
        <f>F5230-I5230</f>
        <v/>
      </c>
    </row>
    <row r="5231">
      <c r="B5231" s="1">
        <f>+B5230+1</f>
        <v/>
      </c>
      <c r="C5231" s="24" t="n">
        <v>45778</v>
      </c>
      <c r="D5231" s="24" t="n">
        <v>45808</v>
      </c>
      <c r="E5231" s="25" t="n">
        <v>30</v>
      </c>
      <c r="F5231" s="319">
        <f>J5230</f>
        <v/>
      </c>
      <c r="G5231" s="319">
        <f>-PMT($G$5214/$D$5213,54,$F$5226,,0)</f>
        <v/>
      </c>
      <c r="H5231" s="319">
        <f>($G$5214/$D$5213*F5231)</f>
        <v/>
      </c>
      <c r="I5231" s="319">
        <f>G5231-H5231</f>
        <v/>
      </c>
      <c r="J5231" s="319">
        <f>F5231-I5231</f>
        <v/>
      </c>
    </row>
    <row r="5232">
      <c r="B5232" s="1">
        <f>+B5231+1</f>
        <v/>
      </c>
      <c r="C5232" s="24" t="n">
        <v>45809</v>
      </c>
      <c r="D5232" s="24" t="n">
        <v>45838</v>
      </c>
      <c r="E5232" s="25" t="n">
        <v>31</v>
      </c>
      <c r="F5232" s="319">
        <f>J5231</f>
        <v/>
      </c>
      <c r="G5232" s="319">
        <f>-PMT($G$5214/$D$5213,54,$F$5226,,0)</f>
        <v/>
      </c>
      <c r="H5232" s="319">
        <f>($G$5214/$D$5213*F5232)</f>
        <v/>
      </c>
      <c r="I5232" s="319">
        <f>G5232-H5232</f>
        <v/>
      </c>
      <c r="J5232" s="319">
        <f>F5232-I5232</f>
        <v/>
      </c>
    </row>
    <row r="5233">
      <c r="B5233" s="1">
        <f>+B5232+1</f>
        <v/>
      </c>
      <c r="C5233" s="24" t="n">
        <v>45839</v>
      </c>
      <c r="D5233" s="24" t="n">
        <v>45868</v>
      </c>
      <c r="E5233" s="25" t="n">
        <v>30</v>
      </c>
      <c r="F5233" s="319">
        <f>J5232</f>
        <v/>
      </c>
      <c r="G5233" s="319">
        <f>-PMT($G$5214/$D$5213,54,$F$5226,,0)</f>
        <v/>
      </c>
      <c r="H5233" s="319">
        <f>($G$5214/$D$5213*F5233)</f>
        <v/>
      </c>
      <c r="I5233" s="319">
        <f>G5233-H5233</f>
        <v/>
      </c>
      <c r="J5233" s="319">
        <f>F5233-I5233</f>
        <v/>
      </c>
    </row>
    <row r="5234">
      <c r="B5234" s="1">
        <f>+B5233+1</f>
        <v/>
      </c>
      <c r="C5234" s="24" t="n">
        <v>45870</v>
      </c>
      <c r="D5234" s="24" t="n">
        <v>45899</v>
      </c>
      <c r="E5234" s="25" t="n">
        <v>30</v>
      </c>
      <c r="F5234" s="319">
        <f>J5233</f>
        <v/>
      </c>
      <c r="G5234" s="319">
        <f>-PMT($G$5214/$D$5213,54,$F$5226,,0)</f>
        <v/>
      </c>
      <c r="H5234" s="319">
        <f>($G$5214/$D$5213*F5234)</f>
        <v/>
      </c>
      <c r="I5234" s="319">
        <f>G5234-H5234</f>
        <v/>
      </c>
      <c r="J5234" s="319">
        <f>F5234-I5234</f>
        <v/>
      </c>
    </row>
    <row r="5235">
      <c r="B5235" s="1">
        <f>+B5234+1</f>
        <v/>
      </c>
      <c r="C5235" s="24" t="n">
        <v>45901</v>
      </c>
      <c r="D5235" s="24" t="n">
        <v>45930</v>
      </c>
      <c r="E5235" s="25" t="n">
        <v>30</v>
      </c>
      <c r="F5235" s="319">
        <f>J5234</f>
        <v/>
      </c>
      <c r="G5235" s="319">
        <f>-PMT($G$5214/$D$5213,54,$F$5226,,0)</f>
        <v/>
      </c>
      <c r="H5235" s="319">
        <f>($G$5214/$D$5213*F5235)</f>
        <v/>
      </c>
      <c r="I5235" s="319">
        <f>G5235-H5235</f>
        <v/>
      </c>
      <c r="J5235" s="319">
        <f>F5235-I5235</f>
        <v/>
      </c>
    </row>
    <row r="5236">
      <c r="B5236" s="1">
        <f>+B5235+1</f>
        <v/>
      </c>
      <c r="C5236" s="24" t="n">
        <v>45931</v>
      </c>
      <c r="D5236" s="24" t="n">
        <v>45961</v>
      </c>
      <c r="E5236" s="25" t="n">
        <v>30</v>
      </c>
      <c r="F5236" s="319">
        <f>J5235</f>
        <v/>
      </c>
      <c r="G5236" s="319">
        <f>-PMT($G$5214/$D$5213,54,$F$5226,,0)</f>
        <v/>
      </c>
      <c r="H5236" s="319">
        <f>($G$5214/$D$5213*F5236)</f>
        <v/>
      </c>
      <c r="I5236" s="319">
        <f>G5236-H5236</f>
        <v/>
      </c>
      <c r="J5236" s="319">
        <f>F5236-I5236</f>
        <v/>
      </c>
    </row>
    <row r="5237">
      <c r="B5237" s="1">
        <f>+B5236+1</f>
        <v/>
      </c>
      <c r="C5237" s="24" t="n">
        <v>45962</v>
      </c>
      <c r="D5237" s="24" t="n">
        <v>45991</v>
      </c>
      <c r="E5237" s="25" t="n">
        <v>31</v>
      </c>
      <c r="F5237" s="319">
        <f>J5236</f>
        <v/>
      </c>
      <c r="G5237" s="319">
        <f>-PMT($G$5214/$D$5213,54,$F$5226,,0)</f>
        <v/>
      </c>
      <c r="H5237" s="319">
        <f>($G$5214/$D$5213*F5237)</f>
        <v/>
      </c>
      <c r="I5237" s="319">
        <f>G5237-H5237</f>
        <v/>
      </c>
      <c r="J5237" s="319">
        <f>F5237-I5237</f>
        <v/>
      </c>
    </row>
    <row r="5238">
      <c r="B5238" s="1">
        <f>+B5237+1</f>
        <v/>
      </c>
      <c r="C5238" s="24" t="n">
        <v>45992</v>
      </c>
      <c r="D5238" s="24" t="n">
        <v>46022</v>
      </c>
      <c r="E5238" s="25" t="n">
        <v>30</v>
      </c>
      <c r="F5238" s="319">
        <f>J5237</f>
        <v/>
      </c>
      <c r="G5238" s="319">
        <f>-PMT($G$5214/$D$5213,54,$F$5226,,0)</f>
        <v/>
      </c>
      <c r="H5238" s="319">
        <f>($G$5214/$D$5213*F5238)</f>
        <v/>
      </c>
      <c r="I5238" s="319">
        <f>G5238-H5238</f>
        <v/>
      </c>
      <c r="J5238" s="319">
        <f>F5238-I5238</f>
        <v/>
      </c>
    </row>
    <row r="5239">
      <c r="B5239" s="1">
        <f>+B5238+1</f>
        <v/>
      </c>
      <c r="C5239" s="24" t="n">
        <v>46023</v>
      </c>
      <c r="D5239" s="24" t="n">
        <v>46053</v>
      </c>
      <c r="E5239" s="25" t="n">
        <v>31</v>
      </c>
      <c r="F5239" s="319">
        <f>J5238</f>
        <v/>
      </c>
      <c r="G5239" s="319">
        <f>-PMT($G$5214/$D$5213,54,$F$5226,,0)</f>
        <v/>
      </c>
      <c r="H5239" s="319">
        <f>($G$5214/$D$5213*F5239)</f>
        <v/>
      </c>
      <c r="I5239" s="319">
        <f>G5239-H5239</f>
        <v/>
      </c>
      <c r="J5239" s="319">
        <f>F5239-I5239</f>
        <v/>
      </c>
    </row>
    <row r="5240">
      <c r="B5240" s="1">
        <f>+B5239+1</f>
        <v/>
      </c>
      <c r="C5240" s="24" t="n">
        <v>46054</v>
      </c>
      <c r="D5240" s="24" t="n">
        <v>46081</v>
      </c>
      <c r="E5240" s="25" t="n">
        <v>31</v>
      </c>
      <c r="F5240" s="319">
        <f>J5239</f>
        <v/>
      </c>
      <c r="G5240" s="319">
        <f>-PMT($G$5214/$D$5213,54,$F$5226,,0)</f>
        <v/>
      </c>
      <c r="H5240" s="319">
        <f>($G$5214/$D$5213*F5240)</f>
        <v/>
      </c>
      <c r="I5240" s="319">
        <f>G5240-H5240</f>
        <v/>
      </c>
      <c r="J5240" s="319">
        <f>F5240-I5240</f>
        <v/>
      </c>
    </row>
    <row r="5241">
      <c r="B5241" s="1">
        <f>+B5240+1</f>
        <v/>
      </c>
      <c r="C5241" s="24" t="n">
        <v>46082</v>
      </c>
      <c r="D5241" s="24" t="n">
        <v>46112</v>
      </c>
      <c r="E5241" s="25" t="n">
        <v>28</v>
      </c>
      <c r="F5241" s="319">
        <f>J5240</f>
        <v/>
      </c>
      <c r="G5241" s="319">
        <f>-PMT($G$5214/$D$5213,54,$F$5226,,0)</f>
        <v/>
      </c>
      <c r="H5241" s="319">
        <f>($G$5214/$D$5213*F5241)</f>
        <v/>
      </c>
      <c r="I5241" s="319">
        <f>G5241-H5241</f>
        <v/>
      </c>
      <c r="J5241" s="319">
        <f>F5241-I5241</f>
        <v/>
      </c>
    </row>
    <row r="5242">
      <c r="B5242" s="1">
        <f>+B5241+1</f>
        <v/>
      </c>
      <c r="C5242" s="24" t="n">
        <v>46113</v>
      </c>
      <c r="D5242" s="24" t="n">
        <v>46142</v>
      </c>
      <c r="E5242" s="25" t="n">
        <v>31</v>
      </c>
      <c r="F5242" s="319">
        <f>J5241</f>
        <v/>
      </c>
      <c r="G5242" s="319">
        <f>-PMT($G$5214/$D$5213,54,$F$5226,,0)</f>
        <v/>
      </c>
      <c r="H5242" s="319">
        <f>($G$5214/$D$5213*F5242)</f>
        <v/>
      </c>
      <c r="I5242" s="319">
        <f>G5242-H5242</f>
        <v/>
      </c>
      <c r="J5242" s="319">
        <f>F5242-I5242</f>
        <v/>
      </c>
    </row>
    <row r="5243">
      <c r="B5243" s="1">
        <f>+B5242+1</f>
        <v/>
      </c>
      <c r="C5243" s="24" t="n">
        <v>46143</v>
      </c>
      <c r="D5243" s="24" t="n">
        <v>46173</v>
      </c>
      <c r="E5243" s="25" t="n">
        <v>32</v>
      </c>
      <c r="F5243" s="319">
        <f>J5242</f>
        <v/>
      </c>
      <c r="G5243" s="319">
        <f>-PMT($G$5214/$D$5213,54,$F$5226,,0)</f>
        <v/>
      </c>
      <c r="H5243" s="319">
        <f>($G$5214/$D$5213*F5243)</f>
        <v/>
      </c>
      <c r="I5243" s="319">
        <f>G5243-H5243</f>
        <v/>
      </c>
      <c r="J5243" s="319">
        <f>F5243-I5243</f>
        <v/>
      </c>
    </row>
    <row r="5244">
      <c r="B5244" s="1">
        <f>+B5243+1</f>
        <v/>
      </c>
      <c r="C5244" s="24" t="n">
        <v>46174</v>
      </c>
      <c r="D5244" s="24" t="n">
        <v>46203</v>
      </c>
      <c r="E5244" s="25" t="n">
        <v>33</v>
      </c>
      <c r="F5244" s="319">
        <f>J5243</f>
        <v/>
      </c>
      <c r="G5244" s="319">
        <f>-PMT($G$5214/$D$5213,54,$F$5226,,0)</f>
        <v/>
      </c>
      <c r="H5244" s="319">
        <f>($G$5214/$D$5213*F5244)</f>
        <v/>
      </c>
      <c r="I5244" s="319">
        <f>G5244-H5244</f>
        <v/>
      </c>
      <c r="J5244" s="319">
        <f>F5244-I5244</f>
        <v/>
      </c>
    </row>
    <row r="5245">
      <c r="B5245" s="1">
        <f>+B5244+1</f>
        <v/>
      </c>
      <c r="C5245" s="24" t="n">
        <v>46204</v>
      </c>
      <c r="D5245" s="24" t="n">
        <v>46234</v>
      </c>
      <c r="E5245" s="25" t="n">
        <v>34</v>
      </c>
      <c r="F5245" s="319">
        <f>J5244</f>
        <v/>
      </c>
      <c r="G5245" s="319">
        <f>-PMT($G$5214/$D$5213,54,$F$5226,,0)</f>
        <v/>
      </c>
      <c r="H5245" s="319">
        <f>($G$5214/$D$5213*F5245)</f>
        <v/>
      </c>
      <c r="I5245" s="319">
        <f>G5245-H5245</f>
        <v/>
      </c>
      <c r="J5245" s="319">
        <f>F5245-I5245</f>
        <v/>
      </c>
    </row>
    <row r="5246">
      <c r="B5246" s="1">
        <f>+B5245+1</f>
        <v/>
      </c>
      <c r="C5246" s="24" t="n">
        <v>46235</v>
      </c>
      <c r="D5246" s="24" t="n">
        <v>46265</v>
      </c>
      <c r="E5246" s="25" t="n">
        <v>35</v>
      </c>
      <c r="F5246" s="319">
        <f>J5245</f>
        <v/>
      </c>
      <c r="G5246" s="319">
        <f>-PMT($G$5214/$D$5213,54,$F$5226,,0)</f>
        <v/>
      </c>
      <c r="H5246" s="319">
        <f>($G$5214/$D$5213*F5246)</f>
        <v/>
      </c>
      <c r="I5246" s="319">
        <f>G5246-H5246</f>
        <v/>
      </c>
      <c r="J5246" s="319">
        <f>F5246-I5246</f>
        <v/>
      </c>
    </row>
    <row r="5247">
      <c r="B5247" s="1">
        <f>+B5246+1</f>
        <v/>
      </c>
      <c r="C5247" s="24" t="n">
        <v>46266</v>
      </c>
      <c r="D5247" s="24" t="n">
        <v>46295</v>
      </c>
      <c r="E5247" s="25" t="n">
        <v>36</v>
      </c>
      <c r="F5247" s="319">
        <f>J5246</f>
        <v/>
      </c>
      <c r="G5247" s="319">
        <f>-PMT($G$5214/$D$5213,54,$F$5226,,0)</f>
        <v/>
      </c>
      <c r="H5247" s="319">
        <f>($G$5214/$D$5213*F5247)</f>
        <v/>
      </c>
      <c r="I5247" s="319">
        <f>G5247-H5247</f>
        <v/>
      </c>
      <c r="J5247" s="319">
        <f>F5247-I5247</f>
        <v/>
      </c>
    </row>
    <row r="5248">
      <c r="B5248" s="1">
        <f>+B5247+1</f>
        <v/>
      </c>
      <c r="C5248" s="24" t="n">
        <v>46296</v>
      </c>
      <c r="D5248" s="24" t="n">
        <v>46326</v>
      </c>
      <c r="E5248" s="25" t="n">
        <v>37</v>
      </c>
      <c r="F5248" s="319">
        <f>J5247</f>
        <v/>
      </c>
      <c r="G5248" s="319">
        <f>-PMT($G$5214/$D$5213,54,$F$5226,,0)</f>
        <v/>
      </c>
      <c r="H5248" s="319">
        <f>($G$5214/$D$5213*F5248)</f>
        <v/>
      </c>
      <c r="I5248" s="319">
        <f>G5248-H5248</f>
        <v/>
      </c>
      <c r="J5248" s="319">
        <f>F5248-I5248</f>
        <v/>
      </c>
    </row>
    <row r="5249">
      <c r="B5249" s="1">
        <f>+B5248+1</f>
        <v/>
      </c>
      <c r="C5249" s="24" t="n">
        <v>46327</v>
      </c>
      <c r="D5249" s="24" t="n">
        <v>46356</v>
      </c>
      <c r="E5249" s="25" t="n">
        <v>38</v>
      </c>
      <c r="F5249" s="319">
        <f>J5248</f>
        <v/>
      </c>
      <c r="G5249" s="319">
        <f>-PMT($G$5214/$D$5213,54,$F$5226,,0)</f>
        <v/>
      </c>
      <c r="H5249" s="319">
        <f>($G$5214/$D$5213*F5249)</f>
        <v/>
      </c>
      <c r="I5249" s="319">
        <f>G5249-H5249</f>
        <v/>
      </c>
      <c r="J5249" s="319">
        <f>F5249-I5249</f>
        <v/>
      </c>
    </row>
    <row r="5250">
      <c r="B5250" s="1">
        <f>+B5249+1</f>
        <v/>
      </c>
      <c r="C5250" s="24" t="n">
        <v>46357</v>
      </c>
      <c r="D5250" s="24" t="n">
        <v>46387</v>
      </c>
      <c r="E5250" s="25" t="n">
        <v>39</v>
      </c>
      <c r="F5250" s="319">
        <f>J5249</f>
        <v/>
      </c>
      <c r="G5250" s="319">
        <f>-PMT($G$5214/$D$5213,54,$F$5226,,0)</f>
        <v/>
      </c>
      <c r="H5250" s="319">
        <f>($G$5214/$D$5213*F5250)</f>
        <v/>
      </c>
      <c r="I5250" s="319">
        <f>G5250-H5250</f>
        <v/>
      </c>
      <c r="J5250" s="319">
        <f>F5250-I5250</f>
        <v/>
      </c>
    </row>
    <row r="5251">
      <c r="B5251" s="1">
        <f>+B5250+1</f>
        <v/>
      </c>
      <c r="C5251" s="24" t="n">
        <v>46388</v>
      </c>
      <c r="D5251" s="24" t="n">
        <v>46418</v>
      </c>
      <c r="E5251" s="25" t="n">
        <v>40</v>
      </c>
      <c r="F5251" s="319">
        <f>J5250</f>
        <v/>
      </c>
      <c r="G5251" s="319">
        <f>-PMT($G$5214/$D$5213,54,$F$5226,,0)</f>
        <v/>
      </c>
      <c r="H5251" s="319">
        <f>($G$5214/$D$5213*F5251)</f>
        <v/>
      </c>
      <c r="I5251" s="319">
        <f>G5251-H5251</f>
        <v/>
      </c>
      <c r="J5251" s="319">
        <f>F5251-I5251</f>
        <v/>
      </c>
    </row>
    <row r="5252">
      <c r="B5252" s="1">
        <f>+B5251+1</f>
        <v/>
      </c>
      <c r="C5252" s="24" t="n">
        <v>46419</v>
      </c>
      <c r="D5252" s="24" t="n">
        <v>46446</v>
      </c>
      <c r="E5252" s="25" t="n">
        <v>41</v>
      </c>
      <c r="F5252" s="319">
        <f>J5251</f>
        <v/>
      </c>
      <c r="G5252" s="319">
        <f>-PMT($G$5214/$D$5213,54,$F$5226,,0)</f>
        <v/>
      </c>
      <c r="H5252" s="319">
        <f>($G$5214/$D$5213*F5252)</f>
        <v/>
      </c>
      <c r="I5252" s="319">
        <f>G5252-H5252</f>
        <v/>
      </c>
      <c r="J5252" s="319">
        <f>F5252-I5252</f>
        <v/>
      </c>
    </row>
    <row r="5253">
      <c r="B5253" s="1">
        <f>+B5252+1</f>
        <v/>
      </c>
      <c r="C5253" s="24" t="n">
        <v>46447</v>
      </c>
      <c r="D5253" s="24" t="n">
        <v>46477</v>
      </c>
      <c r="E5253" s="25" t="n">
        <v>42</v>
      </c>
      <c r="F5253" s="319">
        <f>J5252</f>
        <v/>
      </c>
      <c r="G5253" s="319">
        <f>-PMT($G$5214/$D$5213,54,$F$5226,,0)</f>
        <v/>
      </c>
      <c r="H5253" s="319">
        <f>($G$5214/$D$5213*F5253)</f>
        <v/>
      </c>
      <c r="I5253" s="319">
        <f>G5253-H5253</f>
        <v/>
      </c>
      <c r="J5253" s="319">
        <f>F5253-I5253</f>
        <v/>
      </c>
    </row>
    <row r="5254">
      <c r="B5254" s="1">
        <f>+B5253+1</f>
        <v/>
      </c>
      <c r="C5254" s="24" t="n">
        <v>46478</v>
      </c>
      <c r="D5254" s="24" t="n">
        <v>46507</v>
      </c>
      <c r="E5254" s="25" t="n">
        <v>43</v>
      </c>
      <c r="F5254" s="319">
        <f>J5253</f>
        <v/>
      </c>
      <c r="G5254" s="319">
        <f>-PMT($G$5214/$D$5213,54,$F$5226,,0)</f>
        <v/>
      </c>
      <c r="H5254" s="319">
        <f>($G$5214/$D$5213*F5254)</f>
        <v/>
      </c>
      <c r="I5254" s="319">
        <f>G5254-H5254</f>
        <v/>
      </c>
      <c r="J5254" s="319">
        <f>F5254-I5254</f>
        <v/>
      </c>
    </row>
    <row r="5255">
      <c r="B5255" s="1">
        <f>+B5254+1</f>
        <v/>
      </c>
      <c r="C5255" s="24" t="n">
        <v>46508</v>
      </c>
      <c r="D5255" s="24" t="n">
        <v>46538</v>
      </c>
      <c r="E5255" s="25" t="n">
        <v>44</v>
      </c>
      <c r="F5255" s="319">
        <f>J5254</f>
        <v/>
      </c>
      <c r="G5255" s="319">
        <f>-PMT($G$5214/$D$5213,54,$F$5226,,0)</f>
        <v/>
      </c>
      <c r="H5255" s="319">
        <f>($G$5214/$D$5213*F5255)</f>
        <v/>
      </c>
      <c r="I5255" s="319">
        <f>G5255-H5255</f>
        <v/>
      </c>
      <c r="J5255" s="319">
        <f>F5255-I5255</f>
        <v/>
      </c>
    </row>
    <row r="5256">
      <c r="B5256" s="1">
        <f>+B5255+1</f>
        <v/>
      </c>
      <c r="C5256" s="24" t="n">
        <v>46539</v>
      </c>
      <c r="D5256" s="24" t="n">
        <v>46568</v>
      </c>
      <c r="E5256" s="25" t="n">
        <v>45</v>
      </c>
      <c r="F5256" s="319">
        <f>J5255</f>
        <v/>
      </c>
      <c r="G5256" s="319">
        <f>-PMT($G$5214/$D$5213,54,$F$5226,,0)</f>
        <v/>
      </c>
      <c r="H5256" s="319">
        <f>($G$5214/$D$5213*F5256)</f>
        <v/>
      </c>
      <c r="I5256" s="319">
        <f>G5256-H5256</f>
        <v/>
      </c>
      <c r="J5256" s="319">
        <f>F5256-I5256</f>
        <v/>
      </c>
    </row>
    <row r="5257">
      <c r="B5257" s="1">
        <f>+B5256+1</f>
        <v/>
      </c>
      <c r="C5257" s="24" t="n">
        <v>46569</v>
      </c>
      <c r="D5257" s="24" t="n">
        <v>46599</v>
      </c>
      <c r="E5257" s="25" t="n">
        <v>46</v>
      </c>
      <c r="F5257" s="319">
        <f>J5256</f>
        <v/>
      </c>
      <c r="G5257" s="319">
        <f>-PMT($G$5214/$D$5213,54,$F$5226,,0)</f>
        <v/>
      </c>
      <c r="H5257" s="319">
        <f>($G$5214/$D$5213*F5257)</f>
        <v/>
      </c>
      <c r="I5257" s="319">
        <f>G5257-H5257</f>
        <v/>
      </c>
      <c r="J5257" s="319">
        <f>F5257-I5257</f>
        <v/>
      </c>
    </row>
    <row r="5258">
      <c r="B5258" s="1">
        <f>+B5257+1</f>
        <v/>
      </c>
      <c r="C5258" s="24" t="n">
        <v>46600</v>
      </c>
      <c r="D5258" s="24" t="n">
        <v>46630</v>
      </c>
      <c r="E5258" s="25" t="n">
        <v>47</v>
      </c>
      <c r="F5258" s="319">
        <f>J5257</f>
        <v/>
      </c>
      <c r="G5258" s="319">
        <f>-PMT($G$5214/$D$5213,54,$F$5226,,0)</f>
        <v/>
      </c>
      <c r="H5258" s="319">
        <f>($G$5214/$D$5213*F5258)</f>
        <v/>
      </c>
      <c r="I5258" s="319">
        <f>G5258-H5258</f>
        <v/>
      </c>
      <c r="J5258" s="319">
        <f>F5258-I5258</f>
        <v/>
      </c>
    </row>
    <row r="5259">
      <c r="B5259" s="1">
        <f>+B5258+1</f>
        <v/>
      </c>
      <c r="C5259" s="24" t="n">
        <v>46631</v>
      </c>
      <c r="D5259" s="24" t="n">
        <v>46660</v>
      </c>
      <c r="E5259" s="25" t="n">
        <v>48</v>
      </c>
      <c r="F5259" s="319">
        <f>J5258</f>
        <v/>
      </c>
      <c r="G5259" s="319">
        <f>-PMT($G$5214/$D$5213,54,$F$5226,,0)</f>
        <v/>
      </c>
      <c r="H5259" s="319">
        <f>($G$5214/$D$5213*F5259)</f>
        <v/>
      </c>
      <c r="I5259" s="319">
        <f>G5259-H5259</f>
        <v/>
      </c>
      <c r="J5259" s="319">
        <f>F5259-I5259</f>
        <v/>
      </c>
    </row>
    <row r="5260">
      <c r="B5260" s="1">
        <f>+B5259+1</f>
        <v/>
      </c>
      <c r="C5260" s="24" t="n">
        <v>46661</v>
      </c>
      <c r="D5260" s="24" t="n">
        <v>46691</v>
      </c>
      <c r="E5260" s="25" t="n">
        <v>49</v>
      </c>
      <c r="F5260" s="319">
        <f>J5259</f>
        <v/>
      </c>
      <c r="G5260" s="319">
        <f>-PMT($G$5214/$D$5213,54,$F$5226,,0)</f>
        <v/>
      </c>
      <c r="H5260" s="319">
        <f>($G$5214/$D$5213*F5260)</f>
        <v/>
      </c>
      <c r="I5260" s="319">
        <f>G5260-H5260</f>
        <v/>
      </c>
      <c r="J5260" s="319">
        <f>F5260-I5260</f>
        <v/>
      </c>
    </row>
    <row r="5261">
      <c r="B5261" s="1">
        <f>+B5260+1</f>
        <v/>
      </c>
      <c r="C5261" s="24" t="n">
        <v>46692</v>
      </c>
      <c r="D5261" s="24" t="n">
        <v>46721</v>
      </c>
      <c r="E5261" s="25" t="n">
        <v>50</v>
      </c>
      <c r="F5261" s="319">
        <f>J5260</f>
        <v/>
      </c>
      <c r="G5261" s="319">
        <f>-PMT($G$5214/$D$5213,54,$F$5226,,0)</f>
        <v/>
      </c>
      <c r="H5261" s="319">
        <f>($G$5214/$D$5213*F5261)</f>
        <v/>
      </c>
      <c r="I5261" s="319">
        <f>G5261-H5261</f>
        <v/>
      </c>
      <c r="J5261" s="319">
        <f>F5261-I5261</f>
        <v/>
      </c>
    </row>
    <row r="5262">
      <c r="B5262" s="1">
        <f>+B5261+1</f>
        <v/>
      </c>
      <c r="C5262" s="24" t="n">
        <v>46722</v>
      </c>
      <c r="D5262" s="24" t="n">
        <v>46752</v>
      </c>
      <c r="E5262" s="25" t="n">
        <v>51</v>
      </c>
      <c r="F5262" s="319">
        <f>J5261</f>
        <v/>
      </c>
      <c r="G5262" s="319">
        <f>-PMT($G$5214/$D$5213,54,$F$5226,,0)</f>
        <v/>
      </c>
      <c r="H5262" s="319">
        <f>($G$5214/$D$5213*F5262)</f>
        <v/>
      </c>
      <c r="I5262" s="319">
        <f>G5262-H5262</f>
        <v/>
      </c>
      <c r="J5262" s="319">
        <f>F5262-I5262</f>
        <v/>
      </c>
    </row>
    <row r="5263">
      <c r="B5263" s="1">
        <f>+B5262+1</f>
        <v/>
      </c>
      <c r="C5263" s="24" t="n">
        <v>46753</v>
      </c>
      <c r="D5263" s="24" t="n">
        <v>46783</v>
      </c>
      <c r="E5263" s="25" t="n">
        <v>52</v>
      </c>
      <c r="F5263" s="319">
        <f>J5262</f>
        <v/>
      </c>
      <c r="G5263" s="319">
        <f>-PMT($G$5214/$D$5213,54,$F$5226,,0)</f>
        <v/>
      </c>
      <c r="H5263" s="319">
        <f>($G$5214/$D$5213*F5263)</f>
        <v/>
      </c>
      <c r="I5263" s="319">
        <f>G5263-H5263</f>
        <v/>
      </c>
      <c r="J5263" s="319">
        <f>F5263-I5263</f>
        <v/>
      </c>
    </row>
    <row r="5264">
      <c r="B5264" s="1">
        <f>+B5263+1</f>
        <v/>
      </c>
      <c r="C5264" s="24" t="n">
        <v>46784</v>
      </c>
      <c r="D5264" s="24" t="n">
        <v>46812</v>
      </c>
      <c r="E5264" s="25" t="n">
        <v>53</v>
      </c>
      <c r="F5264" s="319">
        <f>J5263</f>
        <v/>
      </c>
      <c r="G5264" s="319">
        <f>-PMT($G$5214/$D$5213,54,$F$5226,,0)</f>
        <v/>
      </c>
      <c r="H5264" s="319">
        <f>($G$5214/$D$5213*F5264)</f>
        <v/>
      </c>
      <c r="I5264" s="319">
        <f>G5264-H5264</f>
        <v/>
      </c>
      <c r="J5264" s="319">
        <f>F5264-I5264</f>
        <v/>
      </c>
    </row>
    <row r="5265">
      <c r="B5265" s="1">
        <f>+B5264+1</f>
        <v/>
      </c>
      <c r="C5265" s="24" t="n">
        <v>46813</v>
      </c>
      <c r="D5265" s="24" t="n">
        <v>46843</v>
      </c>
      <c r="E5265" s="25" t="n">
        <v>54</v>
      </c>
      <c r="F5265" s="319">
        <f>J5264</f>
        <v/>
      </c>
      <c r="G5265" s="319">
        <f>-PMT($G$5214/$D$5213,54,$F$5226,,0)</f>
        <v/>
      </c>
      <c r="H5265" s="319">
        <f>($G$5214/$D$5213*F5265)</f>
        <v/>
      </c>
      <c r="I5265" s="319">
        <f>G5265-H5265</f>
        <v/>
      </c>
      <c r="J5265" s="319">
        <f>F5265-I5265</f>
        <v/>
      </c>
    </row>
    <row r="5266">
      <c r="B5266" s="1">
        <f>+B5265+1</f>
        <v/>
      </c>
      <c r="C5266" s="24" t="n">
        <v>46844</v>
      </c>
      <c r="D5266" s="24" t="n">
        <v>46873</v>
      </c>
      <c r="E5266" s="25" t="n">
        <v>55</v>
      </c>
      <c r="F5266" s="319">
        <f>J5265</f>
        <v/>
      </c>
      <c r="G5266" s="319">
        <f>-PMT($G$5214/$D$5213,54,$F$5226,,0)</f>
        <v/>
      </c>
      <c r="H5266" s="319">
        <f>($G$5214/$D$5213*F5266)</f>
        <v/>
      </c>
      <c r="I5266" s="319">
        <f>G5266-H5266</f>
        <v/>
      </c>
      <c r="J5266" s="319">
        <f>F5266-I5266</f>
        <v/>
      </c>
    </row>
    <row r="5267">
      <c r="B5267" s="1">
        <f>+B5266+1</f>
        <v/>
      </c>
      <c r="C5267" s="24" t="n">
        <v>46874</v>
      </c>
      <c r="D5267" s="24" t="n">
        <v>46904</v>
      </c>
      <c r="E5267" s="25" t="n">
        <v>56</v>
      </c>
      <c r="F5267" s="319">
        <f>J5266</f>
        <v/>
      </c>
      <c r="G5267" s="319">
        <f>-PMT($G$5214/$D$5213,54,$F$5226,,0)</f>
        <v/>
      </c>
      <c r="H5267" s="319">
        <f>($G$5214/$D$5213*F5267)</f>
        <v/>
      </c>
      <c r="I5267" s="319">
        <f>G5267-H5267</f>
        <v/>
      </c>
      <c r="J5267" s="319">
        <f>F5267-I5267</f>
        <v/>
      </c>
    </row>
    <row r="5268">
      <c r="B5268" s="1">
        <f>+B5267+1</f>
        <v/>
      </c>
      <c r="C5268" s="24" t="n">
        <v>46905</v>
      </c>
      <c r="D5268" s="24" t="n">
        <v>46934</v>
      </c>
      <c r="E5268" s="25" t="n">
        <v>57</v>
      </c>
      <c r="F5268" s="319">
        <f>J5267</f>
        <v/>
      </c>
      <c r="G5268" s="319">
        <f>-PMT($G$5214/$D$5213,54,$F$5226,,0)</f>
        <v/>
      </c>
      <c r="H5268" s="319">
        <f>($G$5214/$D$5213*F5268)</f>
        <v/>
      </c>
      <c r="I5268" s="319">
        <f>G5268-H5268</f>
        <v/>
      </c>
      <c r="J5268" s="319">
        <f>F5268-I5268</f>
        <v/>
      </c>
    </row>
    <row r="5269">
      <c r="B5269" s="1">
        <f>+B5268+1</f>
        <v/>
      </c>
      <c r="C5269" s="24" t="n">
        <v>46935</v>
      </c>
      <c r="D5269" s="24" t="n">
        <v>46965</v>
      </c>
      <c r="E5269" s="25" t="n">
        <v>58</v>
      </c>
      <c r="F5269" s="319">
        <f>J5268</f>
        <v/>
      </c>
      <c r="G5269" s="319">
        <f>-PMT($G$5214/$D$5213,54,$F$5226,,0)</f>
        <v/>
      </c>
      <c r="H5269" s="319">
        <f>($G$5214/$D$5213*F5269)</f>
        <v/>
      </c>
      <c r="I5269" s="319">
        <f>G5269-H5269</f>
        <v/>
      </c>
      <c r="J5269" s="319">
        <f>F5269-I5269</f>
        <v/>
      </c>
    </row>
    <row r="5270">
      <c r="B5270" s="1">
        <f>+B5269+1</f>
        <v/>
      </c>
      <c r="C5270" s="24" t="n">
        <v>46966</v>
      </c>
      <c r="D5270" s="24" t="n">
        <v>46996</v>
      </c>
      <c r="E5270" s="25" t="n">
        <v>59</v>
      </c>
      <c r="F5270" s="319">
        <f>J5269</f>
        <v/>
      </c>
      <c r="G5270" s="319">
        <f>-PMT($G$5214/$D$5213,54,$F$5226,,0)</f>
        <v/>
      </c>
      <c r="H5270" s="319">
        <f>($G$5214/$D$5213*F5270)</f>
        <v/>
      </c>
      <c r="I5270" s="319">
        <f>G5270-H5270</f>
        <v/>
      </c>
      <c r="J5270" s="319">
        <f>F5270-I5270</f>
        <v/>
      </c>
    </row>
    <row r="5271">
      <c r="B5271" s="1">
        <f>+B5270+1</f>
        <v/>
      </c>
      <c r="C5271" s="24" t="n">
        <v>46997</v>
      </c>
      <c r="D5271" s="24" t="n">
        <v>47026</v>
      </c>
      <c r="E5271" s="25" t="n">
        <v>60</v>
      </c>
      <c r="F5271" s="319">
        <f>J5270</f>
        <v/>
      </c>
      <c r="G5271" s="319">
        <f>-PMT($G$5214/$D$5213,54,$F$5226,,0)</f>
        <v/>
      </c>
      <c r="H5271" s="319">
        <f>($G$5214/$D$5213*F5271)</f>
        <v/>
      </c>
      <c r="I5271" s="319">
        <f>G5271-H5271</f>
        <v/>
      </c>
      <c r="J5271" s="319">
        <f>F5271-I5271</f>
        <v/>
      </c>
    </row>
    <row r="5272">
      <c r="B5272" s="1">
        <f>+B5271+1</f>
        <v/>
      </c>
      <c r="C5272" s="24" t="n">
        <v>47027</v>
      </c>
      <c r="D5272" s="24" t="n">
        <v>47057</v>
      </c>
      <c r="E5272" s="25" t="n">
        <v>61</v>
      </c>
      <c r="F5272" s="319">
        <f>J5271</f>
        <v/>
      </c>
      <c r="G5272" s="319">
        <f>-PMT($G$5214/$D$5213,54,$F$5226,,0)</f>
        <v/>
      </c>
      <c r="H5272" s="319">
        <f>($G$5214/$D$5213*F5272)</f>
        <v/>
      </c>
      <c r="I5272" s="319">
        <f>G5272-H5272</f>
        <v/>
      </c>
      <c r="J5272" s="319">
        <f>F5272-I5272</f>
        <v/>
      </c>
    </row>
    <row r="5273">
      <c r="B5273" s="1">
        <f>+B5272+1</f>
        <v/>
      </c>
      <c r="C5273" s="24" t="n">
        <v>47058</v>
      </c>
      <c r="D5273" s="24" t="n">
        <v>47087</v>
      </c>
      <c r="E5273" s="25" t="n">
        <v>62</v>
      </c>
      <c r="F5273" s="319">
        <f>J5272</f>
        <v/>
      </c>
      <c r="G5273" s="319">
        <f>-PMT($G$5214/$D$5213,54,$F$5226,,0)</f>
        <v/>
      </c>
      <c r="H5273" s="319">
        <f>($G$5214/$D$5213*F5273)</f>
        <v/>
      </c>
      <c r="I5273" s="319">
        <f>G5273-H5273</f>
        <v/>
      </c>
      <c r="J5273" s="319">
        <f>F5273-I5273</f>
        <v/>
      </c>
    </row>
    <row r="5274">
      <c r="B5274" s="1">
        <f>+B5273+1</f>
        <v/>
      </c>
      <c r="C5274" s="24" t="n">
        <v>47088</v>
      </c>
      <c r="D5274" s="24" t="n">
        <v>47118</v>
      </c>
      <c r="E5274" s="25" t="n">
        <v>63</v>
      </c>
      <c r="F5274" s="319">
        <f>J5273</f>
        <v/>
      </c>
      <c r="G5274" s="319">
        <f>-PMT($G$5214/$D$5213,54,$F$5226,,0)</f>
        <v/>
      </c>
      <c r="H5274" s="319">
        <f>($G$5214/$D$5213*F5274)</f>
        <v/>
      </c>
      <c r="I5274" s="319">
        <f>G5274-H5274</f>
        <v/>
      </c>
      <c r="J5274" s="319">
        <f>F5274-I5274</f>
        <v/>
      </c>
    </row>
    <row r="5275">
      <c r="B5275" s="1">
        <f>+B5274+1</f>
        <v/>
      </c>
      <c r="C5275" s="24" t="n">
        <v>47119</v>
      </c>
      <c r="D5275" s="24" t="n">
        <v>47149</v>
      </c>
      <c r="E5275" s="25" t="n">
        <v>64</v>
      </c>
      <c r="F5275" s="319">
        <f>J5274</f>
        <v/>
      </c>
      <c r="G5275" s="319">
        <f>-PMT($G$5214/$D$5213,54,$F$5226,,0)</f>
        <v/>
      </c>
      <c r="H5275" s="319">
        <f>($G$5214/$D$5213*F5275)</f>
        <v/>
      </c>
      <c r="I5275" s="319">
        <f>G5275-H5275</f>
        <v/>
      </c>
      <c r="J5275" s="319">
        <f>F5275-I5275</f>
        <v/>
      </c>
    </row>
    <row r="5276">
      <c r="B5276" s="1">
        <f>+B5275+1</f>
        <v/>
      </c>
      <c r="C5276" s="24" t="n">
        <v>47150</v>
      </c>
      <c r="D5276" s="24" t="n">
        <v>47177</v>
      </c>
      <c r="E5276" s="25" t="n">
        <v>65</v>
      </c>
      <c r="F5276" s="319">
        <f>J5275</f>
        <v/>
      </c>
      <c r="G5276" s="319">
        <f>-PMT($G$5214/$D$5213,54,$F$5226,,0)</f>
        <v/>
      </c>
      <c r="H5276" s="319">
        <f>($G$5214/$D$5213*F5276)</f>
        <v/>
      </c>
      <c r="I5276" s="319">
        <f>G5276-H5276</f>
        <v/>
      </c>
      <c r="J5276" s="319">
        <f>F5276-I5276</f>
        <v/>
      </c>
    </row>
    <row r="5277">
      <c r="B5277" s="1">
        <f>+B5276+1</f>
        <v/>
      </c>
      <c r="C5277" s="24" t="n">
        <v>47178</v>
      </c>
      <c r="D5277" s="24" t="n">
        <v>47208</v>
      </c>
      <c r="E5277" s="25" t="n">
        <v>66</v>
      </c>
      <c r="F5277" s="319">
        <f>J5276</f>
        <v/>
      </c>
      <c r="G5277" s="319">
        <f>-PMT($G$5214/$D$5213,54,$F$5226,,0)</f>
        <v/>
      </c>
      <c r="H5277" s="319">
        <f>($G$5214/$D$5213*F5277)</f>
        <v/>
      </c>
      <c r="I5277" s="319">
        <f>G5277-H5277</f>
        <v/>
      </c>
      <c r="J5277" s="319">
        <f>F5277-I5277</f>
        <v/>
      </c>
    </row>
    <row r="5278">
      <c r="B5278" s="1">
        <f>+B5277+1</f>
        <v/>
      </c>
      <c r="C5278" s="24" t="n">
        <v>47178</v>
      </c>
      <c r="D5278" s="24" t="n">
        <v>47208</v>
      </c>
      <c r="E5278" s="25" t="n">
        <v>66</v>
      </c>
      <c r="F5278" s="319">
        <f>J5277</f>
        <v/>
      </c>
      <c r="G5278" s="319">
        <f>-PMT($G$5214/$D$5213,54,$F$5226,,0)</f>
        <v/>
      </c>
      <c r="H5278" s="319">
        <f>($G$5214/$D$5213*F5278)</f>
        <v/>
      </c>
      <c r="I5278" s="319">
        <f>G5278-H5278</f>
        <v/>
      </c>
      <c r="J5278" s="319">
        <f>F5278-I5278</f>
        <v/>
      </c>
    </row>
    <row r="5279">
      <c r="B5279" s="1">
        <f>+B5278+1</f>
        <v/>
      </c>
      <c r="C5279" s="24" t="n">
        <v>47209</v>
      </c>
      <c r="D5279" s="24" t="n">
        <v>47238</v>
      </c>
      <c r="E5279" s="25" t="n">
        <v>67</v>
      </c>
      <c r="F5279" s="319">
        <f>J5278</f>
        <v/>
      </c>
      <c r="G5279" s="319">
        <f>-PMT($G$5214/$D$5213,54,$F$5226,,0)</f>
        <v/>
      </c>
      <c r="H5279" s="319">
        <f>($G$5214/$D$5213*F5279)</f>
        <v/>
      </c>
      <c r="I5279" s="319">
        <f>G5279-H5279</f>
        <v/>
      </c>
      <c r="J5279" s="319">
        <f>F5279-I5279</f>
        <v/>
      </c>
    </row>
    <row r="5284">
      <c r="B5284" s="1" t="n"/>
      <c r="C5284" s="9" t="inlineStr">
        <is>
          <t>Infraworks Development LLC</t>
        </is>
      </c>
      <c r="D5284" s="319" t="n"/>
      <c r="E5284" s="319" t="n"/>
      <c r="F5284" s="319" t="n"/>
      <c r="G5284" s="319" t="n"/>
      <c r="H5284" s="319" t="n"/>
      <c r="I5284" s="319" t="n"/>
      <c r="J5284" s="319" t="n"/>
      <c r="R5284" s="514" t="inlineStr">
        <is>
          <t>E-Banker account (Dupleix)</t>
        </is>
      </c>
      <c r="S5284" s="495">
        <f>IFERROR(INDEX('Blocks'!$I$2:$I$101,MATCH(96,'Blocks'!$A$2:$A$101,0)),"")</f>
        <v/>
      </c>
    </row>
    <row r="5285">
      <c r="B5285" s="1" t="n"/>
      <c r="C5285" s="1" t="n"/>
      <c r="D5285" s="319" t="n"/>
      <c r="E5285" s="319" t="n"/>
      <c r="F5285" s="319" t="n"/>
      <c r="G5285" s="319" t="n"/>
      <c r="H5285" s="319" t="n"/>
      <c r="I5285" s="319" t="n"/>
      <c r="J5285" s="319" t="n"/>
      <c r="R5285" s="514" t="inlineStr">
        <is>
          <t>Facility (Loan Book)</t>
        </is>
      </c>
      <c r="S5285" s="495">
        <f>IFERROR(INDEX('Blocks'!$H$2:$H$101,MATCH(96,'Blocks'!$A$2:$A$101,0)),"")</f>
        <v/>
      </c>
    </row>
    <row r="5286">
      <c r="B5286" s="1" t="n"/>
      <c r="C5286" s="10" t="inlineStr">
        <is>
          <t>Principal (MK)</t>
        </is>
      </c>
      <c r="D5286" s="11" t="n">
        <v>400000000</v>
      </c>
      <c r="E5286" s="319" t="n"/>
      <c r="F5286" s="319" t="n"/>
      <c r="G5286" s="319" t="n"/>
      <c r="H5286" s="319" t="n"/>
      <c r="I5286" s="319" t="n"/>
      <c r="J5286" s="319" t="n"/>
      <c r="R5286" s="514" t="inlineStr">
        <is>
          <t>Take-on posting 31 Jul 2024</t>
        </is>
      </c>
      <c r="S5286" s="496">
        <f>IFERROR(INDEX('E-Banker master'!$N$2:$N$186,MATCH(S5284,'E-Banker master'!$A$2:$A$186,0)),"")</f>
        <v/>
      </c>
    </row>
    <row r="5287">
      <c r="B5287" s="1" t="n"/>
      <c r="C5287" s="13" t="inlineStr">
        <is>
          <t>Rate</t>
        </is>
      </c>
      <c r="D5287" s="14" t="n">
        <v>0.1</v>
      </c>
      <c r="E5287" s="257" t="n"/>
      <c r="F5287" s="319" t="n"/>
      <c r="G5287" s="319" t="n"/>
      <c r="H5287" s="319" t="n"/>
      <c r="I5287" s="319" t="n"/>
      <c r="J5287" s="319" t="n"/>
      <c r="R5287" s="514" t="inlineStr">
        <is>
          <t>E-Banker balance 31 Oct 2024</t>
        </is>
      </c>
      <c r="S5287" s="496">
        <f>IFERROR(INDEX('E-Banker master'!$P$2:$P$186,MATCH(S5284,'E-Banker master'!$A$2:$A$186,0)),"")</f>
        <v/>
      </c>
    </row>
    <row r="5288">
      <c r="B5288" s="1" t="n"/>
      <c r="C5288" s="13" t="inlineStr">
        <is>
          <t>n</t>
        </is>
      </c>
      <c r="D5288" s="16" t="n">
        <v>4</v>
      </c>
      <c r="E5288" s="1" t="n"/>
      <c r="F5288" s="319" t="n"/>
      <c r="G5288" s="319" t="n"/>
      <c r="H5288" s="319" t="n"/>
      <c r="I5288" s="319" t="n"/>
      <c r="J5288" s="319" t="n"/>
    </row>
    <row r="5289">
      <c r="B5289" s="1" t="n"/>
      <c r="C5289" s="13" t="inlineStr">
        <is>
          <t>Per</t>
        </is>
      </c>
      <c r="D5289" s="16" t="n">
        <v>12</v>
      </c>
      <c r="E5289" s="1" t="n"/>
      <c r="F5289" s="319" t="n"/>
      <c r="G5289" s="319" t="n"/>
      <c r="H5289" s="319" t="n"/>
      <c r="I5289" s="319" t="n"/>
      <c r="J5289" s="319" t="n"/>
    </row>
    <row r="5290">
      <c r="B5290" s="1" t="n"/>
      <c r="C5290" s="13" t="inlineStr">
        <is>
          <t>nPer</t>
        </is>
      </c>
      <c r="D5290" s="515">
        <f>+D5289*D5288</f>
        <v/>
      </c>
      <c r="E5290" s="1" t="n"/>
      <c r="F5290" s="319" t="n"/>
      <c r="G5290" s="319" t="n"/>
      <c r="H5290" s="319" t="n"/>
      <c r="I5290" s="319" t="n"/>
      <c r="J5290" s="319" t="n"/>
    </row>
    <row r="5291">
      <c r="B5291" s="1" t="n"/>
      <c r="C5291" s="13" t="inlineStr">
        <is>
          <t>Days in a year</t>
        </is>
      </c>
      <c r="D5291" s="18" t="n">
        <v>365</v>
      </c>
      <c r="E5291" s="1" t="n"/>
      <c r="F5291" s="319" t="n"/>
      <c r="G5291" s="319" t="n"/>
      <c r="H5291" s="319" t="n"/>
      <c r="I5291" s="319" t="n"/>
      <c r="J5291" s="319" t="n"/>
    </row>
    <row r="5292">
      <c r="B5292" s="1" t="n"/>
      <c r="C5292" s="19" t="inlineStr">
        <is>
          <t>Pmt (MK)</t>
        </is>
      </c>
      <c r="D5292" s="534">
        <f>-PMT(D5287/D5289,D5290,D5286,0,0)</f>
        <v/>
      </c>
      <c r="E5292" s="319" t="n"/>
      <c r="F5292" s="319" t="n"/>
      <c r="G5292" s="319" t="n"/>
      <c r="H5292" s="319" t="n"/>
      <c r="I5292" s="319" t="n"/>
      <c r="J5292" s="319" t="n"/>
    </row>
    <row r="5293">
      <c r="B5293" s="1" t="n"/>
      <c r="C5293" s="1" t="n"/>
      <c r="D5293" s="319" t="n"/>
      <c r="E5293" s="319" t="n"/>
      <c r="F5293" s="319" t="n"/>
      <c r="G5293" s="319" t="n"/>
      <c r="H5293" s="319" t="n"/>
      <c r="I5293" s="319" t="n"/>
      <c r="J5293" s="319" t="n"/>
    </row>
    <row r="5294">
      <c r="B5294" s="1" t="n"/>
      <c r="C5294" s="21" t="inlineStr">
        <is>
          <t>Period Start</t>
        </is>
      </c>
      <c r="D5294" s="22" t="inlineStr">
        <is>
          <t>Period End</t>
        </is>
      </c>
      <c r="E5294" s="22" t="inlineStr">
        <is>
          <t>Days</t>
        </is>
      </c>
      <c r="F5294" s="294" t="inlineStr">
        <is>
          <t>Opening bal.</t>
        </is>
      </c>
      <c r="G5294" s="294" t="inlineStr">
        <is>
          <t>Pmt</t>
        </is>
      </c>
      <c r="H5294" s="294" t="inlineStr">
        <is>
          <t>Interest</t>
        </is>
      </c>
      <c r="I5294" s="294" t="inlineStr">
        <is>
          <t>Principal</t>
        </is>
      </c>
      <c r="J5294" s="294" t="inlineStr">
        <is>
          <t>Closing balance</t>
        </is>
      </c>
      <c r="K5294" s="23" t="inlineStr">
        <is>
          <t>Amount Repaid</t>
        </is>
      </c>
      <c r="L5294" s="23" t="inlineStr">
        <is>
          <t>Accumulated Arrears</t>
        </is>
      </c>
    </row>
    <row r="5295">
      <c r="B5295" s="1" t="n">
        <v>0</v>
      </c>
      <c r="C5295" s="24" t="n">
        <v>45441</v>
      </c>
      <c r="D5295" s="24" t="n">
        <v>45443</v>
      </c>
      <c r="E5295" s="25">
        <f>31-29</f>
        <v/>
      </c>
      <c r="F5295" s="319">
        <f>D5286</f>
        <v/>
      </c>
      <c r="G5295" s="319">
        <f>H5295</f>
        <v/>
      </c>
      <c r="H5295" s="319">
        <f>($D$5287/$D$5289*F5295*E5295/30)</f>
        <v/>
      </c>
      <c r="I5295" s="319" t="n"/>
      <c r="J5295" s="319">
        <f>F5295-I5295</f>
        <v/>
      </c>
      <c r="L5295" s="237">
        <f>+G5295-K5295</f>
        <v/>
      </c>
    </row>
    <row r="5296">
      <c r="B5296" s="1" t="n">
        <v>1</v>
      </c>
      <c r="C5296" s="24" t="n">
        <v>45444</v>
      </c>
      <c r="D5296" s="24" t="n">
        <v>45473</v>
      </c>
      <c r="E5296" s="25" t="n">
        <v>31</v>
      </c>
      <c r="F5296" s="319">
        <f>J5295</f>
        <v/>
      </c>
      <c r="G5296" s="319" t="n">
        <v>3333333.333333333</v>
      </c>
      <c r="H5296" s="319">
        <f>($D$5287/$D$5289*F5296)</f>
        <v/>
      </c>
      <c r="I5296" s="319" t="n"/>
      <c r="J5296" s="319">
        <f>F5296-I5296</f>
        <v/>
      </c>
      <c r="K5296" s="237" t="n"/>
      <c r="L5296" s="237">
        <f>+G5296-K5296+L5295</f>
        <v/>
      </c>
    </row>
    <row r="5297">
      <c r="B5297" s="1" t="n">
        <v>2</v>
      </c>
      <c r="C5297" s="24" t="n">
        <v>45474</v>
      </c>
      <c r="D5297" s="24" t="n">
        <v>45504</v>
      </c>
      <c r="E5297" s="25" t="n">
        <v>30</v>
      </c>
      <c r="F5297" s="319">
        <f>J5296</f>
        <v/>
      </c>
      <c r="G5297" s="319" t="n">
        <v>3333333.33333333</v>
      </c>
      <c r="H5297" s="319">
        <f>($D$5287/$D$5289*F5297)</f>
        <v/>
      </c>
      <c r="I5297" s="319" t="n"/>
      <c r="J5297" s="319">
        <f>F5297-I5297</f>
        <v/>
      </c>
      <c r="L5297" s="237">
        <f>+G5297-K5297+L5296</f>
        <v/>
      </c>
    </row>
    <row r="5298">
      <c r="B5298" s="1">
        <f>+B5297+1</f>
        <v/>
      </c>
      <c r="C5298" s="24" t="n">
        <v>45505</v>
      </c>
      <c r="D5298" s="24" t="n">
        <v>45535</v>
      </c>
      <c r="E5298" s="25" t="n">
        <v>31</v>
      </c>
      <c r="F5298" s="319">
        <f>J5297</f>
        <v/>
      </c>
      <c r="G5298" s="319" t="n">
        <v>3333333.333333333</v>
      </c>
      <c r="H5298" s="319">
        <f>($D$5287/$D$5289*F5298)</f>
        <v/>
      </c>
      <c r="I5298" s="319" t="n"/>
      <c r="J5298" s="319">
        <f>F5298-I5298</f>
        <v/>
      </c>
      <c r="L5298" s="148">
        <f>+G5298-K5298+L5297</f>
        <v/>
      </c>
    </row>
    <row r="5299">
      <c r="B5299" s="1">
        <f>+B5298+1</f>
        <v/>
      </c>
      <c r="C5299" s="24" t="n">
        <v>45536</v>
      </c>
      <c r="D5299" s="24" t="n">
        <v>45565</v>
      </c>
      <c r="E5299" s="25" t="n">
        <v>31</v>
      </c>
      <c r="F5299" s="319">
        <f>J5298</f>
        <v/>
      </c>
      <c r="G5299" s="319" t="n">
        <v>3333333.333333333</v>
      </c>
      <c r="H5299" s="319">
        <f>($D$5287/$D$5289*F5299)</f>
        <v/>
      </c>
      <c r="I5299" s="319" t="n"/>
      <c r="J5299" s="319">
        <f>F5299-I5299</f>
        <v/>
      </c>
      <c r="K5299" s="237" t="n">
        <v>10222222.22</v>
      </c>
      <c r="L5299" s="148">
        <f>+G5299-K5299+L5298</f>
        <v/>
      </c>
    </row>
    <row r="5300">
      <c r="B5300" s="1">
        <f>+B5299+1</f>
        <v/>
      </c>
      <c r="C5300" s="24" t="n">
        <v>45566</v>
      </c>
      <c r="D5300" s="24" t="n">
        <v>45596</v>
      </c>
      <c r="E5300" s="25" t="n">
        <v>30</v>
      </c>
      <c r="F5300" s="319">
        <f>J5299</f>
        <v/>
      </c>
      <c r="G5300" s="319" t="n">
        <v>3333333.333333333</v>
      </c>
      <c r="H5300" s="319">
        <f>($D$5287/$D$5289*F5300)</f>
        <v/>
      </c>
      <c r="I5300" s="319" t="n"/>
      <c r="J5300" s="319">
        <f>F5300-I5300</f>
        <v/>
      </c>
      <c r="K5300" s="237" t="n">
        <v>3314574.32</v>
      </c>
      <c r="L5300" s="389">
        <f>+G5300-K5300+L5299</f>
        <v/>
      </c>
    </row>
    <row r="5301">
      <c r="B5301" s="1">
        <f>+B5300+1</f>
        <v/>
      </c>
      <c r="C5301" s="24" t="n">
        <v>45597</v>
      </c>
      <c r="D5301" s="24" t="n">
        <v>45626</v>
      </c>
      <c r="E5301" s="25" t="n">
        <v>31</v>
      </c>
      <c r="F5301" s="319">
        <f>J5300</f>
        <v/>
      </c>
      <c r="G5301" s="319" t="n">
        <v>3333333.333333333</v>
      </c>
      <c r="H5301" s="319">
        <f>($D$5287/$D$5289*F5301)</f>
        <v/>
      </c>
      <c r="I5301" s="319" t="n"/>
      <c r="J5301" s="319">
        <f>F5301-I5301</f>
        <v/>
      </c>
    </row>
    <row r="5302">
      <c r="B5302" s="1">
        <f>+B5301+1</f>
        <v/>
      </c>
      <c r="C5302" s="24" t="n">
        <v>45627</v>
      </c>
      <c r="D5302" s="24" t="n">
        <v>45657</v>
      </c>
      <c r="E5302" s="25" t="n">
        <v>30</v>
      </c>
      <c r="F5302" s="319">
        <f>J5301</f>
        <v/>
      </c>
      <c r="G5302" s="319" t="n">
        <v>3333333.333333333</v>
      </c>
      <c r="H5302" s="319">
        <f>($D$5287/$D$5289*F5302)</f>
        <v/>
      </c>
      <c r="I5302" s="319" t="n"/>
      <c r="J5302" s="319">
        <f>F5302-I5302</f>
        <v/>
      </c>
      <c r="K5302" s="237" t="n"/>
    </row>
    <row r="5303">
      <c r="B5303" s="1">
        <f>+B5302+1</f>
        <v/>
      </c>
      <c r="C5303" s="24" t="n">
        <v>45658</v>
      </c>
      <c r="D5303" s="24" t="n">
        <v>45688</v>
      </c>
      <c r="E5303" s="25" t="n">
        <v>31</v>
      </c>
      <c r="F5303" s="319">
        <f>J5302</f>
        <v/>
      </c>
      <c r="G5303" s="319">
        <f>-PMT($D$5287/$D$5289,41,$F$5303,,0)</f>
        <v/>
      </c>
      <c r="H5303" s="319">
        <f>($D$5287/$D$5289*F5303)</f>
        <v/>
      </c>
      <c r="I5303" s="319">
        <f>G5303-H5303</f>
        <v/>
      </c>
      <c r="J5303" s="319">
        <f>F5303-I5303</f>
        <v/>
      </c>
    </row>
    <row r="5304">
      <c r="B5304" s="1">
        <f>+B5303+1</f>
        <v/>
      </c>
      <c r="C5304" s="24" t="n">
        <v>45689</v>
      </c>
      <c r="D5304" s="24" t="n">
        <v>45716</v>
      </c>
      <c r="E5304" s="25" t="n">
        <v>31</v>
      </c>
      <c r="F5304" s="319">
        <f>J5303</f>
        <v/>
      </c>
      <c r="G5304" s="319">
        <f>-PMT($D$5287/$D$5289,41,$F$5303,,0)</f>
        <v/>
      </c>
      <c r="H5304" s="319">
        <f>($D$5287/$D$5289*F5304)</f>
        <v/>
      </c>
      <c r="I5304" s="319">
        <f>G5304-H5304</f>
        <v/>
      </c>
      <c r="J5304" s="319">
        <f>F5304-I5304</f>
        <v/>
      </c>
    </row>
    <row r="5305">
      <c r="B5305" s="1">
        <f>+B5304+1</f>
        <v/>
      </c>
      <c r="C5305" s="24" t="n">
        <v>45717</v>
      </c>
      <c r="D5305" s="24" t="n">
        <v>45747</v>
      </c>
      <c r="E5305" s="25" t="n">
        <v>28</v>
      </c>
      <c r="F5305" s="319">
        <f>J5304</f>
        <v/>
      </c>
      <c r="G5305" s="319">
        <f>-PMT($D$5287/$D$5289,41,$F$5303,,0)</f>
        <v/>
      </c>
      <c r="H5305" s="319">
        <f>($D$5287/$D$5289*F5305)</f>
        <v/>
      </c>
      <c r="I5305" s="319">
        <f>G5305-H5305</f>
        <v/>
      </c>
      <c r="J5305" s="319">
        <f>F5305-I5305</f>
        <v/>
      </c>
    </row>
    <row r="5306">
      <c r="B5306" s="1">
        <f>+B5305+1</f>
        <v/>
      </c>
      <c r="C5306" s="24" t="n">
        <v>45748</v>
      </c>
      <c r="D5306" s="24" t="n">
        <v>45777</v>
      </c>
      <c r="E5306" s="25" t="n">
        <v>31</v>
      </c>
      <c r="F5306" s="319">
        <f>J5305</f>
        <v/>
      </c>
      <c r="G5306" s="319">
        <f>-PMT($D$5287/$D$5289,41,$F$5303,,0)</f>
        <v/>
      </c>
      <c r="H5306" s="319">
        <f>($D$5287/$D$5289*F5306)</f>
        <v/>
      </c>
      <c r="I5306" s="319">
        <f>G5306-H5306</f>
        <v/>
      </c>
      <c r="J5306" s="319">
        <f>F5306-I5306</f>
        <v/>
      </c>
    </row>
    <row r="5307">
      <c r="B5307" s="1">
        <f>+B5306+1</f>
        <v/>
      </c>
      <c r="C5307" s="24" t="n">
        <v>45778</v>
      </c>
      <c r="D5307" s="24" t="n">
        <v>45808</v>
      </c>
      <c r="E5307" s="25" t="n">
        <v>30</v>
      </c>
      <c r="F5307" s="319">
        <f>J5306</f>
        <v/>
      </c>
      <c r="G5307" s="319">
        <f>-PMT($D$5287/$D$5289,41,$F$5303,,0)</f>
        <v/>
      </c>
      <c r="H5307" s="319">
        <f>($D$5287/$D$5289*F5307)</f>
        <v/>
      </c>
      <c r="I5307" s="319">
        <f>G5307-H5307</f>
        <v/>
      </c>
      <c r="J5307" s="319">
        <f>F5307-I5307</f>
        <v/>
      </c>
    </row>
    <row r="5308">
      <c r="B5308" s="1">
        <f>+B5307+1</f>
        <v/>
      </c>
      <c r="C5308" s="24" t="n">
        <v>45809</v>
      </c>
      <c r="D5308" s="24" t="n">
        <v>45838</v>
      </c>
      <c r="E5308" s="25" t="n">
        <v>31</v>
      </c>
      <c r="F5308" s="319">
        <f>J5307</f>
        <v/>
      </c>
      <c r="G5308" s="319">
        <f>-PMT($D$5287/$D$5289,41,$F$5303,,0)</f>
        <v/>
      </c>
      <c r="H5308" s="319">
        <f>($D$5287/$D$5289*F5308)</f>
        <v/>
      </c>
      <c r="I5308" s="319">
        <f>G5308-H5308</f>
        <v/>
      </c>
      <c r="J5308" s="319">
        <f>F5308-I5308</f>
        <v/>
      </c>
    </row>
    <row r="5309">
      <c r="B5309" s="1">
        <f>+B5308+1</f>
        <v/>
      </c>
      <c r="C5309" s="24" t="n">
        <v>45839</v>
      </c>
      <c r="D5309" s="24" t="n">
        <v>45868</v>
      </c>
      <c r="E5309" s="25" t="n">
        <v>30</v>
      </c>
      <c r="F5309" s="319">
        <f>J5308</f>
        <v/>
      </c>
      <c r="G5309" s="319">
        <f>-PMT($D$5287/$D$5289,41,$F$5303,,0)</f>
        <v/>
      </c>
      <c r="H5309" s="319">
        <f>($D$5287/$D$5289*F5309)</f>
        <v/>
      </c>
      <c r="I5309" s="319">
        <f>G5309-H5309</f>
        <v/>
      </c>
      <c r="J5309" s="319">
        <f>F5309-I5309</f>
        <v/>
      </c>
    </row>
    <row r="5310">
      <c r="B5310" s="1">
        <f>+B5309+1</f>
        <v/>
      </c>
      <c r="C5310" s="24" t="n">
        <v>45870</v>
      </c>
      <c r="D5310" s="24" t="n">
        <v>45899</v>
      </c>
      <c r="E5310" s="25" t="n">
        <v>30</v>
      </c>
      <c r="F5310" s="319">
        <f>J5309</f>
        <v/>
      </c>
      <c r="G5310" s="319">
        <f>-PMT($D$5287/$D$5289,41,$F$5303,,0)</f>
        <v/>
      </c>
      <c r="H5310" s="319">
        <f>($D$5287/$D$5289*F5310)</f>
        <v/>
      </c>
      <c r="I5310" s="319">
        <f>G5310-H5310</f>
        <v/>
      </c>
      <c r="J5310" s="319">
        <f>F5310-I5310</f>
        <v/>
      </c>
    </row>
    <row r="5311">
      <c r="B5311" s="1">
        <f>+B5310+1</f>
        <v/>
      </c>
      <c r="C5311" s="24" t="n">
        <v>45901</v>
      </c>
      <c r="D5311" s="24" t="n">
        <v>45930</v>
      </c>
      <c r="E5311" s="25" t="n">
        <v>30</v>
      </c>
      <c r="F5311" s="319">
        <f>J5310</f>
        <v/>
      </c>
      <c r="G5311" s="319">
        <f>-PMT($D$5287/$D$5289,41,$F$5303,,0)</f>
        <v/>
      </c>
      <c r="H5311" s="319">
        <f>($D$5287/$D$5289*F5311)</f>
        <v/>
      </c>
      <c r="I5311" s="319">
        <f>G5311-H5311</f>
        <v/>
      </c>
      <c r="J5311" s="319">
        <f>F5311-I5311</f>
        <v/>
      </c>
    </row>
    <row r="5312">
      <c r="B5312" s="1">
        <f>+B5311+1</f>
        <v/>
      </c>
      <c r="C5312" s="24" t="n">
        <v>45931</v>
      </c>
      <c r="D5312" s="24" t="n">
        <v>45961</v>
      </c>
      <c r="E5312" s="25" t="n">
        <v>30</v>
      </c>
      <c r="F5312" s="319">
        <f>J5311</f>
        <v/>
      </c>
      <c r="G5312" s="319">
        <f>-PMT($D$5287/$D$5289,41,$F$5303,,0)</f>
        <v/>
      </c>
      <c r="H5312" s="319">
        <f>($D$5287/$D$5289*F5312)</f>
        <v/>
      </c>
      <c r="I5312" s="319">
        <f>G5312-H5312</f>
        <v/>
      </c>
      <c r="J5312" s="319">
        <f>F5312-I5312</f>
        <v/>
      </c>
    </row>
    <row r="5313">
      <c r="B5313" s="1">
        <f>+B5312+1</f>
        <v/>
      </c>
      <c r="C5313" s="24" t="n">
        <v>45962</v>
      </c>
      <c r="D5313" s="24" t="n">
        <v>45991</v>
      </c>
      <c r="E5313" s="25" t="n">
        <v>31</v>
      </c>
      <c r="F5313" s="319">
        <f>J5312</f>
        <v/>
      </c>
      <c r="G5313" s="319">
        <f>-PMT($D$5287/$D$5289,41,$F$5303,,0)</f>
        <v/>
      </c>
      <c r="H5313" s="319">
        <f>($D$5287/$D$5289*F5313)</f>
        <v/>
      </c>
      <c r="I5313" s="319">
        <f>G5313-H5313</f>
        <v/>
      </c>
      <c r="J5313" s="319">
        <f>F5313-I5313</f>
        <v/>
      </c>
    </row>
    <row r="5314">
      <c r="B5314" s="1">
        <f>+B5313+1</f>
        <v/>
      </c>
      <c r="C5314" s="24" t="n">
        <v>45992</v>
      </c>
      <c r="D5314" s="24" t="n">
        <v>46022</v>
      </c>
      <c r="E5314" s="25" t="n">
        <v>30</v>
      </c>
      <c r="F5314" s="319">
        <f>J5313</f>
        <v/>
      </c>
      <c r="G5314" s="319">
        <f>-PMT($D$5287/$D$5289,41,$F$5303,,0)</f>
        <v/>
      </c>
      <c r="H5314" s="319">
        <f>($D$5287/$D$5289*F5314)</f>
        <v/>
      </c>
      <c r="I5314" s="319">
        <f>G5314-H5314</f>
        <v/>
      </c>
      <c r="J5314" s="319">
        <f>F5314-I5314</f>
        <v/>
      </c>
    </row>
    <row r="5315">
      <c r="B5315" s="1">
        <f>+B5314+1</f>
        <v/>
      </c>
      <c r="C5315" s="24" t="n">
        <v>46023</v>
      </c>
      <c r="D5315" s="24" t="n">
        <v>46053</v>
      </c>
      <c r="E5315" s="25" t="n">
        <v>31</v>
      </c>
      <c r="F5315" s="319">
        <f>J5314</f>
        <v/>
      </c>
      <c r="G5315" s="319">
        <f>-PMT($D$5287/$D$5289,41,$F$5303,,0)</f>
        <v/>
      </c>
      <c r="H5315" s="319">
        <f>($D$5287/$D$5289*F5315)</f>
        <v/>
      </c>
      <c r="I5315" s="319">
        <f>G5315-H5315</f>
        <v/>
      </c>
      <c r="J5315" s="319">
        <f>F5315-I5315</f>
        <v/>
      </c>
    </row>
    <row r="5316">
      <c r="B5316" s="1">
        <f>+B5315+1</f>
        <v/>
      </c>
      <c r="C5316" s="24" t="n">
        <v>46054</v>
      </c>
      <c r="D5316" s="24" t="n">
        <v>46081</v>
      </c>
      <c r="E5316" s="25" t="n">
        <v>31</v>
      </c>
      <c r="F5316" s="319">
        <f>J5315</f>
        <v/>
      </c>
      <c r="G5316" s="319">
        <f>-PMT($D$5287/$D$5289,41,$F$5303,,0)</f>
        <v/>
      </c>
      <c r="H5316" s="319">
        <f>($D$5287/$D$5289*F5316)</f>
        <v/>
      </c>
      <c r="I5316" s="319">
        <f>G5316-H5316</f>
        <v/>
      </c>
      <c r="J5316" s="319">
        <f>F5316-I5316</f>
        <v/>
      </c>
    </row>
    <row r="5317">
      <c r="B5317" s="1">
        <f>+B5316+1</f>
        <v/>
      </c>
      <c r="C5317" s="24" t="n">
        <v>46082</v>
      </c>
      <c r="D5317" s="24" t="n">
        <v>46112</v>
      </c>
      <c r="E5317" s="25" t="n">
        <v>28</v>
      </c>
      <c r="F5317" s="319">
        <f>J5316</f>
        <v/>
      </c>
      <c r="G5317" s="319">
        <f>-PMT($D$5287/$D$5289,41,$F$5303,,0)</f>
        <v/>
      </c>
      <c r="H5317" s="319">
        <f>($D$5287/$D$5289*F5317)</f>
        <v/>
      </c>
      <c r="I5317" s="319">
        <f>G5317-H5317</f>
        <v/>
      </c>
      <c r="J5317" s="319">
        <f>F5317-I5317</f>
        <v/>
      </c>
    </row>
    <row r="5318">
      <c r="B5318" s="1">
        <f>+B5317+1</f>
        <v/>
      </c>
      <c r="C5318" s="24" t="n">
        <v>46113</v>
      </c>
      <c r="D5318" s="24" t="n">
        <v>46142</v>
      </c>
      <c r="E5318" s="25" t="n">
        <v>31</v>
      </c>
      <c r="F5318" s="319">
        <f>J5317</f>
        <v/>
      </c>
      <c r="G5318" s="319">
        <f>-PMT($D$5287/$D$5289,41,$F$5303,,0)</f>
        <v/>
      </c>
      <c r="H5318" s="319">
        <f>($D$5287/$D$5289*F5318)</f>
        <v/>
      </c>
      <c r="I5318" s="319">
        <f>G5318-H5318</f>
        <v/>
      </c>
      <c r="J5318" s="319">
        <f>F5318-I5318</f>
        <v/>
      </c>
    </row>
    <row r="5319">
      <c r="B5319" s="1">
        <f>+B5318+1</f>
        <v/>
      </c>
      <c r="C5319" s="24" t="n">
        <v>46143</v>
      </c>
      <c r="D5319" s="24" t="n">
        <v>46173</v>
      </c>
      <c r="E5319" s="25" t="n">
        <v>32</v>
      </c>
      <c r="F5319" s="319">
        <f>J5318</f>
        <v/>
      </c>
      <c r="G5319" s="319">
        <f>-PMT($D$5287/$D$5289,41,$F$5303,,0)</f>
        <v/>
      </c>
      <c r="H5319" s="319">
        <f>($D$5287/$D$5289*F5319)</f>
        <v/>
      </c>
      <c r="I5319" s="319">
        <f>G5319-H5319</f>
        <v/>
      </c>
      <c r="J5319" s="319">
        <f>F5319-I5319</f>
        <v/>
      </c>
    </row>
    <row r="5320">
      <c r="B5320" s="1">
        <f>+B5319+1</f>
        <v/>
      </c>
      <c r="C5320" s="24" t="n">
        <v>46174</v>
      </c>
      <c r="D5320" s="24" t="n">
        <v>46203</v>
      </c>
      <c r="E5320" s="25" t="n">
        <v>33</v>
      </c>
      <c r="F5320" s="319">
        <f>J5319</f>
        <v/>
      </c>
      <c r="G5320" s="319">
        <f>-PMT($D$5287/$D$5289,41,$F$5303,,0)</f>
        <v/>
      </c>
      <c r="H5320" s="319">
        <f>($D$5287/$D$5289*F5320)</f>
        <v/>
      </c>
      <c r="I5320" s="319">
        <f>G5320-H5320</f>
        <v/>
      </c>
      <c r="J5320" s="319">
        <f>F5320-I5320</f>
        <v/>
      </c>
    </row>
    <row r="5321">
      <c r="B5321" s="1">
        <f>+B5320+1</f>
        <v/>
      </c>
      <c r="C5321" s="24" t="n">
        <v>46204</v>
      </c>
      <c r="D5321" s="24" t="n">
        <v>46234</v>
      </c>
      <c r="E5321" s="25" t="n">
        <v>34</v>
      </c>
      <c r="F5321" s="319">
        <f>J5320</f>
        <v/>
      </c>
      <c r="G5321" s="319">
        <f>-PMT($D$5287/$D$5289,41,$F$5303,,0)</f>
        <v/>
      </c>
      <c r="H5321" s="319">
        <f>($D$5287/$D$5289*F5321)</f>
        <v/>
      </c>
      <c r="I5321" s="319">
        <f>G5321-H5321</f>
        <v/>
      </c>
      <c r="J5321" s="319">
        <f>F5321-I5321</f>
        <v/>
      </c>
    </row>
    <row r="5322">
      <c r="B5322" s="1">
        <f>+B5321+1</f>
        <v/>
      </c>
      <c r="C5322" s="24" t="n">
        <v>46235</v>
      </c>
      <c r="D5322" s="24" t="n">
        <v>46265</v>
      </c>
      <c r="E5322" s="25" t="n">
        <v>35</v>
      </c>
      <c r="F5322" s="319">
        <f>J5321</f>
        <v/>
      </c>
      <c r="G5322" s="319">
        <f>-PMT($D$5287/$D$5289,41,$F$5303,,0)</f>
        <v/>
      </c>
      <c r="H5322" s="319">
        <f>($D$5287/$D$5289*F5322)</f>
        <v/>
      </c>
      <c r="I5322" s="319">
        <f>G5322-H5322</f>
        <v/>
      </c>
      <c r="J5322" s="319">
        <f>F5322-I5322</f>
        <v/>
      </c>
    </row>
    <row r="5323">
      <c r="B5323" s="1">
        <f>+B5322+1</f>
        <v/>
      </c>
      <c r="C5323" s="24" t="n">
        <v>46266</v>
      </c>
      <c r="D5323" s="24" t="n">
        <v>46295</v>
      </c>
      <c r="E5323" s="25" t="n">
        <v>36</v>
      </c>
      <c r="F5323" s="319">
        <f>J5322</f>
        <v/>
      </c>
      <c r="G5323" s="319">
        <f>-PMT($D$5287/$D$5289,41,$F$5303,,0)</f>
        <v/>
      </c>
      <c r="H5323" s="319">
        <f>($D$5287/$D$5289*F5323)</f>
        <v/>
      </c>
      <c r="I5323" s="319">
        <f>G5323-H5323</f>
        <v/>
      </c>
      <c r="J5323" s="319">
        <f>F5323-I5323</f>
        <v/>
      </c>
    </row>
    <row r="5324">
      <c r="B5324" s="1">
        <f>+B5323+1</f>
        <v/>
      </c>
      <c r="C5324" s="24" t="n">
        <v>46296</v>
      </c>
      <c r="D5324" s="24" t="n">
        <v>46326</v>
      </c>
      <c r="E5324" s="25" t="n">
        <v>37</v>
      </c>
      <c r="F5324" s="319">
        <f>J5323</f>
        <v/>
      </c>
      <c r="G5324" s="319">
        <f>-PMT($D$5287/$D$5289,41,$F$5303,,0)</f>
        <v/>
      </c>
      <c r="H5324" s="319">
        <f>($D$5287/$D$5289*F5324)</f>
        <v/>
      </c>
      <c r="I5324" s="319">
        <f>G5324-H5324</f>
        <v/>
      </c>
      <c r="J5324" s="319">
        <f>F5324-I5324</f>
        <v/>
      </c>
    </row>
    <row r="5325">
      <c r="B5325" s="1">
        <f>+B5324+1</f>
        <v/>
      </c>
      <c r="C5325" s="24" t="n">
        <v>46327</v>
      </c>
      <c r="D5325" s="24" t="n">
        <v>46356</v>
      </c>
      <c r="E5325" s="25" t="n">
        <v>38</v>
      </c>
      <c r="F5325" s="319">
        <f>J5324</f>
        <v/>
      </c>
      <c r="G5325" s="319">
        <f>-PMT($D$5287/$D$5289,41,$F$5303,,0)</f>
        <v/>
      </c>
      <c r="H5325" s="319">
        <f>($D$5287/$D$5289*F5325)</f>
        <v/>
      </c>
      <c r="I5325" s="319">
        <f>G5325-H5325</f>
        <v/>
      </c>
      <c r="J5325" s="319">
        <f>F5325-I5325</f>
        <v/>
      </c>
    </row>
    <row r="5326">
      <c r="B5326" s="1">
        <f>+B5325+1</f>
        <v/>
      </c>
      <c r="C5326" s="24" t="n">
        <v>46357</v>
      </c>
      <c r="D5326" s="24" t="n">
        <v>46387</v>
      </c>
      <c r="E5326" s="25" t="n">
        <v>39</v>
      </c>
      <c r="F5326" s="319">
        <f>J5325</f>
        <v/>
      </c>
      <c r="G5326" s="319">
        <f>-PMT($D$5287/$D$5289,41,$F$5303,,0)</f>
        <v/>
      </c>
      <c r="H5326" s="319">
        <f>($D$5287/$D$5289*F5326)</f>
        <v/>
      </c>
      <c r="I5326" s="319">
        <f>G5326-H5326</f>
        <v/>
      </c>
      <c r="J5326" s="319">
        <f>F5326-I5326</f>
        <v/>
      </c>
    </row>
    <row r="5327">
      <c r="B5327" s="1">
        <f>+B5326+1</f>
        <v/>
      </c>
      <c r="C5327" s="24" t="n">
        <v>46388</v>
      </c>
      <c r="D5327" s="24" t="n">
        <v>46418</v>
      </c>
      <c r="E5327" s="25" t="n">
        <v>40</v>
      </c>
      <c r="F5327" s="319">
        <f>J5326</f>
        <v/>
      </c>
      <c r="G5327" s="319">
        <f>-PMT($D$5287/$D$5289,41,$F$5303,,0)</f>
        <v/>
      </c>
      <c r="H5327" s="319">
        <f>($D$5287/$D$5289*F5327)</f>
        <v/>
      </c>
      <c r="I5327" s="319">
        <f>G5327-H5327</f>
        <v/>
      </c>
      <c r="J5327" s="319">
        <f>F5327-I5327</f>
        <v/>
      </c>
    </row>
    <row r="5328">
      <c r="B5328" s="1">
        <f>+B5327+1</f>
        <v/>
      </c>
      <c r="C5328" s="24" t="n">
        <v>46419</v>
      </c>
      <c r="D5328" s="24" t="n">
        <v>46446</v>
      </c>
      <c r="E5328" s="25" t="n">
        <v>41</v>
      </c>
      <c r="F5328" s="319">
        <f>J5327</f>
        <v/>
      </c>
      <c r="G5328" s="319">
        <f>-PMT($D$5287/$D$5289,41,$F$5303,,0)</f>
        <v/>
      </c>
      <c r="H5328" s="319">
        <f>($D$5287/$D$5289*F5328)</f>
        <v/>
      </c>
      <c r="I5328" s="319">
        <f>G5328-H5328</f>
        <v/>
      </c>
      <c r="J5328" s="319">
        <f>F5328-I5328</f>
        <v/>
      </c>
    </row>
    <row r="5329">
      <c r="B5329" s="1">
        <f>+B5328+1</f>
        <v/>
      </c>
      <c r="C5329" s="24" t="n">
        <v>46447</v>
      </c>
      <c r="D5329" s="24" t="n">
        <v>46477</v>
      </c>
      <c r="E5329" s="25" t="n">
        <v>42</v>
      </c>
      <c r="F5329" s="319">
        <f>J5328</f>
        <v/>
      </c>
      <c r="G5329" s="319">
        <f>-PMT($D$5287/$D$5289,41,$F$5303,,0)</f>
        <v/>
      </c>
      <c r="H5329" s="319">
        <f>($D$5287/$D$5289*F5329)</f>
        <v/>
      </c>
      <c r="I5329" s="319">
        <f>G5329-H5329</f>
        <v/>
      </c>
      <c r="J5329" s="319">
        <f>F5329-I5329</f>
        <v/>
      </c>
    </row>
    <row r="5330">
      <c r="B5330" s="1">
        <f>+B5329+1</f>
        <v/>
      </c>
      <c r="C5330" s="24" t="n">
        <v>46478</v>
      </c>
      <c r="D5330" s="24" t="n">
        <v>46507</v>
      </c>
      <c r="E5330" s="25" t="n">
        <v>43</v>
      </c>
      <c r="F5330" s="319">
        <f>J5329</f>
        <v/>
      </c>
      <c r="G5330" s="319">
        <f>-PMT($D$5287/$D$5289,41,$F$5303,,0)</f>
        <v/>
      </c>
      <c r="H5330" s="319">
        <f>($D$5287/$D$5289*F5330)</f>
        <v/>
      </c>
      <c r="I5330" s="319">
        <f>G5330-H5330</f>
        <v/>
      </c>
      <c r="J5330" s="319">
        <f>F5330-I5330</f>
        <v/>
      </c>
    </row>
    <row r="5331">
      <c r="B5331" s="1">
        <f>+B5330+1</f>
        <v/>
      </c>
      <c r="C5331" s="24" t="n">
        <v>46508</v>
      </c>
      <c r="D5331" s="24" t="n">
        <v>46538</v>
      </c>
      <c r="E5331" s="25" t="n">
        <v>44</v>
      </c>
      <c r="F5331" s="319">
        <f>J5330</f>
        <v/>
      </c>
      <c r="G5331" s="319">
        <f>-PMT($D$5287/$D$5289,41,$F$5303,,0)</f>
        <v/>
      </c>
      <c r="H5331" s="319">
        <f>($D$5287/$D$5289*F5331)</f>
        <v/>
      </c>
      <c r="I5331" s="319">
        <f>G5331-H5331</f>
        <v/>
      </c>
      <c r="J5331" s="319">
        <f>F5331-I5331</f>
        <v/>
      </c>
    </row>
    <row r="5332">
      <c r="B5332" s="1">
        <f>+B5331+1</f>
        <v/>
      </c>
      <c r="C5332" s="24" t="n">
        <v>46539</v>
      </c>
      <c r="D5332" s="24" t="n">
        <v>46568</v>
      </c>
      <c r="E5332" s="25" t="n">
        <v>45</v>
      </c>
      <c r="F5332" s="319">
        <f>J5331</f>
        <v/>
      </c>
      <c r="G5332" s="319">
        <f>-PMT($D$5287/$D$5289,41,$F$5303,,0)</f>
        <v/>
      </c>
      <c r="H5332" s="319">
        <f>($D$5287/$D$5289*F5332)</f>
        <v/>
      </c>
      <c r="I5332" s="319">
        <f>G5332-H5332</f>
        <v/>
      </c>
      <c r="J5332" s="319">
        <f>F5332-I5332</f>
        <v/>
      </c>
    </row>
    <row r="5333">
      <c r="B5333" s="1">
        <f>+B5332+1</f>
        <v/>
      </c>
      <c r="C5333" s="24" t="n">
        <v>46569</v>
      </c>
      <c r="D5333" s="24" t="n">
        <v>46599</v>
      </c>
      <c r="E5333" s="25" t="n">
        <v>46</v>
      </c>
      <c r="F5333" s="319">
        <f>J5332</f>
        <v/>
      </c>
      <c r="G5333" s="319">
        <f>-PMT($D$5287/$D$5289,41,$F$5303,,0)</f>
        <v/>
      </c>
      <c r="H5333" s="319">
        <f>($D$5287/$D$5289*F5333)</f>
        <v/>
      </c>
      <c r="I5333" s="319">
        <f>G5333-H5333</f>
        <v/>
      </c>
      <c r="J5333" s="319">
        <f>F5333-I5333</f>
        <v/>
      </c>
    </row>
    <row r="5334">
      <c r="B5334" s="1">
        <f>+B5333+1</f>
        <v/>
      </c>
      <c r="C5334" s="24" t="n">
        <v>46600</v>
      </c>
      <c r="D5334" s="24" t="n">
        <v>46630</v>
      </c>
      <c r="E5334" s="25" t="n">
        <v>47</v>
      </c>
      <c r="F5334" s="319">
        <f>J5333</f>
        <v/>
      </c>
      <c r="G5334" s="319">
        <f>-PMT($D$5287/$D$5289,41,$F$5303,,0)</f>
        <v/>
      </c>
      <c r="H5334" s="319">
        <f>($D$5287/$D$5289*F5334)</f>
        <v/>
      </c>
      <c r="I5334" s="319">
        <f>G5334-H5334</f>
        <v/>
      </c>
      <c r="J5334" s="319">
        <f>F5334-I5334</f>
        <v/>
      </c>
    </row>
    <row r="5335">
      <c r="B5335" s="1">
        <f>+B5334+1</f>
        <v/>
      </c>
      <c r="C5335" s="24" t="n">
        <v>46631</v>
      </c>
      <c r="D5335" s="24" t="n">
        <v>46660</v>
      </c>
      <c r="E5335" s="25" t="n">
        <v>48</v>
      </c>
      <c r="F5335" s="319">
        <f>J5334</f>
        <v/>
      </c>
      <c r="G5335" s="319">
        <f>-PMT($D$5287/$D$5289,41,$F$5303,,0)</f>
        <v/>
      </c>
      <c r="H5335" s="319">
        <f>($D$5287/$D$5289*F5335)</f>
        <v/>
      </c>
      <c r="I5335" s="319">
        <f>G5335-H5335</f>
        <v/>
      </c>
      <c r="J5335" s="319">
        <f>F5335-I5335</f>
        <v/>
      </c>
    </row>
    <row r="5336">
      <c r="B5336" s="1">
        <f>+B5335+1</f>
        <v/>
      </c>
      <c r="C5336" s="24" t="n">
        <v>46661</v>
      </c>
      <c r="D5336" s="24" t="n">
        <v>46691</v>
      </c>
      <c r="E5336" s="25" t="n">
        <v>49</v>
      </c>
      <c r="F5336" s="319">
        <f>J5335</f>
        <v/>
      </c>
      <c r="G5336" s="319">
        <f>-PMT($D$5287/$D$5289,41,$F$5303,,0)</f>
        <v/>
      </c>
      <c r="H5336" s="319">
        <f>($D$5287/$D$5289*F5336)</f>
        <v/>
      </c>
      <c r="I5336" s="319">
        <f>G5336-H5336</f>
        <v/>
      </c>
      <c r="J5336" s="319">
        <f>F5336-I5336</f>
        <v/>
      </c>
    </row>
    <row r="5337">
      <c r="B5337" s="1">
        <f>+B5336+1</f>
        <v/>
      </c>
      <c r="C5337" s="24" t="n">
        <v>46692</v>
      </c>
      <c r="D5337" s="24" t="n">
        <v>46721</v>
      </c>
      <c r="E5337" s="25" t="n">
        <v>50</v>
      </c>
      <c r="F5337" s="319">
        <f>J5336</f>
        <v/>
      </c>
      <c r="G5337" s="319">
        <f>-PMT($D$5287/$D$5289,41,$F$5303,,0)</f>
        <v/>
      </c>
      <c r="H5337" s="319">
        <f>($D$5287/$D$5289*F5337)</f>
        <v/>
      </c>
      <c r="I5337" s="319">
        <f>G5337-H5337</f>
        <v/>
      </c>
      <c r="J5337" s="319">
        <f>F5337-I5337</f>
        <v/>
      </c>
    </row>
    <row r="5338">
      <c r="B5338" s="1">
        <f>+B5337+1</f>
        <v/>
      </c>
      <c r="C5338" s="24" t="n">
        <v>46722</v>
      </c>
      <c r="D5338" s="24" t="n">
        <v>46752</v>
      </c>
      <c r="E5338" s="25" t="n">
        <v>51</v>
      </c>
      <c r="F5338" s="319">
        <f>J5337</f>
        <v/>
      </c>
      <c r="G5338" s="319">
        <f>-PMT($D$5287/$D$5289,41,$F$5303,,0)</f>
        <v/>
      </c>
      <c r="H5338" s="319">
        <f>($D$5287/$D$5289*F5338)</f>
        <v/>
      </c>
      <c r="I5338" s="319">
        <f>G5338-H5338</f>
        <v/>
      </c>
      <c r="J5338" s="319">
        <f>F5338-I5338</f>
        <v/>
      </c>
    </row>
    <row r="5339">
      <c r="B5339" s="1">
        <f>+B5338+1</f>
        <v/>
      </c>
      <c r="C5339" s="24" t="n">
        <v>46753</v>
      </c>
      <c r="D5339" s="24" t="n">
        <v>46783</v>
      </c>
      <c r="E5339" s="25" t="n">
        <v>52</v>
      </c>
      <c r="F5339" s="319">
        <f>J5338</f>
        <v/>
      </c>
      <c r="G5339" s="319">
        <f>-PMT($D$5287/$D$5289,41,$F$5303,,0)</f>
        <v/>
      </c>
      <c r="H5339" s="319">
        <f>($D$5287/$D$5289*F5339)</f>
        <v/>
      </c>
      <c r="I5339" s="319">
        <f>G5339-H5339</f>
        <v/>
      </c>
      <c r="J5339" s="319">
        <f>F5339-I5339</f>
        <v/>
      </c>
    </row>
    <row r="5340">
      <c r="B5340" s="1">
        <f>+B5339+1</f>
        <v/>
      </c>
      <c r="C5340" s="24" t="n">
        <v>46784</v>
      </c>
      <c r="D5340" s="24" t="n">
        <v>46812</v>
      </c>
      <c r="E5340" s="25" t="n">
        <v>53</v>
      </c>
      <c r="F5340" s="319">
        <f>J5339</f>
        <v/>
      </c>
      <c r="G5340" s="319">
        <f>-PMT($D$5287/$D$5289,41,$F$5303,,0)</f>
        <v/>
      </c>
      <c r="H5340" s="319">
        <f>($D$5287/$D$5289*F5340)</f>
        <v/>
      </c>
      <c r="I5340" s="319">
        <f>G5340-H5340</f>
        <v/>
      </c>
      <c r="J5340" s="319">
        <f>F5340-I5340</f>
        <v/>
      </c>
    </row>
    <row r="5341">
      <c r="B5341" s="1">
        <f>+B5340+1</f>
        <v/>
      </c>
      <c r="C5341" s="24" t="n">
        <v>46813</v>
      </c>
      <c r="D5341" s="24" t="n">
        <v>46843</v>
      </c>
      <c r="E5341" s="25" t="n">
        <v>54</v>
      </c>
      <c r="F5341" s="319">
        <f>J5340</f>
        <v/>
      </c>
      <c r="G5341" s="319">
        <f>-PMT($D$5287/$D$5289,41,$F$5303,,0)</f>
        <v/>
      </c>
      <c r="H5341" s="319">
        <f>($D$5287/$D$5289*F5341)</f>
        <v/>
      </c>
      <c r="I5341" s="319">
        <f>G5341-H5341</f>
        <v/>
      </c>
      <c r="J5341" s="319">
        <f>F5341-I5341</f>
        <v/>
      </c>
    </row>
    <row r="5342">
      <c r="B5342" s="1">
        <f>+B5341+1</f>
        <v/>
      </c>
      <c r="C5342" s="24" t="n">
        <v>46844</v>
      </c>
      <c r="D5342" s="24" t="n">
        <v>46873</v>
      </c>
      <c r="E5342" s="25" t="n">
        <v>55</v>
      </c>
      <c r="F5342" s="319">
        <f>J5341</f>
        <v/>
      </c>
      <c r="G5342" s="319">
        <f>-PMT($D$5287/$D$5289,41,$F$5303,,0)</f>
        <v/>
      </c>
      <c r="H5342" s="319">
        <f>($D$5287/$D$5289*F5342)</f>
        <v/>
      </c>
      <c r="I5342" s="319">
        <f>G5342-H5342</f>
        <v/>
      </c>
      <c r="J5342" s="319">
        <f>F5342-I5342</f>
        <v/>
      </c>
    </row>
    <row r="5343" ht="12.65" customHeight="1">
      <c r="B5343" s="1">
        <f>+B5342+1</f>
        <v/>
      </c>
      <c r="C5343" s="24" t="n">
        <v>46874</v>
      </c>
      <c r="D5343" s="24" t="n">
        <v>46904</v>
      </c>
      <c r="E5343" s="25" t="n">
        <v>56</v>
      </c>
      <c r="F5343" s="319">
        <f>J5342</f>
        <v/>
      </c>
      <c r="G5343" s="319">
        <f>-PMT($D$5287/$D$5289,41,$F$5303,,0)</f>
        <v/>
      </c>
      <c r="H5343" s="319">
        <f>($D$5287/$D$5289*F5343)</f>
        <v/>
      </c>
      <c r="I5343" s="319">
        <f>G5343-H5343</f>
        <v/>
      </c>
      <c r="J5343" s="319">
        <f>F5343-I5343</f>
        <v/>
      </c>
    </row>
    <row r="5347">
      <c r="B5347" s="1" t="n"/>
      <c r="C5347" s="9" t="inlineStr">
        <is>
          <t>Bio Energy Resource Limited</t>
        </is>
      </c>
      <c r="D5347" s="319" t="n"/>
      <c r="E5347" s="319" t="n"/>
      <c r="F5347" s="319" t="n"/>
      <c r="G5347" s="319" t="n"/>
      <c r="H5347" s="319" t="n"/>
      <c r="I5347" s="319" t="n"/>
      <c r="J5347" s="319" t="n"/>
      <c r="R5347" s="514" t="inlineStr">
        <is>
          <t>E-Banker account (Dupleix)</t>
        </is>
      </c>
      <c r="S5347" s="495">
        <f>IFERROR(INDEX('Blocks'!$I$2:$I$101,MATCH(97,'Blocks'!$A$2:$A$101,0)),"")</f>
        <v/>
      </c>
    </row>
    <row r="5348">
      <c r="B5348" s="1" t="n"/>
      <c r="C5348" s="1" t="n"/>
      <c r="D5348" s="319" t="n"/>
      <c r="E5348" s="319" t="n"/>
      <c r="F5348" s="319" t="n"/>
      <c r="G5348" s="319" t="n"/>
      <c r="H5348" s="319" t="n"/>
      <c r="I5348" s="319" t="n"/>
      <c r="J5348" s="319" t="n"/>
      <c r="R5348" s="514" t="inlineStr">
        <is>
          <t>Facility (Loan Book)</t>
        </is>
      </c>
      <c r="S5348" s="495">
        <f>IFERROR(INDEX('Blocks'!$H$2:$H$101,MATCH(97,'Blocks'!$A$2:$A$101,0)),"")</f>
        <v/>
      </c>
    </row>
    <row r="5349">
      <c r="B5349" s="1" t="n"/>
      <c r="C5349" s="10" t="inlineStr">
        <is>
          <t>Principal (MK)</t>
        </is>
      </c>
      <c r="D5349" s="11" t="n">
        <v>108431000</v>
      </c>
      <c r="E5349" s="319" t="n"/>
      <c r="F5349" s="319" t="n"/>
      <c r="G5349" s="319" t="n"/>
      <c r="H5349" s="319" t="n"/>
      <c r="I5349" s="319" t="n"/>
      <c r="J5349" s="319" t="n"/>
      <c r="R5349" s="514" t="inlineStr">
        <is>
          <t>Take-on posting 31 Jul 2024</t>
        </is>
      </c>
      <c r="S5349" s="496">
        <f>IFERROR(INDEX('E-Banker master'!$N$2:$N$186,MATCH(S5347,'E-Banker master'!$A$2:$A$186,0)),"")</f>
        <v/>
      </c>
    </row>
    <row r="5350">
      <c r="B5350" s="1" t="n"/>
      <c r="C5350" s="13" t="inlineStr">
        <is>
          <t>Rate</t>
        </is>
      </c>
      <c r="D5350" s="14" t="n">
        <v>0.1</v>
      </c>
      <c r="E5350" s="257" t="n"/>
      <c r="F5350" s="319" t="n"/>
      <c r="G5350" s="319" t="n"/>
      <c r="H5350" s="319" t="n"/>
      <c r="I5350" s="319" t="n"/>
      <c r="J5350" s="319" t="n"/>
      <c r="R5350" s="514" t="inlineStr">
        <is>
          <t>E-Banker balance 31 Oct 2024</t>
        </is>
      </c>
      <c r="S5350" s="496">
        <f>IFERROR(INDEX('E-Banker master'!$P$2:$P$186,MATCH(S5347,'E-Banker master'!$A$2:$A$186,0)),"")</f>
        <v/>
      </c>
    </row>
    <row r="5351">
      <c r="B5351" s="1" t="n"/>
      <c r="C5351" s="13" t="inlineStr">
        <is>
          <t>n</t>
        </is>
      </c>
      <c r="D5351" s="16" t="n">
        <v>4</v>
      </c>
      <c r="E5351" s="1" t="n"/>
      <c r="F5351" s="319" t="n"/>
      <c r="G5351" s="319" t="n"/>
      <c r="H5351" s="319" t="n"/>
      <c r="I5351" s="319" t="n"/>
      <c r="J5351" s="319" t="n"/>
    </row>
    <row r="5352">
      <c r="B5352" s="1" t="n"/>
      <c r="C5352" s="13" t="inlineStr">
        <is>
          <t>Per</t>
        </is>
      </c>
      <c r="D5352" s="16" t="n">
        <v>12</v>
      </c>
      <c r="E5352" s="1" t="n"/>
      <c r="F5352" s="319" t="n"/>
      <c r="G5352" s="319" t="n"/>
      <c r="H5352" s="319" t="n"/>
      <c r="I5352" s="319" t="n"/>
      <c r="J5352" s="319" t="n"/>
    </row>
    <row r="5353">
      <c r="B5353" s="1" t="n"/>
      <c r="C5353" s="13" t="inlineStr">
        <is>
          <t>nPer</t>
        </is>
      </c>
      <c r="D5353" s="515">
        <f>+D5352*D5351</f>
        <v/>
      </c>
      <c r="E5353" s="1" t="n"/>
      <c r="F5353" s="319" t="n"/>
      <c r="G5353" s="319" t="n"/>
      <c r="H5353" s="319" t="n"/>
      <c r="I5353" s="319" t="n"/>
      <c r="J5353" s="319" t="n"/>
    </row>
    <row r="5354">
      <c r="B5354" s="1" t="n"/>
      <c r="C5354" s="13" t="inlineStr">
        <is>
          <t>Days in a year</t>
        </is>
      </c>
      <c r="D5354" s="18" t="n">
        <v>365</v>
      </c>
      <c r="E5354" s="1" t="n"/>
      <c r="F5354" s="319" t="n"/>
      <c r="G5354" s="319" t="n"/>
      <c r="H5354" s="319" t="n"/>
      <c r="I5354" s="319" t="n"/>
      <c r="J5354" s="319" t="n"/>
    </row>
    <row r="5355">
      <c r="B5355" s="1" t="n"/>
      <c r="C5355" s="19" t="inlineStr">
        <is>
          <t>Pmt (MK)</t>
        </is>
      </c>
      <c r="D5355" s="534">
        <f>-PMT(D5350/D5352,D5353,D5349,0,0)</f>
        <v/>
      </c>
      <c r="E5355" s="319" t="n"/>
      <c r="F5355" s="319" t="n"/>
      <c r="G5355" s="319" t="n"/>
      <c r="H5355" s="319" t="n"/>
      <c r="I5355" s="319" t="n"/>
      <c r="J5355" s="319" t="n"/>
    </row>
    <row r="5356">
      <c r="B5356" s="1" t="n"/>
      <c r="C5356" s="1" t="n"/>
      <c r="D5356" s="319" t="n"/>
      <c r="E5356" s="319" t="n"/>
      <c r="F5356" s="319" t="n"/>
      <c r="G5356" s="319" t="n"/>
      <c r="H5356" s="319" t="n"/>
      <c r="I5356" s="319" t="n"/>
      <c r="J5356" s="319" t="n"/>
    </row>
    <row r="5357">
      <c r="B5357" s="1" t="n"/>
      <c r="C5357" s="21" t="inlineStr">
        <is>
          <t>Period Start</t>
        </is>
      </c>
      <c r="D5357" s="22" t="inlineStr">
        <is>
          <t>Period End</t>
        </is>
      </c>
      <c r="E5357" s="22" t="inlineStr">
        <is>
          <t>Days</t>
        </is>
      </c>
      <c r="F5357" s="294" t="inlineStr">
        <is>
          <t>Opening bal.</t>
        </is>
      </c>
      <c r="G5357" s="294" t="inlineStr">
        <is>
          <t>Pmt</t>
        </is>
      </c>
      <c r="H5357" s="294" t="inlineStr">
        <is>
          <t>Interest</t>
        </is>
      </c>
      <c r="I5357" s="294" t="inlineStr">
        <is>
          <t>Principal</t>
        </is>
      </c>
      <c r="J5357" s="294" t="inlineStr">
        <is>
          <t>Closing balance</t>
        </is>
      </c>
      <c r="K5357" s="23" t="inlineStr">
        <is>
          <t>Amount Repaid</t>
        </is>
      </c>
      <c r="L5357" s="23" t="inlineStr">
        <is>
          <t>Accumulated Arrears</t>
        </is>
      </c>
    </row>
    <row r="5358">
      <c r="B5358" s="1" t="n">
        <v>0</v>
      </c>
      <c r="C5358" s="24" t="n">
        <v>45448</v>
      </c>
      <c r="D5358" s="24" t="n">
        <v>45473</v>
      </c>
      <c r="E5358" s="25">
        <f>+D5358-C5358+1</f>
        <v/>
      </c>
      <c r="F5358" s="319">
        <f>D5349</f>
        <v/>
      </c>
      <c r="G5358" s="319" t="n"/>
      <c r="H5358" s="319">
        <f>($D$5350/$D$5352*F5358*E5358/30)</f>
        <v/>
      </c>
      <c r="I5358" s="319">
        <f>G5358-H5358</f>
        <v/>
      </c>
      <c r="J5358" s="319">
        <f>F5358-I5358</f>
        <v/>
      </c>
      <c r="L5358" s="148" t="n"/>
    </row>
    <row r="5359">
      <c r="B5359" s="1" t="n">
        <v>1</v>
      </c>
      <c r="C5359" s="24" t="n">
        <v>45474</v>
      </c>
      <c r="D5359" s="24" t="n">
        <v>45504</v>
      </c>
      <c r="E5359" s="25">
        <f>+D5359-C5359+1</f>
        <v/>
      </c>
      <c r="F5359" s="319">
        <f>J5358</f>
        <v/>
      </c>
      <c r="G5359" s="319" t="n"/>
      <c r="H5359" s="319">
        <f>($D$5350/$D$5352*F5359)</f>
        <v/>
      </c>
      <c r="I5359" s="319">
        <f>G5359-H5359</f>
        <v/>
      </c>
      <c r="J5359" s="319">
        <f>F5359-I5359</f>
        <v/>
      </c>
      <c r="K5359" s="237" t="n"/>
      <c r="L5359" s="148" t="n"/>
    </row>
    <row r="5360">
      <c r="B5360" s="1" t="n">
        <v>2</v>
      </c>
      <c r="C5360" s="24" t="n">
        <v>45505</v>
      </c>
      <c r="D5360" s="24" t="n">
        <v>45535</v>
      </c>
      <c r="E5360" s="25">
        <f>+D5360-C5360+1</f>
        <v/>
      </c>
      <c r="F5360" s="319">
        <f>J5359</f>
        <v/>
      </c>
      <c r="G5360" s="319" t="n"/>
      <c r="H5360" s="319">
        <f>($D$5350/$D$5352*F5360)</f>
        <v/>
      </c>
      <c r="I5360" s="319">
        <f>G5360-H5360</f>
        <v/>
      </c>
      <c r="J5360" s="319">
        <f>F5360-I5360</f>
        <v/>
      </c>
      <c r="L5360" s="148" t="n"/>
    </row>
    <row r="5361">
      <c r="B5361" s="1">
        <f>+B5360+1</f>
        <v/>
      </c>
      <c r="C5361" s="24" t="n">
        <v>45536</v>
      </c>
      <c r="D5361" s="24" t="n">
        <v>45565</v>
      </c>
      <c r="E5361" s="25">
        <f>+D5361-C5361+1</f>
        <v/>
      </c>
      <c r="F5361" s="319">
        <f>J5360</f>
        <v/>
      </c>
      <c r="G5361" s="319" t="n"/>
      <c r="H5361" s="319">
        <f>($D$5350/$D$5352*F5361)</f>
        <v/>
      </c>
      <c r="I5361" s="319">
        <f>G5361-H5361</f>
        <v/>
      </c>
      <c r="J5361" s="319">
        <f>F5361-I5361</f>
        <v/>
      </c>
      <c r="L5361" s="148" t="n"/>
    </row>
    <row r="5362">
      <c r="B5362" s="1">
        <f>+B5361+1</f>
        <v/>
      </c>
      <c r="C5362" s="24" t="n">
        <v>45566</v>
      </c>
      <c r="D5362" s="24" t="n">
        <v>45596</v>
      </c>
      <c r="E5362" s="25">
        <f>+D5362-C5362+1</f>
        <v/>
      </c>
      <c r="F5362" s="319">
        <f>J5361</f>
        <v/>
      </c>
      <c r="G5362" s="319" t="n"/>
      <c r="H5362" s="319">
        <f>($D$5350/$D$5352*F5362)</f>
        <v/>
      </c>
      <c r="I5362" s="319">
        <f>G5362-H5362</f>
        <v/>
      </c>
      <c r="J5362" s="319">
        <f>F5362-I5362</f>
        <v/>
      </c>
    </row>
    <row r="5363">
      <c r="B5363" s="1">
        <f>+B5362+1</f>
        <v/>
      </c>
      <c r="C5363" s="24" t="n">
        <v>45597</v>
      </c>
      <c r="D5363" s="24" t="n">
        <v>45626</v>
      </c>
      <c r="E5363" s="25">
        <f>+D5363-C5363+1</f>
        <v/>
      </c>
      <c r="F5363" s="319">
        <f>J5362</f>
        <v/>
      </c>
      <c r="G5363" s="319" t="n"/>
      <c r="H5363" s="319">
        <f>($D$5350/$D$5352*F5363)</f>
        <v/>
      </c>
      <c r="I5363" s="319">
        <f>G5363-H5363</f>
        <v/>
      </c>
      <c r="J5363" s="319">
        <f>F5363-I5363</f>
        <v/>
      </c>
    </row>
    <row r="5364">
      <c r="B5364" s="1">
        <f>+B5363+1</f>
        <v/>
      </c>
      <c r="C5364" s="24" t="n">
        <v>45627</v>
      </c>
      <c r="D5364" s="24" t="n">
        <v>45657</v>
      </c>
      <c r="E5364" s="25">
        <f>+D5364-C5364+1</f>
        <v/>
      </c>
      <c r="F5364" s="319">
        <f>J5363</f>
        <v/>
      </c>
      <c r="G5364" s="319">
        <f>-PMT($D$5350/$D$5352,42,$F$5364,,0)</f>
        <v/>
      </c>
      <c r="H5364" s="319">
        <f>($D$5350/$D$5352*F5364)</f>
        <v/>
      </c>
      <c r="I5364" s="319">
        <f>G5364-H5364</f>
        <v/>
      </c>
      <c r="J5364" s="319">
        <f>F5364-I5364</f>
        <v/>
      </c>
    </row>
    <row r="5365">
      <c r="B5365" s="1">
        <f>+B5364+1</f>
        <v/>
      </c>
      <c r="C5365" s="24" t="n">
        <v>45658</v>
      </c>
      <c r="D5365" s="24" t="n">
        <v>45688</v>
      </c>
      <c r="E5365" s="25">
        <f>+D5365-C5365+1</f>
        <v/>
      </c>
      <c r="F5365" s="319">
        <f>J5364</f>
        <v/>
      </c>
      <c r="G5365" s="319">
        <f>-PMT($D$5350/$D$5352,42,$F$5364,,0)</f>
        <v/>
      </c>
      <c r="H5365" s="319">
        <f>($D$5350/$D$5352*F5365)</f>
        <v/>
      </c>
      <c r="I5365" s="319">
        <f>G5365-H5365</f>
        <v/>
      </c>
      <c r="J5365" s="319">
        <f>F5365-I5365</f>
        <v/>
      </c>
    </row>
    <row r="5366">
      <c r="B5366" s="1">
        <f>+B5365+1</f>
        <v/>
      </c>
      <c r="C5366" s="24" t="n">
        <v>45689</v>
      </c>
      <c r="D5366" s="24" t="n">
        <v>45716</v>
      </c>
      <c r="E5366" s="25">
        <f>+D5366-C5366+1</f>
        <v/>
      </c>
      <c r="F5366" s="319">
        <f>J5365</f>
        <v/>
      </c>
      <c r="G5366" s="319">
        <f>-PMT($D$5350/$D$5352,42,$F$5364,,0)</f>
        <v/>
      </c>
      <c r="H5366" s="319">
        <f>($D$5350/$D$5352*F5366)</f>
        <v/>
      </c>
      <c r="I5366" s="319">
        <f>G5366-H5366</f>
        <v/>
      </c>
      <c r="J5366" s="319">
        <f>F5366-I5366</f>
        <v/>
      </c>
    </row>
    <row r="5367">
      <c r="B5367" s="1">
        <f>+B5366+1</f>
        <v/>
      </c>
      <c r="C5367" s="24" t="n">
        <v>45717</v>
      </c>
      <c r="D5367" s="24" t="n">
        <v>45747</v>
      </c>
      <c r="E5367" s="25">
        <f>+D5367-C5367+1</f>
        <v/>
      </c>
      <c r="F5367" s="319">
        <f>J5366</f>
        <v/>
      </c>
      <c r="G5367" s="319">
        <f>-PMT($D$5350/$D$5352,42,$F$5364,,0)</f>
        <v/>
      </c>
      <c r="H5367" s="319">
        <f>($D$5350/$D$5352*F5367)</f>
        <v/>
      </c>
      <c r="I5367" s="319">
        <f>G5367-H5367</f>
        <v/>
      </c>
      <c r="J5367" s="319">
        <f>F5367-I5367</f>
        <v/>
      </c>
    </row>
    <row r="5368">
      <c r="B5368" s="1">
        <f>+B5367+1</f>
        <v/>
      </c>
      <c r="C5368" s="24" t="n">
        <v>45748</v>
      </c>
      <c r="D5368" s="24" t="n">
        <v>45777</v>
      </c>
      <c r="E5368" s="25">
        <f>+D5368-C5368+1</f>
        <v/>
      </c>
      <c r="F5368" s="319">
        <f>J5367</f>
        <v/>
      </c>
      <c r="G5368" s="319">
        <f>-PMT($D$5350/$D$5352,42,$F$5364,,0)</f>
        <v/>
      </c>
      <c r="H5368" s="319">
        <f>($D$5350/$D$5352*F5368)</f>
        <v/>
      </c>
      <c r="I5368" s="319">
        <f>G5368-H5368</f>
        <v/>
      </c>
      <c r="J5368" s="319">
        <f>F5368-I5368</f>
        <v/>
      </c>
    </row>
    <row r="5369">
      <c r="B5369" s="1">
        <f>+B5368+1</f>
        <v/>
      </c>
      <c r="C5369" s="24" t="n">
        <v>45778</v>
      </c>
      <c r="D5369" s="24" t="n">
        <v>45808</v>
      </c>
      <c r="E5369" s="25">
        <f>+D5369-C5369+1</f>
        <v/>
      </c>
      <c r="F5369" s="319">
        <f>J5368</f>
        <v/>
      </c>
      <c r="G5369" s="319">
        <f>-PMT($D$5350/$D$5352,42,$F$5364,,0)</f>
        <v/>
      </c>
      <c r="H5369" s="319">
        <f>($D$5350/$D$5352*F5369)</f>
        <v/>
      </c>
      <c r="I5369" s="319">
        <f>G5369-H5369</f>
        <v/>
      </c>
      <c r="J5369" s="319">
        <f>F5369-I5369</f>
        <v/>
      </c>
    </row>
    <row r="5370">
      <c r="B5370" s="1">
        <f>+B5369+1</f>
        <v/>
      </c>
      <c r="C5370" s="24" t="n">
        <v>45809</v>
      </c>
      <c r="D5370" s="24" t="n">
        <v>45838</v>
      </c>
      <c r="E5370" s="25">
        <f>+D5370-C5370+1</f>
        <v/>
      </c>
      <c r="F5370" s="319">
        <f>J5369</f>
        <v/>
      </c>
      <c r="G5370" s="319">
        <f>-PMT($D$5350/$D$5352,42,$F$5364,,0)</f>
        <v/>
      </c>
      <c r="H5370" s="319">
        <f>($D$5350/$D$5352*F5370)</f>
        <v/>
      </c>
      <c r="I5370" s="319">
        <f>G5370-H5370</f>
        <v/>
      </c>
      <c r="J5370" s="319">
        <f>F5370-I5370</f>
        <v/>
      </c>
    </row>
    <row r="5371">
      <c r="B5371" s="1">
        <f>+B5370+1</f>
        <v/>
      </c>
      <c r="C5371" s="24" t="n">
        <v>45839</v>
      </c>
      <c r="D5371" s="24" t="n">
        <v>45868</v>
      </c>
      <c r="E5371" s="25">
        <f>+D5371-C5371+1</f>
        <v/>
      </c>
      <c r="F5371" s="319">
        <f>J5370</f>
        <v/>
      </c>
      <c r="G5371" s="319">
        <f>-PMT($D$5350/$D$5352,42,$F$5364,,0)</f>
        <v/>
      </c>
      <c r="H5371" s="319">
        <f>($D$5350/$D$5352*F5371)</f>
        <v/>
      </c>
      <c r="I5371" s="319">
        <f>G5371-H5371</f>
        <v/>
      </c>
      <c r="J5371" s="319">
        <f>F5371-I5371</f>
        <v/>
      </c>
    </row>
    <row r="5372">
      <c r="B5372" s="1">
        <f>+B5371+1</f>
        <v/>
      </c>
      <c r="C5372" s="24" t="n">
        <v>45870</v>
      </c>
      <c r="D5372" s="24" t="n">
        <v>45899</v>
      </c>
      <c r="E5372" s="25">
        <f>+D5372-C5372+1</f>
        <v/>
      </c>
      <c r="F5372" s="319">
        <f>J5371</f>
        <v/>
      </c>
      <c r="G5372" s="319">
        <f>-PMT($D$5350/$D$5352,42,$F$5364,,0)</f>
        <v/>
      </c>
      <c r="H5372" s="319">
        <f>($D$5350/$D$5352*F5372)</f>
        <v/>
      </c>
      <c r="I5372" s="319">
        <f>G5372-H5372</f>
        <v/>
      </c>
      <c r="J5372" s="319">
        <f>F5372-I5372</f>
        <v/>
      </c>
    </row>
    <row r="5373">
      <c r="B5373" s="1">
        <f>+B5372+1</f>
        <v/>
      </c>
      <c r="C5373" s="24" t="n">
        <v>45901</v>
      </c>
      <c r="D5373" s="24" t="n">
        <v>45930</v>
      </c>
      <c r="E5373" s="25">
        <f>+D5373-C5373+1</f>
        <v/>
      </c>
      <c r="F5373" s="319">
        <f>J5372</f>
        <v/>
      </c>
      <c r="G5373" s="319">
        <f>-PMT($D$5350/$D$5352,42,$F$5364,,0)</f>
        <v/>
      </c>
      <c r="H5373" s="319">
        <f>($D$5350/$D$5352*F5373)</f>
        <v/>
      </c>
      <c r="I5373" s="319">
        <f>G5373-H5373</f>
        <v/>
      </c>
      <c r="J5373" s="319">
        <f>F5373-I5373</f>
        <v/>
      </c>
    </row>
    <row r="5374">
      <c r="B5374" s="1">
        <f>+B5373+1</f>
        <v/>
      </c>
      <c r="C5374" s="24" t="n">
        <v>45931</v>
      </c>
      <c r="D5374" s="24" t="n">
        <v>45961</v>
      </c>
      <c r="E5374" s="25">
        <f>+D5374-C5374+1</f>
        <v/>
      </c>
      <c r="F5374" s="319">
        <f>J5373</f>
        <v/>
      </c>
      <c r="G5374" s="319">
        <f>-PMT($D$5350/$D$5352,42,$F$5364,,0)</f>
        <v/>
      </c>
      <c r="H5374" s="319">
        <f>($D$5350/$D$5352*F5374)</f>
        <v/>
      </c>
      <c r="I5374" s="319">
        <f>G5374-H5374</f>
        <v/>
      </c>
      <c r="J5374" s="319">
        <f>F5374-I5374</f>
        <v/>
      </c>
    </row>
    <row r="5375">
      <c r="B5375" s="1">
        <f>+B5374+1</f>
        <v/>
      </c>
      <c r="C5375" s="24" t="n">
        <v>45962</v>
      </c>
      <c r="D5375" s="24" t="n">
        <v>45991</v>
      </c>
      <c r="E5375" s="25">
        <f>+D5375-C5375+1</f>
        <v/>
      </c>
      <c r="F5375" s="319">
        <f>J5374</f>
        <v/>
      </c>
      <c r="G5375" s="319">
        <f>-PMT($D$5350/$D$5352,42,$F$5364,,0)</f>
        <v/>
      </c>
      <c r="H5375" s="319">
        <f>($D$5350/$D$5352*F5375)</f>
        <v/>
      </c>
      <c r="I5375" s="319">
        <f>G5375-H5375</f>
        <v/>
      </c>
      <c r="J5375" s="319">
        <f>F5375-I5375</f>
        <v/>
      </c>
    </row>
    <row r="5376">
      <c r="B5376" s="1">
        <f>+B5375+1</f>
        <v/>
      </c>
      <c r="C5376" s="24" t="n">
        <v>45992</v>
      </c>
      <c r="D5376" s="24" t="n">
        <v>46022</v>
      </c>
      <c r="E5376" s="25">
        <f>+D5376-C5376+1</f>
        <v/>
      </c>
      <c r="F5376" s="319">
        <f>J5375</f>
        <v/>
      </c>
      <c r="G5376" s="319">
        <f>-PMT($D$5350/$D$5352,42,$F$5364,,0)</f>
        <v/>
      </c>
      <c r="H5376" s="319">
        <f>($D$5350/$D$5352*F5376)</f>
        <v/>
      </c>
      <c r="I5376" s="319">
        <f>G5376-H5376</f>
        <v/>
      </c>
      <c r="J5376" s="319">
        <f>F5376-I5376</f>
        <v/>
      </c>
    </row>
    <row r="5377">
      <c r="B5377" s="1">
        <f>+B5376+1</f>
        <v/>
      </c>
      <c r="C5377" s="24" t="n">
        <v>46023</v>
      </c>
      <c r="D5377" s="24" t="n">
        <v>46053</v>
      </c>
      <c r="E5377" s="25">
        <f>+D5377-C5377+1</f>
        <v/>
      </c>
      <c r="F5377" s="319">
        <f>J5376</f>
        <v/>
      </c>
      <c r="G5377" s="319">
        <f>-PMT($D$5350/$D$5352,42,$F$5364,,0)</f>
        <v/>
      </c>
      <c r="H5377" s="319">
        <f>($D$5350/$D$5352*F5377)</f>
        <v/>
      </c>
      <c r="I5377" s="319">
        <f>G5377-H5377</f>
        <v/>
      </c>
      <c r="J5377" s="319">
        <f>F5377-I5377</f>
        <v/>
      </c>
    </row>
    <row r="5378">
      <c r="B5378" s="1">
        <f>+B5377+1</f>
        <v/>
      </c>
      <c r="C5378" s="24" t="n">
        <v>46054</v>
      </c>
      <c r="D5378" s="24" t="n">
        <v>46081</v>
      </c>
      <c r="E5378" s="25">
        <f>+D5378-C5378+1</f>
        <v/>
      </c>
      <c r="F5378" s="319">
        <f>J5377</f>
        <v/>
      </c>
      <c r="G5378" s="319">
        <f>-PMT($D$5350/$D$5352,42,$F$5364,,0)</f>
        <v/>
      </c>
      <c r="H5378" s="319">
        <f>($D$5350/$D$5352*F5378)</f>
        <v/>
      </c>
      <c r="I5378" s="319">
        <f>G5378-H5378</f>
        <v/>
      </c>
      <c r="J5378" s="319">
        <f>F5378-I5378</f>
        <v/>
      </c>
    </row>
    <row r="5379">
      <c r="B5379" s="1">
        <f>+B5378+1</f>
        <v/>
      </c>
      <c r="C5379" s="24" t="n">
        <v>46082</v>
      </c>
      <c r="D5379" s="24" t="n">
        <v>46112</v>
      </c>
      <c r="E5379" s="25">
        <f>+D5379-C5379+1</f>
        <v/>
      </c>
      <c r="F5379" s="319">
        <f>J5378</f>
        <v/>
      </c>
      <c r="G5379" s="319">
        <f>-PMT($D$5350/$D$5352,42,$F$5364,,0)</f>
        <v/>
      </c>
      <c r="H5379" s="319">
        <f>($D$5350/$D$5352*F5379)</f>
        <v/>
      </c>
      <c r="I5379" s="319">
        <f>G5379-H5379</f>
        <v/>
      </c>
      <c r="J5379" s="319">
        <f>F5379-I5379</f>
        <v/>
      </c>
    </row>
    <row r="5380">
      <c r="B5380" s="1">
        <f>+B5379+1</f>
        <v/>
      </c>
      <c r="C5380" s="24" t="n">
        <v>46113</v>
      </c>
      <c r="D5380" s="24" t="n">
        <v>46142</v>
      </c>
      <c r="E5380" s="25">
        <f>+D5380-C5380+1</f>
        <v/>
      </c>
      <c r="F5380" s="319">
        <f>J5379</f>
        <v/>
      </c>
      <c r="G5380" s="319">
        <f>-PMT($D$5350/$D$5352,42,$F$5364,,0)</f>
        <v/>
      </c>
      <c r="H5380" s="319">
        <f>($D$5350/$D$5352*F5380)</f>
        <v/>
      </c>
      <c r="I5380" s="319">
        <f>G5380-H5380</f>
        <v/>
      </c>
      <c r="J5380" s="319">
        <f>F5380-I5380</f>
        <v/>
      </c>
    </row>
    <row r="5381">
      <c r="B5381" s="1">
        <f>+B5380+1</f>
        <v/>
      </c>
      <c r="C5381" s="24" t="n">
        <v>46143</v>
      </c>
      <c r="D5381" s="24" t="n">
        <v>46173</v>
      </c>
      <c r="E5381" s="25">
        <f>+D5381-C5381+1</f>
        <v/>
      </c>
      <c r="F5381" s="319">
        <f>J5380</f>
        <v/>
      </c>
      <c r="G5381" s="319">
        <f>-PMT($D$5350/$D$5352,42,$F$5364,,0)</f>
        <v/>
      </c>
      <c r="H5381" s="319">
        <f>($D$5350/$D$5352*F5381)</f>
        <v/>
      </c>
      <c r="I5381" s="319">
        <f>G5381-H5381</f>
        <v/>
      </c>
      <c r="J5381" s="319">
        <f>F5381-I5381</f>
        <v/>
      </c>
    </row>
    <row r="5382">
      <c r="B5382" s="1">
        <f>+B5381+1</f>
        <v/>
      </c>
      <c r="C5382" s="24" t="n">
        <v>46174</v>
      </c>
      <c r="D5382" s="24" t="n">
        <v>46203</v>
      </c>
      <c r="E5382" s="25">
        <f>+D5382-C5382+1</f>
        <v/>
      </c>
      <c r="F5382" s="319">
        <f>J5381</f>
        <v/>
      </c>
      <c r="G5382" s="319">
        <f>-PMT($D$5350/$D$5352,42,$F$5364,,0)</f>
        <v/>
      </c>
      <c r="H5382" s="319">
        <f>($D$5350/$D$5352*F5382)</f>
        <v/>
      </c>
      <c r="I5382" s="319">
        <f>G5382-H5382</f>
        <v/>
      </c>
      <c r="J5382" s="319">
        <f>F5382-I5382</f>
        <v/>
      </c>
    </row>
    <row r="5383">
      <c r="B5383" s="1">
        <f>+B5382+1</f>
        <v/>
      </c>
      <c r="C5383" s="24" t="n">
        <v>46204</v>
      </c>
      <c r="D5383" s="24" t="n">
        <v>46234</v>
      </c>
      <c r="E5383" s="25">
        <f>+D5383-C5383+1</f>
        <v/>
      </c>
      <c r="F5383" s="319">
        <f>J5382</f>
        <v/>
      </c>
      <c r="G5383" s="319">
        <f>-PMT($D$5350/$D$5352,42,$F$5364,,0)</f>
        <v/>
      </c>
      <c r="H5383" s="319">
        <f>($D$5350/$D$5352*F5383)</f>
        <v/>
      </c>
      <c r="I5383" s="319">
        <f>G5383-H5383</f>
        <v/>
      </c>
      <c r="J5383" s="319">
        <f>F5383-I5383</f>
        <v/>
      </c>
    </row>
    <row r="5384">
      <c r="B5384" s="1">
        <f>+B5383+1</f>
        <v/>
      </c>
      <c r="C5384" s="24" t="n">
        <v>46235</v>
      </c>
      <c r="D5384" s="24" t="n">
        <v>46265</v>
      </c>
      <c r="E5384" s="25">
        <f>+D5384-C5384+1</f>
        <v/>
      </c>
      <c r="F5384" s="319">
        <f>J5383</f>
        <v/>
      </c>
      <c r="G5384" s="319">
        <f>-PMT($D$5350/$D$5352,42,$F$5364,,0)</f>
        <v/>
      </c>
      <c r="H5384" s="319">
        <f>($D$5350/$D$5352*F5384)</f>
        <v/>
      </c>
      <c r="I5384" s="319">
        <f>G5384-H5384</f>
        <v/>
      </c>
      <c r="J5384" s="319">
        <f>F5384-I5384</f>
        <v/>
      </c>
    </row>
    <row r="5385">
      <c r="B5385" s="1">
        <f>+B5384+1</f>
        <v/>
      </c>
      <c r="C5385" s="24" t="n">
        <v>46266</v>
      </c>
      <c r="D5385" s="24" t="n">
        <v>46295</v>
      </c>
      <c r="E5385" s="25">
        <f>+D5385-C5385+1</f>
        <v/>
      </c>
      <c r="F5385" s="319">
        <f>J5384</f>
        <v/>
      </c>
      <c r="G5385" s="319">
        <f>-PMT($D$5350/$D$5352,42,$F$5364,,0)</f>
        <v/>
      </c>
      <c r="H5385" s="319">
        <f>($D$5350/$D$5352*F5385)</f>
        <v/>
      </c>
      <c r="I5385" s="319">
        <f>G5385-H5385</f>
        <v/>
      </c>
      <c r="J5385" s="319">
        <f>F5385-I5385</f>
        <v/>
      </c>
    </row>
    <row r="5386">
      <c r="B5386" s="1">
        <f>+B5385+1</f>
        <v/>
      </c>
      <c r="C5386" s="24" t="n">
        <v>46296</v>
      </c>
      <c r="D5386" s="24" t="n">
        <v>46326</v>
      </c>
      <c r="E5386" s="25">
        <f>+D5386-C5386+1</f>
        <v/>
      </c>
      <c r="F5386" s="319">
        <f>J5385</f>
        <v/>
      </c>
      <c r="G5386" s="319">
        <f>-PMT($D$5350/$D$5352,42,$F$5364,,0)</f>
        <v/>
      </c>
      <c r="H5386" s="319">
        <f>($D$5350/$D$5352*F5386)</f>
        <v/>
      </c>
      <c r="I5386" s="319">
        <f>G5386-H5386</f>
        <v/>
      </c>
      <c r="J5386" s="319">
        <f>F5386-I5386</f>
        <v/>
      </c>
    </row>
    <row r="5387">
      <c r="B5387" s="1">
        <f>+B5386+1</f>
        <v/>
      </c>
      <c r="C5387" s="24" t="n">
        <v>46327</v>
      </c>
      <c r="D5387" s="24" t="n">
        <v>46356</v>
      </c>
      <c r="E5387" s="25">
        <f>+D5387-C5387+1</f>
        <v/>
      </c>
      <c r="F5387" s="319">
        <f>J5386</f>
        <v/>
      </c>
      <c r="G5387" s="319">
        <f>-PMT($D$5350/$D$5352,42,$F$5364,,0)</f>
        <v/>
      </c>
      <c r="H5387" s="319">
        <f>($D$5350/$D$5352*F5387)</f>
        <v/>
      </c>
      <c r="I5387" s="319">
        <f>G5387-H5387</f>
        <v/>
      </c>
      <c r="J5387" s="319">
        <f>F5387-I5387</f>
        <v/>
      </c>
    </row>
    <row r="5388">
      <c r="B5388" s="1">
        <f>+B5387+1</f>
        <v/>
      </c>
      <c r="C5388" s="24" t="n">
        <v>46357</v>
      </c>
      <c r="D5388" s="24" t="n">
        <v>46387</v>
      </c>
      <c r="E5388" s="25">
        <f>+D5388-C5388+1</f>
        <v/>
      </c>
      <c r="F5388" s="319">
        <f>J5387</f>
        <v/>
      </c>
      <c r="G5388" s="319">
        <f>-PMT($D$5350/$D$5352,42,$F$5364,,0)</f>
        <v/>
      </c>
      <c r="H5388" s="319">
        <f>($D$5350/$D$5352*F5388)</f>
        <v/>
      </c>
      <c r="I5388" s="319">
        <f>G5388-H5388</f>
        <v/>
      </c>
      <c r="J5388" s="319">
        <f>F5388-I5388</f>
        <v/>
      </c>
    </row>
    <row r="5389">
      <c r="B5389" s="1">
        <f>+B5388+1</f>
        <v/>
      </c>
      <c r="C5389" s="24" t="n">
        <v>46388</v>
      </c>
      <c r="D5389" s="24" t="n">
        <v>46418</v>
      </c>
      <c r="E5389" s="25">
        <f>+D5389-C5389+1</f>
        <v/>
      </c>
      <c r="F5389" s="319">
        <f>J5388</f>
        <v/>
      </c>
      <c r="G5389" s="319">
        <f>-PMT($D$5350/$D$5352,42,$F$5364,,0)</f>
        <v/>
      </c>
      <c r="H5389" s="319">
        <f>($D$5350/$D$5352*F5389)</f>
        <v/>
      </c>
      <c r="I5389" s="319">
        <f>G5389-H5389</f>
        <v/>
      </c>
      <c r="J5389" s="319">
        <f>F5389-I5389</f>
        <v/>
      </c>
    </row>
    <row r="5390">
      <c r="B5390" s="1">
        <f>+B5389+1</f>
        <v/>
      </c>
      <c r="C5390" s="24" t="n">
        <v>46419</v>
      </c>
      <c r="D5390" s="24" t="n">
        <v>46446</v>
      </c>
      <c r="E5390" s="25">
        <f>+D5390-C5390+1</f>
        <v/>
      </c>
      <c r="F5390" s="319">
        <f>J5389</f>
        <v/>
      </c>
      <c r="G5390" s="319">
        <f>-PMT($D$5350/$D$5352,42,$F$5364,,0)</f>
        <v/>
      </c>
      <c r="H5390" s="319">
        <f>($D$5350/$D$5352*F5390)</f>
        <v/>
      </c>
      <c r="I5390" s="319">
        <f>G5390-H5390</f>
        <v/>
      </c>
      <c r="J5390" s="319">
        <f>F5390-I5390</f>
        <v/>
      </c>
    </row>
    <row r="5391">
      <c r="B5391" s="1">
        <f>+B5390+1</f>
        <v/>
      </c>
      <c r="C5391" s="24" t="n">
        <v>46447</v>
      </c>
      <c r="D5391" s="24" t="n">
        <v>46477</v>
      </c>
      <c r="E5391" s="25">
        <f>+D5391-C5391+1</f>
        <v/>
      </c>
      <c r="F5391" s="319">
        <f>J5390</f>
        <v/>
      </c>
      <c r="G5391" s="319">
        <f>-PMT($D$5350/$D$5352,42,$F$5364,,0)</f>
        <v/>
      </c>
      <c r="H5391" s="319">
        <f>($D$5350/$D$5352*F5391)</f>
        <v/>
      </c>
      <c r="I5391" s="319">
        <f>G5391-H5391</f>
        <v/>
      </c>
      <c r="J5391" s="319">
        <f>F5391-I5391</f>
        <v/>
      </c>
    </row>
    <row r="5392">
      <c r="B5392" s="1">
        <f>+B5391+1</f>
        <v/>
      </c>
      <c r="C5392" s="24" t="n">
        <v>46478</v>
      </c>
      <c r="D5392" s="24" t="n">
        <v>46507</v>
      </c>
      <c r="E5392" s="25">
        <f>+D5392-C5392+1</f>
        <v/>
      </c>
      <c r="F5392" s="319">
        <f>J5391</f>
        <v/>
      </c>
      <c r="G5392" s="319">
        <f>-PMT($D$5350/$D$5352,42,$F$5364,,0)</f>
        <v/>
      </c>
      <c r="H5392" s="319">
        <f>($D$5350/$D$5352*F5392)</f>
        <v/>
      </c>
      <c r="I5392" s="319">
        <f>G5392-H5392</f>
        <v/>
      </c>
      <c r="J5392" s="319">
        <f>F5392-I5392</f>
        <v/>
      </c>
    </row>
    <row r="5393">
      <c r="B5393" s="1">
        <f>+B5392+1</f>
        <v/>
      </c>
      <c r="C5393" s="24" t="n">
        <v>46508</v>
      </c>
      <c r="D5393" s="24" t="n">
        <v>46538</v>
      </c>
      <c r="E5393" s="25">
        <f>+D5393-C5393+1</f>
        <v/>
      </c>
      <c r="F5393" s="319">
        <f>J5392</f>
        <v/>
      </c>
      <c r="G5393" s="319">
        <f>-PMT($D$5350/$D$5352,42,$F$5364,,0)</f>
        <v/>
      </c>
      <c r="H5393" s="319">
        <f>($D$5350/$D$5352*F5393)</f>
        <v/>
      </c>
      <c r="I5393" s="319">
        <f>G5393-H5393</f>
        <v/>
      </c>
      <c r="J5393" s="319">
        <f>F5393-I5393</f>
        <v/>
      </c>
    </row>
    <row r="5394">
      <c r="B5394" s="1">
        <f>+B5393+1</f>
        <v/>
      </c>
      <c r="C5394" s="24" t="n">
        <v>46539</v>
      </c>
      <c r="D5394" s="24" t="n">
        <v>46568</v>
      </c>
      <c r="E5394" s="25">
        <f>+D5394-C5394+1</f>
        <v/>
      </c>
      <c r="F5394" s="319">
        <f>J5393</f>
        <v/>
      </c>
      <c r="G5394" s="319">
        <f>-PMT($D$5350/$D$5352,42,$F$5364,,0)</f>
        <v/>
      </c>
      <c r="H5394" s="319">
        <f>($D$5350/$D$5352*F5394)</f>
        <v/>
      </c>
      <c r="I5394" s="319">
        <f>G5394-H5394</f>
        <v/>
      </c>
      <c r="J5394" s="319">
        <f>F5394-I5394</f>
        <v/>
      </c>
    </row>
    <row r="5395">
      <c r="B5395" s="1">
        <f>+B5394+1</f>
        <v/>
      </c>
      <c r="C5395" s="24" t="n">
        <v>46569</v>
      </c>
      <c r="D5395" s="24" t="n">
        <v>46599</v>
      </c>
      <c r="E5395" s="25">
        <f>+D5395-C5395+1</f>
        <v/>
      </c>
      <c r="F5395" s="319">
        <f>J5394</f>
        <v/>
      </c>
      <c r="G5395" s="319">
        <f>-PMT($D$5350/$D$5352,42,$F$5364,,0)</f>
        <v/>
      </c>
      <c r="H5395" s="319">
        <f>($D$5350/$D$5352*F5395)</f>
        <v/>
      </c>
      <c r="I5395" s="319">
        <f>G5395-H5395</f>
        <v/>
      </c>
      <c r="J5395" s="319">
        <f>F5395-I5395</f>
        <v/>
      </c>
    </row>
    <row r="5396">
      <c r="B5396" s="1">
        <f>+B5395+1</f>
        <v/>
      </c>
      <c r="C5396" s="24" t="n">
        <v>46600</v>
      </c>
      <c r="D5396" s="24" t="n">
        <v>46630</v>
      </c>
      <c r="E5396" s="25">
        <f>+D5396-C5396+1</f>
        <v/>
      </c>
      <c r="F5396" s="319">
        <f>J5395</f>
        <v/>
      </c>
      <c r="G5396" s="319">
        <f>-PMT($D$5350/$D$5352,42,$F$5364,,0)</f>
        <v/>
      </c>
      <c r="H5396" s="319">
        <f>($D$5350/$D$5352*F5396)</f>
        <v/>
      </c>
      <c r="I5396" s="319">
        <f>G5396-H5396</f>
        <v/>
      </c>
      <c r="J5396" s="319">
        <f>F5396-I5396</f>
        <v/>
      </c>
    </row>
    <row r="5397">
      <c r="B5397" s="1">
        <f>+B5396+1</f>
        <v/>
      </c>
      <c r="C5397" s="24" t="n">
        <v>46631</v>
      </c>
      <c r="D5397" s="24" t="n">
        <v>46660</v>
      </c>
      <c r="E5397" s="25">
        <f>+D5397-C5397+1</f>
        <v/>
      </c>
      <c r="F5397" s="319">
        <f>J5396</f>
        <v/>
      </c>
      <c r="G5397" s="319">
        <f>-PMT($D$5350/$D$5352,42,$F$5364,,0)</f>
        <v/>
      </c>
      <c r="H5397" s="319">
        <f>($D$5350/$D$5352*F5397)</f>
        <v/>
      </c>
      <c r="I5397" s="319">
        <f>G5397-H5397</f>
        <v/>
      </c>
      <c r="J5397" s="319">
        <f>F5397-I5397</f>
        <v/>
      </c>
    </row>
    <row r="5398">
      <c r="B5398" s="1">
        <f>+B5397+1</f>
        <v/>
      </c>
      <c r="C5398" s="24" t="n">
        <v>46661</v>
      </c>
      <c r="D5398" s="24" t="n">
        <v>46691</v>
      </c>
      <c r="E5398" s="25">
        <f>+D5398-C5398+1</f>
        <v/>
      </c>
      <c r="F5398" s="319">
        <f>J5397</f>
        <v/>
      </c>
      <c r="G5398" s="319">
        <f>-PMT($D$5350/$D$5352,42,$F$5364,,0)</f>
        <v/>
      </c>
      <c r="H5398" s="319">
        <f>($D$5350/$D$5352*F5398)</f>
        <v/>
      </c>
      <c r="I5398" s="319">
        <f>G5398-H5398</f>
        <v/>
      </c>
      <c r="J5398" s="319">
        <f>F5398-I5398</f>
        <v/>
      </c>
    </row>
    <row r="5399">
      <c r="B5399" s="1">
        <f>+B5398+1</f>
        <v/>
      </c>
      <c r="C5399" s="24" t="n">
        <v>46692</v>
      </c>
      <c r="D5399" s="24" t="n">
        <v>46721</v>
      </c>
      <c r="E5399" s="25">
        <f>+D5399-C5399+1</f>
        <v/>
      </c>
      <c r="F5399" s="319">
        <f>J5398</f>
        <v/>
      </c>
      <c r="G5399" s="319">
        <f>-PMT($D$5350/$D$5352,42,$F$5364,,0)</f>
        <v/>
      </c>
      <c r="H5399" s="319">
        <f>($D$5350/$D$5352*F5399)</f>
        <v/>
      </c>
      <c r="I5399" s="319">
        <f>G5399-H5399</f>
        <v/>
      </c>
      <c r="J5399" s="319">
        <f>F5399-I5399</f>
        <v/>
      </c>
    </row>
    <row r="5400">
      <c r="B5400" s="1">
        <f>+B5399+1</f>
        <v/>
      </c>
      <c r="C5400" s="24" t="n">
        <v>46722</v>
      </c>
      <c r="D5400" s="24" t="n">
        <v>46752</v>
      </c>
      <c r="E5400" s="25">
        <f>+D5400-C5400+1</f>
        <v/>
      </c>
      <c r="F5400" s="319">
        <f>J5399</f>
        <v/>
      </c>
      <c r="G5400" s="319">
        <f>-PMT($D$5350/$D$5352,42,$F$5364,,0)</f>
        <v/>
      </c>
      <c r="H5400" s="319">
        <f>($D$5350/$D$5352*F5400)</f>
        <v/>
      </c>
      <c r="I5400" s="319">
        <f>G5400-H5400</f>
        <v/>
      </c>
      <c r="J5400" s="319">
        <f>F5400-I5400</f>
        <v/>
      </c>
    </row>
    <row r="5401">
      <c r="B5401" s="1">
        <f>+B5400+1</f>
        <v/>
      </c>
      <c r="C5401" s="24" t="n">
        <v>46753</v>
      </c>
      <c r="D5401" s="24" t="n">
        <v>46783</v>
      </c>
      <c r="E5401" s="25">
        <f>+D5401-C5401+1</f>
        <v/>
      </c>
      <c r="F5401" s="319">
        <f>J5400</f>
        <v/>
      </c>
      <c r="G5401" s="319">
        <f>-PMT($D$5350/$D$5352,42,$F$5364,,0)</f>
        <v/>
      </c>
      <c r="H5401" s="319">
        <f>($D$5350/$D$5352*F5401)</f>
        <v/>
      </c>
      <c r="I5401" s="319">
        <f>G5401-H5401</f>
        <v/>
      </c>
      <c r="J5401" s="319">
        <f>F5401-I5401</f>
        <v/>
      </c>
    </row>
    <row r="5402">
      <c r="B5402" s="1">
        <f>+B5401+1</f>
        <v/>
      </c>
      <c r="C5402" s="24" t="n">
        <v>46784</v>
      </c>
      <c r="D5402" s="24" t="n">
        <v>46812</v>
      </c>
      <c r="E5402" s="25">
        <f>+D5402-C5402+1</f>
        <v/>
      </c>
      <c r="F5402" s="319">
        <f>J5401</f>
        <v/>
      </c>
      <c r="G5402" s="319">
        <f>-PMT($D$5350/$D$5352,42,$F$5364,,0)</f>
        <v/>
      </c>
      <c r="H5402" s="319">
        <f>($D$5350/$D$5352*F5402)</f>
        <v/>
      </c>
      <c r="I5402" s="319">
        <f>G5402-H5402</f>
        <v/>
      </c>
      <c r="J5402" s="319">
        <f>F5402-I5402</f>
        <v/>
      </c>
    </row>
    <row r="5403">
      <c r="B5403" s="1">
        <f>+B5402+1</f>
        <v/>
      </c>
      <c r="C5403" s="24" t="n">
        <v>46813</v>
      </c>
      <c r="D5403" s="24" t="n">
        <v>46843</v>
      </c>
      <c r="E5403" s="25">
        <f>+D5403-C5403+1</f>
        <v/>
      </c>
      <c r="F5403" s="319">
        <f>J5402</f>
        <v/>
      </c>
      <c r="G5403" s="319">
        <f>-PMT($D$5350/$D$5352,42,$F$5364,,0)</f>
        <v/>
      </c>
      <c r="H5403" s="319">
        <f>($D$5350/$D$5352*F5403)</f>
        <v/>
      </c>
      <c r="I5403" s="319">
        <f>G5403-H5403</f>
        <v/>
      </c>
      <c r="J5403" s="319">
        <f>F5403-I5403</f>
        <v/>
      </c>
    </row>
    <row r="5404">
      <c r="B5404" s="1">
        <f>+B5403+1</f>
        <v/>
      </c>
      <c r="C5404" s="24" t="n">
        <v>46844</v>
      </c>
      <c r="D5404" s="24" t="n">
        <v>46873</v>
      </c>
      <c r="E5404" s="25">
        <f>+D5404-C5404+1</f>
        <v/>
      </c>
      <c r="F5404" s="319">
        <f>J5403</f>
        <v/>
      </c>
      <c r="G5404" s="319">
        <f>-PMT($D$5350/$D$5352,42,$F$5364,,0)</f>
        <v/>
      </c>
      <c r="H5404" s="319">
        <f>($D$5350/$D$5352*F5404)</f>
        <v/>
      </c>
      <c r="I5404" s="319">
        <f>G5404-H5404</f>
        <v/>
      </c>
      <c r="J5404" s="319">
        <f>F5404-I5404</f>
        <v/>
      </c>
    </row>
    <row r="5405">
      <c r="B5405" s="1">
        <f>+B5404+1</f>
        <v/>
      </c>
      <c r="C5405" s="24" t="n">
        <v>46874</v>
      </c>
      <c r="D5405" s="24" t="n">
        <v>46904</v>
      </c>
      <c r="E5405" s="25">
        <f>+D5405-C5405+1</f>
        <v/>
      </c>
      <c r="F5405" s="319">
        <f>J5404</f>
        <v/>
      </c>
      <c r="G5405" s="319">
        <f>-PMT($D$5350/$D$5352,42,$F$5364,,0)</f>
        <v/>
      </c>
      <c r="H5405" s="319">
        <f>($D$5350/$D$5352*F5405)</f>
        <v/>
      </c>
      <c r="I5405" s="319">
        <f>G5405-H5405</f>
        <v/>
      </c>
      <c r="J5405" s="319">
        <f>F5405-I5405</f>
        <v/>
      </c>
    </row>
    <row r="5406" ht="12.65" customHeight="1">
      <c r="B5406" s="1" t="n"/>
      <c r="C5406" s="24" t="n"/>
      <c r="D5406" s="24" t="n"/>
      <c r="E5406" s="25" t="n"/>
      <c r="F5406" s="319" t="n"/>
      <c r="G5406" s="319" t="n"/>
      <c r="H5406" s="319" t="n"/>
      <c r="I5406" s="319" t="n"/>
      <c r="J5406" s="319" t="n"/>
    </row>
    <row r="5414">
      <c r="B5414" s="1" t="n"/>
      <c r="C5414" s="9" t="inlineStr">
        <is>
          <t>Hortinet Foods Ltd</t>
        </is>
      </c>
      <c r="D5414" s="319" t="n"/>
      <c r="E5414" s="319" t="n"/>
      <c r="F5414" s="319" t="n"/>
      <c r="G5414" s="319" t="n"/>
      <c r="H5414" s="319" t="n"/>
      <c r="I5414" s="319" t="n"/>
      <c r="J5414" s="319" t="n"/>
      <c r="R5414" s="514" t="inlineStr">
        <is>
          <t>E-Banker account (Dupleix)</t>
        </is>
      </c>
      <c r="S5414" s="495">
        <f>IFERROR(INDEX('Blocks'!$I$2:$I$101,MATCH(98,'Blocks'!$A$2:$A$101,0)),"")</f>
        <v/>
      </c>
    </row>
    <row r="5415">
      <c r="B5415" s="1" t="n"/>
      <c r="C5415" s="1" t="n"/>
      <c r="D5415" s="319" t="n"/>
      <c r="E5415" s="319" t="n"/>
      <c r="F5415" s="319" t="n"/>
      <c r="G5415" s="319" t="n"/>
      <c r="H5415" s="319" t="n"/>
      <c r="I5415" s="319" t="n"/>
      <c r="J5415" s="319" t="n"/>
      <c r="R5415" s="514" t="inlineStr">
        <is>
          <t>Facility (Loan Book)</t>
        </is>
      </c>
      <c r="S5415" s="495">
        <f>IFERROR(INDEX('Blocks'!$H$2:$H$101,MATCH(98,'Blocks'!$A$2:$A$101,0)),"")</f>
        <v/>
      </c>
    </row>
    <row r="5416">
      <c r="B5416" s="1" t="n"/>
      <c r="C5416" s="10" t="inlineStr">
        <is>
          <t>Principal (MK)</t>
        </is>
      </c>
      <c r="D5416" s="11" t="n">
        <v>150000000</v>
      </c>
      <c r="E5416" s="319" t="n"/>
      <c r="F5416" s="319" t="n"/>
      <c r="G5416" s="319" t="n"/>
      <c r="H5416" s="319" t="n"/>
      <c r="I5416" s="319" t="n"/>
      <c r="J5416" s="319" t="n"/>
      <c r="R5416" s="514" t="inlineStr">
        <is>
          <t>Take-on posting 31 Jul 2024</t>
        </is>
      </c>
      <c r="S5416" s="496">
        <f>IFERROR(INDEX('E-Banker master'!$N$2:$N$186,MATCH(S5414,'E-Banker master'!$A$2:$A$186,0)),"")</f>
        <v/>
      </c>
    </row>
    <row r="5417">
      <c r="B5417" s="1" t="n"/>
      <c r="C5417" s="13" t="inlineStr">
        <is>
          <t>Rate</t>
        </is>
      </c>
      <c r="D5417" s="14" t="n">
        <v>0.33</v>
      </c>
      <c r="E5417" s="257" t="n"/>
      <c r="F5417" s="319" t="n"/>
      <c r="G5417" s="319" t="n"/>
      <c r="H5417" s="319" t="n"/>
      <c r="I5417" s="319" t="n"/>
      <c r="J5417" s="319" t="n"/>
      <c r="R5417" s="514" t="inlineStr">
        <is>
          <t>E-Banker balance 31 Oct 2024</t>
        </is>
      </c>
      <c r="S5417" s="496">
        <f>IFERROR(INDEX('E-Banker master'!$P$2:$P$186,MATCH(S5414,'E-Banker master'!$A$2:$A$186,0)),"")</f>
        <v/>
      </c>
    </row>
    <row r="5418">
      <c r="B5418" s="1" t="n"/>
      <c r="C5418" s="13" t="inlineStr">
        <is>
          <t>n</t>
        </is>
      </c>
      <c r="D5418" s="16" t="n">
        <v>4</v>
      </c>
      <c r="E5418" s="1" t="n"/>
      <c r="F5418" s="319" t="n"/>
      <c r="G5418" s="319" t="n"/>
      <c r="H5418" s="319" t="n"/>
      <c r="I5418" s="319" t="n"/>
      <c r="J5418" s="319" t="n"/>
    </row>
    <row r="5419">
      <c r="B5419" s="1" t="n"/>
      <c r="C5419" s="13" t="inlineStr">
        <is>
          <t>Per</t>
        </is>
      </c>
      <c r="D5419" s="16" t="n">
        <v>12</v>
      </c>
      <c r="E5419" s="1" t="n"/>
      <c r="F5419" s="319" t="n"/>
      <c r="G5419" s="319" t="n"/>
      <c r="H5419" s="319" t="n"/>
      <c r="I5419" s="319" t="n"/>
      <c r="J5419" s="319" t="n"/>
    </row>
    <row r="5420">
      <c r="B5420" s="1" t="n"/>
      <c r="C5420" s="13" t="inlineStr">
        <is>
          <t>nPer</t>
        </is>
      </c>
      <c r="D5420" s="515">
        <f>+D5419*D5418</f>
        <v/>
      </c>
      <c r="E5420" s="1" t="n"/>
      <c r="F5420" s="319" t="n"/>
      <c r="G5420" s="319" t="n"/>
      <c r="H5420" s="319" t="n"/>
      <c r="I5420" s="319" t="n"/>
      <c r="J5420" s="319" t="n"/>
    </row>
    <row r="5421">
      <c r="B5421" s="1" t="n"/>
      <c r="C5421" s="13" t="inlineStr">
        <is>
          <t>Days in a year</t>
        </is>
      </c>
      <c r="D5421" s="18" t="n">
        <v>365</v>
      </c>
      <c r="E5421" s="1" t="n"/>
      <c r="F5421" s="319" t="n"/>
      <c r="G5421" s="319" t="n"/>
      <c r="H5421" s="319" t="n"/>
      <c r="I5421" s="319" t="n"/>
      <c r="J5421" s="319" t="n"/>
    </row>
    <row r="5422">
      <c r="B5422" s="1" t="n"/>
      <c r="C5422" s="19" t="inlineStr">
        <is>
          <t>Pmt (MK)</t>
        </is>
      </c>
      <c r="D5422" s="534">
        <f>-PMT(D5417/D5419,D5420,D5416,0,0)</f>
        <v/>
      </c>
      <c r="E5422" s="319" t="n"/>
      <c r="F5422" s="319" t="n"/>
      <c r="G5422" s="319" t="n"/>
      <c r="H5422" s="319" t="n"/>
      <c r="I5422" s="319" t="n"/>
      <c r="J5422" s="319" t="n"/>
    </row>
    <row r="5423">
      <c r="B5423" s="1" t="n"/>
      <c r="C5423" s="1" t="n"/>
      <c r="D5423" s="319" t="n"/>
      <c r="E5423" s="319" t="n"/>
      <c r="F5423" s="319" t="n"/>
      <c r="G5423" s="319" t="n"/>
      <c r="H5423" s="319" t="n"/>
      <c r="I5423" s="319" t="n"/>
      <c r="J5423" s="319" t="n"/>
    </row>
    <row r="5424">
      <c r="B5424" s="1" t="n"/>
      <c r="C5424" s="21" t="inlineStr">
        <is>
          <t>Period Start</t>
        </is>
      </c>
      <c r="D5424" s="22" t="inlineStr">
        <is>
          <t>Period End</t>
        </is>
      </c>
      <c r="E5424" s="22" t="inlineStr">
        <is>
          <t>Days</t>
        </is>
      </c>
      <c r="F5424" s="294" t="inlineStr">
        <is>
          <t>Opening bal.</t>
        </is>
      </c>
      <c r="G5424" s="294" t="inlineStr">
        <is>
          <t>Pmt</t>
        </is>
      </c>
      <c r="H5424" s="294" t="inlineStr">
        <is>
          <t>Interest</t>
        </is>
      </c>
      <c r="I5424" s="294" t="inlineStr">
        <is>
          <t>Principal</t>
        </is>
      </c>
      <c r="J5424" s="294" t="inlineStr">
        <is>
          <t>Closing balance</t>
        </is>
      </c>
      <c r="K5424" s="23" t="inlineStr">
        <is>
          <t>Amount Repaid</t>
        </is>
      </c>
      <c r="L5424" s="23" t="inlineStr">
        <is>
          <t>Accumulated Arrears</t>
        </is>
      </c>
    </row>
    <row r="5425">
      <c r="B5425" s="1" t="n">
        <v>0</v>
      </c>
      <c r="C5425" s="24" t="n">
        <v>45497</v>
      </c>
      <c r="D5425" s="24" t="n">
        <v>45504</v>
      </c>
      <c r="E5425" s="25" t="n">
        <v>7</v>
      </c>
      <c r="F5425" s="319">
        <f>D5416</f>
        <v/>
      </c>
      <c r="G5425" s="319" t="n"/>
      <c r="H5425" s="319">
        <f>($D$5417/$D$5419*F5425*E5425/30)</f>
        <v/>
      </c>
      <c r="I5425" s="319">
        <f>G5425-H5425</f>
        <v/>
      </c>
      <c r="J5425" s="319">
        <f>F5425-I5425</f>
        <v/>
      </c>
      <c r="K5425" s="148" t="n"/>
      <c r="L5425" s="148" t="n"/>
    </row>
    <row r="5426">
      <c r="B5426" s="1" t="n">
        <v>1</v>
      </c>
      <c r="C5426" s="24" t="n">
        <v>45505</v>
      </c>
      <c r="D5426" s="24" t="n">
        <v>45535</v>
      </c>
      <c r="E5426" s="25">
        <f>+D5426-C5426+1</f>
        <v/>
      </c>
      <c r="F5426" s="319">
        <f>J5425</f>
        <v/>
      </c>
      <c r="G5426" s="319" t="n"/>
      <c r="H5426" s="319">
        <f>($D$5417/$D$5419*F5426)</f>
        <v/>
      </c>
      <c r="I5426" s="319">
        <f>G5426-H5426</f>
        <v/>
      </c>
      <c r="J5426" s="319">
        <f>F5426-I5426</f>
        <v/>
      </c>
      <c r="K5426" s="237" t="n"/>
      <c r="L5426" s="148" t="n"/>
    </row>
    <row r="5427">
      <c r="B5427" s="1" t="n">
        <v>2</v>
      </c>
      <c r="C5427" s="24" t="n">
        <v>45536</v>
      </c>
      <c r="D5427" s="24" t="n">
        <v>45565</v>
      </c>
      <c r="E5427" s="25">
        <f>+D5427-C5427+1</f>
        <v/>
      </c>
      <c r="F5427" s="319">
        <f>J5426</f>
        <v/>
      </c>
      <c r="G5427" s="319" t="n"/>
      <c r="H5427" s="319">
        <f>($D$5417/$D$5419*F5427)</f>
        <v/>
      </c>
      <c r="I5427" s="319">
        <f>G5427-H5427</f>
        <v/>
      </c>
      <c r="J5427" s="319">
        <f>F5427-I5427</f>
        <v/>
      </c>
      <c r="L5427" s="148" t="n"/>
    </row>
    <row r="5428">
      <c r="B5428" s="1">
        <f>+B5427+1</f>
        <v/>
      </c>
      <c r="C5428" s="24" t="n">
        <v>45566</v>
      </c>
      <c r="D5428" s="24" t="n">
        <v>45596</v>
      </c>
      <c r="E5428" s="25">
        <f>+D5428-C5428+1</f>
        <v/>
      </c>
      <c r="F5428" s="319">
        <f>J5427</f>
        <v/>
      </c>
      <c r="G5428" s="319" t="n"/>
      <c r="H5428" s="319">
        <f>($D$5417/$D$5419*F5428)</f>
        <v/>
      </c>
      <c r="I5428" s="319">
        <f>G5428-H5428</f>
        <v/>
      </c>
      <c r="J5428" s="319">
        <f>F5428-I5428</f>
        <v/>
      </c>
      <c r="L5428" s="148" t="n"/>
    </row>
    <row r="5429">
      <c r="B5429" s="1">
        <f>+B5428+1</f>
        <v/>
      </c>
      <c r="C5429" s="24" t="n">
        <v>45597</v>
      </c>
      <c r="D5429" s="24" t="n">
        <v>45626</v>
      </c>
      <c r="E5429" s="25">
        <f>+D5429-C5429+1</f>
        <v/>
      </c>
      <c r="F5429" s="319">
        <f>J5428</f>
        <v/>
      </c>
      <c r="G5429" s="319">
        <f>-PMT($D$5417/$D$5419,44,$F$5429,,0)</f>
        <v/>
      </c>
      <c r="H5429" s="319">
        <f>($D$5417/$D$5419*F5429)</f>
        <v/>
      </c>
      <c r="I5429" s="319">
        <f>G5429-H5429</f>
        <v/>
      </c>
      <c r="J5429" s="319">
        <f>F5429-I5429</f>
        <v/>
      </c>
    </row>
    <row r="5430">
      <c r="B5430" s="1">
        <f>+B5429+1</f>
        <v/>
      </c>
      <c r="C5430" s="24" t="n">
        <v>45627</v>
      </c>
      <c r="D5430" s="24" t="n">
        <v>45657</v>
      </c>
      <c r="E5430" s="25">
        <f>+D5430-C5430+1</f>
        <v/>
      </c>
      <c r="F5430" s="319">
        <f>J5429</f>
        <v/>
      </c>
      <c r="G5430" s="319">
        <f>-PMT($D$5417/$D$5419,44,$F$5429,,0)</f>
        <v/>
      </c>
      <c r="H5430" s="319">
        <f>($D$5417/$D$5419*F5430)</f>
        <v/>
      </c>
      <c r="I5430" s="319">
        <f>G5430-H5430</f>
        <v/>
      </c>
      <c r="J5430" s="319">
        <f>F5430-I5430</f>
        <v/>
      </c>
    </row>
    <row r="5431">
      <c r="B5431" s="1">
        <f>+B5430+1</f>
        <v/>
      </c>
      <c r="C5431" s="24" t="n">
        <v>45658</v>
      </c>
      <c r="D5431" s="24" t="n">
        <v>45688</v>
      </c>
      <c r="E5431" s="25">
        <f>+D5431-C5431+1</f>
        <v/>
      </c>
      <c r="F5431" s="319">
        <f>J5430</f>
        <v/>
      </c>
      <c r="G5431" s="319">
        <f>-PMT($D$5417/$D$5419,44,$F$5429,,0)</f>
        <v/>
      </c>
      <c r="H5431" s="319">
        <f>($D$5417/$D$5419*F5431)</f>
        <v/>
      </c>
      <c r="I5431" s="319">
        <f>G5431-H5431</f>
        <v/>
      </c>
      <c r="J5431" s="319">
        <f>F5431-I5431</f>
        <v/>
      </c>
    </row>
    <row r="5432">
      <c r="B5432" s="1">
        <f>+B5431+1</f>
        <v/>
      </c>
      <c r="C5432" s="24" t="n">
        <v>45689</v>
      </c>
      <c r="D5432" s="24" t="n">
        <v>45716</v>
      </c>
      <c r="E5432" s="25">
        <f>+D5432-C5432+1</f>
        <v/>
      </c>
      <c r="F5432" s="319">
        <f>J5431</f>
        <v/>
      </c>
      <c r="G5432" s="319">
        <f>-PMT($D$5417/$D$5419,44,$F$5429,,0)</f>
        <v/>
      </c>
      <c r="H5432" s="319">
        <f>($D$5417/$D$5419*F5432)</f>
        <v/>
      </c>
      <c r="I5432" s="319">
        <f>G5432-H5432</f>
        <v/>
      </c>
      <c r="J5432" s="319">
        <f>F5432-I5432</f>
        <v/>
      </c>
    </row>
    <row r="5433">
      <c r="B5433" s="1">
        <f>+B5432+1</f>
        <v/>
      </c>
      <c r="C5433" s="24" t="n">
        <v>45717</v>
      </c>
      <c r="D5433" s="24" t="n">
        <v>45747</v>
      </c>
      <c r="E5433" s="25">
        <f>+D5433-C5433+1</f>
        <v/>
      </c>
      <c r="F5433" s="319">
        <f>J5432</f>
        <v/>
      </c>
      <c r="G5433" s="319">
        <f>-PMT($D$5417/$D$5419,44,$F$5429,,0)</f>
        <v/>
      </c>
      <c r="H5433" s="319">
        <f>($D$5417/$D$5419*F5433)</f>
        <v/>
      </c>
      <c r="I5433" s="319">
        <f>G5433-H5433</f>
        <v/>
      </c>
      <c r="J5433" s="319">
        <f>F5433-I5433</f>
        <v/>
      </c>
    </row>
    <row r="5434">
      <c r="B5434" s="1">
        <f>+B5433+1</f>
        <v/>
      </c>
      <c r="C5434" s="24" t="n">
        <v>45748</v>
      </c>
      <c r="D5434" s="24" t="n">
        <v>45777</v>
      </c>
      <c r="E5434" s="25">
        <f>+D5434-C5434+1</f>
        <v/>
      </c>
      <c r="F5434" s="319">
        <f>J5433</f>
        <v/>
      </c>
      <c r="G5434" s="319">
        <f>-PMT($D$5417/$D$5419,44,$F$5429,,0)</f>
        <v/>
      </c>
      <c r="H5434" s="319">
        <f>($D$5417/$D$5419*F5434)</f>
        <v/>
      </c>
      <c r="I5434" s="319">
        <f>G5434-H5434</f>
        <v/>
      </c>
      <c r="J5434" s="319">
        <f>F5434-I5434</f>
        <v/>
      </c>
    </row>
    <row r="5435">
      <c r="B5435" s="1">
        <f>+B5434+1</f>
        <v/>
      </c>
      <c r="C5435" s="24" t="n">
        <v>45778</v>
      </c>
      <c r="D5435" s="24" t="n">
        <v>45808</v>
      </c>
      <c r="E5435" s="25">
        <f>+D5435-C5435+1</f>
        <v/>
      </c>
      <c r="F5435" s="319">
        <f>J5434</f>
        <v/>
      </c>
      <c r="G5435" s="319">
        <f>-PMT($D$5417/$D$5419,44,$F$5429,,0)</f>
        <v/>
      </c>
      <c r="H5435" s="319">
        <f>($D$5417/$D$5419*F5435)</f>
        <v/>
      </c>
      <c r="I5435" s="319">
        <f>G5435-H5435</f>
        <v/>
      </c>
      <c r="J5435" s="319">
        <f>F5435-I5435</f>
        <v/>
      </c>
    </row>
    <row r="5436">
      <c r="B5436" s="1">
        <f>+B5435+1</f>
        <v/>
      </c>
      <c r="C5436" s="24" t="n">
        <v>45809</v>
      </c>
      <c r="D5436" s="24" t="n">
        <v>45838</v>
      </c>
      <c r="E5436" s="25">
        <f>+D5436-C5436+1</f>
        <v/>
      </c>
      <c r="F5436" s="319">
        <f>J5435</f>
        <v/>
      </c>
      <c r="G5436" s="319">
        <f>-PMT($D$5417/$D$5419,44,$F$5429,,0)</f>
        <v/>
      </c>
      <c r="H5436" s="319">
        <f>($D$5417/$D$5419*F5436)</f>
        <v/>
      </c>
      <c r="I5436" s="319">
        <f>G5436-H5436</f>
        <v/>
      </c>
      <c r="J5436" s="319">
        <f>F5436-I5436</f>
        <v/>
      </c>
    </row>
    <row r="5437">
      <c r="B5437" s="1">
        <f>+B5436+1</f>
        <v/>
      </c>
      <c r="C5437" s="24" t="n">
        <v>45839</v>
      </c>
      <c r="D5437" s="24" t="n">
        <v>45868</v>
      </c>
      <c r="E5437" s="25">
        <f>+D5437-C5437+1</f>
        <v/>
      </c>
      <c r="F5437" s="319">
        <f>J5436</f>
        <v/>
      </c>
      <c r="G5437" s="319">
        <f>-PMT($D$5417/$D$5419,44,$F$5429,,0)</f>
        <v/>
      </c>
      <c r="H5437" s="319">
        <f>($D$5417/$D$5419*F5437)</f>
        <v/>
      </c>
      <c r="I5437" s="319">
        <f>G5437-H5437</f>
        <v/>
      </c>
      <c r="J5437" s="319">
        <f>F5437-I5437</f>
        <v/>
      </c>
    </row>
    <row r="5438">
      <c r="B5438" s="1">
        <f>+B5437+1</f>
        <v/>
      </c>
      <c r="C5438" s="24" t="n">
        <v>45870</v>
      </c>
      <c r="D5438" s="24" t="n">
        <v>45899</v>
      </c>
      <c r="E5438" s="25">
        <f>+D5438-C5438+1</f>
        <v/>
      </c>
      <c r="F5438" s="319">
        <f>J5437</f>
        <v/>
      </c>
      <c r="G5438" s="319">
        <f>-PMT($D$5417/$D$5419,44,$F$5429,,0)</f>
        <v/>
      </c>
      <c r="H5438" s="319">
        <f>($D$5417/$D$5419*F5438)</f>
        <v/>
      </c>
      <c r="I5438" s="319">
        <f>G5438-H5438</f>
        <v/>
      </c>
      <c r="J5438" s="319">
        <f>F5438-I5438</f>
        <v/>
      </c>
    </row>
    <row r="5439">
      <c r="B5439" s="1">
        <f>+B5438+1</f>
        <v/>
      </c>
      <c r="C5439" s="24" t="n">
        <v>45901</v>
      </c>
      <c r="D5439" s="24" t="n">
        <v>45930</v>
      </c>
      <c r="E5439" s="25">
        <f>+D5439-C5439+1</f>
        <v/>
      </c>
      <c r="F5439" s="319">
        <f>J5438</f>
        <v/>
      </c>
      <c r="G5439" s="319">
        <f>-PMT($D$5417/$D$5419,44,$F$5429,,0)</f>
        <v/>
      </c>
      <c r="H5439" s="319">
        <f>($D$5417/$D$5419*F5439)</f>
        <v/>
      </c>
      <c r="I5439" s="319">
        <f>G5439-H5439</f>
        <v/>
      </c>
      <c r="J5439" s="319">
        <f>F5439-I5439</f>
        <v/>
      </c>
    </row>
    <row r="5440">
      <c r="B5440" s="1">
        <f>+B5439+1</f>
        <v/>
      </c>
      <c r="C5440" s="24" t="n">
        <v>45931</v>
      </c>
      <c r="D5440" s="24" t="n">
        <v>45961</v>
      </c>
      <c r="E5440" s="25">
        <f>+D5440-C5440+1</f>
        <v/>
      </c>
      <c r="F5440" s="319">
        <f>J5439</f>
        <v/>
      </c>
      <c r="G5440" s="319">
        <f>-PMT($D$5417/$D$5419,44,$F$5429,,0)</f>
        <v/>
      </c>
      <c r="H5440" s="319">
        <f>($D$5417/$D$5419*F5440)</f>
        <v/>
      </c>
      <c r="I5440" s="319">
        <f>G5440-H5440</f>
        <v/>
      </c>
      <c r="J5440" s="319">
        <f>F5440-I5440</f>
        <v/>
      </c>
    </row>
    <row r="5441">
      <c r="B5441" s="1">
        <f>+B5440+1</f>
        <v/>
      </c>
      <c r="C5441" s="24" t="n">
        <v>45962</v>
      </c>
      <c r="D5441" s="24" t="n">
        <v>45991</v>
      </c>
      <c r="E5441" s="25">
        <f>+D5441-C5441+1</f>
        <v/>
      </c>
      <c r="F5441" s="319">
        <f>J5440</f>
        <v/>
      </c>
      <c r="G5441" s="319">
        <f>-PMT($D$5417/$D$5419,44,$F$5429,,0)</f>
        <v/>
      </c>
      <c r="H5441" s="319">
        <f>($D$5417/$D$5419*F5441)</f>
        <v/>
      </c>
      <c r="I5441" s="319">
        <f>G5441-H5441</f>
        <v/>
      </c>
      <c r="J5441" s="319">
        <f>F5441-I5441</f>
        <v/>
      </c>
    </row>
    <row r="5442">
      <c r="B5442" s="1">
        <f>+B5441+1</f>
        <v/>
      </c>
      <c r="C5442" s="24" t="n">
        <v>45992</v>
      </c>
      <c r="D5442" s="24" t="n">
        <v>46022</v>
      </c>
      <c r="E5442" s="25">
        <f>+D5442-C5442+1</f>
        <v/>
      </c>
      <c r="F5442" s="319">
        <f>J5441</f>
        <v/>
      </c>
      <c r="G5442" s="319">
        <f>-PMT($D$5417/$D$5419,44,$F$5429,,0)</f>
        <v/>
      </c>
      <c r="H5442" s="319">
        <f>($D$5417/$D$5419*F5442)</f>
        <v/>
      </c>
      <c r="I5442" s="319">
        <f>G5442-H5442</f>
        <v/>
      </c>
      <c r="J5442" s="319">
        <f>F5442-I5442</f>
        <v/>
      </c>
    </row>
    <row r="5443">
      <c r="B5443" s="1">
        <f>+B5442+1</f>
        <v/>
      </c>
      <c r="C5443" s="24" t="n">
        <v>46023</v>
      </c>
      <c r="D5443" s="24" t="n">
        <v>46053</v>
      </c>
      <c r="E5443" s="25">
        <f>+D5443-C5443+1</f>
        <v/>
      </c>
      <c r="F5443" s="319">
        <f>J5442</f>
        <v/>
      </c>
      <c r="G5443" s="319">
        <f>-PMT($D$5417/$D$5419,44,$F$5429,,0)</f>
        <v/>
      </c>
      <c r="H5443" s="319">
        <f>($D$5417/$D$5419*F5443)</f>
        <v/>
      </c>
      <c r="I5443" s="319">
        <f>G5443-H5443</f>
        <v/>
      </c>
      <c r="J5443" s="319">
        <f>F5443-I5443</f>
        <v/>
      </c>
    </row>
    <row r="5444">
      <c r="B5444" s="1">
        <f>+B5443+1</f>
        <v/>
      </c>
      <c r="C5444" s="24" t="n">
        <v>46054</v>
      </c>
      <c r="D5444" s="24" t="n">
        <v>46081</v>
      </c>
      <c r="E5444" s="25">
        <f>+D5444-C5444+1</f>
        <v/>
      </c>
      <c r="F5444" s="319">
        <f>J5443</f>
        <v/>
      </c>
      <c r="G5444" s="319">
        <f>-PMT($D$5417/$D$5419,44,$F$5429,,0)</f>
        <v/>
      </c>
      <c r="H5444" s="319">
        <f>($D$5417/$D$5419*F5444)</f>
        <v/>
      </c>
      <c r="I5444" s="319">
        <f>G5444-H5444</f>
        <v/>
      </c>
      <c r="J5444" s="319">
        <f>F5444-I5444</f>
        <v/>
      </c>
    </row>
    <row r="5445">
      <c r="B5445" s="1">
        <f>+B5444+1</f>
        <v/>
      </c>
      <c r="C5445" s="24" t="n">
        <v>46082</v>
      </c>
      <c r="D5445" s="24" t="n">
        <v>46112</v>
      </c>
      <c r="E5445" s="25">
        <f>+D5445-C5445+1</f>
        <v/>
      </c>
      <c r="F5445" s="319">
        <f>J5444</f>
        <v/>
      </c>
      <c r="G5445" s="319">
        <f>-PMT($D$5417/$D$5419,44,$F$5429,,0)</f>
        <v/>
      </c>
      <c r="H5445" s="319">
        <f>($D$5417/$D$5419*F5445)</f>
        <v/>
      </c>
      <c r="I5445" s="319">
        <f>G5445-H5445</f>
        <v/>
      </c>
      <c r="J5445" s="319">
        <f>F5445-I5445</f>
        <v/>
      </c>
    </row>
    <row r="5446">
      <c r="B5446" s="1">
        <f>+B5445+1</f>
        <v/>
      </c>
      <c r="C5446" s="24" t="n">
        <v>46113</v>
      </c>
      <c r="D5446" s="24" t="n">
        <v>46142</v>
      </c>
      <c r="E5446" s="25">
        <f>+D5446-C5446+1</f>
        <v/>
      </c>
      <c r="F5446" s="319">
        <f>J5445</f>
        <v/>
      </c>
      <c r="G5446" s="319">
        <f>-PMT($D$5417/$D$5419,44,$F$5429,,0)</f>
        <v/>
      </c>
      <c r="H5446" s="319">
        <f>($D$5417/$D$5419*F5446)</f>
        <v/>
      </c>
      <c r="I5446" s="319">
        <f>G5446-H5446</f>
        <v/>
      </c>
      <c r="J5446" s="319">
        <f>F5446-I5446</f>
        <v/>
      </c>
    </row>
    <row r="5447">
      <c r="B5447" s="1">
        <f>+B5446+1</f>
        <v/>
      </c>
      <c r="C5447" s="24" t="n">
        <v>46143</v>
      </c>
      <c r="D5447" s="24" t="n">
        <v>46173</v>
      </c>
      <c r="E5447" s="25">
        <f>+D5447-C5447+1</f>
        <v/>
      </c>
      <c r="F5447" s="319">
        <f>J5446</f>
        <v/>
      </c>
      <c r="G5447" s="319">
        <f>-PMT($D$5417/$D$5419,44,$F$5429,,0)</f>
        <v/>
      </c>
      <c r="H5447" s="319">
        <f>($D$5417/$D$5419*F5447)</f>
        <v/>
      </c>
      <c r="I5447" s="319">
        <f>G5447-H5447</f>
        <v/>
      </c>
      <c r="J5447" s="319">
        <f>F5447-I5447</f>
        <v/>
      </c>
    </row>
    <row r="5448">
      <c r="B5448" s="1">
        <f>+B5447+1</f>
        <v/>
      </c>
      <c r="C5448" s="24" t="n">
        <v>46174</v>
      </c>
      <c r="D5448" s="24" t="n">
        <v>46203</v>
      </c>
      <c r="E5448" s="25">
        <f>+D5448-C5448+1</f>
        <v/>
      </c>
      <c r="F5448" s="319">
        <f>J5447</f>
        <v/>
      </c>
      <c r="G5448" s="319">
        <f>-PMT($D$5417/$D$5419,44,$F$5429,,0)</f>
        <v/>
      </c>
      <c r="H5448" s="319">
        <f>($D$5417/$D$5419*F5448)</f>
        <v/>
      </c>
      <c r="I5448" s="319">
        <f>G5448-H5448</f>
        <v/>
      </c>
      <c r="J5448" s="319">
        <f>F5448-I5448</f>
        <v/>
      </c>
    </row>
    <row r="5449">
      <c r="B5449" s="1">
        <f>+B5448+1</f>
        <v/>
      </c>
      <c r="C5449" s="24" t="n">
        <v>46204</v>
      </c>
      <c r="D5449" s="24" t="n">
        <v>46234</v>
      </c>
      <c r="E5449" s="25">
        <f>+D5449-C5449+1</f>
        <v/>
      </c>
      <c r="F5449" s="319">
        <f>J5448</f>
        <v/>
      </c>
      <c r="G5449" s="319">
        <f>-PMT($D$5417/$D$5419,44,$F$5429,,0)</f>
        <v/>
      </c>
      <c r="H5449" s="319">
        <f>($D$5417/$D$5419*F5449)</f>
        <v/>
      </c>
      <c r="I5449" s="319">
        <f>G5449-H5449</f>
        <v/>
      </c>
      <c r="J5449" s="319">
        <f>F5449-I5449</f>
        <v/>
      </c>
    </row>
    <row r="5450">
      <c r="B5450" s="1">
        <f>+B5449+1</f>
        <v/>
      </c>
      <c r="C5450" s="24" t="n">
        <v>46235</v>
      </c>
      <c r="D5450" s="24" t="n">
        <v>46265</v>
      </c>
      <c r="E5450" s="25">
        <f>+D5450-C5450+1</f>
        <v/>
      </c>
      <c r="F5450" s="319">
        <f>J5449</f>
        <v/>
      </c>
      <c r="G5450" s="319">
        <f>-PMT($D$5417/$D$5419,44,$F$5429,,0)</f>
        <v/>
      </c>
      <c r="H5450" s="319">
        <f>($D$5417/$D$5419*F5450)</f>
        <v/>
      </c>
      <c r="I5450" s="319">
        <f>G5450-H5450</f>
        <v/>
      </c>
      <c r="J5450" s="319">
        <f>F5450-I5450</f>
        <v/>
      </c>
    </row>
    <row r="5451">
      <c r="B5451" s="1">
        <f>+B5450+1</f>
        <v/>
      </c>
      <c r="C5451" s="24" t="n">
        <v>46266</v>
      </c>
      <c r="D5451" s="24" t="n">
        <v>46295</v>
      </c>
      <c r="E5451" s="25">
        <f>+D5451-C5451+1</f>
        <v/>
      </c>
      <c r="F5451" s="319">
        <f>J5450</f>
        <v/>
      </c>
      <c r="G5451" s="319">
        <f>-PMT($D$5417/$D$5419,44,$F$5429,,0)</f>
        <v/>
      </c>
      <c r="H5451" s="319">
        <f>($D$5417/$D$5419*F5451)</f>
        <v/>
      </c>
      <c r="I5451" s="319">
        <f>G5451-H5451</f>
        <v/>
      </c>
      <c r="J5451" s="319">
        <f>F5451-I5451</f>
        <v/>
      </c>
    </row>
    <row r="5452">
      <c r="B5452" s="1">
        <f>+B5451+1</f>
        <v/>
      </c>
      <c r="C5452" s="24" t="n">
        <v>46296</v>
      </c>
      <c r="D5452" s="24" t="n">
        <v>46326</v>
      </c>
      <c r="E5452" s="25">
        <f>+D5452-C5452+1</f>
        <v/>
      </c>
      <c r="F5452" s="319">
        <f>J5451</f>
        <v/>
      </c>
      <c r="G5452" s="319">
        <f>-PMT($D$5417/$D$5419,44,$F$5429,,0)</f>
        <v/>
      </c>
      <c r="H5452" s="319">
        <f>($D$5417/$D$5419*F5452)</f>
        <v/>
      </c>
      <c r="I5452" s="319">
        <f>G5452-H5452</f>
        <v/>
      </c>
      <c r="J5452" s="319">
        <f>F5452-I5452</f>
        <v/>
      </c>
    </row>
    <row r="5453">
      <c r="B5453" s="1">
        <f>+B5452+1</f>
        <v/>
      </c>
      <c r="C5453" s="24" t="n">
        <v>46327</v>
      </c>
      <c r="D5453" s="24" t="n">
        <v>46356</v>
      </c>
      <c r="E5453" s="25">
        <f>+D5453-C5453+1</f>
        <v/>
      </c>
      <c r="F5453" s="319">
        <f>J5452</f>
        <v/>
      </c>
      <c r="G5453" s="319">
        <f>-PMT($D$5417/$D$5419,44,$F$5429,,0)</f>
        <v/>
      </c>
      <c r="H5453" s="319">
        <f>($D$5417/$D$5419*F5453)</f>
        <v/>
      </c>
      <c r="I5453" s="319">
        <f>G5453-H5453</f>
        <v/>
      </c>
      <c r="J5453" s="319">
        <f>F5453-I5453</f>
        <v/>
      </c>
    </row>
    <row r="5454">
      <c r="B5454" s="1">
        <f>+B5453+1</f>
        <v/>
      </c>
      <c r="C5454" s="24" t="n">
        <v>46357</v>
      </c>
      <c r="D5454" s="24" t="n">
        <v>46387</v>
      </c>
      <c r="E5454" s="25">
        <f>+D5454-C5454+1</f>
        <v/>
      </c>
      <c r="F5454" s="319">
        <f>J5453</f>
        <v/>
      </c>
      <c r="G5454" s="319">
        <f>-PMT($D$5417/$D$5419,44,$F$5429,,0)</f>
        <v/>
      </c>
      <c r="H5454" s="319">
        <f>($D$5417/$D$5419*F5454)</f>
        <v/>
      </c>
      <c r="I5454" s="319">
        <f>G5454-H5454</f>
        <v/>
      </c>
      <c r="J5454" s="319">
        <f>F5454-I5454</f>
        <v/>
      </c>
    </row>
    <row r="5455">
      <c r="B5455" s="1">
        <f>+B5454+1</f>
        <v/>
      </c>
      <c r="C5455" s="24" t="n">
        <v>46388</v>
      </c>
      <c r="D5455" s="24" t="n">
        <v>46418</v>
      </c>
      <c r="E5455" s="25">
        <f>+D5455-C5455+1</f>
        <v/>
      </c>
      <c r="F5455" s="319">
        <f>J5454</f>
        <v/>
      </c>
      <c r="G5455" s="319">
        <f>-PMT($D$5417/$D$5419,44,$F$5429,,0)</f>
        <v/>
      </c>
      <c r="H5455" s="319">
        <f>($D$5417/$D$5419*F5455)</f>
        <v/>
      </c>
      <c r="I5455" s="319">
        <f>G5455-H5455</f>
        <v/>
      </c>
      <c r="J5455" s="319">
        <f>F5455-I5455</f>
        <v/>
      </c>
    </row>
    <row r="5456">
      <c r="B5456" s="1">
        <f>+B5455+1</f>
        <v/>
      </c>
      <c r="C5456" s="24" t="n">
        <v>46419</v>
      </c>
      <c r="D5456" s="24" t="n">
        <v>46446</v>
      </c>
      <c r="E5456" s="25">
        <f>+D5456-C5456+1</f>
        <v/>
      </c>
      <c r="F5456" s="319">
        <f>J5455</f>
        <v/>
      </c>
      <c r="G5456" s="319">
        <f>-PMT($D$5417/$D$5419,44,$F$5429,,0)</f>
        <v/>
      </c>
      <c r="H5456" s="319">
        <f>($D$5417/$D$5419*F5456)</f>
        <v/>
      </c>
      <c r="I5456" s="319">
        <f>G5456-H5456</f>
        <v/>
      </c>
      <c r="J5456" s="319">
        <f>F5456-I5456</f>
        <v/>
      </c>
    </row>
    <row r="5457">
      <c r="B5457" s="1">
        <f>+B5456+1</f>
        <v/>
      </c>
      <c r="C5457" s="24" t="n">
        <v>46447</v>
      </c>
      <c r="D5457" s="24" t="n">
        <v>46477</v>
      </c>
      <c r="E5457" s="25">
        <f>+D5457-C5457+1</f>
        <v/>
      </c>
      <c r="F5457" s="319">
        <f>J5456</f>
        <v/>
      </c>
      <c r="G5457" s="319">
        <f>-PMT($D$5417/$D$5419,44,$F$5429,,0)</f>
        <v/>
      </c>
      <c r="H5457" s="319">
        <f>($D$5417/$D$5419*F5457)</f>
        <v/>
      </c>
      <c r="I5457" s="319">
        <f>G5457-H5457</f>
        <v/>
      </c>
      <c r="J5457" s="319">
        <f>F5457-I5457</f>
        <v/>
      </c>
    </row>
    <row r="5458">
      <c r="B5458" s="1">
        <f>+B5457+1</f>
        <v/>
      </c>
      <c r="C5458" s="24" t="n">
        <v>46478</v>
      </c>
      <c r="D5458" s="24" t="n">
        <v>46507</v>
      </c>
      <c r="E5458" s="25">
        <f>+D5458-C5458+1</f>
        <v/>
      </c>
      <c r="F5458" s="319">
        <f>J5457</f>
        <v/>
      </c>
      <c r="G5458" s="319">
        <f>-PMT($D$5417/$D$5419,44,$F$5429,,0)</f>
        <v/>
      </c>
      <c r="H5458" s="319">
        <f>($D$5417/$D$5419*F5458)</f>
        <v/>
      </c>
      <c r="I5458" s="319">
        <f>G5458-H5458</f>
        <v/>
      </c>
      <c r="J5458" s="319">
        <f>F5458-I5458</f>
        <v/>
      </c>
    </row>
    <row r="5459">
      <c r="B5459" s="1">
        <f>+B5458+1</f>
        <v/>
      </c>
      <c r="C5459" s="24" t="n">
        <v>46508</v>
      </c>
      <c r="D5459" s="24" t="n">
        <v>46538</v>
      </c>
      <c r="E5459" s="25">
        <f>+D5459-C5459+1</f>
        <v/>
      </c>
      <c r="F5459" s="319">
        <f>J5458</f>
        <v/>
      </c>
      <c r="G5459" s="319">
        <f>-PMT($D$5417/$D$5419,44,$F$5429,,0)</f>
        <v/>
      </c>
      <c r="H5459" s="319">
        <f>($D$5417/$D$5419*F5459)</f>
        <v/>
      </c>
      <c r="I5459" s="319">
        <f>G5459-H5459</f>
        <v/>
      </c>
      <c r="J5459" s="319">
        <f>F5459-I5459</f>
        <v/>
      </c>
    </row>
    <row r="5460">
      <c r="B5460" s="1">
        <f>+B5459+1</f>
        <v/>
      </c>
      <c r="C5460" s="24" t="n">
        <v>46539</v>
      </c>
      <c r="D5460" s="24" t="n">
        <v>46568</v>
      </c>
      <c r="E5460" s="25">
        <f>+D5460-C5460+1</f>
        <v/>
      </c>
      <c r="F5460" s="319">
        <f>J5459</f>
        <v/>
      </c>
      <c r="G5460" s="319">
        <f>-PMT($D$5417/$D$5419,44,$F$5429,,0)</f>
        <v/>
      </c>
      <c r="H5460" s="319">
        <f>($D$5417/$D$5419*F5460)</f>
        <v/>
      </c>
      <c r="I5460" s="319">
        <f>G5460-H5460</f>
        <v/>
      </c>
      <c r="J5460" s="319">
        <f>F5460-I5460</f>
        <v/>
      </c>
    </row>
    <row r="5461">
      <c r="B5461" s="1">
        <f>+B5460+1</f>
        <v/>
      </c>
      <c r="C5461" s="24" t="n">
        <v>46569</v>
      </c>
      <c r="D5461" s="24" t="n">
        <v>46599</v>
      </c>
      <c r="E5461" s="25">
        <f>+D5461-C5461+1</f>
        <v/>
      </c>
      <c r="F5461" s="319">
        <f>J5460</f>
        <v/>
      </c>
      <c r="G5461" s="319">
        <f>-PMT($D$5417/$D$5419,44,$F$5429,,0)</f>
        <v/>
      </c>
      <c r="H5461" s="319">
        <f>($D$5417/$D$5419*F5461)</f>
        <v/>
      </c>
      <c r="I5461" s="319">
        <f>G5461-H5461</f>
        <v/>
      </c>
      <c r="J5461" s="319">
        <f>F5461-I5461</f>
        <v/>
      </c>
    </row>
    <row r="5462">
      <c r="B5462" s="1">
        <f>+B5461+1</f>
        <v/>
      </c>
      <c r="C5462" s="24" t="n">
        <v>46600</v>
      </c>
      <c r="D5462" s="24" t="n">
        <v>46630</v>
      </c>
      <c r="E5462" s="25">
        <f>+D5462-C5462+1</f>
        <v/>
      </c>
      <c r="F5462" s="319">
        <f>J5461</f>
        <v/>
      </c>
      <c r="G5462" s="319">
        <f>-PMT($D$5417/$D$5419,44,$F$5429,,0)</f>
        <v/>
      </c>
      <c r="H5462" s="319">
        <f>($D$5417/$D$5419*F5462)</f>
        <v/>
      </c>
      <c r="I5462" s="319">
        <f>G5462-H5462</f>
        <v/>
      </c>
      <c r="J5462" s="319">
        <f>F5462-I5462</f>
        <v/>
      </c>
    </row>
    <row r="5463">
      <c r="B5463" s="1">
        <f>+B5462+1</f>
        <v/>
      </c>
      <c r="C5463" s="24" t="n">
        <v>46631</v>
      </c>
      <c r="D5463" s="24" t="n">
        <v>46660</v>
      </c>
      <c r="E5463" s="25">
        <f>+D5463-C5463+1</f>
        <v/>
      </c>
      <c r="F5463" s="319">
        <f>J5462</f>
        <v/>
      </c>
      <c r="G5463" s="319">
        <f>-PMT($D$5417/$D$5419,44,$F$5429,,0)</f>
        <v/>
      </c>
      <c r="H5463" s="319">
        <f>($D$5417/$D$5419*F5463)</f>
        <v/>
      </c>
      <c r="I5463" s="319">
        <f>G5463-H5463</f>
        <v/>
      </c>
      <c r="J5463" s="319">
        <f>F5463-I5463</f>
        <v/>
      </c>
    </row>
    <row r="5464">
      <c r="B5464" s="1">
        <f>+B5463+1</f>
        <v/>
      </c>
      <c r="C5464" s="24" t="n">
        <v>46661</v>
      </c>
      <c r="D5464" s="24" t="n">
        <v>46691</v>
      </c>
      <c r="E5464" s="25">
        <f>+D5464-C5464+1</f>
        <v/>
      </c>
      <c r="F5464" s="319">
        <f>J5463</f>
        <v/>
      </c>
      <c r="G5464" s="319">
        <f>-PMT($D$5417/$D$5419,44,$F$5429,,0)</f>
        <v/>
      </c>
      <c r="H5464" s="319">
        <f>($D$5417/$D$5419*F5464)</f>
        <v/>
      </c>
      <c r="I5464" s="319">
        <f>G5464-H5464</f>
        <v/>
      </c>
      <c r="J5464" s="319">
        <f>F5464-I5464</f>
        <v/>
      </c>
    </row>
    <row r="5465">
      <c r="B5465" s="1">
        <f>+B5464+1</f>
        <v/>
      </c>
      <c r="C5465" s="24" t="n">
        <v>46692</v>
      </c>
      <c r="D5465" s="24" t="n">
        <v>46721</v>
      </c>
      <c r="E5465" s="25">
        <f>+D5465-C5465+1</f>
        <v/>
      </c>
      <c r="F5465" s="319">
        <f>J5464</f>
        <v/>
      </c>
      <c r="G5465" s="319">
        <f>-PMT($D$5417/$D$5419,44,$F$5429,,0)</f>
        <v/>
      </c>
      <c r="H5465" s="319">
        <f>($D$5417/$D$5419*F5465)</f>
        <v/>
      </c>
      <c r="I5465" s="319">
        <f>G5465-H5465</f>
        <v/>
      </c>
      <c r="J5465" s="319">
        <f>F5465-I5465</f>
        <v/>
      </c>
    </row>
    <row r="5466">
      <c r="B5466" s="1">
        <f>+B5465+1</f>
        <v/>
      </c>
      <c r="C5466" s="24" t="n">
        <v>46722</v>
      </c>
      <c r="D5466" s="24" t="n">
        <v>46752</v>
      </c>
      <c r="E5466" s="25">
        <f>+D5466-C5466+1</f>
        <v/>
      </c>
      <c r="F5466" s="319">
        <f>J5465</f>
        <v/>
      </c>
      <c r="G5466" s="319">
        <f>-PMT($D$5417/$D$5419,44,$F$5429,,0)</f>
        <v/>
      </c>
      <c r="H5466" s="319">
        <f>($D$5417/$D$5419*F5466)</f>
        <v/>
      </c>
      <c r="I5466" s="319">
        <f>G5466-H5466</f>
        <v/>
      </c>
      <c r="J5466" s="319">
        <f>F5466-I5466</f>
        <v/>
      </c>
    </row>
    <row r="5467">
      <c r="B5467" s="1">
        <f>+B5466+1</f>
        <v/>
      </c>
      <c r="C5467" s="24" t="n">
        <v>46753</v>
      </c>
      <c r="D5467" s="24" t="n">
        <v>46783</v>
      </c>
      <c r="E5467" s="25">
        <f>+D5467-C5467+1</f>
        <v/>
      </c>
      <c r="F5467" s="319">
        <f>J5466</f>
        <v/>
      </c>
      <c r="G5467" s="319">
        <f>-PMT($D$5417/$D$5419,44,$F$5429,,0)</f>
        <v/>
      </c>
      <c r="H5467" s="319">
        <f>($D$5417/$D$5419*F5467)</f>
        <v/>
      </c>
      <c r="I5467" s="319">
        <f>G5467-H5467</f>
        <v/>
      </c>
      <c r="J5467" s="319">
        <f>F5467-I5467</f>
        <v/>
      </c>
    </row>
    <row r="5468">
      <c r="B5468" s="1">
        <f>+B5467+1</f>
        <v/>
      </c>
      <c r="C5468" s="24" t="n">
        <v>46784</v>
      </c>
      <c r="D5468" s="24" t="n">
        <v>46812</v>
      </c>
      <c r="E5468" s="25">
        <f>+D5468-C5468+1</f>
        <v/>
      </c>
      <c r="F5468" s="319">
        <f>J5467</f>
        <v/>
      </c>
      <c r="G5468" s="319">
        <f>-PMT($D$5417/$D$5419,44,$F$5429,,0)</f>
        <v/>
      </c>
      <c r="H5468" s="319">
        <f>($D$5417/$D$5419*F5468)</f>
        <v/>
      </c>
      <c r="I5468" s="319">
        <f>G5468-H5468</f>
        <v/>
      </c>
      <c r="J5468" s="319">
        <f>F5468-I5468</f>
        <v/>
      </c>
    </row>
    <row r="5469">
      <c r="B5469" s="1">
        <f>+B5468+1</f>
        <v/>
      </c>
      <c r="C5469" s="24" t="n">
        <v>46813</v>
      </c>
      <c r="D5469" s="24" t="n">
        <v>46843</v>
      </c>
      <c r="E5469" s="25">
        <f>+D5469-C5469+1</f>
        <v/>
      </c>
      <c r="F5469" s="319">
        <f>J5468</f>
        <v/>
      </c>
      <c r="G5469" s="319">
        <f>-PMT($D$5417/$D$5419,44,$F$5429,,0)</f>
        <v/>
      </c>
      <c r="H5469" s="319">
        <f>($D$5417/$D$5419*F5469)</f>
        <v/>
      </c>
      <c r="I5469" s="319">
        <f>G5469-H5469</f>
        <v/>
      </c>
      <c r="J5469" s="319">
        <f>F5469-I5469</f>
        <v/>
      </c>
    </row>
    <row r="5470">
      <c r="B5470" s="1">
        <f>+B5469+1</f>
        <v/>
      </c>
      <c r="C5470" s="24" t="n">
        <v>46844</v>
      </c>
      <c r="D5470" s="24" t="n">
        <v>46873</v>
      </c>
      <c r="E5470" s="25">
        <f>+D5470-C5470+1</f>
        <v/>
      </c>
      <c r="F5470" s="319">
        <f>J5469</f>
        <v/>
      </c>
      <c r="G5470" s="319">
        <f>-PMT($D$5417/$D$5419,44,$F$5429,,0)</f>
        <v/>
      </c>
      <c r="H5470" s="319">
        <f>($D$5417/$D$5419*F5470)</f>
        <v/>
      </c>
      <c r="I5470" s="319">
        <f>G5470-H5470</f>
        <v/>
      </c>
      <c r="J5470" s="319">
        <f>F5470-I5470</f>
        <v/>
      </c>
    </row>
    <row r="5471">
      <c r="B5471" s="1">
        <f>+B5470+1</f>
        <v/>
      </c>
      <c r="C5471" s="24" t="n">
        <v>46874</v>
      </c>
      <c r="D5471" s="24" t="n">
        <v>46904</v>
      </c>
      <c r="E5471" s="25">
        <f>+D5471-C5471+1</f>
        <v/>
      </c>
      <c r="F5471" s="319">
        <f>J5470</f>
        <v/>
      </c>
      <c r="G5471" s="319">
        <f>-PMT($D$5417/$D$5419,44,$F$5429,,0)</f>
        <v/>
      </c>
      <c r="H5471" s="319">
        <f>($D$5417/$D$5419*F5471)</f>
        <v/>
      </c>
      <c r="I5471" s="319">
        <f>G5471-H5471</f>
        <v/>
      </c>
      <c r="J5471" s="319">
        <f>F5471-I5471</f>
        <v/>
      </c>
    </row>
    <row r="5472">
      <c r="B5472" s="1">
        <f>+B5471+1</f>
        <v/>
      </c>
      <c r="C5472" s="24" t="n">
        <v>46905</v>
      </c>
      <c r="D5472" s="24" t="n">
        <v>46934</v>
      </c>
      <c r="E5472" s="25">
        <f>+D5472-C5472+1</f>
        <v/>
      </c>
      <c r="F5472" s="319">
        <f>J5471</f>
        <v/>
      </c>
      <c r="G5472" s="319">
        <f>-PMT($D$5417/$D$5419,44,$F$5429,,0)</f>
        <v/>
      </c>
      <c r="H5472" s="319">
        <f>($D$5417/$D$5419*F5472)</f>
        <v/>
      </c>
      <c r="I5472" s="319">
        <f>G5472-H5472</f>
        <v/>
      </c>
      <c r="J5472" s="319">
        <f>F5472-I5472</f>
        <v/>
      </c>
    </row>
    <row r="5477">
      <c r="B5477" s="1" t="n"/>
      <c r="C5477" s="9" t="inlineStr">
        <is>
          <t>Chimwemwe Mafeni Transport</t>
        </is>
      </c>
      <c r="D5477" s="319" t="n"/>
      <c r="E5477" s="319" t="n"/>
      <c r="F5477" s="319" t="n"/>
      <c r="G5477" s="319" t="n"/>
      <c r="H5477" s="319" t="n"/>
      <c r="I5477" s="319" t="n"/>
      <c r="J5477" s="319" t="n"/>
      <c r="R5477" s="514" t="inlineStr">
        <is>
          <t>E-Banker account (Dupleix)</t>
        </is>
      </c>
      <c r="S5477" s="495">
        <f>IFERROR(INDEX('Blocks'!$I$2:$I$101,MATCH(99,'Blocks'!$A$2:$A$101,0)),"")</f>
        <v/>
      </c>
    </row>
    <row r="5478">
      <c r="B5478" s="1" t="n"/>
      <c r="C5478" s="1" t="n"/>
      <c r="D5478" s="319" t="n"/>
      <c r="E5478" s="319" t="n"/>
      <c r="F5478" s="319" t="n"/>
      <c r="G5478" s="319" t="n"/>
      <c r="H5478" s="319" t="n"/>
      <c r="I5478" s="319" t="n"/>
      <c r="J5478" s="319" t="n"/>
      <c r="R5478" s="514" t="inlineStr">
        <is>
          <t>Facility (Loan Book)</t>
        </is>
      </c>
      <c r="S5478" s="495">
        <f>IFERROR(INDEX('Blocks'!$H$2:$H$101,MATCH(99,'Blocks'!$A$2:$A$101,0)),"")</f>
        <v/>
      </c>
    </row>
    <row r="5479">
      <c r="B5479" s="1" t="n"/>
      <c r="C5479" s="10" t="inlineStr">
        <is>
          <t>Principal (MK)</t>
        </is>
      </c>
      <c r="D5479" s="11" t="n">
        <v>200000000</v>
      </c>
      <c r="E5479" s="319" t="n"/>
      <c r="F5479" s="319" t="n"/>
      <c r="G5479" s="319" t="n"/>
      <c r="H5479" s="319" t="n"/>
      <c r="I5479" s="319" t="n"/>
      <c r="J5479" s="319" t="n"/>
      <c r="R5479" s="514" t="inlineStr">
        <is>
          <t>Take-on posting 31 Jul 2024</t>
        </is>
      </c>
      <c r="S5479" s="496">
        <f>IFERROR(INDEX('E-Banker master'!$N$2:$N$186,MATCH(S5477,'E-Banker master'!$A$2:$A$186,0)),"")</f>
        <v/>
      </c>
    </row>
    <row r="5480">
      <c r="B5480" s="1" t="n"/>
      <c r="C5480" s="13" t="inlineStr">
        <is>
          <t>Rate</t>
        </is>
      </c>
      <c r="D5480" s="14" t="n">
        <v>0.1</v>
      </c>
      <c r="E5480" s="257" t="n"/>
      <c r="F5480" s="319" t="n"/>
      <c r="G5480" s="319" t="n"/>
      <c r="H5480" s="319" t="n"/>
      <c r="I5480" s="319" t="n"/>
      <c r="J5480" s="319" t="n"/>
      <c r="R5480" s="514" t="inlineStr">
        <is>
          <t>E-Banker balance 31 Oct 2024</t>
        </is>
      </c>
      <c r="S5480" s="496">
        <f>IFERROR(INDEX('E-Banker master'!$P$2:$P$186,MATCH(S5477,'E-Banker master'!$A$2:$A$186,0)),"")</f>
        <v/>
      </c>
    </row>
    <row r="5481">
      <c r="B5481" s="1" t="n"/>
      <c r="C5481" s="13" t="inlineStr">
        <is>
          <t>n</t>
        </is>
      </c>
      <c r="D5481" s="16" t="n">
        <v>5</v>
      </c>
      <c r="E5481" s="1" t="n"/>
      <c r="F5481" s="319" t="n"/>
      <c r="G5481" s="319" t="n"/>
      <c r="H5481" s="319" t="n"/>
      <c r="I5481" s="319" t="n"/>
      <c r="J5481" s="319" t="n"/>
    </row>
    <row r="5482">
      <c r="B5482" s="1" t="n"/>
      <c r="C5482" s="13" t="inlineStr">
        <is>
          <t>Per</t>
        </is>
      </c>
      <c r="D5482" s="16" t="n">
        <v>12</v>
      </c>
      <c r="E5482" s="1" t="n"/>
      <c r="F5482" s="319" t="n"/>
      <c r="G5482" s="319" t="n"/>
      <c r="H5482" s="319" t="n"/>
      <c r="I5482" s="319" t="n"/>
      <c r="J5482" s="319" t="n"/>
    </row>
    <row r="5483">
      <c r="B5483" s="1" t="n"/>
      <c r="C5483" s="13" t="inlineStr">
        <is>
          <t>nPer</t>
        </is>
      </c>
      <c r="D5483" s="515">
        <f>+D5482*D5481</f>
        <v/>
      </c>
      <c r="E5483" s="1" t="n"/>
      <c r="F5483" s="319" t="n"/>
      <c r="G5483" s="319" t="n"/>
      <c r="H5483" s="319" t="n"/>
      <c r="I5483" s="319" t="n"/>
      <c r="J5483" s="319" t="n"/>
    </row>
    <row r="5484">
      <c r="B5484" s="1" t="n"/>
      <c r="C5484" s="13" t="inlineStr">
        <is>
          <t>Days in a year</t>
        </is>
      </c>
      <c r="D5484" s="18" t="n">
        <v>365</v>
      </c>
      <c r="E5484" s="1" t="n"/>
      <c r="F5484" s="319" t="n"/>
      <c r="G5484" s="319" t="n"/>
      <c r="H5484" s="319" t="n"/>
      <c r="I5484" s="319" t="n"/>
      <c r="J5484" s="319" t="n"/>
    </row>
    <row r="5485">
      <c r="B5485" s="1" t="n"/>
      <c r="C5485" s="19" t="inlineStr">
        <is>
          <t>Pmt (MK)</t>
        </is>
      </c>
      <c r="D5485" s="534">
        <f>-PMT(D5480/D5482,D5483,D5479,0,0)</f>
        <v/>
      </c>
      <c r="E5485" s="319" t="n"/>
      <c r="F5485" s="319" t="n"/>
      <c r="G5485" s="319" t="n"/>
      <c r="H5485" s="319" t="n"/>
      <c r="I5485" s="319" t="n"/>
      <c r="J5485" s="319" t="n"/>
    </row>
    <row r="5486">
      <c r="B5486" s="1" t="n"/>
      <c r="C5486" s="1" t="n"/>
      <c r="D5486" s="319" t="n"/>
      <c r="E5486" s="319" t="n"/>
      <c r="F5486" s="319" t="n"/>
      <c r="G5486" s="319" t="n"/>
      <c r="H5486" s="319" t="n"/>
      <c r="I5486" s="319" t="n"/>
      <c r="J5486" s="319" t="n"/>
    </row>
    <row r="5487">
      <c r="B5487" s="1" t="n"/>
      <c r="C5487" s="21" t="inlineStr">
        <is>
          <t>Period Start</t>
        </is>
      </c>
      <c r="D5487" s="22" t="inlineStr">
        <is>
          <t>Period End</t>
        </is>
      </c>
      <c r="E5487" s="22" t="inlineStr">
        <is>
          <t>Days</t>
        </is>
      </c>
      <c r="F5487" s="294" t="inlineStr">
        <is>
          <t>Opening bal.</t>
        </is>
      </c>
      <c r="G5487" s="294" t="inlineStr">
        <is>
          <t>Pmt</t>
        </is>
      </c>
      <c r="H5487" s="294" t="inlineStr">
        <is>
          <t>Interest</t>
        </is>
      </c>
      <c r="I5487" s="294" t="inlineStr">
        <is>
          <t>Principal</t>
        </is>
      </c>
      <c r="J5487" s="294" t="inlineStr">
        <is>
          <t>Closing balance</t>
        </is>
      </c>
      <c r="K5487" s="23" t="inlineStr">
        <is>
          <t>Amount Repaid</t>
        </is>
      </c>
      <c r="L5487" s="23" t="inlineStr">
        <is>
          <t>Accumulated Arrears</t>
        </is>
      </c>
    </row>
    <row r="5488">
      <c r="B5488" s="1" t="n">
        <v>0</v>
      </c>
      <c r="C5488" s="24" t="n">
        <v>45567</v>
      </c>
      <c r="D5488" s="24" t="n">
        <v>45596</v>
      </c>
      <c r="E5488" s="460">
        <f>+D5488-C5488+1</f>
        <v/>
      </c>
      <c r="F5488" s="319">
        <f>D5479</f>
        <v/>
      </c>
      <c r="G5488" s="319" t="n"/>
      <c r="H5488" s="319">
        <f>($D$5480/$D$5482*F5488*E5488/30)</f>
        <v/>
      </c>
      <c r="I5488" s="319">
        <f>G5488-H5488</f>
        <v/>
      </c>
      <c r="J5488" s="319">
        <f>F5488-I5488</f>
        <v/>
      </c>
      <c r="K5488" s="148" t="n"/>
      <c r="L5488" s="148" t="n"/>
    </row>
    <row r="5489">
      <c r="B5489" s="1" t="n">
        <v>1</v>
      </c>
      <c r="C5489" s="24" t="n">
        <v>45597</v>
      </c>
      <c r="D5489" s="24" t="n">
        <v>45626</v>
      </c>
      <c r="E5489" s="25">
        <f>+D5489-C5489+1</f>
        <v/>
      </c>
      <c r="F5489" s="319">
        <f>J5488</f>
        <v/>
      </c>
      <c r="G5489" s="319" t="n"/>
      <c r="H5489" s="319">
        <f>($D$5480/$D$5482*F5489)</f>
        <v/>
      </c>
      <c r="I5489" s="319">
        <f>G5489-H5489</f>
        <v/>
      </c>
      <c r="J5489" s="319">
        <f>F5489-I5489</f>
        <v/>
      </c>
      <c r="K5489" s="237" t="n"/>
      <c r="L5489" s="148" t="n"/>
    </row>
    <row r="5490">
      <c r="B5490" s="1" t="n">
        <v>2</v>
      </c>
      <c r="C5490" s="24" t="n">
        <v>45627</v>
      </c>
      <c r="D5490" s="24" t="n">
        <v>45657</v>
      </c>
      <c r="E5490" s="25">
        <f>+D5490-C5490+1</f>
        <v/>
      </c>
      <c r="F5490" s="319">
        <f>J5489</f>
        <v/>
      </c>
      <c r="G5490" s="319" t="n"/>
      <c r="H5490" s="319">
        <f>($D$5480/$D$5482*F5490)</f>
        <v/>
      </c>
      <c r="I5490" s="319">
        <f>G5490-H5490</f>
        <v/>
      </c>
      <c r="J5490" s="319">
        <f>F5490-I5490</f>
        <v/>
      </c>
      <c r="L5490" s="148" t="n"/>
    </row>
    <row r="5491">
      <c r="B5491" s="1">
        <f>+B5490+1</f>
        <v/>
      </c>
      <c r="C5491" s="24" t="n">
        <v>45658</v>
      </c>
      <c r="D5491" s="24" t="n">
        <v>45688</v>
      </c>
      <c r="E5491" s="25">
        <f>+D5491-C5491+1</f>
        <v/>
      </c>
      <c r="F5491" s="319">
        <f>J5490</f>
        <v/>
      </c>
      <c r="G5491" s="319" t="n"/>
      <c r="H5491" s="319">
        <f>($D$5480/$D$5482*F5491)</f>
        <v/>
      </c>
      <c r="I5491" s="319">
        <f>G5491-H5491</f>
        <v/>
      </c>
      <c r="J5491" s="319">
        <f>F5491-I5491</f>
        <v/>
      </c>
      <c r="L5491" s="148" t="n"/>
    </row>
    <row r="5492">
      <c r="B5492" s="1">
        <f>+B5491+1</f>
        <v/>
      </c>
      <c r="C5492" s="24" t="n">
        <v>45689</v>
      </c>
      <c r="D5492" s="24" t="n">
        <v>45716</v>
      </c>
      <c r="E5492" s="25">
        <f>+D5492-C5492+1</f>
        <v/>
      </c>
      <c r="F5492" s="319">
        <f>J5491</f>
        <v/>
      </c>
      <c r="G5492" s="319" t="n"/>
      <c r="H5492" s="319">
        <f>($D$5480/$D$5482*F5492)</f>
        <v/>
      </c>
      <c r="I5492" s="319">
        <f>G5492-H5492</f>
        <v/>
      </c>
      <c r="J5492" s="319">
        <f>F5492-I5492</f>
        <v/>
      </c>
    </row>
    <row r="5493">
      <c r="B5493" s="1">
        <f>+B5492+1</f>
        <v/>
      </c>
      <c r="C5493" s="24" t="n">
        <v>45717</v>
      </c>
      <c r="D5493" s="24" t="n">
        <v>45747</v>
      </c>
      <c r="E5493" s="25">
        <f>+D5493-C5493+1</f>
        <v/>
      </c>
      <c r="F5493" s="319">
        <f>J5492</f>
        <v/>
      </c>
      <c r="G5493" s="319" t="n"/>
      <c r="H5493" s="319">
        <f>($D$5480/$D$5482*F5493)</f>
        <v/>
      </c>
      <c r="I5493" s="319">
        <f>G5493-H5493</f>
        <v/>
      </c>
      <c r="J5493" s="319">
        <f>F5493-I5493</f>
        <v/>
      </c>
    </row>
    <row r="5494">
      <c r="B5494" s="1">
        <f>+B5493+1</f>
        <v/>
      </c>
      <c r="C5494" s="24" t="n">
        <v>45748</v>
      </c>
      <c r="D5494" s="24" t="n">
        <v>45777</v>
      </c>
      <c r="E5494" s="25">
        <f>+D5494-C5494+1</f>
        <v/>
      </c>
      <c r="F5494" s="319">
        <f>J5493</f>
        <v/>
      </c>
      <c r="G5494" s="319" t="n"/>
      <c r="H5494" s="319">
        <f>($D$5480/$D$5482*F5494)</f>
        <v/>
      </c>
      <c r="I5494" s="319">
        <f>G5494-H5494</f>
        <v/>
      </c>
      <c r="J5494" s="319">
        <f>F5494-I5494</f>
        <v/>
      </c>
    </row>
    <row r="5495">
      <c r="B5495" s="1">
        <f>+B5494+1</f>
        <v/>
      </c>
      <c r="C5495" s="24" t="n">
        <v>45778</v>
      </c>
      <c r="D5495" s="24" t="n">
        <v>45808</v>
      </c>
      <c r="E5495" s="25">
        <f>+D5495-C5495+1</f>
        <v/>
      </c>
      <c r="F5495" s="319">
        <f>J5494</f>
        <v/>
      </c>
      <c r="G5495" s="319" t="n"/>
      <c r="H5495" s="319">
        <f>($D$5480/$D$5482*F5495)</f>
        <v/>
      </c>
      <c r="I5495" s="319">
        <f>G5495-H5495</f>
        <v/>
      </c>
      <c r="J5495" s="319">
        <f>F5495-I5495</f>
        <v/>
      </c>
    </row>
    <row r="5496">
      <c r="B5496" s="1">
        <f>+B5495+1</f>
        <v/>
      </c>
      <c r="C5496" s="24" t="n">
        <v>45809</v>
      </c>
      <c r="D5496" s="24" t="n">
        <v>45838</v>
      </c>
      <c r="E5496" s="25">
        <f>+D5496-C5496+1</f>
        <v/>
      </c>
      <c r="F5496" s="319">
        <f>J5495</f>
        <v/>
      </c>
      <c r="G5496" s="319" t="n"/>
      <c r="H5496" s="319">
        <f>($D$5480/$D$5482*F5496)</f>
        <v/>
      </c>
      <c r="I5496" s="319">
        <f>G5496-H5496</f>
        <v/>
      </c>
      <c r="J5496" s="319">
        <f>F5496-I5496</f>
        <v/>
      </c>
    </row>
    <row r="5497">
      <c r="B5497" s="1">
        <f>+B5496+1</f>
        <v/>
      </c>
      <c r="C5497" s="24" t="n">
        <v>45839</v>
      </c>
      <c r="D5497" s="24" t="n">
        <v>45868</v>
      </c>
      <c r="E5497" s="25">
        <f>+D5497-C5497+1</f>
        <v/>
      </c>
      <c r="F5497" s="319">
        <f>J5496</f>
        <v/>
      </c>
      <c r="G5497" s="319" t="n"/>
      <c r="H5497" s="319">
        <f>($D$5480/$D$5482*F5497)</f>
        <v/>
      </c>
      <c r="I5497" s="319">
        <f>G5497-H5497</f>
        <v/>
      </c>
      <c r="J5497" s="319">
        <f>F5497-I5497</f>
        <v/>
      </c>
    </row>
    <row r="5498">
      <c r="B5498" s="1">
        <f>+B5497+1</f>
        <v/>
      </c>
      <c r="C5498" s="24" t="n">
        <v>45870</v>
      </c>
      <c r="D5498" s="24" t="n">
        <v>45899</v>
      </c>
      <c r="E5498" s="25">
        <f>+D5498-C5498+1</f>
        <v/>
      </c>
      <c r="F5498" s="319">
        <f>J5497</f>
        <v/>
      </c>
      <c r="G5498" s="319" t="n"/>
      <c r="H5498" s="319">
        <f>($D$5480/$D$5482*F5498)</f>
        <v/>
      </c>
      <c r="I5498" s="319">
        <f>G5498-H5498</f>
        <v/>
      </c>
      <c r="J5498" s="319">
        <f>F5498-I5498</f>
        <v/>
      </c>
    </row>
    <row r="5499">
      <c r="B5499" s="1">
        <f>+B5498+1</f>
        <v/>
      </c>
      <c r="C5499" s="24" t="n">
        <v>45901</v>
      </c>
      <c r="D5499" s="24" t="n">
        <v>45930</v>
      </c>
      <c r="E5499" s="25">
        <f>+D5499-C5499+1</f>
        <v/>
      </c>
      <c r="F5499" s="319">
        <f>J5498</f>
        <v/>
      </c>
      <c r="G5499" s="319" t="n"/>
      <c r="H5499" s="319">
        <f>($D$5480/$D$5482*F5499)</f>
        <v/>
      </c>
      <c r="I5499" s="319">
        <f>G5499-H5499</f>
        <v/>
      </c>
      <c r="J5499" s="319">
        <f>F5499-I5499</f>
        <v/>
      </c>
    </row>
    <row r="5500">
      <c r="B5500" s="1">
        <f>+B5499+1</f>
        <v/>
      </c>
      <c r="C5500" s="24" t="n">
        <v>45931</v>
      </c>
      <c r="D5500" s="24" t="n">
        <v>45961</v>
      </c>
      <c r="E5500" s="25">
        <f>+D5500-C5500+1</f>
        <v/>
      </c>
      <c r="F5500" s="319">
        <f>J5499</f>
        <v/>
      </c>
      <c r="G5500" s="319">
        <f>-PMT($D$5480/$D$5482,48,$F$5500,,0)</f>
        <v/>
      </c>
      <c r="H5500" s="319">
        <f>($D$5480/$D$5482*F5500)</f>
        <v/>
      </c>
      <c r="I5500" s="319">
        <f>G5500-H5500</f>
        <v/>
      </c>
      <c r="J5500" s="319">
        <f>F5500-I5500</f>
        <v/>
      </c>
    </row>
    <row r="5501">
      <c r="B5501" s="1">
        <f>+B5500+1</f>
        <v/>
      </c>
      <c r="C5501" s="24" t="n">
        <v>45962</v>
      </c>
      <c r="D5501" s="24" t="n">
        <v>45991</v>
      </c>
      <c r="E5501" s="25">
        <f>+D5501-C5501+1</f>
        <v/>
      </c>
      <c r="F5501" s="319">
        <f>J5500</f>
        <v/>
      </c>
      <c r="G5501" s="319">
        <f>-PMT($D$5480/$D$5482,48,$F$5500,,0)</f>
        <v/>
      </c>
      <c r="H5501" s="319">
        <f>($D$5480/$D$5482*F5501)</f>
        <v/>
      </c>
      <c r="I5501" s="319">
        <f>G5501-H5501</f>
        <v/>
      </c>
      <c r="J5501" s="319">
        <f>F5501-I5501</f>
        <v/>
      </c>
    </row>
    <row r="5502">
      <c r="B5502" s="1">
        <f>+B5501+1</f>
        <v/>
      </c>
      <c r="C5502" s="24" t="n">
        <v>45992</v>
      </c>
      <c r="D5502" s="24" t="n">
        <v>46022</v>
      </c>
      <c r="E5502" s="25">
        <f>+D5502-C5502+1</f>
        <v/>
      </c>
      <c r="F5502" s="319">
        <f>J5501</f>
        <v/>
      </c>
      <c r="G5502" s="319">
        <f>-PMT($D$5480/$D$5482,48,$F$5500,,0)</f>
        <v/>
      </c>
      <c r="H5502" s="319">
        <f>($D$5480/$D$5482*F5502)</f>
        <v/>
      </c>
      <c r="I5502" s="319">
        <f>G5502-H5502</f>
        <v/>
      </c>
      <c r="J5502" s="319">
        <f>F5502-I5502</f>
        <v/>
      </c>
    </row>
    <row r="5503">
      <c r="B5503" s="1">
        <f>+B5502+1</f>
        <v/>
      </c>
      <c r="C5503" s="24" t="n">
        <v>46023</v>
      </c>
      <c r="D5503" s="24" t="n">
        <v>46053</v>
      </c>
      <c r="E5503" s="25">
        <f>+D5503-C5503+1</f>
        <v/>
      </c>
      <c r="F5503" s="319">
        <f>J5502</f>
        <v/>
      </c>
      <c r="G5503" s="319">
        <f>-PMT($D$5480/$D$5482,48,$F$5500,,0)</f>
        <v/>
      </c>
      <c r="H5503" s="319">
        <f>($D$5480/$D$5482*F5503)</f>
        <v/>
      </c>
      <c r="I5503" s="319">
        <f>G5503-H5503</f>
        <v/>
      </c>
      <c r="J5503" s="319">
        <f>F5503-I5503</f>
        <v/>
      </c>
    </row>
    <row r="5504">
      <c r="B5504" s="1">
        <f>+B5503+1</f>
        <v/>
      </c>
      <c r="C5504" s="24" t="n">
        <v>46054</v>
      </c>
      <c r="D5504" s="24" t="n">
        <v>46081</v>
      </c>
      <c r="E5504" s="25">
        <f>+D5504-C5504+1</f>
        <v/>
      </c>
      <c r="F5504" s="319">
        <f>J5503</f>
        <v/>
      </c>
      <c r="G5504" s="319">
        <f>-PMT($D$5480/$D$5482,48,$F$5500,,0)</f>
        <v/>
      </c>
      <c r="H5504" s="319">
        <f>($D$5480/$D$5482*F5504)</f>
        <v/>
      </c>
      <c r="I5504" s="319">
        <f>G5504-H5504</f>
        <v/>
      </c>
      <c r="J5504" s="319">
        <f>F5504-I5504</f>
        <v/>
      </c>
    </row>
    <row r="5505">
      <c r="B5505" s="1">
        <f>+B5504+1</f>
        <v/>
      </c>
      <c r="C5505" s="24" t="n">
        <v>46082</v>
      </c>
      <c r="D5505" s="24" t="n">
        <v>46112</v>
      </c>
      <c r="E5505" s="25">
        <f>+D5505-C5505+1</f>
        <v/>
      </c>
      <c r="F5505" s="319">
        <f>J5504</f>
        <v/>
      </c>
      <c r="G5505" s="319">
        <f>-PMT($D$5480/$D$5482,48,$F$5500,,0)</f>
        <v/>
      </c>
      <c r="H5505" s="319">
        <f>($D$5480/$D$5482*F5505)</f>
        <v/>
      </c>
      <c r="I5505" s="319">
        <f>G5505-H5505</f>
        <v/>
      </c>
      <c r="J5505" s="319">
        <f>F5505-I5505</f>
        <v/>
      </c>
    </row>
    <row r="5506">
      <c r="B5506" s="1">
        <f>+B5505+1</f>
        <v/>
      </c>
      <c r="C5506" s="24" t="n">
        <v>46113</v>
      </c>
      <c r="D5506" s="24" t="n">
        <v>46142</v>
      </c>
      <c r="E5506" s="25">
        <f>+D5506-C5506+1</f>
        <v/>
      </c>
      <c r="F5506" s="319">
        <f>J5505</f>
        <v/>
      </c>
      <c r="G5506" s="319">
        <f>-PMT($D$5480/$D$5482,48,$F$5500,,0)</f>
        <v/>
      </c>
      <c r="H5506" s="319">
        <f>($D$5480/$D$5482*F5506)</f>
        <v/>
      </c>
      <c r="I5506" s="319">
        <f>G5506-H5506</f>
        <v/>
      </c>
      <c r="J5506" s="319">
        <f>F5506-I5506</f>
        <v/>
      </c>
    </row>
    <row r="5507">
      <c r="B5507" s="1">
        <f>+B5506+1</f>
        <v/>
      </c>
      <c r="C5507" s="24" t="n">
        <v>46143</v>
      </c>
      <c r="D5507" s="24" t="n">
        <v>46173</v>
      </c>
      <c r="E5507" s="25">
        <f>+D5507-C5507+1</f>
        <v/>
      </c>
      <c r="F5507" s="319">
        <f>J5506</f>
        <v/>
      </c>
      <c r="G5507" s="319">
        <f>-PMT($D$5480/$D$5482,48,$F$5500,,0)</f>
        <v/>
      </c>
      <c r="H5507" s="319">
        <f>($D$5480/$D$5482*F5507)</f>
        <v/>
      </c>
      <c r="I5507" s="319">
        <f>G5507-H5507</f>
        <v/>
      </c>
      <c r="J5507" s="319">
        <f>F5507-I5507</f>
        <v/>
      </c>
    </row>
    <row r="5508">
      <c r="B5508" s="1">
        <f>+B5507+1</f>
        <v/>
      </c>
      <c r="C5508" s="24" t="n">
        <v>46174</v>
      </c>
      <c r="D5508" s="24" t="n">
        <v>46203</v>
      </c>
      <c r="E5508" s="25">
        <f>+D5508-C5508+1</f>
        <v/>
      </c>
      <c r="F5508" s="319">
        <f>J5507</f>
        <v/>
      </c>
      <c r="G5508" s="319">
        <f>-PMT($D$5480/$D$5482,48,$F$5500,,0)</f>
        <v/>
      </c>
      <c r="H5508" s="319">
        <f>($D$5480/$D$5482*F5508)</f>
        <v/>
      </c>
      <c r="I5508" s="319">
        <f>G5508-H5508</f>
        <v/>
      </c>
      <c r="J5508" s="319">
        <f>F5508-I5508</f>
        <v/>
      </c>
    </row>
    <row r="5509">
      <c r="B5509" s="1">
        <f>+B5508+1</f>
        <v/>
      </c>
      <c r="C5509" s="24" t="n">
        <v>46204</v>
      </c>
      <c r="D5509" s="24" t="n">
        <v>46234</v>
      </c>
      <c r="E5509" s="25">
        <f>+D5509-C5509+1</f>
        <v/>
      </c>
      <c r="F5509" s="319">
        <f>J5508</f>
        <v/>
      </c>
      <c r="G5509" s="319">
        <f>-PMT($D$5480/$D$5482,48,$F$5500,,0)</f>
        <v/>
      </c>
      <c r="H5509" s="319">
        <f>($D$5480/$D$5482*F5509)</f>
        <v/>
      </c>
      <c r="I5509" s="319">
        <f>G5509-H5509</f>
        <v/>
      </c>
      <c r="J5509" s="319">
        <f>F5509-I5509</f>
        <v/>
      </c>
    </row>
    <row r="5510">
      <c r="B5510" s="1">
        <f>+B5509+1</f>
        <v/>
      </c>
      <c r="C5510" s="24" t="n">
        <v>46235</v>
      </c>
      <c r="D5510" s="24" t="n">
        <v>46265</v>
      </c>
      <c r="E5510" s="25">
        <f>+D5510-C5510+1</f>
        <v/>
      </c>
      <c r="F5510" s="319">
        <f>J5509</f>
        <v/>
      </c>
      <c r="G5510" s="319">
        <f>-PMT($D$5480/$D$5482,48,$F$5500,,0)</f>
        <v/>
      </c>
      <c r="H5510" s="319">
        <f>($D$5480/$D$5482*F5510)</f>
        <v/>
      </c>
      <c r="I5510" s="319">
        <f>G5510-H5510</f>
        <v/>
      </c>
      <c r="J5510" s="319">
        <f>F5510-I5510</f>
        <v/>
      </c>
    </row>
    <row r="5511">
      <c r="B5511" s="1">
        <f>+B5510+1</f>
        <v/>
      </c>
      <c r="C5511" s="24" t="n">
        <v>46266</v>
      </c>
      <c r="D5511" s="24" t="n">
        <v>46295</v>
      </c>
      <c r="E5511" s="25">
        <f>+D5511-C5511+1</f>
        <v/>
      </c>
      <c r="F5511" s="319">
        <f>J5510</f>
        <v/>
      </c>
      <c r="G5511" s="319">
        <f>-PMT($D$5480/$D$5482,48,$F$5500,,0)</f>
        <v/>
      </c>
      <c r="H5511" s="319">
        <f>($D$5480/$D$5482*F5511)</f>
        <v/>
      </c>
      <c r="I5511" s="319">
        <f>G5511-H5511</f>
        <v/>
      </c>
      <c r="J5511" s="319">
        <f>F5511-I5511</f>
        <v/>
      </c>
    </row>
    <row r="5512">
      <c r="B5512" s="1">
        <f>+B5511+1</f>
        <v/>
      </c>
      <c r="C5512" s="24" t="n">
        <v>46296</v>
      </c>
      <c r="D5512" s="24" t="n">
        <v>46326</v>
      </c>
      <c r="E5512" s="25">
        <f>+D5512-C5512+1</f>
        <v/>
      </c>
      <c r="F5512" s="319">
        <f>J5511</f>
        <v/>
      </c>
      <c r="G5512" s="319">
        <f>-PMT($D$5480/$D$5482,48,$F$5500,,0)</f>
        <v/>
      </c>
      <c r="H5512" s="319">
        <f>($D$5480/$D$5482*F5512)</f>
        <v/>
      </c>
      <c r="I5512" s="319">
        <f>G5512-H5512</f>
        <v/>
      </c>
      <c r="J5512" s="319">
        <f>F5512-I5512</f>
        <v/>
      </c>
    </row>
    <row r="5513">
      <c r="B5513" s="1">
        <f>+B5512+1</f>
        <v/>
      </c>
      <c r="C5513" s="24" t="n">
        <v>46327</v>
      </c>
      <c r="D5513" s="24" t="n">
        <v>46356</v>
      </c>
      <c r="E5513" s="25">
        <f>+D5513-C5513+1</f>
        <v/>
      </c>
      <c r="F5513" s="319">
        <f>J5512</f>
        <v/>
      </c>
      <c r="G5513" s="319">
        <f>-PMT($D$5480/$D$5482,48,$F$5500,,0)</f>
        <v/>
      </c>
      <c r="H5513" s="319">
        <f>($D$5480/$D$5482*F5513)</f>
        <v/>
      </c>
      <c r="I5513" s="319">
        <f>G5513-H5513</f>
        <v/>
      </c>
      <c r="J5513" s="319">
        <f>F5513-I5513</f>
        <v/>
      </c>
    </row>
    <row r="5514">
      <c r="B5514" s="1">
        <f>+B5513+1</f>
        <v/>
      </c>
      <c r="C5514" s="24" t="n">
        <v>46357</v>
      </c>
      <c r="D5514" s="24" t="n">
        <v>46387</v>
      </c>
      <c r="E5514" s="25">
        <f>+D5514-C5514+1</f>
        <v/>
      </c>
      <c r="F5514" s="319">
        <f>J5513</f>
        <v/>
      </c>
      <c r="G5514" s="319">
        <f>-PMT($D$5480/$D$5482,48,$F$5500,,0)</f>
        <v/>
      </c>
      <c r="H5514" s="319">
        <f>($D$5480/$D$5482*F5514)</f>
        <v/>
      </c>
      <c r="I5514" s="319">
        <f>G5514-H5514</f>
        <v/>
      </c>
      <c r="J5514" s="319">
        <f>F5514-I5514</f>
        <v/>
      </c>
    </row>
    <row r="5515">
      <c r="B5515" s="1">
        <f>+B5514+1</f>
        <v/>
      </c>
      <c r="C5515" s="24" t="n">
        <v>46388</v>
      </c>
      <c r="D5515" s="24" t="n">
        <v>46418</v>
      </c>
      <c r="E5515" s="25">
        <f>+D5515-C5515+1</f>
        <v/>
      </c>
      <c r="F5515" s="319">
        <f>J5514</f>
        <v/>
      </c>
      <c r="G5515" s="319">
        <f>-PMT($D$5480/$D$5482,48,$F$5500,,0)</f>
        <v/>
      </c>
      <c r="H5515" s="319">
        <f>($D$5480/$D$5482*F5515)</f>
        <v/>
      </c>
      <c r="I5515" s="319">
        <f>G5515-H5515</f>
        <v/>
      </c>
      <c r="J5515" s="319">
        <f>F5515-I5515</f>
        <v/>
      </c>
    </row>
    <row r="5516">
      <c r="B5516" s="1">
        <f>+B5515+1</f>
        <v/>
      </c>
      <c r="C5516" s="24" t="n">
        <v>46419</v>
      </c>
      <c r="D5516" s="24" t="n">
        <v>46446</v>
      </c>
      <c r="E5516" s="25">
        <f>+D5516-C5516+1</f>
        <v/>
      </c>
      <c r="F5516" s="319">
        <f>J5515</f>
        <v/>
      </c>
      <c r="G5516" s="319">
        <f>-PMT($D$5480/$D$5482,48,$F$5500,,0)</f>
        <v/>
      </c>
      <c r="H5516" s="319">
        <f>($D$5480/$D$5482*F5516)</f>
        <v/>
      </c>
      <c r="I5516" s="319">
        <f>G5516-H5516</f>
        <v/>
      </c>
      <c r="J5516" s="319">
        <f>F5516-I5516</f>
        <v/>
      </c>
    </row>
    <row r="5517">
      <c r="B5517" s="1">
        <f>+B5516+1</f>
        <v/>
      </c>
      <c r="C5517" s="24" t="n">
        <v>46447</v>
      </c>
      <c r="D5517" s="24" t="n">
        <v>46477</v>
      </c>
      <c r="E5517" s="25">
        <f>+D5517-C5517+1</f>
        <v/>
      </c>
      <c r="F5517" s="319">
        <f>J5516</f>
        <v/>
      </c>
      <c r="G5517" s="319">
        <f>-PMT($D$5480/$D$5482,48,$F$5500,,0)</f>
        <v/>
      </c>
      <c r="H5517" s="319">
        <f>($D$5480/$D$5482*F5517)</f>
        <v/>
      </c>
      <c r="I5517" s="319">
        <f>G5517-H5517</f>
        <v/>
      </c>
      <c r="J5517" s="319">
        <f>F5517-I5517</f>
        <v/>
      </c>
    </row>
    <row r="5518">
      <c r="B5518" s="1">
        <f>+B5517+1</f>
        <v/>
      </c>
      <c r="C5518" s="24" t="n">
        <v>46478</v>
      </c>
      <c r="D5518" s="24" t="n">
        <v>46507</v>
      </c>
      <c r="E5518" s="25">
        <f>+D5518-C5518+1</f>
        <v/>
      </c>
      <c r="F5518" s="319">
        <f>J5517</f>
        <v/>
      </c>
      <c r="G5518" s="319">
        <f>-PMT($D$5480/$D$5482,48,$F$5500,,0)</f>
        <v/>
      </c>
      <c r="H5518" s="319">
        <f>($D$5480/$D$5482*F5518)</f>
        <v/>
      </c>
      <c r="I5518" s="319">
        <f>G5518-H5518</f>
        <v/>
      </c>
      <c r="J5518" s="319">
        <f>F5518-I5518</f>
        <v/>
      </c>
    </row>
    <row r="5519">
      <c r="B5519" s="1">
        <f>+B5518+1</f>
        <v/>
      </c>
      <c r="C5519" s="24" t="n">
        <v>46508</v>
      </c>
      <c r="D5519" s="24" t="n">
        <v>46538</v>
      </c>
      <c r="E5519" s="25">
        <f>+D5519-C5519+1</f>
        <v/>
      </c>
      <c r="F5519" s="319">
        <f>J5518</f>
        <v/>
      </c>
      <c r="G5519" s="319">
        <f>-PMT($D$5480/$D$5482,48,$F$5500,,0)</f>
        <v/>
      </c>
      <c r="H5519" s="319">
        <f>($D$5480/$D$5482*F5519)</f>
        <v/>
      </c>
      <c r="I5519" s="319">
        <f>G5519-H5519</f>
        <v/>
      </c>
      <c r="J5519" s="319">
        <f>F5519-I5519</f>
        <v/>
      </c>
    </row>
    <row r="5520">
      <c r="B5520" s="1">
        <f>+B5519+1</f>
        <v/>
      </c>
      <c r="C5520" s="24" t="n">
        <v>46539</v>
      </c>
      <c r="D5520" s="24" t="n">
        <v>46568</v>
      </c>
      <c r="E5520" s="25">
        <f>+D5520-C5520+1</f>
        <v/>
      </c>
      <c r="F5520" s="319">
        <f>J5519</f>
        <v/>
      </c>
      <c r="G5520" s="319">
        <f>-PMT($D$5480/$D$5482,48,$F$5500,,0)</f>
        <v/>
      </c>
      <c r="H5520" s="319">
        <f>($D$5480/$D$5482*F5520)</f>
        <v/>
      </c>
      <c r="I5520" s="319">
        <f>G5520-H5520</f>
        <v/>
      </c>
      <c r="J5520" s="319">
        <f>F5520-I5520</f>
        <v/>
      </c>
    </row>
    <row r="5521">
      <c r="B5521" s="1">
        <f>+B5520+1</f>
        <v/>
      </c>
      <c r="C5521" s="24" t="n">
        <v>46569</v>
      </c>
      <c r="D5521" s="24" t="n">
        <v>46599</v>
      </c>
      <c r="E5521" s="25">
        <f>+D5521-C5521+1</f>
        <v/>
      </c>
      <c r="F5521" s="319">
        <f>J5520</f>
        <v/>
      </c>
      <c r="G5521" s="319">
        <f>-PMT($D$5480/$D$5482,48,$F$5500,,0)</f>
        <v/>
      </c>
      <c r="H5521" s="319">
        <f>($D$5480/$D$5482*F5521)</f>
        <v/>
      </c>
      <c r="I5521" s="319">
        <f>G5521-H5521</f>
        <v/>
      </c>
      <c r="J5521" s="319">
        <f>F5521-I5521</f>
        <v/>
      </c>
    </row>
    <row r="5522">
      <c r="B5522" s="1">
        <f>+B5521+1</f>
        <v/>
      </c>
      <c r="C5522" s="24" t="n">
        <v>46600</v>
      </c>
      <c r="D5522" s="24" t="n">
        <v>46630</v>
      </c>
      <c r="E5522" s="25">
        <f>+D5522-C5522+1</f>
        <v/>
      </c>
      <c r="F5522" s="319">
        <f>J5521</f>
        <v/>
      </c>
      <c r="G5522" s="319">
        <f>-PMT($D$5480/$D$5482,48,$F$5500,,0)</f>
        <v/>
      </c>
      <c r="H5522" s="319">
        <f>($D$5480/$D$5482*F5522)</f>
        <v/>
      </c>
      <c r="I5522" s="319">
        <f>G5522-H5522</f>
        <v/>
      </c>
      <c r="J5522" s="319">
        <f>F5522-I5522</f>
        <v/>
      </c>
    </row>
    <row r="5523">
      <c r="B5523" s="1">
        <f>+B5522+1</f>
        <v/>
      </c>
      <c r="C5523" s="24" t="n">
        <v>46631</v>
      </c>
      <c r="D5523" s="24" t="n">
        <v>46660</v>
      </c>
      <c r="E5523" s="25">
        <f>+D5523-C5523+1</f>
        <v/>
      </c>
      <c r="F5523" s="319">
        <f>J5522</f>
        <v/>
      </c>
      <c r="G5523" s="319">
        <f>-PMT($D$5480/$D$5482,48,$F$5500,,0)</f>
        <v/>
      </c>
      <c r="H5523" s="319">
        <f>($D$5480/$D$5482*F5523)</f>
        <v/>
      </c>
      <c r="I5523" s="319">
        <f>G5523-H5523</f>
        <v/>
      </c>
      <c r="J5523" s="319">
        <f>F5523-I5523</f>
        <v/>
      </c>
    </row>
    <row r="5524">
      <c r="B5524" s="1">
        <f>+B5523+1</f>
        <v/>
      </c>
      <c r="C5524" s="24" t="n">
        <v>46661</v>
      </c>
      <c r="D5524" s="24" t="n">
        <v>46691</v>
      </c>
      <c r="E5524" s="25">
        <f>+D5524-C5524+1</f>
        <v/>
      </c>
      <c r="F5524" s="319">
        <f>J5523</f>
        <v/>
      </c>
      <c r="G5524" s="319">
        <f>-PMT($D$5480/$D$5482,48,$F$5500,,0)</f>
        <v/>
      </c>
      <c r="H5524" s="319">
        <f>($D$5480/$D$5482*F5524)</f>
        <v/>
      </c>
      <c r="I5524" s="319">
        <f>G5524-H5524</f>
        <v/>
      </c>
      <c r="J5524" s="319">
        <f>F5524-I5524</f>
        <v/>
      </c>
    </row>
    <row r="5525">
      <c r="B5525" s="1">
        <f>+B5524+1</f>
        <v/>
      </c>
      <c r="C5525" s="24" t="n">
        <v>46692</v>
      </c>
      <c r="D5525" s="24" t="n">
        <v>46721</v>
      </c>
      <c r="E5525" s="25">
        <f>+D5525-C5525+1</f>
        <v/>
      </c>
      <c r="F5525" s="319">
        <f>J5524</f>
        <v/>
      </c>
      <c r="G5525" s="319">
        <f>-PMT($D$5480/$D$5482,48,$F$5500,,0)</f>
        <v/>
      </c>
      <c r="H5525" s="319">
        <f>($D$5480/$D$5482*F5525)</f>
        <v/>
      </c>
      <c r="I5525" s="319">
        <f>G5525-H5525</f>
        <v/>
      </c>
      <c r="J5525" s="319">
        <f>F5525-I5525</f>
        <v/>
      </c>
    </row>
    <row r="5526">
      <c r="B5526" s="1">
        <f>+B5525+1</f>
        <v/>
      </c>
      <c r="C5526" s="24" t="n">
        <v>46722</v>
      </c>
      <c r="D5526" s="24" t="n">
        <v>46752</v>
      </c>
      <c r="E5526" s="25">
        <f>+D5526-C5526+1</f>
        <v/>
      </c>
      <c r="F5526" s="319">
        <f>J5525</f>
        <v/>
      </c>
      <c r="G5526" s="319">
        <f>-PMT($D$5480/$D$5482,48,$F$5500,,0)</f>
        <v/>
      </c>
      <c r="H5526" s="319">
        <f>($D$5480/$D$5482*F5526)</f>
        <v/>
      </c>
      <c r="I5526" s="319">
        <f>G5526-H5526</f>
        <v/>
      </c>
      <c r="J5526" s="319">
        <f>F5526-I5526</f>
        <v/>
      </c>
    </row>
    <row r="5527">
      <c r="B5527" s="1">
        <f>+B5526+1</f>
        <v/>
      </c>
      <c r="C5527" s="24" t="n">
        <v>46753</v>
      </c>
      <c r="D5527" s="24" t="n">
        <v>46783</v>
      </c>
      <c r="E5527" s="25">
        <f>+D5527-C5527+1</f>
        <v/>
      </c>
      <c r="F5527" s="319">
        <f>J5526</f>
        <v/>
      </c>
      <c r="G5527" s="319">
        <f>-PMT($D$5480/$D$5482,48,$F$5500,,0)</f>
        <v/>
      </c>
      <c r="H5527" s="319">
        <f>($D$5480/$D$5482*F5527)</f>
        <v/>
      </c>
      <c r="I5527" s="319">
        <f>G5527-H5527</f>
        <v/>
      </c>
      <c r="J5527" s="319">
        <f>F5527-I5527</f>
        <v/>
      </c>
    </row>
    <row r="5528">
      <c r="B5528" s="1">
        <f>+B5527+1</f>
        <v/>
      </c>
      <c r="C5528" s="24" t="n">
        <v>46784</v>
      </c>
      <c r="D5528" s="24" t="n">
        <v>46812</v>
      </c>
      <c r="E5528" s="25">
        <f>+D5528-C5528+1</f>
        <v/>
      </c>
      <c r="F5528" s="319">
        <f>J5527</f>
        <v/>
      </c>
      <c r="G5528" s="319">
        <f>-PMT($D$5480/$D$5482,48,$F$5500,,0)</f>
        <v/>
      </c>
      <c r="H5528" s="319">
        <f>($D$5480/$D$5482*F5528)</f>
        <v/>
      </c>
      <c r="I5528" s="319">
        <f>G5528-H5528</f>
        <v/>
      </c>
      <c r="J5528" s="319">
        <f>F5528-I5528</f>
        <v/>
      </c>
    </row>
    <row r="5529">
      <c r="B5529" s="1">
        <f>+B5528+1</f>
        <v/>
      </c>
      <c r="C5529" s="24" t="n">
        <v>46813</v>
      </c>
      <c r="D5529" s="24" t="n">
        <v>46843</v>
      </c>
      <c r="E5529" s="25">
        <f>+D5529-C5529+1</f>
        <v/>
      </c>
      <c r="F5529" s="319">
        <f>J5528</f>
        <v/>
      </c>
      <c r="G5529" s="319">
        <f>-PMT($D$5480/$D$5482,48,$F$5500,,0)</f>
        <v/>
      </c>
      <c r="H5529" s="319">
        <f>($D$5480/$D$5482*F5529)</f>
        <v/>
      </c>
      <c r="I5529" s="319">
        <f>G5529-H5529</f>
        <v/>
      </c>
      <c r="J5529" s="319">
        <f>F5529-I5529</f>
        <v/>
      </c>
    </row>
    <row r="5530">
      <c r="B5530" s="1">
        <f>+B5529+1</f>
        <v/>
      </c>
      <c r="C5530" s="24" t="n">
        <v>46844</v>
      </c>
      <c r="D5530" s="24" t="n">
        <v>46873</v>
      </c>
      <c r="E5530" s="25">
        <f>+D5530-C5530+1</f>
        <v/>
      </c>
      <c r="F5530" s="319">
        <f>J5529</f>
        <v/>
      </c>
      <c r="G5530" s="319">
        <f>-PMT($D$5480/$D$5482,48,$F$5500,,0)</f>
        <v/>
      </c>
      <c r="H5530" s="319">
        <f>($D$5480/$D$5482*F5530)</f>
        <v/>
      </c>
      <c r="I5530" s="319">
        <f>G5530-H5530</f>
        <v/>
      </c>
      <c r="J5530" s="319">
        <f>F5530-I5530</f>
        <v/>
      </c>
    </row>
    <row r="5531">
      <c r="B5531" s="1">
        <f>+B5530+1</f>
        <v/>
      </c>
      <c r="C5531" s="24" t="n">
        <v>46874</v>
      </c>
      <c r="D5531" s="24" t="n">
        <v>46904</v>
      </c>
      <c r="E5531" s="25">
        <f>+D5531-C5531+1</f>
        <v/>
      </c>
      <c r="F5531" s="319">
        <f>J5530</f>
        <v/>
      </c>
      <c r="G5531" s="319">
        <f>-PMT($D$5480/$D$5482,48,$F$5500,,0)</f>
        <v/>
      </c>
      <c r="H5531" s="319">
        <f>($D$5480/$D$5482*F5531)</f>
        <v/>
      </c>
      <c r="I5531" s="319">
        <f>G5531-H5531</f>
        <v/>
      </c>
      <c r="J5531" s="319">
        <f>F5531-I5531</f>
        <v/>
      </c>
    </row>
    <row r="5532">
      <c r="B5532" s="1">
        <f>+B5531+1</f>
        <v/>
      </c>
      <c r="C5532" s="24" t="n">
        <v>46905</v>
      </c>
      <c r="D5532" s="24" t="n">
        <v>46934</v>
      </c>
      <c r="E5532" s="25">
        <f>+D5532-C5532+1</f>
        <v/>
      </c>
      <c r="F5532" s="319">
        <f>J5531</f>
        <v/>
      </c>
      <c r="G5532" s="319">
        <f>-PMT($D$5480/$D$5482,48,$F$5500,,0)</f>
        <v/>
      </c>
      <c r="H5532" s="319">
        <f>($D$5480/$D$5482*F5532)</f>
        <v/>
      </c>
      <c r="I5532" s="319">
        <f>G5532-H5532</f>
        <v/>
      </c>
      <c r="J5532" s="319">
        <f>F5532-I5532</f>
        <v/>
      </c>
    </row>
    <row r="5533">
      <c r="B5533" s="1">
        <f>+B5532+1</f>
        <v/>
      </c>
      <c r="C5533" s="24" t="n">
        <v>46844</v>
      </c>
      <c r="D5533" s="24" t="n">
        <v>46873</v>
      </c>
      <c r="E5533" s="25">
        <f>+D5533-C5533+1</f>
        <v/>
      </c>
      <c r="F5533" s="319">
        <f>J5532</f>
        <v/>
      </c>
      <c r="G5533" s="319">
        <f>-PMT($D$5480/$D$5482,48,$F$5500,,0)</f>
        <v/>
      </c>
      <c r="H5533" s="319">
        <f>($D$5480/$D$5482*F5533)</f>
        <v/>
      </c>
      <c r="I5533" s="319">
        <f>G5533-H5533</f>
        <v/>
      </c>
      <c r="J5533" s="319">
        <f>F5533-I5533</f>
        <v/>
      </c>
    </row>
    <row r="5534">
      <c r="B5534" s="1">
        <f>+B5533+1</f>
        <v/>
      </c>
      <c r="C5534" s="24" t="n">
        <v>46874</v>
      </c>
      <c r="D5534" s="24" t="n">
        <v>46904</v>
      </c>
      <c r="E5534" s="25">
        <f>+D5534-C5534+1</f>
        <v/>
      </c>
      <c r="F5534" s="319">
        <f>J5533</f>
        <v/>
      </c>
      <c r="G5534" s="319">
        <f>-PMT($D$5480/$D$5482,48,$F$5500,,0)</f>
        <v/>
      </c>
      <c r="H5534" s="319">
        <f>($D$5480/$D$5482*F5534)</f>
        <v/>
      </c>
      <c r="I5534" s="319">
        <f>G5534-H5534</f>
        <v/>
      </c>
      <c r="J5534" s="319">
        <f>F5534-I5534</f>
        <v/>
      </c>
    </row>
    <row r="5535">
      <c r="B5535" s="1">
        <f>+B5534+1</f>
        <v/>
      </c>
      <c r="C5535" s="24" t="n">
        <v>46905</v>
      </c>
      <c r="D5535" s="24" t="n">
        <v>46934</v>
      </c>
      <c r="E5535" s="25">
        <f>+D5535-C5535+1</f>
        <v/>
      </c>
      <c r="F5535" s="319">
        <f>J5534</f>
        <v/>
      </c>
      <c r="G5535" s="319">
        <f>-PMT($D$5480/$D$5482,48,$F$5500,,0)</f>
        <v/>
      </c>
      <c r="H5535" s="319">
        <f>($D$5480/$D$5482*F5535)</f>
        <v/>
      </c>
      <c r="I5535" s="319">
        <f>G5535-H5535</f>
        <v/>
      </c>
      <c r="J5535" s="319">
        <f>F5535-I5535</f>
        <v/>
      </c>
    </row>
    <row r="5536">
      <c r="B5536" s="1">
        <f>+B5535+1</f>
        <v/>
      </c>
      <c r="C5536" s="24" t="n">
        <v>46935</v>
      </c>
      <c r="D5536" s="24" t="n">
        <v>46965</v>
      </c>
      <c r="E5536" s="25">
        <f>+D5536-C5536+1</f>
        <v/>
      </c>
      <c r="F5536" s="319">
        <f>J5535</f>
        <v/>
      </c>
      <c r="G5536" s="319">
        <f>-PMT($D$5480/$D$5482,48,$F$5500,,0)</f>
        <v/>
      </c>
      <c r="H5536" s="319">
        <f>($D$5480/$D$5482*F5536)</f>
        <v/>
      </c>
      <c r="I5536" s="319">
        <f>G5536-H5536</f>
        <v/>
      </c>
      <c r="J5536" s="319">
        <f>F5536-I5536</f>
        <v/>
      </c>
    </row>
    <row r="5537">
      <c r="B5537" s="1">
        <f>+B5536+1</f>
        <v/>
      </c>
      <c r="C5537" s="24" t="n">
        <v>46966</v>
      </c>
      <c r="D5537" s="24" t="n">
        <v>46996</v>
      </c>
      <c r="E5537" s="25">
        <f>+D5537-C5537+1</f>
        <v/>
      </c>
      <c r="F5537" s="319">
        <f>J5536</f>
        <v/>
      </c>
      <c r="G5537" s="319">
        <f>-PMT($D$5480/$D$5482,48,$F$5500,,0)</f>
        <v/>
      </c>
      <c r="H5537" s="319">
        <f>($D$5480/$D$5482*F5537)</f>
        <v/>
      </c>
      <c r="I5537" s="319">
        <f>G5537-H5537</f>
        <v/>
      </c>
      <c r="J5537" s="319">
        <f>F5537-I5537</f>
        <v/>
      </c>
    </row>
    <row r="5538">
      <c r="B5538" s="1">
        <f>+B5537+1</f>
        <v/>
      </c>
      <c r="C5538" s="24" t="n">
        <v>46997</v>
      </c>
      <c r="D5538" s="24" t="n">
        <v>47026</v>
      </c>
      <c r="E5538" s="25">
        <f>+D5538-C5538+1</f>
        <v/>
      </c>
      <c r="F5538" s="319">
        <f>J5537</f>
        <v/>
      </c>
      <c r="G5538" s="319">
        <f>-PMT($D$5480/$D$5482,48,$F$5500,,0)</f>
        <v/>
      </c>
      <c r="H5538" s="319">
        <f>($D$5480/$D$5482*F5538)</f>
        <v/>
      </c>
      <c r="I5538" s="319">
        <f>G5538-H5538</f>
        <v/>
      </c>
      <c r="J5538" s="319">
        <f>F5538-I5538</f>
        <v/>
      </c>
    </row>
    <row r="5539">
      <c r="B5539" s="1">
        <f>+B5538+1</f>
        <v/>
      </c>
      <c r="C5539" s="24" t="n">
        <v>47027</v>
      </c>
      <c r="D5539" s="24" t="n">
        <v>47057</v>
      </c>
      <c r="E5539" s="25">
        <f>+D5539-C5539+1</f>
        <v/>
      </c>
      <c r="F5539" s="319">
        <f>J5538</f>
        <v/>
      </c>
      <c r="G5539" s="319">
        <f>-PMT($D$5480/$D$5482,48,$F$5500,,0)</f>
        <v/>
      </c>
      <c r="H5539" s="319">
        <f>($D$5480/$D$5482*F5539)</f>
        <v/>
      </c>
      <c r="I5539" s="319">
        <f>G5539-H5539</f>
        <v/>
      </c>
      <c r="J5539" s="319">
        <f>F5539-I5539</f>
        <v/>
      </c>
    </row>
    <row r="5540">
      <c r="B5540" s="1">
        <f>+B5539+1</f>
        <v/>
      </c>
      <c r="C5540" s="24" t="n">
        <v>47058</v>
      </c>
      <c r="D5540" s="24" t="n">
        <v>47087</v>
      </c>
      <c r="E5540" s="25">
        <f>+D5540-C5540+1</f>
        <v/>
      </c>
      <c r="F5540" s="319">
        <f>J5539</f>
        <v/>
      </c>
      <c r="G5540" s="319">
        <f>-PMT($D$5480/$D$5482,48,$F$5500,,0)</f>
        <v/>
      </c>
      <c r="H5540" s="319">
        <f>($D$5480/$D$5482*F5540)</f>
        <v/>
      </c>
      <c r="I5540" s="319">
        <f>G5540-H5540</f>
        <v/>
      </c>
      <c r="J5540" s="319">
        <f>F5540-I5540</f>
        <v/>
      </c>
    </row>
    <row r="5541">
      <c r="B5541" s="1">
        <f>+B5540+1</f>
        <v/>
      </c>
      <c r="C5541" s="24" t="n">
        <v>47088</v>
      </c>
      <c r="D5541" s="24" t="n">
        <v>47118</v>
      </c>
      <c r="E5541" s="25">
        <f>+D5541-C5541+1</f>
        <v/>
      </c>
      <c r="F5541" s="319">
        <f>J5540</f>
        <v/>
      </c>
      <c r="G5541" s="319">
        <f>-PMT($D$5480/$D$5482,48,$F$5500,,0)</f>
        <v/>
      </c>
      <c r="H5541" s="319">
        <f>($D$5480/$D$5482*F5541)</f>
        <v/>
      </c>
      <c r="I5541" s="319">
        <f>G5541-H5541</f>
        <v/>
      </c>
      <c r="J5541" s="319">
        <f>F5541-I5541</f>
        <v/>
      </c>
    </row>
    <row r="5542">
      <c r="B5542" s="1">
        <f>+B5541+1</f>
        <v/>
      </c>
      <c r="C5542" s="24" t="n">
        <v>47119</v>
      </c>
      <c r="D5542" s="24" t="n">
        <v>47149</v>
      </c>
      <c r="E5542" s="25">
        <f>+D5542-C5542+1</f>
        <v/>
      </c>
      <c r="F5542" s="319">
        <f>J5541</f>
        <v/>
      </c>
      <c r="G5542" s="319">
        <f>-PMT($D$5480/$D$5482,48,$F$5500,,0)</f>
        <v/>
      </c>
      <c r="H5542" s="319">
        <f>($D$5480/$D$5482*F5542)</f>
        <v/>
      </c>
      <c r="I5542" s="319">
        <f>G5542-H5542</f>
        <v/>
      </c>
      <c r="J5542" s="319">
        <f>F5542-I5542</f>
        <v/>
      </c>
    </row>
    <row r="5543">
      <c r="B5543" s="1">
        <f>+B5542+1</f>
        <v/>
      </c>
      <c r="C5543" s="24" t="n">
        <v>47150</v>
      </c>
      <c r="D5543" s="24" t="n">
        <v>47177</v>
      </c>
      <c r="E5543" s="25">
        <f>+D5543-C5543+1</f>
        <v/>
      </c>
      <c r="F5543" s="319">
        <f>J5542</f>
        <v/>
      </c>
      <c r="G5543" s="319">
        <f>-PMT($D$5480/$D$5482,48,$F$5500,,0)</f>
        <v/>
      </c>
      <c r="H5543" s="319">
        <f>($D$5480/$D$5482*F5543)</f>
        <v/>
      </c>
      <c r="I5543" s="319">
        <f>G5543-H5543</f>
        <v/>
      </c>
      <c r="J5543" s="319">
        <f>F5543-I5543</f>
        <v/>
      </c>
    </row>
    <row r="5544">
      <c r="B5544" s="1">
        <f>+B5543+1</f>
        <v/>
      </c>
      <c r="C5544" s="24" t="n">
        <v>47178</v>
      </c>
      <c r="D5544" s="24" t="n">
        <v>47208</v>
      </c>
      <c r="E5544" s="25">
        <f>+D5544-C5544+1</f>
        <v/>
      </c>
      <c r="F5544" s="319">
        <f>J5543</f>
        <v/>
      </c>
      <c r="G5544" s="319">
        <f>-PMT($D$5480/$D$5482,48,$F$5500,,0)</f>
        <v/>
      </c>
      <c r="H5544" s="319">
        <f>($D$5480/$D$5482*F5544)</f>
        <v/>
      </c>
      <c r="I5544" s="319">
        <f>G5544-H5544</f>
        <v/>
      </c>
      <c r="J5544" s="319">
        <f>F5544-I5544</f>
        <v/>
      </c>
    </row>
    <row r="5545">
      <c r="B5545" s="1">
        <f>+B5544+1</f>
        <v/>
      </c>
      <c r="C5545" s="24" t="n">
        <v>47209</v>
      </c>
      <c r="D5545" s="24" t="n">
        <v>47238</v>
      </c>
      <c r="E5545" s="25">
        <f>+D5545-C5545+1</f>
        <v/>
      </c>
      <c r="F5545" s="319">
        <f>J5544</f>
        <v/>
      </c>
      <c r="G5545" s="319">
        <f>-PMT($D$5480/$D$5482,48,$F$5500,,0)</f>
        <v/>
      </c>
      <c r="H5545" s="319">
        <f>($D$5480/$D$5482*F5545)</f>
        <v/>
      </c>
      <c r="I5545" s="319">
        <f>G5545-H5545</f>
        <v/>
      </c>
      <c r="J5545" s="319">
        <f>F5545-I5545</f>
        <v/>
      </c>
    </row>
    <row r="5546">
      <c r="B5546" s="1">
        <f>+B5545+1</f>
        <v/>
      </c>
      <c r="C5546" s="24" t="n">
        <v>47239</v>
      </c>
      <c r="D5546" s="24" t="n">
        <v>47269</v>
      </c>
      <c r="E5546" s="25">
        <f>+D5546-C5546+1</f>
        <v/>
      </c>
      <c r="F5546" s="319">
        <f>J5545</f>
        <v/>
      </c>
      <c r="G5546" s="319">
        <f>-PMT($D$5480/$D$5482,48,$F$5500,,0)</f>
        <v/>
      </c>
      <c r="H5546" s="319">
        <f>($D$5480/$D$5482*F5546)</f>
        <v/>
      </c>
      <c r="I5546" s="319">
        <f>G5546-H5546</f>
        <v/>
      </c>
      <c r="J5546" s="319">
        <f>F5546-I5546</f>
        <v/>
      </c>
    </row>
    <row r="5547">
      <c r="B5547" s="1">
        <f>+B5546+1</f>
        <v/>
      </c>
      <c r="C5547" s="24" t="n">
        <v>47270</v>
      </c>
      <c r="D5547" s="24" t="n">
        <v>47299</v>
      </c>
      <c r="E5547" s="25">
        <f>+D5547-C5547+1</f>
        <v/>
      </c>
      <c r="F5547" s="319">
        <f>J5546</f>
        <v/>
      </c>
      <c r="G5547" s="319">
        <f>-PMT($D$5480/$D$5482,48,$F$5500,,0)</f>
        <v/>
      </c>
      <c r="H5547" s="319">
        <f>($D$5480/$D$5482*F5547)</f>
        <v/>
      </c>
      <c r="I5547" s="319">
        <f>G5547-H5547</f>
        <v/>
      </c>
      <c r="J5547" s="319">
        <f>F5547-I5547</f>
        <v/>
      </c>
    </row>
    <row r="5548">
      <c r="B5548" s="1">
        <f>+B5547+1</f>
        <v/>
      </c>
    </row>
    <row r="5553">
      <c r="B5553" s="1" t="n"/>
      <c r="C5553" s="9" t="inlineStr">
        <is>
          <t>Agwenda Investment Limited</t>
        </is>
      </c>
      <c r="D5553" s="319" t="n"/>
      <c r="E5553" s="319" t="n"/>
      <c r="F5553" s="319" t="n"/>
      <c r="G5553" s="319" t="n"/>
      <c r="H5553" s="319" t="n"/>
      <c r="I5553" s="319" t="n"/>
      <c r="J5553" s="319" t="n"/>
      <c r="R5553" s="514" t="inlineStr">
        <is>
          <t>E-Banker account (Dupleix)</t>
        </is>
      </c>
      <c r="S5553" s="495">
        <f>IFERROR(INDEX('Blocks'!$I$2:$I$101,MATCH(100,'Blocks'!$A$2:$A$101,0)),"")</f>
        <v/>
      </c>
    </row>
    <row r="5554">
      <c r="B5554" s="1" t="n"/>
      <c r="C5554" s="1" t="n"/>
      <c r="D5554" s="319" t="n"/>
      <c r="E5554" s="319" t="n"/>
      <c r="F5554" s="319" t="n"/>
      <c r="G5554" s="319" t="n"/>
      <c r="H5554" s="319" t="n"/>
      <c r="I5554" s="319" t="n"/>
      <c r="J5554" s="319" t="n"/>
      <c r="R5554" s="514" t="inlineStr">
        <is>
          <t>Facility (Loan Book)</t>
        </is>
      </c>
      <c r="S5554" s="495">
        <f>IFERROR(INDEX('Blocks'!$H$2:$H$101,MATCH(100,'Blocks'!$A$2:$A$101,0)),"")</f>
        <v/>
      </c>
    </row>
    <row r="5555">
      <c r="B5555" s="1" t="n"/>
      <c r="C5555" s="10" t="inlineStr">
        <is>
          <t>Principal (MK)</t>
        </is>
      </c>
      <c r="D5555" s="11" t="n">
        <v>21295000</v>
      </c>
      <c r="E5555" s="319" t="n"/>
      <c r="F5555" s="319" t="n"/>
      <c r="G5555" s="319" t="n"/>
      <c r="H5555" s="319" t="n"/>
      <c r="I5555" s="319" t="n"/>
      <c r="J5555" s="319" t="n"/>
      <c r="R5555" s="514" t="inlineStr">
        <is>
          <t>Take-on posting 31 Jul 2024</t>
        </is>
      </c>
      <c r="S5555" s="496">
        <f>IFERROR(INDEX('E-Banker master'!$N$2:$N$186,MATCH(S5553,'E-Banker master'!$A$2:$A$186,0)),"")</f>
        <v/>
      </c>
    </row>
    <row r="5556">
      <c r="B5556" s="1" t="n"/>
      <c r="C5556" s="13" t="inlineStr">
        <is>
          <t>Rate</t>
        </is>
      </c>
      <c r="D5556" s="14" t="n">
        <v>0.33</v>
      </c>
      <c r="E5556" s="257" t="n"/>
      <c r="F5556" s="319" t="n"/>
      <c r="G5556" s="319" t="n"/>
      <c r="H5556" s="319" t="n"/>
      <c r="I5556" s="319" t="n"/>
      <c r="J5556" s="319" t="n"/>
      <c r="R5556" s="514" t="inlineStr">
        <is>
          <t>E-Banker balance 31 Oct 2024</t>
        </is>
      </c>
      <c r="S5556" s="496">
        <f>IFERROR(INDEX('E-Banker master'!$P$2:$P$186,MATCH(S5553,'E-Banker master'!$A$2:$A$186,0)),"")</f>
        <v/>
      </c>
    </row>
    <row r="5557">
      <c r="B5557" s="1" t="n"/>
      <c r="C5557" s="13" t="inlineStr">
        <is>
          <t>n</t>
        </is>
      </c>
      <c r="D5557" s="16" t="n">
        <v>2</v>
      </c>
      <c r="E5557" s="1" t="n"/>
      <c r="F5557" s="319" t="n"/>
      <c r="G5557" s="319" t="n"/>
      <c r="H5557" s="319" t="n"/>
      <c r="I5557" s="319" t="n"/>
      <c r="J5557" s="319" t="n"/>
    </row>
    <row r="5558">
      <c r="B5558" s="1" t="n"/>
      <c r="C5558" s="13" t="inlineStr">
        <is>
          <t>Per</t>
        </is>
      </c>
      <c r="D5558" s="16" t="n">
        <v>12</v>
      </c>
      <c r="E5558" s="1" t="n"/>
      <c r="F5558" s="319" t="n"/>
      <c r="G5558" s="319" t="n"/>
      <c r="H5558" s="319" t="n"/>
      <c r="I5558" s="319" t="n"/>
      <c r="J5558" s="319" t="n"/>
    </row>
    <row r="5559">
      <c r="B5559" s="1" t="n"/>
      <c r="C5559" s="13" t="inlineStr">
        <is>
          <t>nPer</t>
        </is>
      </c>
      <c r="D5559" s="515">
        <f>+D5558*D5557</f>
        <v/>
      </c>
      <c r="E5559" s="1" t="n"/>
      <c r="F5559" s="319" t="n"/>
      <c r="G5559" s="319" t="n"/>
      <c r="H5559" s="319" t="n"/>
      <c r="I5559" s="319" t="n"/>
      <c r="J5559" s="319" t="n"/>
    </row>
    <row r="5560">
      <c r="B5560" s="1" t="n"/>
      <c r="C5560" s="13" t="inlineStr">
        <is>
          <t>Days in a year</t>
        </is>
      </c>
      <c r="D5560" s="18" t="n">
        <v>365</v>
      </c>
      <c r="E5560" s="1" t="n"/>
      <c r="F5560" s="319" t="n"/>
      <c r="G5560" s="319" t="n"/>
      <c r="H5560" s="319" t="n"/>
      <c r="I5560" s="319" t="n"/>
      <c r="J5560" s="319" t="n"/>
    </row>
    <row r="5561">
      <c r="B5561" s="1" t="n"/>
      <c r="C5561" s="19" t="inlineStr">
        <is>
          <t>Pmt (MK)</t>
        </is>
      </c>
      <c r="D5561" s="534">
        <f>-PMT(D5556/D5558,D5559,D5555,0,0)</f>
        <v/>
      </c>
      <c r="E5561" s="319" t="n"/>
      <c r="F5561" s="319" t="n"/>
      <c r="G5561" s="319" t="n"/>
      <c r="H5561" s="319" t="n"/>
      <c r="I5561" s="319" t="n"/>
      <c r="J5561" s="319" t="n"/>
    </row>
    <row r="5562">
      <c r="B5562" s="1" t="n"/>
      <c r="C5562" s="1" t="n"/>
      <c r="D5562" s="319" t="n"/>
      <c r="E5562" s="319" t="n"/>
      <c r="F5562" s="319" t="n"/>
      <c r="G5562" s="319" t="n"/>
      <c r="H5562" s="319" t="n"/>
      <c r="I5562" s="319" t="n"/>
      <c r="J5562" s="319" t="n"/>
    </row>
    <row r="5563">
      <c r="B5563" s="1" t="n"/>
      <c r="C5563" s="21" t="inlineStr">
        <is>
          <t>Period Start</t>
        </is>
      </c>
      <c r="D5563" s="22" t="inlineStr">
        <is>
          <t>Period End</t>
        </is>
      </c>
      <c r="E5563" s="22" t="inlineStr">
        <is>
          <t>Days</t>
        </is>
      </c>
      <c r="F5563" s="294" t="inlineStr">
        <is>
          <t>Opening bal.</t>
        </is>
      </c>
      <c r="G5563" s="294" t="inlineStr">
        <is>
          <t>Pmt</t>
        </is>
      </c>
      <c r="H5563" s="294" t="inlineStr">
        <is>
          <t>Interest</t>
        </is>
      </c>
      <c r="I5563" s="294" t="inlineStr">
        <is>
          <t>Principal</t>
        </is>
      </c>
      <c r="J5563" s="294" t="inlineStr">
        <is>
          <t>Closing balance</t>
        </is>
      </c>
      <c r="K5563" s="23" t="inlineStr">
        <is>
          <t>Amount Repaid</t>
        </is>
      </c>
      <c r="L5563" s="23" t="inlineStr">
        <is>
          <t>Accumulated Arrears</t>
        </is>
      </c>
    </row>
    <row r="5564">
      <c r="B5564" s="1" t="n">
        <v>0</v>
      </c>
      <c r="C5564" s="24" t="n">
        <v>45587</v>
      </c>
      <c r="D5564" s="24" t="n">
        <v>45596</v>
      </c>
      <c r="E5564" s="459">
        <f>+D5564-C5564+1</f>
        <v/>
      </c>
      <c r="F5564" s="319">
        <f>D5555</f>
        <v/>
      </c>
      <c r="G5564" s="319" t="n"/>
      <c r="H5564" s="319">
        <f>($D$5556/$D$5558*F5564*E5564/30)</f>
        <v/>
      </c>
      <c r="I5564" s="319">
        <f>G5564-H5564</f>
        <v/>
      </c>
      <c r="J5564" s="319">
        <f>F5564-I5564</f>
        <v/>
      </c>
      <c r="K5564" s="148" t="n"/>
      <c r="L5564" s="148" t="n"/>
    </row>
    <row r="5565">
      <c r="B5565" s="1" t="n">
        <v>1</v>
      </c>
      <c r="C5565" s="24" t="n">
        <v>45597</v>
      </c>
      <c r="D5565" s="24" t="n">
        <v>45626</v>
      </c>
      <c r="E5565" s="25">
        <f>+D5565-C5565+1</f>
        <v/>
      </c>
      <c r="F5565" s="319">
        <f>J5564</f>
        <v/>
      </c>
      <c r="G5565" s="319" t="n"/>
      <c r="H5565" s="319">
        <f>($D$5556/$D$5558*F5565)</f>
        <v/>
      </c>
      <c r="I5565" s="319">
        <f>G5565-H5565</f>
        <v/>
      </c>
      <c r="J5565" s="319">
        <f>F5565-I5565</f>
        <v/>
      </c>
      <c r="K5565" s="237" t="n"/>
      <c r="L5565" s="148" t="n"/>
    </row>
    <row r="5566">
      <c r="B5566" s="1" t="n">
        <v>2</v>
      </c>
      <c r="C5566" s="24" t="n">
        <v>45627</v>
      </c>
      <c r="D5566" s="24" t="n">
        <v>45657</v>
      </c>
      <c r="E5566" s="25">
        <f>+D5566-C5566+1</f>
        <v/>
      </c>
      <c r="F5566" s="319">
        <f>J5565</f>
        <v/>
      </c>
      <c r="G5566" s="319" t="n"/>
      <c r="H5566" s="319">
        <f>($D$5556/$D$5558*F5566)</f>
        <v/>
      </c>
      <c r="I5566" s="319">
        <f>G5566-H5566</f>
        <v/>
      </c>
      <c r="J5566" s="319">
        <f>F5566-I5566</f>
        <v/>
      </c>
      <c r="L5566" s="148" t="n"/>
    </row>
    <row r="5567">
      <c r="B5567" s="1">
        <f>+B5566+1</f>
        <v/>
      </c>
      <c r="C5567" s="24" t="n">
        <v>45658</v>
      </c>
      <c r="D5567" s="24" t="n">
        <v>45688</v>
      </c>
      <c r="E5567" s="25">
        <f>+D5567-C5567+1</f>
        <v/>
      </c>
      <c r="F5567" s="319">
        <f>J5566</f>
        <v/>
      </c>
      <c r="G5567" s="522" t="n"/>
      <c r="H5567" s="319">
        <f>($D$5556/$D$5558*F5567)</f>
        <v/>
      </c>
      <c r="I5567" s="319">
        <f>G5567-H5567</f>
        <v/>
      </c>
      <c r="J5567" s="319">
        <f>F5567-I5567</f>
        <v/>
      </c>
      <c r="L5567" s="148" t="n"/>
    </row>
    <row r="5568">
      <c r="B5568" s="1">
        <f>+B5567+1</f>
        <v/>
      </c>
      <c r="C5568" s="24" t="n">
        <v>45689</v>
      </c>
      <c r="D5568" s="24" t="n">
        <v>45716</v>
      </c>
      <c r="E5568" s="25">
        <f>+D5568-C5568+1</f>
        <v/>
      </c>
      <c r="F5568" s="319">
        <f>J5567</f>
        <v/>
      </c>
      <c r="G5568" s="319">
        <f>-PMT($D$5556/$D$5558,21,$F$5568,,0)</f>
        <v/>
      </c>
      <c r="H5568" s="319">
        <f>($D$5556/$D$5558*F5568)</f>
        <v/>
      </c>
      <c r="I5568" s="319">
        <f>G5568-H5568</f>
        <v/>
      </c>
      <c r="J5568" s="319">
        <f>F5568-I5568</f>
        <v/>
      </c>
    </row>
    <row r="5569">
      <c r="B5569" s="1">
        <f>+B5568+1</f>
        <v/>
      </c>
      <c r="C5569" s="24" t="n">
        <v>45717</v>
      </c>
      <c r="D5569" s="24" t="n">
        <v>45747</v>
      </c>
      <c r="E5569" s="25">
        <f>+D5569-C5569+1</f>
        <v/>
      </c>
      <c r="F5569" s="319">
        <f>J5568</f>
        <v/>
      </c>
      <c r="G5569" s="319">
        <f>-PMT($D$5556/$D$5558,21,$F$5568,,0)</f>
        <v/>
      </c>
      <c r="H5569" s="319">
        <f>($D$5556/$D$5558*F5569)</f>
        <v/>
      </c>
      <c r="I5569" s="319">
        <f>G5569-H5569</f>
        <v/>
      </c>
      <c r="J5569" s="319">
        <f>F5569-I5569</f>
        <v/>
      </c>
    </row>
    <row r="5570">
      <c r="B5570" s="1">
        <f>+B5569+1</f>
        <v/>
      </c>
      <c r="C5570" s="24" t="n">
        <v>45748</v>
      </c>
      <c r="D5570" s="24" t="n">
        <v>45777</v>
      </c>
      <c r="E5570" s="25">
        <f>+D5570-C5570+1</f>
        <v/>
      </c>
      <c r="F5570" s="319">
        <f>J5569</f>
        <v/>
      </c>
      <c r="G5570" s="319">
        <f>-PMT($D$5556/$D$5558,21,$F$5568,,0)</f>
        <v/>
      </c>
      <c r="H5570" s="319">
        <f>($D$5556/$D$5558*F5570)</f>
        <v/>
      </c>
      <c r="I5570" s="319">
        <f>G5570-H5570</f>
        <v/>
      </c>
      <c r="J5570" s="319">
        <f>F5570-I5570</f>
        <v/>
      </c>
    </row>
    <row r="5571">
      <c r="B5571" s="1">
        <f>+B5570+1</f>
        <v/>
      </c>
      <c r="C5571" s="24" t="n">
        <v>45778</v>
      </c>
      <c r="D5571" s="24" t="n">
        <v>45808</v>
      </c>
      <c r="E5571" s="25">
        <f>+D5571-C5571+1</f>
        <v/>
      </c>
      <c r="F5571" s="319">
        <f>J5570</f>
        <v/>
      </c>
      <c r="G5571" s="319">
        <f>-PMT($D$5556/$D$5558,21,$F$5568,,0)</f>
        <v/>
      </c>
      <c r="H5571" s="319">
        <f>($D$5556/$D$5558*F5571)</f>
        <v/>
      </c>
      <c r="I5571" s="319">
        <f>G5571-H5571</f>
        <v/>
      </c>
      <c r="J5571" s="319">
        <f>F5571-I5571</f>
        <v/>
      </c>
    </row>
    <row r="5572">
      <c r="B5572" s="1">
        <f>+B5571+1</f>
        <v/>
      </c>
      <c r="C5572" s="24" t="n">
        <v>45809</v>
      </c>
      <c r="D5572" s="24" t="n">
        <v>45838</v>
      </c>
      <c r="E5572" s="25">
        <f>+D5572-C5572+1</f>
        <v/>
      </c>
      <c r="F5572" s="319">
        <f>J5571</f>
        <v/>
      </c>
      <c r="G5572" s="319">
        <f>-PMT($D$5556/$D$5558,21,$F$5568,,0)</f>
        <v/>
      </c>
      <c r="H5572" s="319">
        <f>($D$5556/$D$5558*F5572)</f>
        <v/>
      </c>
      <c r="I5572" s="319">
        <f>G5572-H5572</f>
        <v/>
      </c>
      <c r="J5572" s="319">
        <f>F5572-I5572</f>
        <v/>
      </c>
    </row>
    <row r="5573">
      <c r="B5573" s="1">
        <f>+B5572+1</f>
        <v/>
      </c>
      <c r="C5573" s="24" t="n">
        <v>45839</v>
      </c>
      <c r="D5573" s="24" t="n">
        <v>45868</v>
      </c>
      <c r="E5573" s="25">
        <f>+D5573-C5573+1</f>
        <v/>
      </c>
      <c r="F5573" s="319">
        <f>J5572</f>
        <v/>
      </c>
      <c r="G5573" s="319">
        <f>-PMT($D$5556/$D$5558,21,$F$5568,,0)</f>
        <v/>
      </c>
      <c r="H5573" s="319">
        <f>($D$5556/$D$5558*F5573)</f>
        <v/>
      </c>
      <c r="I5573" s="319">
        <f>G5573-H5573</f>
        <v/>
      </c>
      <c r="J5573" s="319">
        <f>F5573-I5573</f>
        <v/>
      </c>
    </row>
    <row r="5574">
      <c r="B5574" s="1">
        <f>+B5573+1</f>
        <v/>
      </c>
      <c r="C5574" s="24" t="n">
        <v>45870</v>
      </c>
      <c r="D5574" s="24" t="n">
        <v>45899</v>
      </c>
      <c r="E5574" s="25">
        <f>+D5574-C5574+1</f>
        <v/>
      </c>
      <c r="F5574" s="319">
        <f>J5573</f>
        <v/>
      </c>
      <c r="G5574" s="319">
        <f>-PMT($D$5556/$D$5558,21,$F$5568,,0)</f>
        <v/>
      </c>
      <c r="H5574" s="319">
        <f>($D$5556/$D$5558*F5574)</f>
        <v/>
      </c>
      <c r="I5574" s="319">
        <f>G5574-H5574</f>
        <v/>
      </c>
      <c r="J5574" s="319">
        <f>F5574-I5574</f>
        <v/>
      </c>
    </row>
    <row r="5575">
      <c r="B5575" s="1">
        <f>+B5574+1</f>
        <v/>
      </c>
      <c r="C5575" s="24" t="n">
        <v>45901</v>
      </c>
      <c r="D5575" s="24" t="n">
        <v>45930</v>
      </c>
      <c r="E5575" s="25">
        <f>+D5575-C5575+1</f>
        <v/>
      </c>
      <c r="F5575" s="319">
        <f>J5574</f>
        <v/>
      </c>
      <c r="G5575" s="319">
        <f>-PMT($D$5556/$D$5558,21,$F$5568,,0)</f>
        <v/>
      </c>
      <c r="H5575" s="319">
        <f>($D$5556/$D$5558*F5575)</f>
        <v/>
      </c>
      <c r="I5575" s="319">
        <f>G5575-H5575</f>
        <v/>
      </c>
      <c r="J5575" s="319">
        <f>F5575-I5575</f>
        <v/>
      </c>
    </row>
    <row r="5576">
      <c r="B5576" s="1">
        <f>+B5575+1</f>
        <v/>
      </c>
      <c r="C5576" s="24" t="n">
        <v>45931</v>
      </c>
      <c r="D5576" s="24" t="n">
        <v>45961</v>
      </c>
      <c r="E5576" s="25">
        <f>+D5576-C5576+1</f>
        <v/>
      </c>
      <c r="F5576" s="319">
        <f>J5575</f>
        <v/>
      </c>
      <c r="G5576" s="319">
        <f>-PMT($D$5556/$D$5558,21,$F$5568,,0)</f>
        <v/>
      </c>
      <c r="H5576" s="319">
        <f>($D$5556/$D$5558*F5576)</f>
        <v/>
      </c>
      <c r="I5576" s="319">
        <f>G5576-H5576</f>
        <v/>
      </c>
      <c r="J5576" s="319">
        <f>F5576-I5576</f>
        <v/>
      </c>
    </row>
    <row r="5577">
      <c r="B5577" s="1">
        <f>+B5576+1</f>
        <v/>
      </c>
      <c r="C5577" s="24" t="n">
        <v>45962</v>
      </c>
      <c r="D5577" s="24" t="n">
        <v>45991</v>
      </c>
      <c r="E5577" s="25">
        <f>+D5577-C5577+1</f>
        <v/>
      </c>
      <c r="F5577" s="319">
        <f>J5576</f>
        <v/>
      </c>
      <c r="G5577" s="319">
        <f>-PMT($D$5556/$D$5558,21,$F$5568,,0)</f>
        <v/>
      </c>
      <c r="H5577" s="319">
        <f>($D$5556/$D$5558*F5577)</f>
        <v/>
      </c>
      <c r="I5577" s="319">
        <f>G5577-H5577</f>
        <v/>
      </c>
      <c r="J5577" s="319">
        <f>F5577-I5577</f>
        <v/>
      </c>
    </row>
    <row r="5578">
      <c r="B5578" s="1">
        <f>+B5577+1</f>
        <v/>
      </c>
      <c r="C5578" s="24" t="n">
        <v>45992</v>
      </c>
      <c r="D5578" s="24" t="n">
        <v>46022</v>
      </c>
      <c r="E5578" s="25">
        <f>+D5578-C5578+1</f>
        <v/>
      </c>
      <c r="F5578" s="319">
        <f>J5577</f>
        <v/>
      </c>
      <c r="G5578" s="319">
        <f>-PMT($D$5556/$D$5558,21,$F$5568,,0)</f>
        <v/>
      </c>
      <c r="H5578" s="319">
        <f>($D$5556/$D$5558*F5578)</f>
        <v/>
      </c>
      <c r="I5578" s="319">
        <f>G5578-H5578</f>
        <v/>
      </c>
      <c r="J5578" s="319">
        <f>F5578-I5578</f>
        <v/>
      </c>
    </row>
    <row r="5579">
      <c r="B5579" s="1">
        <f>+B5578+1</f>
        <v/>
      </c>
      <c r="C5579" s="24" t="n">
        <v>46023</v>
      </c>
      <c r="D5579" s="24" t="n">
        <v>46053</v>
      </c>
      <c r="E5579" s="25">
        <f>+D5579-C5579+1</f>
        <v/>
      </c>
      <c r="F5579" s="319">
        <f>J5578</f>
        <v/>
      </c>
      <c r="G5579" s="319">
        <f>-PMT($D$5556/$D$5558,21,$F$5568,,0)</f>
        <v/>
      </c>
      <c r="H5579" s="319">
        <f>($D$5556/$D$5558*F5579)</f>
        <v/>
      </c>
      <c r="I5579" s="319">
        <f>G5579-H5579</f>
        <v/>
      </c>
      <c r="J5579" s="319">
        <f>F5579-I5579</f>
        <v/>
      </c>
    </row>
    <row r="5580">
      <c r="B5580" s="1">
        <f>+B5579+1</f>
        <v/>
      </c>
      <c r="C5580" s="24" t="n">
        <v>46054</v>
      </c>
      <c r="D5580" s="24" t="n">
        <v>46081</v>
      </c>
      <c r="E5580" s="25">
        <f>+D5580-C5580+1</f>
        <v/>
      </c>
      <c r="F5580" s="319">
        <f>J5579</f>
        <v/>
      </c>
      <c r="G5580" s="319">
        <f>-PMT($D$5556/$D$5558,21,$F$5568,,0)</f>
        <v/>
      </c>
      <c r="H5580" s="319">
        <f>($D$5556/$D$5558*F5580)</f>
        <v/>
      </c>
      <c r="I5580" s="319">
        <f>G5580-H5580</f>
        <v/>
      </c>
      <c r="J5580" s="319">
        <f>F5580-I5580</f>
        <v/>
      </c>
    </row>
    <row r="5581">
      <c r="B5581" s="1">
        <f>+B5580+1</f>
        <v/>
      </c>
      <c r="C5581" s="24" t="n">
        <v>46082</v>
      </c>
      <c r="D5581" s="24" t="n">
        <v>46112</v>
      </c>
      <c r="E5581" s="25">
        <f>+D5581-C5581+1</f>
        <v/>
      </c>
      <c r="F5581" s="319">
        <f>J5580</f>
        <v/>
      </c>
      <c r="G5581" s="319">
        <f>-PMT($D$5556/$D$5558,21,$F$5568,,0)</f>
        <v/>
      </c>
      <c r="H5581" s="319">
        <f>($D$5556/$D$5558*F5581)</f>
        <v/>
      </c>
      <c r="I5581" s="319">
        <f>G5581-H5581</f>
        <v/>
      </c>
      <c r="J5581" s="319">
        <f>F5581-I5581</f>
        <v/>
      </c>
    </row>
    <row r="5582">
      <c r="B5582" s="1">
        <f>+B5581+1</f>
        <v/>
      </c>
      <c r="C5582" s="24" t="n">
        <v>46113</v>
      </c>
      <c r="D5582" s="24" t="n">
        <v>46142</v>
      </c>
      <c r="E5582" s="25">
        <f>+D5582-C5582+1</f>
        <v/>
      </c>
      <c r="F5582" s="319">
        <f>J5581</f>
        <v/>
      </c>
      <c r="G5582" s="319">
        <f>-PMT($D$5556/$D$5558,21,$F$5568,,0)</f>
        <v/>
      </c>
      <c r="H5582" s="319">
        <f>($D$5556/$D$5558*F5582)</f>
        <v/>
      </c>
      <c r="I5582" s="319">
        <f>G5582-H5582</f>
        <v/>
      </c>
      <c r="J5582" s="319">
        <f>F5582-I5582</f>
        <v/>
      </c>
    </row>
    <row r="5583">
      <c r="B5583" s="1">
        <f>+B5582+1</f>
        <v/>
      </c>
      <c r="C5583" s="24" t="n">
        <v>46143</v>
      </c>
      <c r="D5583" s="24" t="n">
        <v>46173</v>
      </c>
      <c r="E5583" s="25">
        <f>+D5583-C5583+1</f>
        <v/>
      </c>
      <c r="F5583" s="319">
        <f>J5582</f>
        <v/>
      </c>
      <c r="G5583" s="319">
        <f>-PMT($D$5556/$D$5558,21,$F$5568,,0)</f>
        <v/>
      </c>
      <c r="H5583" s="319">
        <f>($D$5556/$D$5558*F5583)</f>
        <v/>
      </c>
      <c r="I5583" s="319">
        <f>G5583-H5583</f>
        <v/>
      </c>
      <c r="J5583" s="319">
        <f>F5583-I5583</f>
        <v/>
      </c>
    </row>
    <row r="5584">
      <c r="B5584" s="1">
        <f>+B5583+1</f>
        <v/>
      </c>
      <c r="C5584" s="24" t="n">
        <v>46174</v>
      </c>
      <c r="D5584" s="24" t="n">
        <v>46203</v>
      </c>
      <c r="E5584" s="25">
        <f>+D5584-C5584+1</f>
        <v/>
      </c>
      <c r="F5584" s="319">
        <f>J5583</f>
        <v/>
      </c>
      <c r="G5584" s="319">
        <f>-PMT($D$5556/$D$5558,21,$F$5568,,0)</f>
        <v/>
      </c>
      <c r="H5584" s="319">
        <f>($D$5556/$D$5558*F5584)</f>
        <v/>
      </c>
      <c r="I5584" s="319">
        <f>G5584-H5584</f>
        <v/>
      </c>
      <c r="J5584" s="319">
        <f>F5584-I5584</f>
        <v/>
      </c>
    </row>
    <row r="5585">
      <c r="B5585" s="1">
        <f>+B5584+1</f>
        <v/>
      </c>
      <c r="C5585" s="24" t="n">
        <v>46204</v>
      </c>
      <c r="D5585" s="24" t="n">
        <v>46234</v>
      </c>
      <c r="E5585" s="25">
        <f>+D5585-C5585+1</f>
        <v/>
      </c>
      <c r="F5585" s="319">
        <f>J5584</f>
        <v/>
      </c>
      <c r="G5585" s="319">
        <f>-PMT($D$5556/$D$5558,21,$F$5568,,0)</f>
        <v/>
      </c>
      <c r="H5585" s="319">
        <f>($D$5556/$D$5558*F5585)</f>
        <v/>
      </c>
      <c r="I5585" s="319">
        <f>G5585-H5585</f>
        <v/>
      </c>
      <c r="J5585" s="319">
        <f>F5585-I5585</f>
        <v/>
      </c>
    </row>
    <row r="5586">
      <c r="B5586" s="1">
        <f>+B5585+1</f>
        <v/>
      </c>
      <c r="C5586" s="24" t="n">
        <v>46235</v>
      </c>
      <c r="D5586" s="24" t="n">
        <v>46265</v>
      </c>
      <c r="E5586" s="25">
        <f>+D5586-C5586+1</f>
        <v/>
      </c>
      <c r="F5586" s="319">
        <f>J5585</f>
        <v/>
      </c>
      <c r="G5586" s="319">
        <f>-PMT($D$5556/$D$5558,21,$F$5568,,0)</f>
        <v/>
      </c>
      <c r="H5586" s="319">
        <f>($D$5556/$D$5558*F5586)</f>
        <v/>
      </c>
      <c r="I5586" s="319">
        <f>G5586-H5586</f>
        <v/>
      </c>
      <c r="J5586" s="319">
        <f>F5586-I5586</f>
        <v/>
      </c>
    </row>
    <row r="5587">
      <c r="B5587" s="1">
        <f>+B5586+1</f>
        <v/>
      </c>
      <c r="C5587" s="24" t="n">
        <v>46266</v>
      </c>
      <c r="D5587" s="24" t="n">
        <v>46295</v>
      </c>
      <c r="E5587" s="25">
        <f>+D5587-C5587+1</f>
        <v/>
      </c>
      <c r="F5587" s="319">
        <f>J5586</f>
        <v/>
      </c>
      <c r="G5587" s="319">
        <f>-PMT($D$5556/$D$5558,21,$F$5568,,0)</f>
        <v/>
      </c>
      <c r="H5587" s="319">
        <f>($D$5556/$D$5558*F5587)</f>
        <v/>
      </c>
      <c r="I5587" s="319">
        <f>G5587-H5587</f>
        <v/>
      </c>
      <c r="J5587" s="319">
        <f>F5587-I5587</f>
        <v/>
      </c>
    </row>
    <row r="5588">
      <c r="B5588" s="1">
        <f>+B5587+1</f>
        <v/>
      </c>
      <c r="C5588" s="24" t="n">
        <v>46296</v>
      </c>
      <c r="D5588" s="24" t="n">
        <v>46326</v>
      </c>
      <c r="E5588" s="25">
        <f>+D5588-C5588+1</f>
        <v/>
      </c>
      <c r="F5588" s="319">
        <f>J5587</f>
        <v/>
      </c>
      <c r="G5588" s="319">
        <f>-PMT($D$5556/$D$5558,21,$F$5568,,0)</f>
        <v/>
      </c>
      <c r="H5588" s="319">
        <f>($D$5556/$D$5558*F5588)</f>
        <v/>
      </c>
      <c r="I5588" s="319">
        <f>G5588-H5588</f>
        <v/>
      </c>
      <c r="J5588" s="319">
        <f>F5588-I5588</f>
        <v/>
      </c>
    </row>
    <row r="5589">
      <c r="B5589" s="1" t="n"/>
      <c r="C5589" s="24" t="n"/>
      <c r="D5589" s="24" t="n"/>
      <c r="E5589" s="25" t="n"/>
      <c r="F5589" s="319" t="n"/>
      <c r="G5589" s="522" t="n"/>
      <c r="H5589" s="319" t="n"/>
      <c r="I5589" s="319" t="n"/>
      <c r="J5589" s="319" t="n"/>
    </row>
    <row r="5590">
      <c r="B5590" s="1" t="n"/>
      <c r="C5590" s="24" t="n"/>
      <c r="D5590" s="24" t="n"/>
      <c r="E5590" s="25" t="n"/>
      <c r="F5590" s="319" t="n"/>
      <c r="G5590" s="522" t="n"/>
      <c r="H5590" s="319" t="n"/>
      <c r="I5590" s="319" t="n"/>
      <c r="J5590" s="319" t="n"/>
    </row>
    <row r="5591">
      <c r="B5591" s="1" t="n"/>
      <c r="C5591" s="24" t="n"/>
      <c r="D5591" s="24" t="n"/>
      <c r="E5591" s="25" t="n"/>
      <c r="F5591" s="319" t="n"/>
      <c r="G5591" s="522" t="n"/>
      <c r="H5591" s="319" t="n"/>
      <c r="I5591" s="319" t="n"/>
      <c r="J5591" s="319" t="n"/>
    </row>
    <row r="5592">
      <c r="B5592" s="1" t="n"/>
      <c r="C5592" s="24" t="n"/>
      <c r="D5592" s="24" t="n"/>
      <c r="E5592" s="25" t="n"/>
      <c r="F5592" s="319" t="n"/>
      <c r="G5592" s="522" t="n"/>
      <c r="H5592" s="319" t="n"/>
      <c r="I5592" s="319" t="n"/>
      <c r="J5592" s="319" t="n"/>
    </row>
    <row r="5593">
      <c r="B5593" s="1" t="n"/>
      <c r="C5593" s="24" t="n"/>
      <c r="D5593" s="24" t="n"/>
      <c r="E5593" s="25" t="n"/>
      <c r="F5593" s="319" t="n"/>
      <c r="G5593" s="522" t="n"/>
      <c r="H5593" s="319" t="n"/>
      <c r="I5593" s="319" t="n"/>
      <c r="J5593" s="319" t="n"/>
    </row>
    <row r="5594">
      <c r="B5594" s="1" t="n"/>
      <c r="C5594" s="24" t="n"/>
      <c r="D5594" s="24" t="n"/>
      <c r="E5594" s="25" t="n"/>
      <c r="F5594" s="319" t="n"/>
      <c r="G5594" s="522" t="n"/>
      <c r="H5594" s="319" t="n"/>
      <c r="I5594" s="319" t="n"/>
      <c r="J5594" s="319" t="n"/>
    </row>
    <row r="5595">
      <c r="B5595" s="1" t="n"/>
      <c r="C5595" s="24" t="n"/>
      <c r="D5595" s="24" t="n"/>
      <c r="E5595" s="25" t="n"/>
      <c r="F5595" s="319" t="n"/>
      <c r="G5595" s="522" t="n"/>
      <c r="H5595" s="319" t="n"/>
      <c r="I5595" s="319" t="n"/>
      <c r="J5595" s="319" t="n"/>
    </row>
    <row r="5596">
      <c r="B5596" s="1" t="n"/>
      <c r="C5596" s="24" t="n"/>
      <c r="D5596" s="24" t="n"/>
      <c r="E5596" s="25" t="n"/>
      <c r="F5596" s="319" t="n"/>
      <c r="G5596" s="522" t="n"/>
      <c r="H5596" s="319" t="n"/>
      <c r="I5596" s="319" t="n"/>
      <c r="J5596" s="319" t="n"/>
    </row>
    <row r="5597">
      <c r="B5597" s="1" t="n"/>
      <c r="C5597" s="24" t="n"/>
      <c r="D5597" s="24" t="n"/>
      <c r="E5597" s="25" t="n"/>
      <c r="F5597" s="319" t="n"/>
      <c r="G5597" s="522" t="n"/>
      <c r="H5597" s="319" t="n"/>
      <c r="I5597" s="319" t="n"/>
      <c r="J5597" s="319" t="n"/>
    </row>
    <row r="5598">
      <c r="B5598" s="1" t="n"/>
      <c r="C5598" s="24" t="n"/>
      <c r="D5598" s="24" t="n"/>
      <c r="E5598" s="25" t="n"/>
      <c r="F5598" s="319" t="n"/>
      <c r="G5598" s="522" t="n"/>
      <c r="H5598" s="319" t="n"/>
      <c r="I5598" s="319" t="n"/>
      <c r="J5598" s="319" t="n"/>
    </row>
    <row r="5599">
      <c r="B5599" s="1" t="n"/>
      <c r="C5599" s="24" t="n"/>
      <c r="D5599" s="24" t="n"/>
      <c r="E5599" s="25" t="n"/>
      <c r="F5599" s="319" t="n"/>
      <c r="G5599" s="522" t="n"/>
      <c r="H5599" s="319" t="n"/>
      <c r="I5599" s="319" t="n"/>
      <c r="J5599" s="319" t="n"/>
    </row>
    <row r="5600">
      <c r="B5600" s="1" t="n"/>
      <c r="C5600" s="24" t="n"/>
      <c r="D5600" s="24" t="n"/>
      <c r="E5600" s="25" t="n"/>
      <c r="F5600" s="319" t="n"/>
      <c r="G5600" s="522" t="n"/>
      <c r="H5600" s="319" t="n"/>
      <c r="I5600" s="319" t="n"/>
      <c r="J5600" s="319" t="n"/>
    </row>
    <row r="5601">
      <c r="B5601" s="1" t="n"/>
      <c r="C5601" s="24" t="n"/>
      <c r="D5601" s="24" t="n"/>
      <c r="E5601" s="25" t="n"/>
      <c r="F5601" s="319" t="n"/>
      <c r="G5601" s="522" t="n"/>
      <c r="H5601" s="319" t="n"/>
      <c r="I5601" s="319" t="n"/>
      <c r="J5601" s="319" t="n"/>
    </row>
    <row r="5602">
      <c r="B5602" s="1" t="n"/>
      <c r="C5602" s="24" t="n"/>
      <c r="D5602" s="24" t="n"/>
      <c r="E5602" s="25" t="n"/>
      <c r="F5602" s="319" t="n"/>
      <c r="G5602" s="522" t="n"/>
      <c r="H5602" s="319" t="n"/>
      <c r="I5602" s="319" t="n"/>
      <c r="J5602" s="319" t="n"/>
    </row>
    <row r="5603">
      <c r="B5603" s="1" t="n"/>
      <c r="C5603" s="24" t="n"/>
      <c r="D5603" s="24" t="n"/>
      <c r="E5603" s="25" t="n"/>
      <c r="F5603" s="319" t="n"/>
      <c r="G5603" s="522" t="n"/>
      <c r="H5603" s="319" t="n"/>
      <c r="I5603" s="319" t="n"/>
      <c r="J5603" s="319" t="n"/>
    </row>
    <row r="5604">
      <c r="B5604" s="1" t="n"/>
      <c r="C5604" s="24" t="n"/>
      <c r="D5604" s="24" t="n"/>
      <c r="E5604" s="25" t="n"/>
      <c r="F5604" s="319" t="n"/>
      <c r="G5604" s="522" t="n"/>
      <c r="H5604" s="319" t="n"/>
      <c r="I5604" s="319" t="n"/>
      <c r="J5604" s="319" t="n"/>
    </row>
    <row r="5605">
      <c r="B5605" s="1" t="n"/>
      <c r="C5605" s="24" t="n"/>
      <c r="D5605" s="24" t="n"/>
      <c r="E5605" s="25" t="n"/>
      <c r="F5605" s="319" t="n"/>
      <c r="G5605" s="522" t="n"/>
      <c r="H5605" s="319" t="n"/>
      <c r="I5605" s="319" t="n"/>
      <c r="J5605" s="319" t="n"/>
    </row>
    <row r="5606">
      <c r="B5606" s="1" t="n"/>
      <c r="C5606" s="24" t="n"/>
      <c r="D5606" s="24" t="n"/>
      <c r="E5606" s="25" t="n"/>
      <c r="F5606" s="319" t="n"/>
      <c r="G5606" s="522" t="n"/>
      <c r="H5606" s="319" t="n"/>
      <c r="I5606" s="319" t="n"/>
      <c r="J5606" s="319" t="n"/>
    </row>
    <row r="5607">
      <c r="B5607" s="1" t="n"/>
      <c r="C5607" s="24" t="n"/>
      <c r="D5607" s="24" t="n"/>
      <c r="E5607" s="25" t="n"/>
      <c r="F5607" s="319" t="n"/>
      <c r="G5607" s="522" t="n"/>
      <c r="H5607" s="319" t="n"/>
      <c r="I5607" s="319" t="n"/>
      <c r="J5607" s="319" t="n"/>
    </row>
    <row r="5608">
      <c r="B5608" s="1" t="n"/>
      <c r="C5608" s="24" t="n"/>
      <c r="D5608" s="24" t="n"/>
      <c r="E5608" s="25" t="n"/>
      <c r="F5608" s="319" t="n"/>
      <c r="G5608" s="522" t="n"/>
      <c r="H5608" s="319" t="n"/>
      <c r="I5608" s="319" t="n"/>
      <c r="J5608" s="319" t="n"/>
    </row>
    <row r="5609">
      <c r="B5609" s="1" t="n"/>
      <c r="C5609" s="24" t="n"/>
      <c r="D5609" s="24" t="n"/>
      <c r="E5609" s="25" t="n"/>
      <c r="F5609" s="319" t="n"/>
      <c r="G5609" s="522" t="n"/>
      <c r="H5609" s="319" t="n"/>
      <c r="I5609" s="319" t="n"/>
      <c r="J5609" s="319" t="n"/>
    </row>
    <row r="5610">
      <c r="B5610" s="1" t="n"/>
      <c r="C5610" s="24" t="n"/>
      <c r="D5610" s="24" t="n"/>
      <c r="E5610" s="25" t="n"/>
      <c r="F5610" s="319" t="n"/>
      <c r="G5610" s="522" t="n"/>
      <c r="H5610" s="319" t="n"/>
      <c r="I5610" s="319" t="n"/>
      <c r="J5610" s="319" t="n"/>
    </row>
    <row r="5611">
      <c r="B5611" s="1" t="n"/>
      <c r="C5611" s="24" t="n"/>
      <c r="D5611" s="24" t="n"/>
      <c r="E5611" s="25" t="n"/>
      <c r="F5611" s="319" t="n"/>
      <c r="G5611" s="522" t="n"/>
      <c r="H5611" s="319" t="n"/>
      <c r="I5611" s="319" t="n"/>
      <c r="J5611" s="319" t="n"/>
    </row>
    <row r="5612">
      <c r="B5612" s="1" t="n"/>
      <c r="C5612" s="24" t="n"/>
      <c r="D5612" s="24" t="n"/>
      <c r="E5612" s="25" t="n"/>
      <c r="F5612" s="319" t="n"/>
      <c r="G5612" s="522" t="n"/>
      <c r="H5612" s="319" t="n"/>
      <c r="I5612" s="319" t="n"/>
      <c r="J5612" s="319" t="n"/>
    </row>
    <row r="5613">
      <c r="B5613" s="1" t="n"/>
      <c r="C5613" s="24" t="n"/>
      <c r="D5613" s="24" t="n"/>
      <c r="E5613" s="25" t="n"/>
      <c r="F5613" s="319" t="n"/>
      <c r="G5613" s="522" t="n"/>
      <c r="H5613" s="319" t="n"/>
      <c r="I5613" s="319" t="n"/>
      <c r="J5613" s="319" t="n"/>
    </row>
    <row r="5614">
      <c r="B5614" s="1" t="n"/>
      <c r="C5614" s="24" t="n"/>
      <c r="D5614" s="24" t="n"/>
      <c r="E5614" s="25" t="n"/>
      <c r="F5614" s="319" t="n"/>
      <c r="G5614" s="522" t="n"/>
      <c r="H5614" s="319" t="n"/>
      <c r="I5614" s="319" t="n"/>
      <c r="J5614" s="319" t="n"/>
    </row>
    <row r="5615">
      <c r="B5615" s="1" t="n"/>
      <c r="C5615" s="24" t="n"/>
      <c r="D5615" s="24" t="n"/>
      <c r="E5615" s="25" t="n"/>
      <c r="F5615" s="319" t="n"/>
      <c r="G5615" s="522" t="n"/>
      <c r="H5615" s="319" t="n"/>
      <c r="I5615" s="319" t="n"/>
      <c r="J5615" s="319" t="n"/>
    </row>
    <row r="5616">
      <c r="B5616" s="1" t="n"/>
      <c r="C5616" s="24" t="n"/>
      <c r="D5616" s="24" t="n"/>
      <c r="E5616" s="25" t="n"/>
      <c r="F5616" s="319" t="n"/>
      <c r="G5616" s="522" t="n"/>
      <c r="H5616" s="319" t="n"/>
      <c r="I5616" s="319" t="n"/>
      <c r="J5616" s="319" t="n"/>
    </row>
    <row r="5617">
      <c r="B5617" s="1" t="n"/>
      <c r="C5617" s="24" t="n"/>
      <c r="D5617" s="24" t="n"/>
      <c r="E5617" s="25" t="n"/>
      <c r="F5617" s="319" t="n"/>
      <c r="G5617" s="522" t="n"/>
      <c r="H5617" s="319" t="n"/>
      <c r="I5617" s="319" t="n"/>
      <c r="J5617" s="319" t="n"/>
    </row>
    <row r="5618">
      <c r="B5618" s="1" t="n"/>
      <c r="C5618" s="24" t="n"/>
      <c r="D5618" s="24" t="n"/>
      <c r="E5618" s="25" t="n"/>
      <c r="F5618" s="319" t="n"/>
      <c r="G5618" s="522" t="n"/>
      <c r="H5618" s="319" t="n"/>
      <c r="I5618" s="319" t="n"/>
      <c r="J5618" s="319" t="n"/>
    </row>
    <row r="5619">
      <c r="B5619" s="1" t="n"/>
      <c r="C5619" s="24" t="n"/>
      <c r="D5619" s="24" t="n"/>
      <c r="E5619" s="25" t="n"/>
      <c r="F5619" s="319" t="n"/>
      <c r="G5619" s="522" t="n"/>
      <c r="H5619" s="319" t="n"/>
      <c r="I5619" s="319" t="n"/>
      <c r="J5619" s="319" t="n"/>
    </row>
    <row r="5620">
      <c r="B5620" s="1" t="n"/>
      <c r="C5620" s="24" t="n"/>
      <c r="D5620" s="24" t="n"/>
      <c r="E5620" s="25" t="n"/>
      <c r="F5620" s="319" t="n"/>
      <c r="G5620" s="522" t="n"/>
      <c r="H5620" s="319" t="n"/>
      <c r="I5620" s="319" t="n"/>
      <c r="J5620" s="319" t="n"/>
    </row>
    <row r="5621">
      <c r="B5621" s="1" t="n"/>
      <c r="C5621" s="24" t="n"/>
      <c r="D5621" s="24" t="n"/>
      <c r="E5621" s="25" t="n"/>
      <c r="F5621" s="319" t="n"/>
      <c r="G5621" s="522" t="n"/>
      <c r="H5621" s="319" t="n"/>
      <c r="I5621" s="319" t="n"/>
      <c r="J5621" s="319" t="n"/>
    </row>
    <row r="5622">
      <c r="B5622" s="1" t="n"/>
      <c r="C5622" s="24" t="n"/>
      <c r="D5622" s="24" t="n"/>
      <c r="E5622" s="25" t="n"/>
      <c r="F5622" s="319" t="n"/>
      <c r="G5622" s="522" t="n"/>
      <c r="H5622" s="319" t="n"/>
      <c r="I5622" s="319" t="n"/>
      <c r="J5622" s="319" t="n"/>
    </row>
    <row r="5623">
      <c r="B5623" s="1" t="n"/>
      <c r="C5623" s="24" t="n"/>
      <c r="D5623" s="24" t="n"/>
      <c r="E5623" s="25" t="n"/>
      <c r="F5623" s="319" t="n"/>
      <c r="G5623" s="522" t="n"/>
      <c r="H5623" s="319" t="n"/>
      <c r="I5623" s="319" t="n"/>
      <c r="J5623" s="319" t="n"/>
    </row>
    <row r="5624">
      <c r="B5624" s="1">
        <f>+B5623+1</f>
        <v/>
      </c>
    </row>
  </sheetData>
  <pageMargins left="0.7086614173228351" right="0.7086614173228351" top="0.748031496062992" bottom="0.748031496062992" header="0.31496062992126" footer="0.31496062992126"/>
  <pageSetup orientation="portrait" scale="64"/>
  <legacyDrawing xmlns:r="http://schemas.openxmlformats.org/officeDocument/2006/relationships" r:id="anysvml"/>
</worksheet>
</file>

<file path=xl/worksheets/sheet11.xml><?xml version="1.0" encoding="utf-8"?>
<worksheet xmlns="http://schemas.openxmlformats.org/spreadsheetml/2006/main">
  <sheetPr codeName="Sheet4">
    <outlinePr summaryBelow="1" summaryRight="1"/>
    <pageSetUpPr/>
  </sheetPr>
  <dimension ref="F7:M19"/>
  <sheetViews>
    <sheetView topLeftCell="A7" workbookViewId="0">
      <selection activeCell="M15" sqref="M15"/>
    </sheetView>
  </sheetViews>
  <sheetFormatPr baseColWidth="8" defaultRowHeight="14.5"/>
  <cols>
    <col width="30.1796875" bestFit="1" customWidth="1" min="6" max="6"/>
    <col width="16.1796875" bestFit="1" customWidth="1" min="8" max="8"/>
    <col width="16.1796875" customWidth="1" min="9" max="9"/>
  </cols>
  <sheetData>
    <row r="7">
      <c r="H7" t="inlineStr">
        <is>
          <t>Defaulted exposures</t>
        </is>
      </c>
      <c r="J7" t="inlineStr">
        <is>
          <t>Watch listed exposures</t>
        </is>
      </c>
      <c r="K7" t="inlineStr">
        <is>
          <t>Non -Defaulted exposures</t>
        </is>
      </c>
      <c r="L7" t="inlineStr">
        <is>
          <t>Total exposure</t>
        </is>
      </c>
      <c r="M7" t="inlineStr">
        <is>
          <t>Total Provision</t>
        </is>
      </c>
    </row>
    <row r="8">
      <c r="F8" t="inlineStr">
        <is>
          <t>On Balance sheet exposures</t>
        </is>
      </c>
      <c r="H8" t="n">
        <v>374427112.8402845</v>
      </c>
      <c r="J8" t="n">
        <v>1245141433.183416</v>
      </c>
      <c r="K8" t="n">
        <v>979226563.0421143</v>
      </c>
      <c r="L8" t="n">
        <v>2598795109.065814</v>
      </c>
      <c r="M8" t="n">
        <v>18957</v>
      </c>
    </row>
    <row r="9">
      <c r="F9" t="inlineStr">
        <is>
          <t>Off Balance Sheet Exposures</t>
        </is>
      </c>
      <c r="H9" t="inlineStr">
        <is>
          <t>-</t>
        </is>
      </c>
      <c r="J9" t="inlineStr">
        <is>
          <t>-</t>
        </is>
      </c>
      <c r="K9" t="inlineStr">
        <is>
          <t>-</t>
        </is>
      </c>
      <c r="L9" t="inlineStr">
        <is>
          <t>-</t>
        </is>
      </c>
      <c r="M9" t="n">
        <v>0</v>
      </c>
    </row>
    <row r="10">
      <c r="F10" t="inlineStr">
        <is>
          <t>Equity</t>
        </is>
      </c>
      <c r="H10" t="inlineStr">
        <is>
          <t>-</t>
        </is>
      </c>
      <c r="J10" t="inlineStr">
        <is>
          <t>-</t>
        </is>
      </c>
      <c r="K10" t="inlineStr">
        <is>
          <t>-</t>
        </is>
      </c>
      <c r="L10" t="inlineStr">
        <is>
          <t>-</t>
        </is>
      </c>
      <c r="M10" t="n">
        <v>0</v>
      </c>
    </row>
    <row r="11">
      <c r="F11" t="inlineStr">
        <is>
          <t>TOTALS</t>
        </is>
      </c>
      <c r="H11" t="n">
        <v>374427112.8402845</v>
      </c>
      <c r="J11" t="n">
        <v>1245141433.183416</v>
      </c>
      <c r="K11" t="n">
        <v>979226563.0421143</v>
      </c>
      <c r="L11" t="n">
        <v>2598795109.065814</v>
      </c>
      <c r="M11" t="n">
        <v>18957</v>
      </c>
    </row>
    <row r="14">
      <c r="G14" s="145" t="inlineStr">
        <is>
          <t>Number</t>
        </is>
      </c>
      <c r="H14" s="146" t="inlineStr">
        <is>
          <t>K</t>
        </is>
      </c>
      <c r="I14" s="143" t="inlineStr">
        <is>
          <t>%</t>
        </is>
      </c>
      <c r="J14" t="inlineStr">
        <is>
          <t>Off Balance Sheet Exposures</t>
        </is>
      </c>
      <c r="K14" t="inlineStr">
        <is>
          <t>Equity</t>
        </is>
      </c>
      <c r="L14" t="inlineStr">
        <is>
          <t>TOTALS</t>
        </is>
      </c>
    </row>
    <row r="15">
      <c r="F15" t="inlineStr">
        <is>
          <t>Stage 3 (Defaulted exposures), 14%</t>
        </is>
      </c>
      <c r="G15" s="145" t="n">
        <v>3</v>
      </c>
      <c r="H15" s="143" t="n">
        <v>374427112.8402845</v>
      </c>
      <c r="I15" s="144">
        <f>H15/$H$18</f>
        <v/>
      </c>
      <c r="J15" t="inlineStr">
        <is>
          <t>-</t>
        </is>
      </c>
      <c r="K15" t="inlineStr">
        <is>
          <t>-</t>
        </is>
      </c>
      <c r="L15" t="n">
        <v>374427112.8402845</v>
      </c>
    </row>
    <row r="16">
      <c r="F16" t="inlineStr">
        <is>
          <t>Stage 2 (Watch listed exposures), 48%</t>
        </is>
      </c>
      <c r="G16" s="145" t="n">
        <v>3</v>
      </c>
      <c r="H16" s="143" t="n">
        <v>1245141433.183416</v>
      </c>
      <c r="I16" s="144">
        <f>H16/$H$18</f>
        <v/>
      </c>
      <c r="J16" t="inlineStr">
        <is>
          <t>-</t>
        </is>
      </c>
      <c r="K16" t="inlineStr">
        <is>
          <t>-</t>
        </is>
      </c>
      <c r="L16" t="n">
        <v>1245141433.183416</v>
      </c>
    </row>
    <row r="17">
      <c r="F17" t="inlineStr">
        <is>
          <t>Stage 1 (Non -Defaulted exposures), 38%</t>
        </is>
      </c>
      <c r="G17" s="145" t="n">
        <v>5</v>
      </c>
      <c r="H17" s="143" t="n">
        <v>979226563.0421143</v>
      </c>
      <c r="I17" s="144">
        <f>H17/$H$18</f>
        <v/>
      </c>
      <c r="J17" t="inlineStr">
        <is>
          <t>-</t>
        </is>
      </c>
      <c r="K17" t="inlineStr">
        <is>
          <t>-</t>
        </is>
      </c>
      <c r="L17" t="n">
        <v>979226563.0421143</v>
      </c>
    </row>
    <row r="18">
      <c r="F18" t="inlineStr">
        <is>
          <t>Total exposure</t>
        </is>
      </c>
      <c r="G18" s="145" t="n"/>
      <c r="H18" s="143" t="n">
        <v>2598795109.065814</v>
      </c>
      <c r="I18" s="144">
        <f>H18/$H$18</f>
        <v/>
      </c>
      <c r="J18" t="inlineStr">
        <is>
          <t>-</t>
        </is>
      </c>
      <c r="K18" t="inlineStr">
        <is>
          <t>-</t>
        </is>
      </c>
      <c r="L18" t="n">
        <v>2598795109.065814</v>
      </c>
    </row>
    <row r="19">
      <c r="F19" t="inlineStr">
        <is>
          <t>Total Provision</t>
        </is>
      </c>
      <c r="G19" s="145" t="n"/>
      <c r="H19" s="143" t="n">
        <v>18957</v>
      </c>
      <c r="I19" s="143" t="n"/>
      <c r="J19" t="n">
        <v>0</v>
      </c>
      <c r="K19" t="n">
        <v>0</v>
      </c>
      <c r="L19" t="n">
        <v>18957</v>
      </c>
    </row>
  </sheetData>
  <pageMargins left="0.7" right="0.7" top="0.75" bottom="0.75" header="0.3" footer="0.3"/>
  <pageSetup orientation="portrait" paperSize="9"/>
</worksheet>
</file>

<file path=xl/worksheets/sheet12.xml><?xml version="1.0" encoding="utf-8"?>
<worksheet xmlns="http://schemas.openxmlformats.org/spreadsheetml/2006/main">
  <sheetPr codeName="Sheet5">
    <outlinePr summaryBelow="1" summaryRight="1"/>
    <pageSetUpPr/>
  </sheetPr>
  <dimension ref="A2:K33"/>
  <sheetViews>
    <sheetView showGridLines="0" workbookViewId="0">
      <selection activeCell="N15" sqref="N15"/>
    </sheetView>
  </sheetViews>
  <sheetFormatPr baseColWidth="8" defaultColWidth="8.81640625" defaultRowHeight="13.5"/>
  <cols>
    <col width="8.81640625" customWidth="1" style="44" min="1" max="1"/>
    <col width="2.81640625" bestFit="1" customWidth="1" style="44" min="2" max="2"/>
    <col width="17.81640625" bestFit="1" customWidth="1" style="44" min="3" max="3"/>
    <col width="8.81640625" customWidth="1" style="44" min="4" max="5"/>
    <col width="14.81640625" bestFit="1" customWidth="1" style="44" min="6" max="7"/>
    <col width="13.1796875" bestFit="1" customWidth="1" style="44" min="8" max="10"/>
    <col width="12.1796875" bestFit="1" customWidth="1" style="44" min="11" max="11"/>
    <col width="8.81640625" customWidth="1" style="44" min="12" max="16384"/>
  </cols>
  <sheetData>
    <row r="1" ht="14" customHeight="1" thickBot="1"/>
    <row r="2" ht="14" customHeight="1" thickBot="1">
      <c r="H2" s="540" t="inlineStr">
        <is>
          <t>Repayments in arrears</t>
        </is>
      </c>
      <c r="I2" s="541" t="n"/>
      <c r="J2" s="541" t="n"/>
      <c r="K2" s="542" t="n"/>
    </row>
    <row r="3" ht="23" customHeight="1">
      <c r="B3" s="465" t="inlineStr">
        <is>
          <t>#</t>
        </is>
      </c>
      <c r="C3" s="467" t="inlineStr">
        <is>
          <t>Name</t>
        </is>
      </c>
      <c r="D3" s="543" t="inlineStr">
        <is>
          <t>Type</t>
        </is>
      </c>
      <c r="E3" s="125" t="n"/>
      <c r="F3" s="142" t="inlineStr">
        <is>
          <t>Principal</t>
        </is>
      </c>
      <c r="G3" s="119" t="inlineStr">
        <is>
          <t>Carrying Amount</t>
        </is>
      </c>
      <c r="H3" s="122" t="inlineStr">
        <is>
          <t>Total Arrears</t>
        </is>
      </c>
      <c r="I3" s="117" t="inlineStr">
        <is>
          <t>1-30 Days</t>
        </is>
      </c>
      <c r="J3" s="56" t="inlineStr">
        <is>
          <t>31-90 Days</t>
        </is>
      </c>
      <c r="K3" s="57" t="inlineStr">
        <is>
          <t>&gt; 90 Days</t>
        </is>
      </c>
    </row>
    <row r="4" ht="15" customHeight="1" thickBot="1">
      <c r="B4" s="544" t="n"/>
      <c r="C4" s="545" t="n"/>
      <c r="D4" s="545" t="n"/>
      <c r="E4" s="83" t="inlineStr">
        <is>
          <t>Staging</t>
        </is>
      </c>
      <c r="F4" s="45" t="inlineStr">
        <is>
          <t>K</t>
        </is>
      </c>
      <c r="G4" s="120" t="inlineStr">
        <is>
          <t>K</t>
        </is>
      </c>
      <c r="H4" s="123" t="inlineStr">
        <is>
          <t>K</t>
        </is>
      </c>
      <c r="I4" s="118" t="inlineStr">
        <is>
          <t>K</t>
        </is>
      </c>
      <c r="J4" s="59" t="inlineStr">
        <is>
          <t>K</t>
        </is>
      </c>
      <c r="K4" s="60" t="inlineStr">
        <is>
          <t>K</t>
        </is>
      </c>
    </row>
    <row r="5">
      <c r="B5" s="132" t="n">
        <v>1</v>
      </c>
      <c r="C5" s="133" t="inlineStr">
        <is>
          <t>Chikho Hotel Limited</t>
        </is>
      </c>
      <c r="D5" s="64" t="inlineStr">
        <is>
          <t>Debt</t>
        </is>
      </c>
      <c r="E5" s="140" t="n">
        <v>1</v>
      </c>
      <c r="F5" s="64" t="n">
        <v>682198580.49</v>
      </c>
      <c r="G5" s="86" t="n">
        <v>643917941.822136</v>
      </c>
      <c r="H5" s="134" t="n">
        <v>0</v>
      </c>
      <c r="I5" s="64" t="n">
        <v>0</v>
      </c>
      <c r="J5" s="64" t="n">
        <v>0</v>
      </c>
      <c r="K5" s="65" t="n">
        <v>0</v>
      </c>
    </row>
    <row r="6">
      <c r="B6" s="49" t="n">
        <v>2</v>
      </c>
      <c r="C6" s="50" t="inlineStr">
        <is>
          <t>Edge View Academy</t>
        </is>
      </c>
      <c r="D6" s="51" t="inlineStr">
        <is>
          <t>Debt</t>
        </is>
      </c>
      <c r="E6" s="116" t="n">
        <v>3</v>
      </c>
      <c r="F6" s="51" t="n">
        <v>300000000</v>
      </c>
      <c r="G6" s="82" t="n">
        <v>340276363.4350186</v>
      </c>
      <c r="H6" s="135" t="n">
        <v>46356720.41700657</v>
      </c>
      <c r="I6" s="51" t="n">
        <v>7813562.557461619</v>
      </c>
      <c r="J6" s="51" t="n">
        <v>12111062.55746162</v>
      </c>
      <c r="K6" s="72" t="n">
        <v>26432095.30208333</v>
      </c>
    </row>
    <row r="7">
      <c r="B7" s="49" t="n">
        <v>3</v>
      </c>
      <c r="C7" s="50" t="inlineStr">
        <is>
          <t>Micholess Cremeary</t>
        </is>
      </c>
      <c r="D7" s="51" t="inlineStr">
        <is>
          <t>Debt</t>
        </is>
      </c>
      <c r="E7" s="116" t="n">
        <v>3</v>
      </c>
      <c r="F7" s="51" t="n">
        <v>18240000</v>
      </c>
      <c r="G7" s="82" t="n">
        <v>21366525.83174048</v>
      </c>
      <c r="H7" s="135" t="n">
        <v>6437516.756802669</v>
      </c>
      <c r="I7" s="51" t="n">
        <v>1287503.351360534</v>
      </c>
      <c r="J7" s="51" t="n">
        <v>2575006.702721067</v>
      </c>
      <c r="K7" s="72" t="n">
        <v>2575006.702721067</v>
      </c>
    </row>
    <row r="8">
      <c r="B8" s="49" t="n">
        <v>4</v>
      </c>
      <c r="C8" s="50" t="inlineStr">
        <is>
          <t>COMSIV</t>
        </is>
      </c>
      <c r="D8" s="51" t="inlineStr">
        <is>
          <t>Debt</t>
        </is>
      </c>
      <c r="E8" s="116" t="n">
        <v>2</v>
      </c>
      <c r="F8" s="51" t="n">
        <v>257563452</v>
      </c>
      <c r="G8" s="82" t="n">
        <v>201783418.1596667</v>
      </c>
      <c r="H8" s="135" t="n">
        <v>175929164.52</v>
      </c>
      <c r="I8" s="51" t="n">
        <v>72964582.26000001</v>
      </c>
      <c r="J8" s="51" t="n">
        <v>102964582.26</v>
      </c>
      <c r="K8" s="72" t="n">
        <v>0</v>
      </c>
    </row>
    <row r="9">
      <c r="B9" s="49" t="n">
        <v>5</v>
      </c>
      <c r="C9" s="50" t="inlineStr">
        <is>
          <t>MUSECO</t>
        </is>
      </c>
      <c r="D9" s="51" t="inlineStr">
        <is>
          <t>Debt</t>
        </is>
      </c>
      <c r="E9" s="116" t="n">
        <v>2</v>
      </c>
      <c r="F9" s="51" t="n">
        <v>370000000</v>
      </c>
      <c r="G9" s="82" t="n">
        <v>399440073.2016129</v>
      </c>
      <c r="H9" s="135" t="n">
        <v>29440073.2016129</v>
      </c>
      <c r="I9" s="51" t="n">
        <v>5657916.666666667</v>
      </c>
      <c r="J9" s="51" t="n">
        <v>11315833.33333333</v>
      </c>
      <c r="K9" s="72" t="n">
        <v>12466323.2016129</v>
      </c>
    </row>
    <row r="10">
      <c r="B10" s="49" t="n">
        <v>6</v>
      </c>
      <c r="C10" s="50" t="inlineStr">
        <is>
          <t>Nsanama</t>
        </is>
      </c>
      <c r="D10" s="51" t="inlineStr">
        <is>
          <t>Debt</t>
        </is>
      </c>
      <c r="E10" s="116" t="n">
        <v>3</v>
      </c>
      <c r="F10" s="51" t="n">
        <v>12055000</v>
      </c>
      <c r="G10" s="82" t="n">
        <v>12784223.57352545</v>
      </c>
      <c r="H10" s="135" t="n">
        <v>2717482.149122461</v>
      </c>
      <c r="I10" s="51" t="n">
        <v>684026.3858917261</v>
      </c>
      <c r="J10" s="51" t="n">
        <v>1368052.771783452</v>
      </c>
      <c r="K10" s="72" t="n">
        <v>665402.9914472823</v>
      </c>
    </row>
    <row r="11">
      <c r="B11" s="49" t="n">
        <v>7</v>
      </c>
      <c r="C11" s="50" t="inlineStr">
        <is>
          <t>Lenziemill Milling Co</t>
        </is>
      </c>
      <c r="D11" s="51" t="inlineStr">
        <is>
          <t>Debt</t>
        </is>
      </c>
      <c r="E11" s="116" t="n">
        <v>1</v>
      </c>
      <c r="F11" s="51" t="n">
        <v>297400000</v>
      </c>
      <c r="G11" s="82" t="n">
        <v>329147452.0270633</v>
      </c>
      <c r="H11" s="135" t="n">
        <v>9471733.192448553</v>
      </c>
      <c r="I11" s="51" t="n">
        <v>9471733.192448553</v>
      </c>
      <c r="J11" s="51" t="n">
        <v>0</v>
      </c>
      <c r="K11" s="72" t="n">
        <v>0</v>
      </c>
    </row>
    <row r="12">
      <c r="B12" s="49" t="n">
        <v>8</v>
      </c>
      <c r="C12" s="50" t="inlineStr">
        <is>
          <t>Corran Farming Limited</t>
        </is>
      </c>
      <c r="D12" s="51" t="inlineStr">
        <is>
          <t>Debt</t>
        </is>
      </c>
      <c r="E12" s="116" t="n">
        <v>1</v>
      </c>
      <c r="F12" s="51" t="n">
        <v>426000000</v>
      </c>
      <c r="G12" s="82" t="n">
        <v>457182922.3744292</v>
      </c>
      <c r="H12" s="135" t="n">
        <v>31182922.37442922</v>
      </c>
      <c r="I12" s="51" t="n">
        <v>19516255.70776255</v>
      </c>
      <c r="J12" s="51" t="n">
        <v>11666666.66666667</v>
      </c>
      <c r="K12" s="72" t="n">
        <v>0</v>
      </c>
    </row>
    <row r="13">
      <c r="B13" s="49" t="n">
        <v>9</v>
      </c>
      <c r="C13" s="50" t="inlineStr">
        <is>
          <t>Mach Milk</t>
        </is>
      </c>
      <c r="D13" s="51" t="inlineStr">
        <is>
          <t>Debt</t>
        </is>
      </c>
      <c r="E13" s="116" t="n">
        <v>1</v>
      </c>
      <c r="F13" s="51" t="n">
        <v>58512940</v>
      </c>
      <c r="G13" s="82" t="n">
        <v>62640278.24840183</v>
      </c>
      <c r="H13" s="135" t="n">
        <v>0</v>
      </c>
      <c r="I13" s="51" t="n">
        <v>0</v>
      </c>
      <c r="J13" s="51" t="n">
        <v>0</v>
      </c>
      <c r="K13" s="72" t="n">
        <v>0</v>
      </c>
    </row>
    <row r="14">
      <c r="B14" s="49" t="n">
        <v>10</v>
      </c>
      <c r="C14" s="50" t="inlineStr">
        <is>
          <t>Natures Gift</t>
        </is>
      </c>
      <c r="D14" s="51" t="inlineStr">
        <is>
          <t>Debt</t>
        </is>
      </c>
      <c r="E14" s="116" t="n">
        <v>1</v>
      </c>
      <c r="F14" s="51" t="n">
        <v>80000000</v>
      </c>
      <c r="G14" s="82" t="n">
        <v>82782048.43503268</v>
      </c>
      <c r="H14" s="135" t="n">
        <v>4457468.936282659</v>
      </c>
      <c r="I14" s="51" t="n">
        <v>2031474.194168727</v>
      </c>
      <c r="J14" s="51" t="n">
        <v>2425994.742113932</v>
      </c>
      <c r="K14" s="72" t="n">
        <v>0</v>
      </c>
    </row>
    <row r="15" ht="14" customHeight="1" thickBot="1">
      <c r="B15" s="136" t="n">
        <v>11</v>
      </c>
      <c r="C15" s="137" t="inlineStr">
        <is>
          <t xml:space="preserve">Kajikhomele Founfdation </t>
        </is>
      </c>
      <c r="D15" s="109" t="inlineStr">
        <is>
          <t>Debt</t>
        </is>
      </c>
      <c r="E15" s="141" t="n">
        <v>1</v>
      </c>
      <c r="F15" s="109" t="n">
        <v>46448288</v>
      </c>
      <c r="G15" s="138" t="n">
        <v>47473861.95718721</v>
      </c>
      <c r="H15" s="139" t="n">
        <v>0</v>
      </c>
      <c r="I15" s="109" t="n">
        <v>0</v>
      </c>
      <c r="J15" s="109" t="n">
        <v>0</v>
      </c>
      <c r="K15" s="110" t="n">
        <v>0</v>
      </c>
    </row>
    <row r="16" ht="14" customHeight="1" thickBot="1">
      <c r="B16" s="112" t="n"/>
      <c r="C16" s="113" t="n"/>
      <c r="D16" s="114" t="n"/>
      <c r="E16" s="114" t="n"/>
      <c r="F16" s="115" t="n">
        <v>2548418260.49</v>
      </c>
      <c r="G16" s="121" t="n">
        <v>2598795109.065814</v>
      </c>
      <c r="H16" s="107" t="n">
        <v>305993081.547705</v>
      </c>
      <c r="I16" s="108">
        <f>SUM(I5:I15)</f>
        <v/>
      </c>
      <c r="J16" s="108">
        <f>SUM(J5:J15)</f>
        <v/>
      </c>
      <c r="K16" s="111">
        <f>SUM(K5:K15)</f>
        <v/>
      </c>
    </row>
    <row r="18" ht="14" customHeight="1" thickBot="1"/>
    <row r="19">
      <c r="A19" s="80" t="n"/>
      <c r="B19" s="546" t="inlineStr">
        <is>
          <t>#</t>
        </is>
      </c>
      <c r="C19" s="547" t="inlineStr">
        <is>
          <t>Name</t>
        </is>
      </c>
      <c r="D19" s="548" t="inlineStr">
        <is>
          <t>Type</t>
        </is>
      </c>
      <c r="E19" s="124" t="n"/>
      <c r="F19" s="55" t="inlineStr">
        <is>
          <t>1-30</t>
        </is>
      </c>
      <c r="G19" s="56" t="inlineStr">
        <is>
          <t>31-90</t>
        </is>
      </c>
      <c r="H19" s="89" t="inlineStr">
        <is>
          <t>&gt;90</t>
        </is>
      </c>
      <c r="I19" s="92" t="inlineStr">
        <is>
          <t>Total</t>
        </is>
      </c>
    </row>
    <row r="20" ht="14" customHeight="1" thickBot="1">
      <c r="A20" s="80" t="n"/>
      <c r="B20" s="549" t="n"/>
      <c r="C20" s="550" t="n"/>
      <c r="D20" s="551" t="n"/>
      <c r="E20" s="125" t="n"/>
      <c r="F20" s="58" t="inlineStr">
        <is>
          <t>Days</t>
        </is>
      </c>
      <c r="G20" s="59" t="inlineStr">
        <is>
          <t>Days</t>
        </is>
      </c>
      <c r="H20" s="90" t="inlineStr">
        <is>
          <t>Days</t>
        </is>
      </c>
      <c r="I20" s="93" t="inlineStr">
        <is>
          <t>Arrears</t>
        </is>
      </c>
    </row>
    <row r="21" ht="14" customHeight="1" thickBot="1">
      <c r="A21" s="80" t="n"/>
      <c r="B21" s="552" t="n"/>
      <c r="C21" s="553" t="n"/>
      <c r="D21" s="554" t="n"/>
      <c r="E21" s="126" t="n"/>
      <c r="F21" s="84" t="inlineStr">
        <is>
          <t>K</t>
        </is>
      </c>
      <c r="G21" s="85" t="inlineStr">
        <is>
          <t>K</t>
        </is>
      </c>
      <c r="H21" s="91" t="inlineStr">
        <is>
          <t>K</t>
        </is>
      </c>
      <c r="I21" s="94" t="inlineStr">
        <is>
          <t>K</t>
        </is>
      </c>
    </row>
    <row r="22">
      <c r="A22" s="80" t="n"/>
      <c r="B22" s="61" t="n">
        <v>1</v>
      </c>
      <c r="C22" s="62" t="inlineStr">
        <is>
          <t>Chikho Hotel Limited</t>
        </is>
      </c>
      <c r="D22" s="64" t="inlineStr">
        <is>
          <t>Debt</t>
        </is>
      </c>
      <c r="E22" s="127" t="n"/>
      <c r="F22" s="63" t="n">
        <v>0</v>
      </c>
      <c r="G22" s="64" t="n">
        <v>0</v>
      </c>
      <c r="H22" s="86" t="n">
        <v>0</v>
      </c>
      <c r="I22" s="95">
        <f>SUM(F22:H22)</f>
        <v/>
      </c>
    </row>
    <row r="23">
      <c r="A23" s="80" t="n"/>
      <c r="B23" s="66" t="n">
        <v>2</v>
      </c>
      <c r="C23" s="67" t="inlineStr">
        <is>
          <t>Edge View Academy</t>
        </is>
      </c>
      <c r="D23" s="47" t="inlineStr">
        <is>
          <t>Debt</t>
        </is>
      </c>
      <c r="E23" s="128" t="n"/>
      <c r="F23" s="68" t="n">
        <v>7813562.557461619</v>
      </c>
      <c r="G23" s="47" t="n">
        <v>12111062.55746162</v>
      </c>
      <c r="H23" s="81" t="n">
        <v>26432095.30208333</v>
      </c>
      <c r="I23" s="96">
        <f>SUM(F23:H23)</f>
        <v/>
      </c>
    </row>
    <row r="24">
      <c r="A24" s="80" t="n"/>
      <c r="B24" s="66" t="n">
        <v>3</v>
      </c>
      <c r="C24" s="67" t="inlineStr">
        <is>
          <t>Micholess Cremeary</t>
        </is>
      </c>
      <c r="D24" s="47" t="inlineStr">
        <is>
          <t>Debt</t>
        </is>
      </c>
      <c r="E24" s="128" t="n"/>
      <c r="F24" s="68" t="n">
        <v>1287503.351360534</v>
      </c>
      <c r="G24" s="47" t="n">
        <v>2575006.702721067</v>
      </c>
      <c r="H24" s="81" t="n">
        <v>2575006.702721067</v>
      </c>
      <c r="I24" s="96">
        <f>SUM(F24:H24)</f>
        <v/>
      </c>
    </row>
    <row r="25">
      <c r="A25" s="80" t="n"/>
      <c r="B25" s="73" t="n">
        <v>4</v>
      </c>
      <c r="C25" s="70" t="inlineStr">
        <is>
          <t>COMSIV</t>
        </is>
      </c>
      <c r="D25" s="51" t="inlineStr">
        <is>
          <t>Debt</t>
        </is>
      </c>
      <c r="E25" s="130" t="n"/>
      <c r="F25" s="71" t="n">
        <v>72964582.26000001</v>
      </c>
      <c r="G25" s="51" t="n">
        <v>102964582.26</v>
      </c>
      <c r="H25" s="82" t="n">
        <v>0</v>
      </c>
      <c r="I25" s="96">
        <f>SUM(F25:H25)</f>
        <v/>
      </c>
    </row>
    <row r="26">
      <c r="A26" s="80" t="n"/>
      <c r="B26" s="73" t="n">
        <v>5</v>
      </c>
      <c r="C26" s="70" t="inlineStr">
        <is>
          <t>MUSECO</t>
        </is>
      </c>
      <c r="D26" s="51" t="inlineStr">
        <is>
          <t>Debt</t>
        </is>
      </c>
      <c r="E26" s="130" t="n"/>
      <c r="F26" s="71" t="n">
        <v>5657916.666666667</v>
      </c>
      <c r="G26" s="51" t="n">
        <v>11315833.33333333</v>
      </c>
      <c r="H26" s="82" t="n">
        <v>12466323.2016129</v>
      </c>
      <c r="I26" s="96">
        <f>SUM(F26:H26)</f>
        <v/>
      </c>
    </row>
    <row r="27">
      <c r="A27" s="80" t="n"/>
      <c r="B27" s="66" t="n">
        <v>6</v>
      </c>
      <c r="C27" s="67" t="inlineStr">
        <is>
          <t>Nsanama</t>
        </is>
      </c>
      <c r="D27" s="47" t="inlineStr">
        <is>
          <t>Debt</t>
        </is>
      </c>
      <c r="E27" s="128" t="n"/>
      <c r="F27" s="68" t="n">
        <v>684026.3858917261</v>
      </c>
      <c r="G27" s="47" t="n">
        <v>1368052.771783452</v>
      </c>
      <c r="H27" s="81" t="n">
        <v>665402.9914472823</v>
      </c>
      <c r="I27" s="96">
        <f>SUM(F27:H27)</f>
        <v/>
      </c>
    </row>
    <row r="28">
      <c r="A28" s="80" t="n"/>
      <c r="B28" s="73" t="n">
        <v>7</v>
      </c>
      <c r="C28" s="70" t="inlineStr">
        <is>
          <t>Lenziemill Milling Co</t>
        </is>
      </c>
      <c r="D28" s="51" t="inlineStr">
        <is>
          <t>Debt</t>
        </is>
      </c>
      <c r="E28" s="130" t="n"/>
      <c r="F28" s="71" t="n">
        <v>9471733.192448553</v>
      </c>
      <c r="G28" s="51" t="n">
        <v>0</v>
      </c>
      <c r="H28" s="82" t="n">
        <v>0</v>
      </c>
      <c r="I28" s="96">
        <f>SUM(F28:H28)</f>
        <v/>
      </c>
    </row>
    <row r="29">
      <c r="A29" s="80" t="n"/>
      <c r="B29" s="73" t="n">
        <v>8</v>
      </c>
      <c r="C29" s="70" t="inlineStr">
        <is>
          <t>Corran Farming Limited</t>
        </is>
      </c>
      <c r="D29" s="51" t="inlineStr">
        <is>
          <t>Debt</t>
        </is>
      </c>
      <c r="E29" s="130" t="n"/>
      <c r="F29" s="71" t="n">
        <v>19516255.70776255</v>
      </c>
      <c r="G29" s="51" t="n">
        <v>11666666.66666667</v>
      </c>
      <c r="H29" s="82" t="n">
        <v>0</v>
      </c>
      <c r="I29" s="96">
        <f>SUM(F29:H29)</f>
        <v/>
      </c>
    </row>
    <row r="30">
      <c r="A30" s="80" t="n"/>
      <c r="B30" s="73" t="n">
        <v>9</v>
      </c>
      <c r="C30" s="70" t="inlineStr">
        <is>
          <t>Mach Milk</t>
        </is>
      </c>
      <c r="D30" s="51" t="inlineStr">
        <is>
          <t>Debt</t>
        </is>
      </c>
      <c r="E30" s="130" t="n"/>
      <c r="F30" s="71" t="n">
        <v>0</v>
      </c>
      <c r="G30" s="51" t="n">
        <v>0</v>
      </c>
      <c r="H30" s="82" t="n">
        <v>0</v>
      </c>
      <c r="I30" s="96">
        <f>SUM(F30:H30)</f>
        <v/>
      </c>
    </row>
    <row r="31">
      <c r="A31" s="80" t="n"/>
      <c r="B31" s="73" t="n">
        <v>10</v>
      </c>
      <c r="C31" s="70" t="inlineStr">
        <is>
          <t>Natures Gift</t>
        </is>
      </c>
      <c r="D31" s="51" t="inlineStr">
        <is>
          <t>Debt</t>
        </is>
      </c>
      <c r="E31" s="130" t="n"/>
      <c r="F31" s="71" t="n">
        <v>2031474.194168727</v>
      </c>
      <c r="G31" s="51" t="n">
        <v>2425994.742113932</v>
      </c>
      <c r="H31" s="82" t="n">
        <v>0</v>
      </c>
      <c r="I31" s="96">
        <f>SUM(F31:H31)</f>
        <v/>
      </c>
    </row>
    <row r="32" ht="14" customHeight="1" thickBot="1">
      <c r="A32" s="80" t="n"/>
      <c r="B32" s="74" t="n">
        <v>11</v>
      </c>
      <c r="C32" s="75" t="inlineStr">
        <is>
          <t xml:space="preserve">Kajikhomele Founfdation </t>
        </is>
      </c>
      <c r="D32" s="77" t="inlineStr">
        <is>
          <t>Debt</t>
        </is>
      </c>
      <c r="E32" s="131" t="n"/>
      <c r="F32" s="76" t="n">
        <v>0</v>
      </c>
      <c r="G32" s="77" t="n">
        <v>0</v>
      </c>
      <c r="H32" s="87" t="n">
        <v>0</v>
      </c>
      <c r="I32" s="97">
        <f>SUM(F32:H32)</f>
        <v/>
      </c>
    </row>
    <row r="33" ht="14" customHeight="1" thickBot="1">
      <c r="A33" s="80" t="n"/>
      <c r="B33" s="53" t="n"/>
      <c r="C33" s="78" t="n"/>
      <c r="D33" s="54" t="n"/>
      <c r="E33" s="54" t="n"/>
      <c r="F33" s="79">
        <f>SUM(F22:F32)</f>
        <v/>
      </c>
      <c r="G33" s="79">
        <f>SUM(G22:G32)</f>
        <v/>
      </c>
      <c r="H33" s="88">
        <f>SUM(H22:H32)</f>
        <v/>
      </c>
      <c r="I33" s="98">
        <f>SUM(I22:I32)</f>
        <v/>
      </c>
    </row>
  </sheetData>
  <mergeCells count="7">
    <mergeCell ref="C3:C4"/>
    <mergeCell ref="B3:B4"/>
    <mergeCell ref="H2:K2"/>
    <mergeCell ref="D3:D4"/>
    <mergeCell ref="C19:C21"/>
    <mergeCell ref="D19:D21"/>
    <mergeCell ref="B19:B2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Blessings Nyama</dc:creator>
  <dcterms:created xmlns:dcterms="http://purl.org/dc/terms/" xmlns:xsi="http://www.w3.org/2001/XMLSchema-instance" xsi:type="dcterms:W3CDTF">2019-03-01T09:40:56Z</dcterms:created>
  <dcterms:modified xmlns:dcterms="http://purl.org/dc/terms/" xmlns:xsi="http://www.w3.org/2001/XMLSchema-instance" xsi:type="dcterms:W3CDTF">2026-10-07T18:36:40Z</dcterms:modified>
  <cp:lastModifiedBy>Tamanda Sitimawina</cp:lastModifiedBy>
  <cp:lastPrinted>2024-11-01T10:08:47Z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0x010100096D357623804541894F7B30580B9144</vt:lpwstr>
  </property>
</Properties>
</file>